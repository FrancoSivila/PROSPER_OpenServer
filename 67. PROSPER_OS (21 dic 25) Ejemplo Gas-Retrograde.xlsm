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3.xml" ContentType="application/vnd.openxmlformats-officedocument.drawing+xml"/>
  <Override PartName="/xl/comments1.xml" ContentType="application/vnd.openxmlformats-officedocument.spreadsheetml.comments+xml"/>
  <Override PartName="/xl/charts/chart6.xml" ContentType="application/vnd.openxmlformats-officedocument.drawingml.chart+xml"/>
  <Override PartName="/xl/charts/chart7.xml" ContentType="application/vnd.openxmlformats-officedocument.drawingml.chart+xml"/>
  <Override PartName="/xl/drawings/drawing4.xml" ContentType="application/vnd.openxmlformats-officedocument.drawing+xml"/>
  <Override PartName="/xl/charts/chart8.xml" ContentType="application/vnd.openxmlformats-officedocument.drawingml.chart+xml"/>
  <Override PartName="/xl/drawings/drawing5.xml" ContentType="application/vnd.openxmlformats-officedocument.drawing+xml"/>
  <Override PartName="/xl/comments2.xml" ContentType="application/vnd.openxmlformats-officedocument.spreadsheetml.comments+xml"/>
  <Override PartName="/xl/charts/chart9.xml" ContentType="application/vnd.openxmlformats-officedocument.drawingml.chart+xml"/>
  <Override PartName="/xl/charts/chart10.xml" ContentType="application/vnd.openxmlformats-officedocument.drawingml.chart+xml"/>
  <Override PartName="/xl/charts/style1.xml" ContentType="application/vnd.ms-office.chartstyle+xml"/>
  <Override PartName="/xl/charts/colors1.xml" ContentType="application/vnd.ms-office.chartcolorstyle+xml"/>
  <Override PartName="/xl/drawings/drawing6.xml" ContentType="application/vnd.openxmlformats-officedocument.drawing+xml"/>
  <Override PartName="/xl/comments3.xml" ContentType="application/vnd.openxmlformats-officedocument.spreadsheetml.comments+xml"/>
  <Override PartName="/xl/charts/chart11.xml" ContentType="application/vnd.openxmlformats-officedocument.drawingml.chart+xml"/>
  <Override PartName="/xl/charts/chart12.xml" ContentType="application/vnd.openxmlformats-officedocument.drawingml.chart+xml"/>
  <Override PartName="/xl/drawings/drawing7.xml" ContentType="application/vnd.openxmlformats-officedocument.drawing+xml"/>
  <Override PartName="/xl/comments4.xml" ContentType="application/vnd.openxmlformats-officedocument.spreadsheetml.comments+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drawings/drawing8.xml" ContentType="application/vnd.openxmlformats-officedocument.drawing+xml"/>
  <Override PartName="/xl/drawings/drawing9.xml" ContentType="application/vnd.openxmlformats-officedocument.drawing+xml"/>
  <Override PartName="/xl/comments5.xml" ContentType="application/vnd.openxmlformats-officedocument.spreadsheetml.comments+xml"/>
  <Override PartName="/xl/charts/chart17.xml" ContentType="application/vnd.openxmlformats-officedocument.drawingml.chart+xml"/>
  <Override PartName="/xl/drawings/drawing10.xml" ContentType="application/vnd.openxmlformats-officedocument.drawing+xml"/>
  <Override PartName="/xl/charts/chart18.xml" ContentType="application/vnd.openxmlformats-officedocument.drawingml.chart+xml"/>
  <Override PartName="/xl/drawings/drawing11.xml" ContentType="application/vnd.openxmlformats-officedocument.drawing+xml"/>
  <Override PartName="/xl/comments6.xml" ContentType="application/vnd.openxmlformats-officedocument.spreadsheetml.comments+xml"/>
  <Override PartName="/xl/charts/chart19.xml" ContentType="application/vnd.openxmlformats-officedocument.drawingml.chart+xml"/>
  <Override PartName="/xl/drawings/drawing1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7.xml" ContentType="application/vnd.openxmlformats-officedocument.spreadsheetml.comments+xml"/>
  <Override PartName="/xl/charts/chart20.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numeros.png" ContentType="image/.PNG"/>
  <Override PartName="/customUI/images/Export_Surf.png" ContentType="image/.PNG"/>
  <Override PartName="/customUI/images/Empty_chart_48.png" ContentType="image/.PNG"/>
  <Override PartName="/customUI/images/Input_Import.png" ContentType="image/.PNG"/>
  <Override PartName="/customUI/images/Match_pvt.png" ContentType="image/.PNG"/>
  <Override PartName="/customUI/images/U_value.png" ContentType="image/.PNG"/>
  <Override PartName="/customUI/images/backsetup.png" ContentType="image/.PNG"/>
  <Override PartName="/customUI/images/Import_pvt_results.png" ContentType="image/.PNG"/>
  <Override PartName="/customUI/images/pipe_process_48.png" ContentType="image/.PNG"/>
  <Override PartName="/customUI/images/Export.png" ContentType="image/.PNG"/>
  <Override PartName="/customUI/images/Import_input_pvt.png" ContentType="image/.PNG"/>
  <Override PartName="/customUI/images/Send_to_PPT.png" ContentType="image/.PNG"/>
  <Override PartName="/customUI/images/top-secret.png" ContentType="image/.PNG"/>
  <Override PartName="/customUI/images/All_survey.png" ContentType="image/.PNG"/>
  <Override PartName="/customUI/images/Transfer_Survey.png" ContentType="image/.PNG"/>
  <Override PartName="/customUI/images/ipr_export3.png" ContentType="image/.PNG"/>
  <Override PartName="/customUI/images/ALL_PROSPER_model_Build.png" ContentType="image/.PNG"/>
  <Override PartName="/customUI/images/Import_GG.png" ContentType="image/.PNG"/>
  <Override PartName="/customUI/images/Import_All_Equip.png" ContentType="image/.PNG"/>
  <Override PartName="/customUI/images/bha_Import.png" ContentType="image/.PNG"/>
  <Override PartName="/customUI/images/Filter_Survey.png" ContentType="image/.PNG"/>
  <Override PartName="/customUI/images/Fill_chart_64.png" ContentType="image/.PNG"/>
  <Override PartName="/customUI/images/Delete_Surf.png" ContentType="image/.PNG"/>
  <Override PartName="/customUI/images/Export_Match.png" ContentType="image/.PNG"/>
  <Override PartName="/customUI/images/process_48_ipr_vlp.png" ContentType="image/.PNG"/>
  <Override PartName="/customUI/images/Import_Solutions.png" ContentType="image/.PNG"/>
  <Override PartName="/customUI/images/open.png" ContentType="image/.PNG"/>
  <Override PartName="/customUI/images/Input_Export.png" ContentType="image/.PNG"/>
  <Override PartName="/customUI/images/Import_ALL_PROSPER_model.png" ContentType="image/.PNG"/>
  <Override PartName="/customUI/images/Calculate_pvt_prop.png" ContentType="image/.PNG"/>
  <Override PartName="/customUI/images/pvt_study_lab.png" ContentType="image/.PNG"/>
  <Override PartName="/customUI/images/Import.png" ContentType="image/.PNG"/>
  <Override PartName="/customUI/images/bha_delete.png" ContentType="image/.PNG"/>
  <Override PartName="/customUI/images/Export_GG.png" ContentType="image/.PNG"/>
  <Override PartName="/customUI/images/Export_input_pvt.png" ContentType="image/.PNG"/>
  <Override PartName="/customUI/images/Summary.png" ContentType="image/.PNG"/>
  <Override PartName="/customUI/images/Logo48x48.png" ContentType="image/.PNG"/>
  <Override PartName="/customUI/images/ppt.png" ContentType="image/.PNG"/>
  <Override PartName="/customUI/images/abc.png" ContentType="image/.PNG"/>
  <Override PartName="/customUI/images/Import_Surf.png" ContentType="image/.PNG"/>
  <Override PartName="/customUI/images/bha_Export.png" ContentType="image/.PNG"/>
  <Override PartName="/customUI/images/tables.png" ContentType="image/.PNG"/>
  <Override PartName="/customUI/images/Import_IPR.png" ContentType="image/.PN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d49191abdc324d41"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426" codeName="{DD97A8EA-9A9A-E61F-A557-7D5A7D7259CE}"/>
  <workbookPr codeName="ThisWorkbook"/>
  <mc:AlternateContent xmlns:mc="http://schemas.openxmlformats.org/markup-compatibility/2006">
    <mc:Choice Requires="x15">
      <x15ac:absPath xmlns:x15ac="http://schemas.microsoft.com/office/spreadsheetml/2010/11/ac" url="G:\FFSA Ing\VBA files FF\PROSPER\"/>
    </mc:Choice>
  </mc:AlternateContent>
  <xr:revisionPtr revIDLastSave="0" documentId="13_ncr:1_{8EC69E69-4559-450C-A5A5-32B3F0E75A5A}" xr6:coauthVersionLast="47" xr6:coauthVersionMax="47" xr10:uidLastSave="{00000000-0000-0000-0000-000000000000}"/>
  <bookViews>
    <workbookView xWindow="-120" yWindow="-120" windowWidth="29040" windowHeight="15840" tabRatio="928" xr2:uid="{00000000-000D-0000-FFFF-FFFF00000000}"/>
  </bookViews>
  <sheets>
    <sheet name="Summary" sheetId="10" r:id="rId1"/>
    <sheet name="PVT Input " sheetId="6" r:id="rId2"/>
    <sheet name="PVT_Tables_Format_Hide" sheetId="13" state="hidden" r:id="rId3"/>
    <sheet name="PVT Results" sheetId="8" r:id="rId4"/>
    <sheet name="Inflow" sheetId="9" r:id="rId5"/>
    <sheet name="Calc CA, C" sheetId="20" r:id="rId6"/>
    <sheet name="System_Sens" sheetId="14" state="veryHidden" r:id="rId7"/>
    <sheet name="Sensitivity_Variables_Hide" sheetId="15" state="hidden" r:id="rId8"/>
    <sheet name="Downhole Equipment Sens" sheetId="17" state="veryHidden" r:id="rId9"/>
    <sheet name="Chromatography" sheetId="19" state="veryHidden" r:id="rId10"/>
    <sheet name="Gas Burning Schedule" sheetId="18" state="veryHidden" r:id="rId11"/>
    <sheet name="Well_Survey" sheetId="1" r:id="rId12"/>
    <sheet name="Surface_Equip" sheetId="2" r:id="rId13"/>
    <sheet name="Downhole_Equipment" sheetId="3" r:id="rId14"/>
    <sheet name="Geothermal_Gradient" sheetId="4" r:id="rId15"/>
    <sheet name="VLP-IPR Matching" sheetId="5" r:id="rId16"/>
    <sheet name="Gradient Matching" sheetId="11" r:id="rId17"/>
    <sheet name="Grad Match Results" sheetId="12" r:id="rId18"/>
  </sheets>
  <functionGroups builtInGroupCount="19"/>
  <externalReferences>
    <externalReference r:id="rId19"/>
  </externalReferences>
  <definedNames>
    <definedName name="_xlnm._FilterDatabase" localSheetId="9" hidden="1">Chromatography!$E$20:$E$1000</definedName>
    <definedName name="Sensitivity_Variables">[1]Sensitivity_variables!$D$7:$D$55</definedName>
  </definedNames>
  <calcPr calcId="191029" refMode="R1C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2" i="20" l="1"/>
  <c r="F7" i="1"/>
  <c r="G7" i="1"/>
  <c r="H7" i="1"/>
  <c r="I7" i="1"/>
  <c r="J7" i="1"/>
  <c r="F6" i="1"/>
  <c r="G6" i="1"/>
  <c r="H6" i="1"/>
  <c r="I6" i="1"/>
  <c r="J6" i="1"/>
  <c r="F5" i="1"/>
  <c r="G5" i="1"/>
  <c r="H5" i="1"/>
  <c r="I5" i="1"/>
  <c r="J5" i="1"/>
  <c r="D23" i="20"/>
  <c r="D18" i="20"/>
  <c r="D13" i="20"/>
  <c r="D14" i="20" s="1"/>
  <c r="D8" i="20"/>
  <c r="E7" i="20"/>
  <c r="D7" i="20"/>
  <c r="E8" i="20" l="1"/>
  <c r="D9" i="20" l="1"/>
  <c r="D25" i="20" s="1"/>
  <c r="D26" i="20" s="1"/>
  <c r="D30" i="20" l="1"/>
  <c r="D31" i="20" s="1"/>
  <c r="D18" i="19" l="1"/>
  <c r="D17" i="19"/>
  <c r="CC5" i="19"/>
  <c r="CB5" i="19"/>
  <c r="CA5" i="19"/>
  <c r="BZ5" i="19"/>
  <c r="BY5" i="19"/>
  <c r="BX5" i="19"/>
  <c r="BW5" i="19"/>
  <c r="BV5" i="19"/>
  <c r="BU5" i="19"/>
  <c r="BT5" i="19"/>
  <c r="BS5" i="19"/>
  <c r="BR5" i="19"/>
  <c r="BQ5" i="19"/>
  <c r="P6" i="18" l="1"/>
  <c r="R19" i="18"/>
  <c r="Q19" i="18"/>
  <c r="R18" i="18"/>
  <c r="Q18" i="18"/>
  <c r="R17" i="18"/>
  <c r="Q17" i="18"/>
  <c r="R16" i="18"/>
  <c r="Q16" i="18"/>
  <c r="R15" i="18"/>
  <c r="R22" i="18" s="1"/>
  <c r="R6" i="18" s="1"/>
  <c r="R9" i="18" s="1"/>
  <c r="Q15" i="18"/>
  <c r="Q21" i="18" l="1"/>
  <c r="Q6" i="18" s="1"/>
  <c r="Q8" i="1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Franco</author>
  </authors>
  <commentList>
    <comment ref="AB2" authorId="0" shapeId="0" xr:uid="{00000000-0006-0000-0400-000001000000}">
      <text>
        <r>
          <rPr>
            <b/>
            <sz val="9"/>
            <color indexed="81"/>
            <rFont val="Tahoma"/>
            <family val="2"/>
          </rPr>
          <t>Franco:</t>
        </r>
        <r>
          <rPr>
            <sz val="9"/>
            <color indexed="81"/>
            <rFont val="Tahoma"/>
            <family val="2"/>
          </rPr>
          <t xml:space="preserve">
</t>
        </r>
        <r>
          <rPr>
            <sz val="11"/>
            <color indexed="81"/>
            <rFont val="Tahoma"/>
            <family val="2"/>
          </rPr>
          <t>Total Skin = Completion + Deviation + Partial Penetration</t>
        </r>
        <r>
          <rPr>
            <sz val="9"/>
            <color indexed="81"/>
            <rFont val="Tahoma"/>
            <family val="2"/>
          </rPr>
          <t xml:space="preserve">
</t>
        </r>
      </text>
    </comment>
    <comment ref="AD2" authorId="0" shapeId="0" xr:uid="{00000000-0006-0000-0400-000002000000}">
      <text>
        <r>
          <rPr>
            <b/>
            <sz val="9"/>
            <color indexed="81"/>
            <rFont val="Tahoma"/>
            <family val="2"/>
          </rPr>
          <t>Franco:</t>
        </r>
        <r>
          <rPr>
            <sz val="9"/>
            <color indexed="81"/>
            <rFont val="Tahoma"/>
            <family val="2"/>
          </rPr>
          <t xml:space="preserve">
dP Completion = dP Sand Control Skin + dP Perforations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16" authorId="0" shapeId="0" xr:uid="{00000000-0006-0000-0500-000001000000}">
      <text>
        <r>
          <rPr>
            <b/>
            <sz val="9"/>
            <color indexed="81"/>
            <rFont val="Tahoma"/>
            <family val="2"/>
          </rPr>
          <t>Franco:</t>
        </r>
        <r>
          <rPr>
            <sz val="9"/>
            <color indexed="81"/>
            <rFont val="Tahoma"/>
            <family val="2"/>
          </rPr>
          <t xml:space="preserve">
The PE5 stability criteria calculation can be invoked to assess the onset of instability in the well or pipe. 
The PE5 stability flag is determined based on the PE5 mechanistic flow model (which calculates the momentum balance of the phases within the flowline), and is designed to be conservative. From the momentum balance, the direction of flow for the liquid is calculated, and if it is calculated as flowing back down the flowline, the PE5 stability flag is raised. 
</t>
        </r>
      </text>
    </comment>
    <comment ref="A19" authorId="0" shapeId="0" xr:uid="{00000000-0006-0000-0500-000002000000}">
      <text>
        <r>
          <rPr>
            <b/>
            <sz val="9"/>
            <color indexed="81"/>
            <rFont val="Tahoma"/>
            <family val="2"/>
          </rPr>
          <t>Franco:</t>
        </r>
        <r>
          <rPr>
            <sz val="9"/>
            <color indexed="81"/>
            <rFont val="Tahoma"/>
            <family val="2"/>
          </rPr>
          <t xml:space="preserve">
Sensitivity values must be from smallest to largest. If values don't follow this order, PROSPER will order them and change de associated Index.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1" authorId="0" shapeId="0" xr:uid="{00000000-0006-0000-0700-000001000000}">
      <text>
        <r>
          <rPr>
            <b/>
            <sz val="9"/>
            <color indexed="81"/>
            <rFont val="Tahoma"/>
            <family val="2"/>
          </rPr>
          <t>Franco S.A.:</t>
        </r>
        <r>
          <rPr>
            <sz val="9"/>
            <color indexed="81"/>
            <rFont val="Tahoma"/>
            <family val="2"/>
          </rPr>
          <t xml:space="preserve">
To restore initial Downhole Equipment after sensitivity calculation, Import data on Sheet "</t>
        </r>
        <r>
          <rPr>
            <sz val="9"/>
            <color indexed="12"/>
            <rFont val="Tahoma"/>
            <family val="2"/>
          </rPr>
          <t>Downhole_Equipment</t>
        </r>
        <r>
          <rPr>
            <sz val="9"/>
            <color indexed="81"/>
            <rFont val="Tahoma"/>
            <family val="2"/>
          </rPr>
          <t xml:space="preserve">".
</t>
        </r>
        <r>
          <rPr>
            <b/>
            <sz val="9"/>
            <color indexed="81"/>
            <rFont val="Tahoma"/>
            <family val="2"/>
          </rPr>
          <t>Downhole Equipment Sensitivity:</t>
        </r>
        <r>
          <rPr>
            <sz val="9"/>
            <color indexed="81"/>
            <rFont val="Tahoma"/>
            <family val="2"/>
          </rPr>
          <t xml:space="preserve">
1. Change Input variables
2. Click Button
3. Code sends Variables to PROSPER
Restriction is introduced on Downhole   Equipment
4. Calculate System sensitivity
5. Extract Solution
6. Repeat for next variable
7. Restore initial values (variables)
Note. To restore initial Downhole Equipment go to "Downhole_Equipmet" Sheet and export data.</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Sivila, Franco F.</author>
  </authors>
  <commentList>
    <comment ref="C20" authorId="0" shapeId="0" xr:uid="{00000000-0006-0000-0800-000001000000}">
      <text>
        <r>
          <rPr>
            <sz val="9"/>
            <color indexed="81"/>
            <rFont val="Tahoma"/>
            <family val="2"/>
          </rPr>
          <t xml:space="preserve">Tipo de Produccón: Productor Primario
Estado: En Reserva
*  Field: PALOMETAS NW
*  Well: PNW-1
*  Completion: PNW-01:X
</t>
        </r>
      </text>
    </comment>
    <comment ref="C21" authorId="0" shapeId="0" xr:uid="{00000000-0006-0000-0800-000002000000}">
      <text>
        <r>
          <rPr>
            <sz val="9"/>
            <color indexed="81"/>
            <rFont val="Tahoma"/>
            <family val="2"/>
          </rPr>
          <t xml:space="preserve">Tipo de Produccón: Productor Primario
Estado: Activo
*  Field: PALOMETAS NW
*  Well: PNW-1
*  Completion: PNW-01:Xay
</t>
        </r>
      </text>
    </comment>
    <comment ref="C22" authorId="0" shapeId="0" xr:uid="{00000000-0006-0000-0800-000003000000}">
      <text>
        <r>
          <rPr>
            <sz val="9"/>
            <color indexed="81"/>
            <rFont val="Tahoma"/>
            <family val="2"/>
          </rPr>
          <t xml:space="preserve">Tipo de Produccón: Productor Primario
Estado: Ahogado
*  Field: PALOMETAS NW
*  Well: PNW-1
*  Completion: PNW-01:Xpr
</t>
        </r>
      </text>
    </comment>
    <comment ref="C23" authorId="0" shapeId="0" xr:uid="{00000000-0006-0000-0800-000004000000}">
      <text>
        <r>
          <rPr>
            <sz val="9"/>
            <color indexed="81"/>
            <rFont val="Tahoma"/>
            <family val="2"/>
          </rPr>
          <t xml:space="preserve">Tipo de Produccón: Productor Primario
Estado: Cerrado por invasión de agua
*  Field: PALOMETAS NW
*  Well: PNW-1
*  Completion: PNW-01:Xsa
</t>
        </r>
      </text>
    </comment>
    <comment ref="C24" authorId="0" shapeId="0" xr:uid="{00000000-0006-0000-0800-000005000000}">
      <text>
        <r>
          <rPr>
            <sz val="9"/>
            <color indexed="81"/>
            <rFont val="Tahoma"/>
            <family val="2"/>
          </rPr>
          <t xml:space="preserve">Tipo de Produccón: Productor Primario
Estado: Activo
*  Field: PALOMETAS NW
*  Well: PNW-2
*  Completion: PNW-02:X
</t>
        </r>
      </text>
    </comment>
    <comment ref="C25" authorId="0" shapeId="0" xr:uid="{00000000-0006-0000-0800-000006000000}">
      <text>
        <r>
          <rPr>
            <sz val="9"/>
            <color indexed="81"/>
            <rFont val="Tahoma"/>
            <family val="2"/>
          </rPr>
          <t xml:space="preserve">Tipo de Produccón: Productor Primario
Estado: Activo
*  Field: PALOMETAS NW
*  Well: PNW-3
*  Completion: PNW-03:Xay
</t>
        </r>
      </text>
    </comment>
    <comment ref="C26" authorId="0" shapeId="0" xr:uid="{00000000-0006-0000-0800-000007000000}">
      <text>
        <r>
          <rPr>
            <sz val="9"/>
            <color indexed="81"/>
            <rFont val="Tahoma"/>
            <family val="2"/>
          </rPr>
          <t xml:space="preserve">Tipo de Produccón: Productor Primario
Estado: Activo
*  Field: PALOMETAS NW
*  Well: PNW-4
*  Completion: PNW-04:Day
</t>
        </r>
      </text>
    </comment>
    <comment ref="C27" authorId="0" shapeId="0" xr:uid="{00000000-0006-0000-0800-000008000000}">
      <text>
        <r>
          <rPr>
            <sz val="9"/>
            <color indexed="81"/>
            <rFont val="Tahoma"/>
            <family val="2"/>
          </rPr>
          <t xml:space="preserve">Tipo de Produccón: Productor Primario
Estado: En Estudio
*  Field: PALOMETAS NW
*  Well: PNW-4
*  Completion: PNW-04:Dpr
</t>
        </r>
      </text>
    </comment>
    <comment ref="C28" authorId="0" shapeId="0" xr:uid="{00000000-0006-0000-0800-000009000000}">
      <text>
        <r>
          <rPr>
            <sz val="9"/>
            <color indexed="81"/>
            <rFont val="Tahoma"/>
            <family val="2"/>
          </rPr>
          <t xml:space="preserve">Tipo de Produccón: Productor Primario Gas
Estado: Cerrado Temporal
*  Field: PALOMETAS NW
*  Well: PNW-5
*  Completion: PNW-5D:ar1
</t>
        </r>
      </text>
    </comment>
    <comment ref="C29" authorId="0" shapeId="0" xr:uid="{00000000-0006-0000-0800-00000A000000}">
      <text>
        <r>
          <rPr>
            <sz val="9"/>
            <color indexed="81"/>
            <rFont val="Tahoma"/>
            <family val="2"/>
          </rPr>
          <t xml:space="preserve">Tipo de Produccón: Productor Primario Gas
Estado: Cerrado
*  Field: PALOMETAS NW
*  Well: PNW-5
*  Completion: PNW-5D:ar2
</t>
        </r>
      </text>
    </comment>
    <comment ref="C30" authorId="0" shapeId="0" xr:uid="{00000000-0006-0000-0800-00000B000000}">
      <text>
        <r>
          <rPr>
            <sz val="9"/>
            <color indexed="81"/>
            <rFont val="Tahoma"/>
            <family val="2"/>
          </rPr>
          <t xml:space="preserve">Tipo de Produccón: Productor Primario
Estado: En Estudio
*  Field: PALOMETAS NW
*  Well: PNW-5
*  Completion: PNW-5D:Caya
</t>
        </r>
      </text>
    </comment>
    <comment ref="C31" authorId="0" shapeId="0" xr:uid="{00000000-0006-0000-0800-00000C000000}">
      <text>
        <r>
          <rPr>
            <sz val="9"/>
            <color indexed="81"/>
            <rFont val="Tahoma"/>
            <family val="2"/>
          </rPr>
          <t xml:space="preserve">Tipo de Produccón: Productor Primario
Estado: Ahogado
*  Field: PALOMETAS NW
*  Well: PNW-5
*  Completion: PNW-5D:Lpry
</t>
        </r>
      </text>
    </comment>
    <comment ref="C32" authorId="0" shapeId="0" xr:uid="{00000000-0006-0000-0800-00000D000000}">
      <text>
        <r>
          <rPr>
            <sz val="9"/>
            <color indexed="81"/>
            <rFont val="Tahoma"/>
            <family val="2"/>
          </rPr>
          <t xml:space="preserve">Tipo de Produccón: Productor Primario Gas
Estado: Activo
*  Field: PALOMETAS NW
*  Well: PNW-6
*  Completion: PNW-6D:Day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Franco</author>
  </authors>
  <commentList>
    <comment ref="O6" authorId="0" shapeId="0" xr:uid="{A024A988-78DB-439A-B0CF-AF9BBD5AB7F6}">
      <text>
        <r>
          <rPr>
            <b/>
            <sz val="9"/>
            <color indexed="81"/>
            <rFont val="Tahoma"/>
            <family val="2"/>
          </rPr>
          <t>Franco:</t>
        </r>
        <r>
          <rPr>
            <sz val="9"/>
            <color indexed="81"/>
            <rFont val="Tahoma"/>
            <family val="2"/>
          </rPr>
          <t xml:space="preserve">
1. Units are imported from PROSPER model.
2. Displacement and Angle is calculated by VBA script. They do not have Openserver string to import.</t>
        </r>
      </text>
    </comment>
    <comment ref="B7" authorId="0" shapeId="0" xr:uid="{5C505D45-C5B1-4901-B1AC-9FE612A48F55}">
      <text>
        <r>
          <rPr>
            <b/>
            <sz val="9"/>
            <color indexed="81"/>
            <rFont val="Tahoma"/>
            <family val="2"/>
          </rPr>
          <t>Franco:</t>
        </r>
        <r>
          <rPr>
            <sz val="9"/>
            <color indexed="81"/>
            <rFont val="Tahoma"/>
            <family val="2"/>
          </rPr>
          <t xml:space="preserve">
Click cell to import Fields list from SQL server DB</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Franco</author>
  </authors>
  <commentList>
    <comment ref="E4" authorId="0" shapeId="0" xr:uid="{00000000-0006-0000-0D00-000001000000}">
      <text>
        <r>
          <rPr>
            <b/>
            <sz val="9"/>
            <color indexed="81"/>
            <rFont val="Tahoma"/>
            <family val="2"/>
          </rPr>
          <t>Franco:</t>
        </r>
        <r>
          <rPr>
            <sz val="9"/>
            <color indexed="81"/>
            <rFont val="Tahoma"/>
            <family val="2"/>
          </rPr>
          <t xml:space="preserve">
Change index and export to update value on PROSPER
TVD: Index = 0
MD: Index = 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Franco</author>
  </authors>
  <commentList>
    <comment ref="B9" authorId="0" shapeId="0" xr:uid="{00000000-0006-0000-0F00-000001000000}">
      <text>
        <r>
          <rPr>
            <b/>
            <sz val="9"/>
            <color indexed="81"/>
            <rFont val="Tahoma"/>
            <family val="2"/>
          </rPr>
          <t>Franco:</t>
        </r>
        <r>
          <rPr>
            <sz val="9"/>
            <color indexed="81"/>
            <rFont val="Tahoma"/>
            <family val="2"/>
          </rPr>
          <t xml:space="preserve">
Method: Brill 
Index: 0
Method: RCS Mechanistic 
Index: 1
Method: Petroleum Experts 
Index: 2</t>
        </r>
      </text>
    </comment>
    <comment ref="H12" authorId="0" shapeId="0" xr:uid="{00000000-0006-0000-0F00-000002000000}">
      <text>
        <r>
          <rPr>
            <b/>
            <sz val="9"/>
            <color indexed="81"/>
            <rFont val="Tahoma"/>
            <family val="2"/>
          </rPr>
          <t>Franco:</t>
        </r>
        <r>
          <rPr>
            <sz val="9"/>
            <color indexed="81"/>
            <rFont val="Tahoma"/>
            <family val="2"/>
          </rPr>
          <t xml:space="preserve">
Select cell to 
Select = 1
Deselect = 0
PROSPER correlation will be updated.</t>
        </r>
      </text>
    </comment>
    <comment ref="I12" authorId="0" shapeId="0" xr:uid="{00000000-0006-0000-0F00-000003000000}">
      <text>
        <r>
          <rPr>
            <b/>
            <sz val="9"/>
            <color indexed="81"/>
            <rFont val="Tahoma"/>
            <family val="2"/>
          </rPr>
          <t>Franco:</t>
        </r>
        <r>
          <rPr>
            <sz val="9"/>
            <color indexed="81"/>
            <rFont val="Tahoma"/>
            <family val="2"/>
          </rPr>
          <t xml:space="preserve">
Select Cell to update chart and enable or disable selected correlation.</t>
        </r>
      </text>
    </comment>
  </commentList>
</comments>
</file>

<file path=xl/sharedStrings.xml><?xml version="1.0" encoding="utf-8"?>
<sst xmlns="http://schemas.openxmlformats.org/spreadsheetml/2006/main" count="1913" uniqueCount="706">
  <si>
    <t>m</t>
  </si>
  <si>
    <t>MD</t>
  </si>
  <si>
    <t>TVD</t>
  </si>
  <si>
    <t>Displacement</t>
  </si>
  <si>
    <t>Angle</t>
  </si>
  <si>
    <t>Degrees</t>
  </si>
  <si>
    <t>Cumulative</t>
  </si>
  <si>
    <t>Downhole Equipment - PROSPER Table Format</t>
  </si>
  <si>
    <t>Index</t>
  </si>
  <si>
    <t>Label</t>
  </si>
  <si>
    <t>Type</t>
  </si>
  <si>
    <t>Tubing ID</t>
  </si>
  <si>
    <t>Tubing OD</t>
  </si>
  <si>
    <t>Casing ID</t>
  </si>
  <si>
    <t>Rate</t>
  </si>
  <si>
    <t>Tubing</t>
  </si>
  <si>
    <t>ID</t>
  </si>
  <si>
    <t>Measured</t>
  </si>
  <si>
    <t>Depth</t>
  </si>
  <si>
    <t>Roughness</t>
  </si>
  <si>
    <t>OD</t>
  </si>
  <si>
    <t>Casing</t>
  </si>
  <si>
    <t>Multiplier</t>
  </si>
  <si>
    <t>WellHead</t>
  </si>
  <si>
    <t>inches</t>
  </si>
  <si>
    <t>Surface Equipment</t>
  </si>
  <si>
    <t>Pipe Length</t>
  </si>
  <si>
    <t>Coordinate System</t>
  </si>
  <si>
    <t>Choke Method</t>
  </si>
  <si>
    <t>Temp. of Surroundings</t>
  </si>
  <si>
    <t>Overall Heat Transfer Coefficient</t>
  </si>
  <si>
    <t>deg F</t>
  </si>
  <si>
    <t>BTU/h/ft2/F</t>
  </si>
  <si>
    <t>Manifold</t>
  </si>
  <si>
    <t>Choke</t>
  </si>
  <si>
    <t>TVD, Length</t>
  </si>
  <si>
    <t>Surface Equipment (Status)</t>
  </si>
  <si>
    <t>Enabled</t>
  </si>
  <si>
    <t>Formation</t>
  </si>
  <si>
    <t>Temperature</t>
  </si>
  <si>
    <t>Heat Transfer Coefficient:</t>
  </si>
  <si>
    <t>Depth Reference:</t>
  </si>
  <si>
    <t>Date</t>
  </si>
  <si>
    <t>Comment</t>
  </si>
  <si>
    <t>psi</t>
  </si>
  <si>
    <t>Head Pressure</t>
  </si>
  <si>
    <t>WHP</t>
  </si>
  <si>
    <t>Head</t>
  </si>
  <si>
    <t>Water-Gas</t>
  </si>
  <si>
    <t>Ratio</t>
  </si>
  <si>
    <t>WGR</t>
  </si>
  <si>
    <t>Condensate-Gas</t>
  </si>
  <si>
    <t>CGR</t>
  </si>
  <si>
    <t>Gas</t>
  </si>
  <si>
    <t>Qg</t>
  </si>
  <si>
    <t>Gauge</t>
  </si>
  <si>
    <t xml:space="preserve">Gauge </t>
  </si>
  <si>
    <t>Pressure</t>
  </si>
  <si>
    <t>Reservoir</t>
  </si>
  <si>
    <t>Pr</t>
  </si>
  <si>
    <t>MMscfd</t>
  </si>
  <si>
    <t>a</t>
  </si>
  <si>
    <t>b</t>
  </si>
  <si>
    <t>c</t>
  </si>
  <si>
    <t>Fluid Properties - Input Parameters</t>
  </si>
  <si>
    <t>:</t>
  </si>
  <si>
    <t>psig</t>
  </si>
  <si>
    <t>sp. gravity</t>
  </si>
  <si>
    <t>API</t>
  </si>
  <si>
    <t>Water Salinity</t>
  </si>
  <si>
    <t>ppm</t>
  </si>
  <si>
    <t>Reservoir Temperature</t>
  </si>
  <si>
    <t>Reservoir Pressure</t>
  </si>
  <si>
    <t>N2</t>
  </si>
  <si>
    <t>Api</t>
  </si>
  <si>
    <t>Watsal</t>
  </si>
  <si>
    <t>percent</t>
  </si>
  <si>
    <t>H2s</t>
  </si>
  <si>
    <t>Co2</t>
  </si>
  <si>
    <t>Variable</t>
  </si>
  <si>
    <t>Value</t>
  </si>
  <si>
    <t>Unit</t>
  </si>
  <si>
    <t>OS</t>
  </si>
  <si>
    <t>Z Factor</t>
  </si>
  <si>
    <t>Viscosity</t>
  </si>
  <si>
    <t>FVF</t>
  </si>
  <si>
    <t>OS Index:</t>
  </si>
  <si>
    <t>centipoise</t>
  </si>
  <si>
    <t>ft3/scf</t>
  </si>
  <si>
    <t xml:space="preserve">Temp.: </t>
  </si>
  <si>
    <t>No. of Tables</t>
  </si>
  <si>
    <t>Match Parameters</t>
  </si>
  <si>
    <t>Gas FVF</t>
  </si>
  <si>
    <t>Parameter 1</t>
  </si>
  <si>
    <t>Parameter 2</t>
  </si>
  <si>
    <t>Gas Density</t>
  </si>
  <si>
    <t>Gas Viscosity</t>
  </si>
  <si>
    <t>Water Density</t>
  </si>
  <si>
    <t>Water Viscosity</t>
  </si>
  <si>
    <t>Water FVF</t>
  </si>
  <si>
    <t>Water Compressibility</t>
  </si>
  <si>
    <t>Pseudo Pressure</t>
  </si>
  <si>
    <t>Liquid/Gas IFT</t>
  </si>
  <si>
    <t>Water/Gas IFT</t>
  </si>
  <si>
    <t>Oil/Water IFT</t>
  </si>
  <si>
    <t>lb/ft3</t>
  </si>
  <si>
    <t>RB/STB</t>
  </si>
  <si>
    <t>1/psi</t>
  </si>
  <si>
    <t>Reservoir Model</t>
  </si>
  <si>
    <t>IPR Method [Index]</t>
  </si>
  <si>
    <t>IPR Method [Model]</t>
  </si>
  <si>
    <t>Mechanical/Geometrical Skin</t>
  </si>
  <si>
    <t>Model</t>
  </si>
  <si>
    <t>Reservoir Data</t>
  </si>
  <si>
    <t>Absolute Open Flow [AOF]</t>
  </si>
  <si>
    <t>AOF</t>
  </si>
  <si>
    <t>IPR - Reservoir Model Input Data</t>
  </si>
  <si>
    <t>IPR Curve Data</t>
  </si>
  <si>
    <t>MMscf/day</t>
  </si>
  <si>
    <t>ft/sec</t>
  </si>
  <si>
    <t>psi2/(Mscf/day)2</t>
  </si>
  <si>
    <t>psi2/(Mscf/day)</t>
  </si>
  <si>
    <t>Temp</t>
  </si>
  <si>
    <t>Skin</t>
  </si>
  <si>
    <t>Total</t>
  </si>
  <si>
    <t>dP</t>
  </si>
  <si>
    <t>Completion</t>
  </si>
  <si>
    <t>San Control</t>
  </si>
  <si>
    <t>Perforations</t>
  </si>
  <si>
    <t>Penetration</t>
  </si>
  <si>
    <t>Perforation</t>
  </si>
  <si>
    <t>Damage</t>
  </si>
  <si>
    <t>Deviation</t>
  </si>
  <si>
    <t>Velocity</t>
  </si>
  <si>
    <t>@ Casing (Vc)</t>
  </si>
  <si>
    <t>Gravel</t>
  </si>
  <si>
    <t>Non-Darcy (A)</t>
  </si>
  <si>
    <t>Darcy (B)</t>
  </si>
  <si>
    <t>Non Darcy</t>
  </si>
  <si>
    <t>Coefficient</t>
  </si>
  <si>
    <t>Darcy</t>
  </si>
  <si>
    <t>Oil/Gas IFT</t>
  </si>
  <si>
    <t>Standard Dev.</t>
  </si>
  <si>
    <t>From</t>
  </si>
  <si>
    <t>To</t>
  </si>
  <si>
    <t>No of Steps</t>
  </si>
  <si>
    <t>Range to Calculate PVT data</t>
  </si>
  <si>
    <t>Xmas Tree</t>
  </si>
  <si>
    <t>Bottom</t>
  </si>
  <si>
    <t>Hole</t>
  </si>
  <si>
    <t>Flowing</t>
  </si>
  <si>
    <t>Sand</t>
  </si>
  <si>
    <t>Control</t>
  </si>
  <si>
    <t>Match Data (Production Test Data)</t>
  </si>
  <si>
    <t xml:space="preserve">U </t>
  </si>
  <si>
    <t>Pipeline</t>
  </si>
  <si>
    <t>Corr</t>
  </si>
  <si>
    <t>Barnea</t>
  </si>
  <si>
    <t>Criteria</t>
  </si>
  <si>
    <t>Slug</t>
  </si>
  <si>
    <t>Method</t>
  </si>
  <si>
    <t>Input Data</t>
  </si>
  <si>
    <t>STB</t>
  </si>
  <si>
    <t>Gas Rate</t>
  </si>
  <si>
    <t>Barnea Criteria</t>
  </si>
  <si>
    <t>Slug Method</t>
  </si>
  <si>
    <t>Point</t>
  </si>
  <si>
    <t>yes</t>
  </si>
  <si>
    <t>Brill</t>
  </si>
  <si>
    <t>RCS Mechanistic</t>
  </si>
  <si>
    <t>Petroleum Experts 5</t>
  </si>
  <si>
    <t>Name</t>
  </si>
  <si>
    <t>Duns and Ross Modified</t>
  </si>
  <si>
    <t>Hagedorn and Brown</t>
  </si>
  <si>
    <t>Gray</t>
  </si>
  <si>
    <t>Mukerjee Brill</t>
  </si>
  <si>
    <t>Beggs and Brill</t>
  </si>
  <si>
    <t>Status</t>
  </si>
  <si>
    <t>Petroleum Experts</t>
  </si>
  <si>
    <t>Orkiszewski</t>
  </si>
  <si>
    <t>Petroleum Experts 2</t>
  </si>
  <si>
    <t>Duns and Ros Original</t>
  </si>
  <si>
    <t>Petroleum Experts 3</t>
  </si>
  <si>
    <t>GRE (modified by PE)</t>
  </si>
  <si>
    <t>Petroleum Experts 4</t>
  </si>
  <si>
    <t>Hydro-3P</t>
  </si>
  <si>
    <t>Hydro-2P</t>
  </si>
  <si>
    <t>Petroleum Experts 2 (modified)</t>
  </si>
  <si>
    <t>ºF</t>
  </si>
  <si>
    <t>Gradient</t>
  </si>
  <si>
    <t>psi/ft</t>
  </si>
  <si>
    <t>Holdup</t>
  </si>
  <si>
    <t>Regime</t>
  </si>
  <si>
    <t>Plot</t>
  </si>
  <si>
    <t>Correlations</t>
  </si>
  <si>
    <t>Black Oil</t>
  </si>
  <si>
    <t>Fluid</t>
  </si>
  <si>
    <t>Separator</t>
  </si>
  <si>
    <t>File Name</t>
  </si>
  <si>
    <t>File Location</t>
  </si>
  <si>
    <t>WELL</t>
  </si>
  <si>
    <t>FLUID DESCRIPTION</t>
  </si>
  <si>
    <t>Flow Type</t>
  </si>
  <si>
    <t>Well Type</t>
  </si>
  <si>
    <t>ARTIFICIAL LIFT</t>
  </si>
  <si>
    <t>USER INFORMATION</t>
  </si>
  <si>
    <t>Company</t>
  </si>
  <si>
    <t>Field</t>
  </si>
  <si>
    <t>Location</t>
  </si>
  <si>
    <t>Well</t>
  </si>
  <si>
    <t>Platform</t>
  </si>
  <si>
    <t>Analyst</t>
  </si>
  <si>
    <t>CALCULATION TYPE</t>
  </si>
  <si>
    <t>BRINE MODELLING</t>
  </si>
  <si>
    <t>Predict</t>
  </si>
  <si>
    <t>Range</t>
  </si>
  <si>
    <t>Brine Properties Corr</t>
  </si>
  <si>
    <t>WELL COMPLETION</t>
  </si>
  <si>
    <t>Sand Control</t>
  </si>
  <si>
    <t>RESERVOIR</t>
  </si>
  <si>
    <t>Inflow Type</t>
  </si>
  <si>
    <t>COMMENTS</t>
  </si>
  <si>
    <t>PVT Warnings</t>
  </si>
  <si>
    <t>PROSPER MODEL SUMMARY</t>
  </si>
  <si>
    <t>Fluid Type</t>
  </si>
  <si>
    <t>Bubble Point</t>
  </si>
  <si>
    <t>GOR</t>
  </si>
  <si>
    <t>Oil FVF</t>
  </si>
  <si>
    <t>Oil Viscosity</t>
  </si>
  <si>
    <t>Dew Point</t>
  </si>
  <si>
    <t>Res. CGR</t>
  </si>
  <si>
    <t>Gas Vis</t>
  </si>
  <si>
    <t>PVT Match Tables (Lab Data)</t>
  </si>
  <si>
    <t>Table:</t>
  </si>
  <si>
    <t>Reservoir Permeability</t>
  </si>
  <si>
    <t>Reservoir Thickness</t>
  </si>
  <si>
    <t>Drainage Area</t>
  </si>
  <si>
    <t>Dietz Shape Factor</t>
  </si>
  <si>
    <t>Wellbore Radius</t>
  </si>
  <si>
    <t>Perforation Interval</t>
  </si>
  <si>
    <t>Mechanical SKIN</t>
  </si>
  <si>
    <t>Test Data</t>
  </si>
  <si>
    <t>FBHP</t>
  </si>
  <si>
    <t>Top Node Pressure</t>
  </si>
  <si>
    <t>Solution Node</t>
  </si>
  <si>
    <t>Rate Method</t>
  </si>
  <si>
    <t>Left-Hand Intersection</t>
  </si>
  <si>
    <t>PE5 Stability Flag</t>
  </si>
  <si>
    <t>Pres</t>
  </si>
  <si>
    <t>Hydro2P</t>
  </si>
  <si>
    <t>PipeLabel</t>
  </si>
  <si>
    <t>PetroleumExperts2</t>
  </si>
  <si>
    <t>TubingLabel</t>
  </si>
  <si>
    <t>Vertical Lift Correlation</t>
  </si>
  <si>
    <t>SolutionNode</t>
  </si>
  <si>
    <t>RateMethod</t>
  </si>
  <si>
    <t>ILHAND</t>
  </si>
  <si>
    <t>PE5STM</t>
  </si>
  <si>
    <t>Surface Equipment Correlation</t>
  </si>
  <si>
    <t>Correction Parameter A</t>
  </si>
  <si>
    <t>Correction Parameter B</t>
  </si>
  <si>
    <t>Standard Deviation</t>
  </si>
  <si>
    <t>Bottom Node</t>
  </si>
  <si>
    <t>Automatic - Geometric</t>
  </si>
  <si>
    <t>Unit/Index</t>
  </si>
  <si>
    <t>Sensitivity Cases</t>
  </si>
  <si>
    <t>Sensitivity Variables</t>
  </si>
  <si>
    <t>Variable Name</t>
  </si>
  <si>
    <t xml:space="preserve"> --------------------------------------------------------------</t>
  </si>
  <si>
    <t>Water Gas Ratio</t>
  </si>
  <si>
    <t>Condensate Gas Ratio</t>
  </si>
  <si>
    <t>Water Cut</t>
  </si>
  <si>
    <t>Water Oil Ratio</t>
  </si>
  <si>
    <t>Tubing Roughness</t>
  </si>
  <si>
    <t>Pipe Roughness</t>
  </si>
  <si>
    <t>Downhole Heat Transfer Coefficient</t>
  </si>
  <si>
    <t>Surface Heat Transfer Coefficient</t>
  </si>
  <si>
    <t>Choke Size</t>
  </si>
  <si>
    <t>Tubing/Pipe Diameter</t>
  </si>
  <si>
    <t>Downhole Equipment</t>
  </si>
  <si>
    <t>Use      DoSet PROSPER.ANL.SYS.Sens.SensDB.Clear      to reset ALL sensitivity variable Information</t>
  </si>
  <si>
    <t>You can also use the following syntax to reference the correlation by label</t>
  </si>
  <si>
    <t xml:space="preserve">  PROSPER.ANL.SYS.TubingLabel</t>
  </si>
  <si>
    <t>Use the following list to select the correlation by name</t>
  </si>
  <si>
    <t>DunsandRosModified</t>
  </si>
  <si>
    <t>HagedornBrown</t>
  </si>
  <si>
    <t>FancherBrown</t>
  </si>
  <si>
    <t>MukerjeeBrill</t>
  </si>
  <si>
    <t>BeggsandBrill</t>
  </si>
  <si>
    <t>PetroleumExperts</t>
  </si>
  <si>
    <t>DunsandRosOriginal</t>
  </si>
  <si>
    <t>PetroleumExperts3</t>
  </si>
  <si>
    <t>GREmodifiedbyPE</t>
  </si>
  <si>
    <t>PetroleumExperts4</t>
  </si>
  <si>
    <t>Hydro3P</t>
  </si>
  <si>
    <t>PetroleumExperts5</t>
  </si>
  <si>
    <t>OLGAS2P</t>
  </si>
  <si>
    <t>OLGAS3P</t>
  </si>
  <si>
    <t>OLGAS3PEXT</t>
  </si>
  <si>
    <t>LedaFlow2P</t>
  </si>
  <si>
    <t>LedaFlow3P</t>
  </si>
  <si>
    <t>Use the following list to select the appropriate Correlation Label</t>
  </si>
  <si>
    <t>DuklerFlannigan</t>
  </si>
  <si>
    <t>DuklerEatonFlannigan</t>
  </si>
  <si>
    <t>BeggsandBrillGasHead</t>
  </si>
  <si>
    <t>GREwithDSM</t>
  </si>
  <si>
    <t>GREoriginal</t>
  </si>
  <si>
    <t>GREwithAE</t>
  </si>
  <si>
    <t>PE5Extended</t>
  </si>
  <si>
    <t>Select Variable</t>
  </si>
  <si>
    <t>Automatic - Linear</t>
  </si>
  <si>
    <t>User Selected</t>
  </si>
  <si>
    <t>Rate Method = User Selected</t>
  </si>
  <si>
    <t>VLP</t>
  </si>
  <si>
    <t>VLP 0</t>
  </si>
  <si>
    <t>IPR 0</t>
  </si>
  <si>
    <t>VLP 1</t>
  </si>
  <si>
    <t>IPR 1</t>
  </si>
  <si>
    <t>VLP 2</t>
  </si>
  <si>
    <t>IPR 2</t>
  </si>
  <si>
    <t>VLP 3</t>
  </si>
  <si>
    <t>IPR 3</t>
  </si>
  <si>
    <t>IPR</t>
  </si>
  <si>
    <t>View IPR</t>
  </si>
  <si>
    <t>Oil Rate</t>
  </si>
  <si>
    <t>Water Rate</t>
  </si>
  <si>
    <t>BHA</t>
  </si>
  <si>
    <t>First Node Pressure</t>
  </si>
  <si>
    <t>dP Friction</t>
  </si>
  <si>
    <t>dP Gravity</t>
  </si>
  <si>
    <t>dP Total Skin</t>
  </si>
  <si>
    <t>dP Perforation</t>
  </si>
  <si>
    <t>dP Damage</t>
  </si>
  <si>
    <t>dP Completion</t>
  </si>
  <si>
    <t>Completion Skin</t>
  </si>
  <si>
    <t>Total Skin</t>
  </si>
  <si>
    <t>View Solutions</t>
  </si>
  <si>
    <t>SOL 0</t>
  </si>
  <si>
    <t>SOL 1</t>
  </si>
  <si>
    <t>SOL 2</t>
  </si>
  <si>
    <t>SOL 3</t>
  </si>
  <si>
    <t>Restriction</t>
  </si>
  <si>
    <t>Restriction (Downhole Equip)</t>
  </si>
  <si>
    <t>Restriction ID</t>
  </si>
  <si>
    <t>Case 0</t>
  </si>
  <si>
    <t>Case 1</t>
  </si>
  <si>
    <t>Case 2</t>
  </si>
  <si>
    <t>Case 3</t>
  </si>
  <si>
    <t>Case 4</t>
  </si>
  <si>
    <t>Case 5</t>
  </si>
  <si>
    <t>Case 6</t>
  </si>
  <si>
    <t>Case 7</t>
  </si>
  <si>
    <t>Case 8</t>
  </si>
  <si>
    <t>Case 9</t>
  </si>
  <si>
    <t>Gas Rate 0</t>
  </si>
  <si>
    <t>Gas Rate 1</t>
  </si>
  <si>
    <t>STB/day</t>
  </si>
  <si>
    <t>Gas Rate 2</t>
  </si>
  <si>
    <t>How to</t>
  </si>
  <si>
    <t>64ths inch</t>
  </si>
  <si>
    <t>Solutions</t>
  </si>
  <si>
    <t>Downhole</t>
  </si>
  <si>
    <t>Equipment</t>
  </si>
  <si>
    <t>500 piezas</t>
  </si>
  <si>
    <t>10 piezas</t>
  </si>
  <si>
    <t>6 piezas</t>
  </si>
  <si>
    <t>test</t>
  </si>
  <si>
    <t>Tabla 1. Estimación de quema de gas y producción de condensado para periodo de Etapa de limpieza Icla BB.</t>
  </si>
  <si>
    <t>Time</t>
  </si>
  <si>
    <t>Total Gas</t>
  </si>
  <si>
    <t>Description</t>
  </si>
  <si>
    <t>Condensado</t>
  </si>
  <si>
    <t>Descripción</t>
  </si>
  <si>
    <t xml:space="preserve">Volumen total de gas para quema: </t>
  </si>
  <si>
    <t xml:space="preserve">Volumen total de condesado producido: </t>
  </si>
  <si>
    <t>hrs.</t>
  </si>
  <si>
    <t>Case</t>
  </si>
  <si>
    <t>Test Periods</t>
  </si>
  <si>
    <t>n/64</t>
  </si>
  <si>
    <t>MM scfd</t>
  </si>
  <si>
    <t>bpd</t>
  </si>
  <si>
    <t>MM scf</t>
  </si>
  <si>
    <t>bbl</t>
  </si>
  <si>
    <t xml:space="preserve">Resumen de cálculos para quema de gas y producción de condensado </t>
  </si>
  <si>
    <t>Friction</t>
  </si>
  <si>
    <t>Loss</t>
  </si>
  <si>
    <t>Gravity</t>
  </si>
  <si>
    <t>Slip</t>
  </si>
  <si>
    <t>Liquid</t>
  </si>
  <si>
    <t>Vertical</t>
  </si>
  <si>
    <t>True</t>
  </si>
  <si>
    <t>Superficial</t>
  </si>
  <si>
    <t>Water</t>
  </si>
  <si>
    <t>Turner</t>
  </si>
  <si>
    <t>Erosional</t>
  </si>
  <si>
    <t>C Factor</t>
  </si>
  <si>
    <t>Oil</t>
  </si>
  <si>
    <t>Density</t>
  </si>
  <si>
    <t>Mixture</t>
  </si>
  <si>
    <t>Gas-Liquid</t>
  </si>
  <si>
    <t>Interfacial</t>
  </si>
  <si>
    <t>Tension</t>
  </si>
  <si>
    <t>Gas-Water</t>
  </si>
  <si>
    <t>Gas-Oil</t>
  </si>
  <si>
    <t>Oil-Water</t>
  </si>
  <si>
    <t>MSD</t>
  </si>
  <si>
    <t>Grad</t>
  </si>
  <si>
    <t>PrFric</t>
  </si>
  <si>
    <t>PrStat</t>
  </si>
  <si>
    <t>Vlslip</t>
  </si>
  <si>
    <t>Vgslip</t>
  </si>
  <si>
    <t>Vlnslp</t>
  </si>
  <si>
    <t>Vgnslp</t>
  </si>
  <si>
    <t>Vwnslp</t>
  </si>
  <si>
    <t>VlTurn</t>
  </si>
  <si>
    <t>VlEros</t>
  </si>
  <si>
    <t>CFactr</t>
  </si>
  <si>
    <t>RhoOil</t>
  </si>
  <si>
    <t>RhoGas</t>
  </si>
  <si>
    <t>RhoWat</t>
  </si>
  <si>
    <t>RhoMix</t>
  </si>
  <si>
    <t>SigLiq</t>
  </si>
  <si>
    <t>SigWat</t>
  </si>
  <si>
    <t>SigOil</t>
  </si>
  <si>
    <t>SigOW</t>
  </si>
  <si>
    <t>CumLhl</t>
  </si>
  <si>
    <t>DHE Diff (6 piezas)</t>
  </si>
  <si>
    <t>Gas Rate 3</t>
  </si>
  <si>
    <t>Maximum X Axis, Gas Rate</t>
  </si>
  <si>
    <t>Maximum Y Axis, Pressure</t>
  </si>
  <si>
    <t>CheckBox</t>
  </si>
  <si>
    <t>PVT</t>
  </si>
  <si>
    <t>Inflow</t>
  </si>
  <si>
    <t>Analysis</t>
  </si>
  <si>
    <t>DisAllow</t>
  </si>
  <si>
    <t>Tubing Correlation</t>
  </si>
  <si>
    <t>C</t>
  </si>
  <si>
    <t>n</t>
  </si>
  <si>
    <t>ELF</t>
  </si>
  <si>
    <t>Measured Depth</t>
  </si>
  <si>
    <t>Limpieza</t>
  </si>
  <si>
    <t>Tabla 1. Estimación de quema de gas y producción de condensado para periodo de Limpieza.</t>
  </si>
  <si>
    <t>Duración</t>
  </si>
  <si>
    <t>Total Condensado</t>
  </si>
  <si>
    <t>Yes</t>
  </si>
  <si>
    <t>Tubing Flow</t>
  </si>
  <si>
    <t>Producer</t>
  </si>
  <si>
    <t>NO</t>
  </si>
  <si>
    <t>Rough Approximation</t>
  </si>
  <si>
    <t>Full System</t>
  </si>
  <si>
    <t>Default</t>
  </si>
  <si>
    <t>Cased Hole</t>
  </si>
  <si>
    <t>None</t>
  </si>
  <si>
    <t>Single Branch</t>
  </si>
  <si>
    <t>scf/STB</t>
  </si>
  <si>
    <t>md</t>
  </si>
  <si>
    <t>PROSPER version</t>
  </si>
  <si>
    <t>Compaction Perm Model</t>
  </si>
  <si>
    <t>Variable Solution</t>
  </si>
  <si>
    <t>Rate 0</t>
  </si>
  <si>
    <t>Rate 1</t>
  </si>
  <si>
    <t>Dry and Wet Gas</t>
  </si>
  <si>
    <t>Gas Oil Ratio</t>
  </si>
  <si>
    <t>Oil Density</t>
  </si>
  <si>
    <t>Oil Compressibility</t>
  </si>
  <si>
    <t>Rate 2</t>
  </si>
  <si>
    <t>Current Selection</t>
  </si>
  <si>
    <t>Heating</t>
  </si>
  <si>
    <t>Nitrogen</t>
  </si>
  <si>
    <t>Methane</t>
  </si>
  <si>
    <t>Ethane</t>
  </si>
  <si>
    <t>Propane</t>
  </si>
  <si>
    <t>PALOMETAS NW</t>
  </si>
  <si>
    <t>SG</t>
  </si>
  <si>
    <t>Temp.</t>
  </si>
  <si>
    <t>Brute HV</t>
  </si>
  <si>
    <t>Net HV</t>
  </si>
  <si>
    <r>
      <t>N</t>
    </r>
    <r>
      <rPr>
        <b/>
        <vertAlign val="subscript"/>
        <sz val="11"/>
        <color theme="1"/>
        <rFont val="Calibri"/>
        <family val="2"/>
        <scheme val="minor"/>
      </rPr>
      <t>2</t>
    </r>
  </si>
  <si>
    <r>
      <t>CO</t>
    </r>
    <r>
      <rPr>
        <b/>
        <vertAlign val="subscript"/>
        <sz val="11"/>
        <color theme="1"/>
        <rFont val="Calibri"/>
        <family val="2"/>
        <scheme val="minor"/>
      </rPr>
      <t>2</t>
    </r>
  </si>
  <si>
    <r>
      <t>C</t>
    </r>
    <r>
      <rPr>
        <b/>
        <vertAlign val="subscript"/>
        <sz val="11"/>
        <color theme="1"/>
        <rFont val="Calibri"/>
        <family val="2"/>
        <scheme val="minor"/>
      </rPr>
      <t>1</t>
    </r>
  </si>
  <si>
    <r>
      <t>C</t>
    </r>
    <r>
      <rPr>
        <b/>
        <vertAlign val="subscript"/>
        <sz val="11"/>
        <color theme="1"/>
        <rFont val="Calibri"/>
        <family val="2"/>
        <scheme val="minor"/>
      </rPr>
      <t>2</t>
    </r>
  </si>
  <si>
    <t>C3</t>
  </si>
  <si>
    <t>i_C4</t>
  </si>
  <si>
    <t>n_C4</t>
  </si>
  <si>
    <t>i_C5</t>
  </si>
  <si>
    <t>n_C5</t>
  </si>
  <si>
    <t>n_C6</t>
  </si>
  <si>
    <t>C7</t>
  </si>
  <si>
    <t>C8</t>
  </si>
  <si>
    <t>C9</t>
  </si>
  <si>
    <t>AGUARAGUE CENTRO</t>
  </si>
  <si>
    <t>PIRAY-SARA</t>
  </si>
  <si>
    <t>dd mmm yyyy</t>
  </si>
  <si>
    <t>Wet</t>
  </si>
  <si>
    <t>Dry</t>
  </si>
  <si>
    <t>Ideal</t>
  </si>
  <si>
    <t>wet</t>
  </si>
  <si>
    <t>dry</t>
  </si>
  <si>
    <t>%</t>
  </si>
  <si>
    <t>BULO BULO</t>
  </si>
  <si>
    <t>PNW-1</t>
  </si>
  <si>
    <t>CAIGUA</t>
  </si>
  <si>
    <t>PNW-01:X</t>
  </si>
  <si>
    <t>AVG</t>
  </si>
  <si>
    <t>CARRASCO</t>
  </si>
  <si>
    <t>CARRASCO ESTE</t>
  </si>
  <si>
    <t>Date Range to Import Data</t>
  </si>
  <si>
    <t>CARRASCO FW</t>
  </si>
  <si>
    <t>Start Date</t>
  </si>
  <si>
    <t>Day</t>
  </si>
  <si>
    <t>date</t>
  </si>
  <si>
    <t>Heating Value</t>
  </si>
  <si>
    <t>CO2</t>
  </si>
  <si>
    <t>C1</t>
  </si>
  <si>
    <t>C2</t>
  </si>
  <si>
    <t>CHURUMAS</t>
  </si>
  <si>
    <t>End Date</t>
  </si>
  <si>
    <t>mmm - yyyy</t>
  </si>
  <si>
    <t>COLORADO</t>
  </si>
  <si>
    <t>COLORADO SUR</t>
  </si>
  <si>
    <t>EL DORADO</t>
  </si>
  <si>
    <t>EL DORADO OESTE</t>
  </si>
  <si>
    <t>EL DORADO SUR</t>
  </si>
  <si>
    <t>HUMBERTO SUAREZ ROCA</t>
  </si>
  <si>
    <t>Select Field</t>
  </si>
  <si>
    <t>JUNIN</t>
  </si>
  <si>
    <t>JUNIN ESTE</t>
  </si>
  <si>
    <t>Active Wells</t>
  </si>
  <si>
    <t>KANATA</t>
  </si>
  <si>
    <t>Closed Wells</t>
  </si>
  <si>
    <t>KANATA NORTE</t>
  </si>
  <si>
    <t>LOS CUSIS</t>
  </si>
  <si>
    <t>AQUIO</t>
  </si>
  <si>
    <t>LOS MONOS</t>
  </si>
  <si>
    <t>BUENA VISTA</t>
  </si>
  <si>
    <t>PNW-01:Xay</t>
  </si>
  <si>
    <t>Ayacucho</t>
  </si>
  <si>
    <t>MONTECRISTO</t>
  </si>
  <si>
    <t>PNW-01:Xpr</t>
  </si>
  <si>
    <t>Piraí</t>
  </si>
  <si>
    <t>PNW-01:Xsa</t>
  </si>
  <si>
    <t>Sara</t>
  </si>
  <si>
    <t>PATUJUSAL</t>
  </si>
  <si>
    <t>CAMATINDI</t>
  </si>
  <si>
    <t>PNW-02:X</t>
  </si>
  <si>
    <t>PNW-2</t>
  </si>
  <si>
    <t>PATUJUSAL OESTE</t>
  </si>
  <si>
    <t>PNW-03:Xay</t>
  </si>
  <si>
    <t>PNW-3</t>
  </si>
  <si>
    <t>SAN IGNACIO</t>
  </si>
  <si>
    <t>PNW-04:Day</t>
  </si>
  <si>
    <t>PNW-4</t>
  </si>
  <si>
    <t>SAN ROQUE</t>
  </si>
  <si>
    <t>PNW-04:Dpr</t>
  </si>
  <si>
    <t>SANTA ROSA</t>
  </si>
  <si>
    <t>PNW-5D:ar1</t>
  </si>
  <si>
    <t>PNW-5</t>
  </si>
  <si>
    <t>Arenisca 1</t>
  </si>
  <si>
    <t>SANTA ROSA OESTE</t>
  </si>
  <si>
    <t>PNW-5D:ar2</t>
  </si>
  <si>
    <t>Arenisca 2</t>
  </si>
  <si>
    <t>VUELTA GRANDE</t>
  </si>
  <si>
    <t>PNW-5D:Caya</t>
  </si>
  <si>
    <t>PNW-5D:Lpry</t>
  </si>
  <si>
    <t>PNW-6D:Day</t>
  </si>
  <si>
    <t>PNW-6</t>
  </si>
  <si>
    <t>FLORIDA</t>
  </si>
  <si>
    <t>GCY</t>
  </si>
  <si>
    <t>INCAHUASI</t>
  </si>
  <si>
    <t>ITAU</t>
  </si>
  <si>
    <t>KATARI</t>
  </si>
  <si>
    <t>ÑUPUCO</t>
  </si>
  <si>
    <t>PERCHELES</t>
  </si>
  <si>
    <t>VIBORA</t>
  </si>
  <si>
    <t>VINTAGE</t>
  </si>
  <si>
    <t>YABOG</t>
  </si>
  <si>
    <t>Gas Flare</t>
  </si>
  <si>
    <t>Rate 3</t>
  </si>
  <si>
    <t>Liquid Rate</t>
  </si>
  <si>
    <t xml:space="preserve"> First Node Pressure</t>
  </si>
  <si>
    <t>Variable Sensitivity</t>
  </si>
  <si>
    <t>dp Total Skin</t>
  </si>
  <si>
    <t>Max X Axis</t>
  </si>
  <si>
    <t>Max Y Axis</t>
  </si>
  <si>
    <t>Case Case 0</t>
  </si>
  <si>
    <t>Case Case 1</t>
  </si>
  <si>
    <t>Case Case 2</t>
  </si>
  <si>
    <t>Case Case 3</t>
  </si>
  <si>
    <t>n/64in</t>
  </si>
  <si>
    <t>SOL 4</t>
  </si>
  <si>
    <t>Rate 4</t>
  </si>
  <si>
    <t>VLP 4</t>
  </si>
  <si>
    <t>IPR 4</t>
  </si>
  <si>
    <t>IPR 15</t>
  </si>
  <si>
    <t>Rate 16</t>
  </si>
  <si>
    <t>VLP 16</t>
  </si>
  <si>
    <t>IPR 16</t>
  </si>
  <si>
    <t>Rate 17</t>
  </si>
  <si>
    <t>VLP 17</t>
  </si>
  <si>
    <t>IPR 17</t>
  </si>
  <si>
    <t>Rate 18</t>
  </si>
  <si>
    <t>VLP 18</t>
  </si>
  <si>
    <t>IPR 18</t>
  </si>
  <si>
    <t>Rate 19</t>
  </si>
  <si>
    <t>VLP 19</t>
  </si>
  <si>
    <t>IPR 19</t>
  </si>
  <si>
    <t>Solutions (PROSPER Sensitivity)</t>
  </si>
  <si>
    <t>STB/MMscf</t>
  </si>
  <si>
    <t>Count</t>
  </si>
  <si>
    <t>Minimum</t>
  </si>
  <si>
    <t>Maximum</t>
  </si>
  <si>
    <t>TVDSS</t>
  </si>
  <si>
    <t>X</t>
  </si>
  <si>
    <t>Y</t>
  </si>
  <si>
    <t>#</t>
  </si>
  <si>
    <t>Fields</t>
  </si>
  <si>
    <t>Wells</t>
  </si>
  <si>
    <t xml:space="preserve">Depth </t>
  </si>
  <si>
    <t>PROSPER Survey Data</t>
  </si>
  <si>
    <t>Selection</t>
  </si>
  <si>
    <t>m2</t>
  </si>
  <si>
    <t>Disable Warning</t>
  </si>
  <si>
    <t>No Calculations</t>
  </si>
  <si>
    <t>Jones</t>
  </si>
  <si>
    <t>Enter Skin By Hand</t>
  </si>
  <si>
    <t>Get Fields List</t>
  </si>
  <si>
    <t>Energon</t>
  </si>
  <si>
    <t>ENG-3</t>
  </si>
  <si>
    <t>ENG-2</t>
  </si>
  <si>
    <t>ENG-1</t>
  </si>
  <si>
    <t>Joint Hanger</t>
  </si>
  <si>
    <t>1 Pieza de Tubing 3-1/2" 9.2# PJD Invertido (PxB)</t>
  </si>
  <si>
    <t>Double Pin Adapter 3 1/2" PJD (PxP)</t>
  </si>
  <si>
    <t>Pup Joints 3 1/2" PJD (BxP)</t>
  </si>
  <si>
    <t>7 Piezas de Tubing 3 1/2" PJD</t>
  </si>
  <si>
    <t>Crossover 3 1/2" PJD  x  3 1/2" K-FOX (BxP)</t>
  </si>
  <si>
    <t>Tubing Retrievable Safety Valve SP 2.562" 10K</t>
  </si>
  <si>
    <t>Crossover 3 1/2" K-FOX  x  3 1/2" PJD (BxP)</t>
  </si>
  <si>
    <t>412 Piezas de Tubing 3 1/2" PJD</t>
  </si>
  <si>
    <t>Camisa Durasleeve SSD RD 2.562 3 1/2" PJD</t>
  </si>
  <si>
    <t>1 Pieza de Tubing 3-1/2" 9.2# PJD (BxP)</t>
  </si>
  <si>
    <t>Landing Nipple RN 2.562"</t>
  </si>
  <si>
    <t>Tubing Hanger</t>
  </si>
  <si>
    <t>Vis (Lee et al)</t>
  </si>
  <si>
    <t>Vis (Carr et al)</t>
  </si>
  <si>
    <t>Water Gas Ratio, WGR</t>
  </si>
  <si>
    <t>Condensate Gas Ratio, CGR</t>
  </si>
  <si>
    <t>Reservoir Length</t>
  </si>
  <si>
    <t>Xe</t>
  </si>
  <si>
    <t>Reservoir Width</t>
  </si>
  <si>
    <t>Ye</t>
  </si>
  <si>
    <t>Xw</t>
  </si>
  <si>
    <t>Yw</t>
  </si>
  <si>
    <t>A</t>
  </si>
  <si>
    <r>
      <t>m</t>
    </r>
    <r>
      <rPr>
        <vertAlign val="superscript"/>
        <sz val="9"/>
        <color theme="1"/>
        <rFont val="Calibri"/>
        <family val="2"/>
        <scheme val="minor"/>
      </rPr>
      <t>2</t>
    </r>
  </si>
  <si>
    <r>
      <t>ft</t>
    </r>
    <r>
      <rPr>
        <vertAlign val="superscript"/>
        <sz val="9"/>
        <color theme="1"/>
        <rFont val="Calibri"/>
        <family val="2"/>
        <scheme val="minor"/>
      </rPr>
      <t>2</t>
    </r>
  </si>
  <si>
    <t>acres</t>
  </si>
  <si>
    <t>Permeability</t>
  </si>
  <si>
    <t>k</t>
  </si>
  <si>
    <t>mD</t>
  </si>
  <si>
    <t>h</t>
  </si>
  <si>
    <t>ft</t>
  </si>
  <si>
    <t>rw</t>
  </si>
  <si>
    <t>cp</t>
  </si>
  <si>
    <t>Factor-z</t>
  </si>
  <si>
    <t>z</t>
  </si>
  <si>
    <t>T</t>
  </si>
  <si>
    <t>R</t>
  </si>
  <si>
    <t>F</t>
  </si>
  <si>
    <t>S</t>
  </si>
  <si>
    <t>Coefficient C</t>
  </si>
  <si>
    <r>
      <t>Mscf/day/psi</t>
    </r>
    <r>
      <rPr>
        <vertAlign val="superscript"/>
        <sz val="9"/>
        <color theme="1"/>
        <rFont val="Calibri"/>
        <family val="2"/>
        <scheme val="minor"/>
      </rPr>
      <t>2</t>
    </r>
  </si>
  <si>
    <r>
      <t>MMscf/day/psi</t>
    </r>
    <r>
      <rPr>
        <vertAlign val="superscript"/>
        <sz val="9"/>
        <color theme="1"/>
        <rFont val="Calibri"/>
        <family val="2"/>
        <scheme val="minor"/>
      </rPr>
      <t>2</t>
    </r>
  </si>
  <si>
    <t>Exponent n</t>
  </si>
  <si>
    <t>Gas Rate (AOF)</t>
  </si>
  <si>
    <t>Mscfd</t>
  </si>
  <si>
    <t>Use Default Correlation</t>
  </si>
  <si>
    <t>OP Index</t>
  </si>
  <si>
    <t>Single-Stage Separator</t>
  </si>
  <si>
    <t>dyne/cm</t>
  </si>
  <si>
    <t>Pressure and Temperature (offshore)</t>
  </si>
  <si>
    <t>Grvgas</t>
  </si>
  <si>
    <t>Gas Gravity</t>
  </si>
  <si>
    <t>VLP/IPR Matching</t>
  </si>
  <si>
    <t>01 Ejemplo DRY-WET GAS ipm11 - VLP_Ipr Matching (20 dic 25).Out</t>
  </si>
  <si>
    <t>G:\FFSA Cursos-Conferencias\Petex - Curso GAP\01. Modelo PROSPER\06. Ejemplo Dry-Wet Gas\</t>
  </si>
  <si>
    <t>Water Vapour</t>
  </si>
  <si>
    <t>Psep</t>
  </si>
  <si>
    <t>Separator Pressure</t>
  </si>
  <si>
    <t>Cgr</t>
  </si>
  <si>
    <t>Condensate-Gas Ratio (CGR)</t>
  </si>
  <si>
    <t>Condensate Gravity (API)</t>
  </si>
  <si>
    <t>Wgr</t>
  </si>
  <si>
    <t>Water-Gas Ratio (WGR)</t>
  </si>
  <si>
    <t>H2S</t>
  </si>
  <si>
    <t>UGcorr</t>
  </si>
  <si>
    <t>Gas Viscosity Correlation</t>
  </si>
  <si>
    <t>Lee et al</t>
  </si>
  <si>
    <t>psi2/cp</t>
  </si>
  <si>
    <r>
      <t>C</t>
    </r>
    <r>
      <rPr>
        <b/>
        <vertAlign val="subscript"/>
        <sz val="12"/>
        <color theme="1"/>
        <rFont val="Calibri"/>
        <family val="2"/>
        <scheme val="minor"/>
      </rPr>
      <t>A</t>
    </r>
  </si>
  <si>
    <t>Lu, J. and Tiab, D., (2010), Pseudo-Steady-State Productivity Formula for a Partially Penetrating Vertical Well in a Box-Shaped Reservoir</t>
  </si>
  <si>
    <t>Well Location X</t>
  </si>
  <si>
    <t>Well Location Y</t>
  </si>
  <si>
    <r>
      <t>P</t>
    </r>
    <r>
      <rPr>
        <vertAlign val="subscript"/>
        <sz val="11"/>
        <color theme="1"/>
        <rFont val="Calibri"/>
        <family val="2"/>
        <scheme val="minor"/>
      </rPr>
      <t>r</t>
    </r>
  </si>
  <si>
    <r>
      <t>q</t>
    </r>
    <r>
      <rPr>
        <b/>
        <vertAlign val="subscript"/>
        <sz val="11"/>
        <color theme="1"/>
        <rFont val="Calibri"/>
        <family val="2"/>
        <scheme val="minor"/>
      </rPr>
      <t>g</t>
    </r>
  </si>
  <si>
    <t>feet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</si>
</sst>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8">
    <numFmt numFmtId="43" formatCode="_-* #,##0.00_-;\-* #,##0.00_-;_-* &quot;-&quot;??_-;_-@_-"/>
    <numFmt numFmtId="164" formatCode="0.000"/>
    <numFmt numFmtId="165" formatCode="0.00;\-0.0;0.00"/>
    <numFmt numFmtId="166" formatCode="0.0000"/>
    <numFmt numFmtId="167" formatCode="&quot;Index: &quot;General"/>
    <numFmt numFmtId="168" formatCode="&quot;Index: &quot;0"/>
    <numFmt numFmtId="169" formatCode="0;\-0.0;0"/>
    <numFmt numFmtId="170" formatCode="dd\-mmm\-yyyy"/>
    <numFmt numFmtId="171" formatCode="0.0;\-0.0;&quot;--&quot;"/>
    <numFmt numFmtId="172" formatCode="0.0000;\-0.000;0.00"/>
    <numFmt numFmtId="173" formatCode="0.00;\-0.00;0.00"/>
    <numFmt numFmtId="174" formatCode="0.0000000"/>
    <numFmt numFmtId="175" formatCode="0.0000;\-0.0;0.0"/>
    <numFmt numFmtId="176" formatCode="_-* #,##0.000_-;\-* #,##0.000_-;_-* &quot;-&quot;??_-;_-@_-"/>
    <numFmt numFmtId="177" formatCode="_-* #,##0.0_-;\-* #,##0.0_-;_-* &quot;-&quot;??_-;_-@_-"/>
    <numFmt numFmtId="178" formatCode="#,##0.0"/>
    <numFmt numFmtId="179" formatCode="#,##0.000"/>
    <numFmt numFmtId="180" formatCode="0.00;\-0.0;&quot;--&quot;"/>
    <numFmt numFmtId="181" formatCode="0.0"/>
    <numFmt numFmtId="182" formatCode="#,##0.00_ ;\-#,##0.00\ "/>
    <numFmt numFmtId="183" formatCode="dd\ mmm\ yy"/>
    <numFmt numFmtId="184" formatCode="dd\ mmm\ yyyy"/>
    <numFmt numFmtId="185" formatCode="&quot;Index = &quot;General"/>
    <numFmt numFmtId="186" formatCode="#,##0.000;\-0.000;&quot;--&quot;"/>
    <numFmt numFmtId="187" formatCode="#,##0.00;\-0.00;&quot;--&quot;"/>
    <numFmt numFmtId="188" formatCode="#,##0.0000;\-0.0000;&quot;--&quot;"/>
    <numFmt numFmtId="189" formatCode="0.000;\-0.0;&quot;--&quot;"/>
    <numFmt numFmtId="190" formatCode="0;\-0.0;&quot;--&quot;"/>
    <numFmt numFmtId="191" formatCode="mmm\ yyyy"/>
    <numFmt numFmtId="192" formatCode="mmm\ \-\ yyyy"/>
    <numFmt numFmtId="193" formatCode="_(* #,##0.00_);_(* \(#,##0.00\);_(* &quot;-&quot;??_);_(@_)"/>
    <numFmt numFmtId="194" formatCode="_(* #,##0.0_);_(* \(#,##0.0\);_(* &quot;-&quot;??_);_(@_)"/>
    <numFmt numFmtId="195" formatCode="0.00000"/>
    <numFmt numFmtId="196" formatCode="_(* #,##0_);_(* \(#,##0\);_(* &quot;-&quot;??_);_(@_)"/>
    <numFmt numFmtId="197" formatCode="&quot;f1 = &quot;0.000"/>
    <numFmt numFmtId="198" formatCode="&quot;f2 = &quot;0.000"/>
    <numFmt numFmtId="199" formatCode="&quot;f3 = &quot;0.000"/>
    <numFmt numFmtId="200" formatCode="&quot;f4 = &quot;0.000"/>
  </numFmts>
  <fonts count="72" x14ac:knownFonts="1">
    <font>
      <sz val="9"/>
      <color theme="1"/>
      <name val="Calibri"/>
      <family val="2"/>
    </font>
    <font>
      <sz val="9"/>
      <color theme="1"/>
      <name val="Calibri"/>
      <family val="2"/>
      <scheme val="minor"/>
    </font>
    <font>
      <sz val="9"/>
      <color theme="1"/>
      <name val="Calibri"/>
      <family val="2"/>
      <scheme val="minor"/>
    </font>
    <font>
      <sz val="9"/>
      <color theme="1"/>
      <name val="Calibri"/>
      <family val="2"/>
      <scheme val="minor"/>
    </font>
    <font>
      <b/>
      <sz val="9"/>
      <color theme="1"/>
      <name val="Calibri"/>
      <family val="2"/>
    </font>
    <font>
      <sz val="8"/>
      <color theme="1"/>
      <name val="Calibri"/>
      <family val="2"/>
    </font>
    <font>
      <b/>
      <sz val="9"/>
      <color rgb="FF0000FF"/>
      <name val="Calibri"/>
      <family val="2"/>
    </font>
    <font>
      <b/>
      <sz val="10"/>
      <color theme="1"/>
      <name val="Calibri"/>
      <family val="2"/>
    </font>
    <font>
      <sz val="10"/>
      <color theme="1"/>
      <name val="Calibri"/>
      <family val="2"/>
    </font>
    <font>
      <sz val="9"/>
      <color rgb="FF0000FF"/>
      <name val="Calibri"/>
      <family val="2"/>
    </font>
    <font>
      <sz val="9"/>
      <color theme="0" tint="-0.499984740745262"/>
      <name val="Calibri"/>
      <family val="2"/>
    </font>
    <font>
      <sz val="9"/>
      <color indexed="81"/>
      <name val="Tahoma"/>
      <family val="2"/>
    </font>
    <font>
      <b/>
      <sz val="9"/>
      <color indexed="81"/>
      <name val="Tahoma"/>
      <family val="2"/>
    </font>
    <font>
      <sz val="9"/>
      <color theme="0" tint="-0.249977111117893"/>
      <name val="Calibri"/>
      <family val="2"/>
    </font>
    <font>
      <b/>
      <sz val="9"/>
      <color theme="0" tint="-0.499984740745262"/>
      <name val="Calibri"/>
      <family val="2"/>
    </font>
    <font>
      <b/>
      <sz val="8"/>
      <color theme="1"/>
      <name val="Calibri"/>
      <family val="2"/>
      <scheme val="minor"/>
    </font>
    <font>
      <sz val="11"/>
      <color indexed="81"/>
      <name val="Tahoma"/>
      <family val="2"/>
    </font>
    <font>
      <sz val="9"/>
      <color theme="1"/>
      <name val="Calibri"/>
      <family val="2"/>
    </font>
    <font>
      <sz val="9"/>
      <color theme="0"/>
      <name val="Calibri"/>
      <family val="2"/>
    </font>
    <font>
      <b/>
      <sz val="16"/>
      <color theme="1"/>
      <name val="Calibri"/>
      <family val="2"/>
    </font>
    <font>
      <b/>
      <sz val="12"/>
      <color theme="1"/>
      <name val="Calibri"/>
      <family val="2"/>
    </font>
    <font>
      <sz val="9"/>
      <color theme="0" tint="-0.34998626667073579"/>
      <name val="Calibri"/>
      <family val="2"/>
    </font>
    <font>
      <b/>
      <sz val="8"/>
      <color theme="0" tint="-0.34998626667073579"/>
      <name val="Calibri"/>
      <family val="2"/>
      <scheme val="minor"/>
    </font>
    <font>
      <b/>
      <sz val="8"/>
      <color rgb="FF0000FF"/>
      <name val="Calibri"/>
      <family val="2"/>
      <scheme val="minor"/>
    </font>
    <font>
      <sz val="8"/>
      <color theme="0" tint="-0.499984740745262"/>
      <name val="Calibri"/>
      <family val="2"/>
    </font>
    <font>
      <b/>
      <sz val="9"/>
      <color theme="0"/>
      <name val="Calibri"/>
      <family val="2"/>
    </font>
    <font>
      <sz val="6"/>
      <color theme="0" tint="-0.499984740745262"/>
      <name val="Calibri"/>
      <family val="2"/>
    </font>
    <font>
      <sz val="9"/>
      <color indexed="12"/>
      <name val="Tahoma"/>
      <family val="2"/>
    </font>
    <font>
      <sz val="7"/>
      <color theme="1"/>
      <name val="Calibri"/>
      <family val="2"/>
    </font>
    <font>
      <b/>
      <sz val="9"/>
      <color rgb="FF002060"/>
      <name val="Calibri"/>
      <family val="2"/>
    </font>
    <font>
      <b/>
      <sz val="8"/>
      <color rgb="FF0000FF"/>
      <name val="Calibri"/>
      <family val="2"/>
    </font>
    <font>
      <b/>
      <sz val="8"/>
      <color theme="0" tint="-0.499984740745262"/>
      <name val="Calibri"/>
      <family val="2"/>
    </font>
    <font>
      <b/>
      <sz val="8"/>
      <color theme="1"/>
      <name val="Calibri"/>
      <family val="2"/>
    </font>
    <font>
      <sz val="8"/>
      <color theme="0" tint="-0.34998626667073579"/>
      <name val="Calibri"/>
      <family val="2"/>
    </font>
    <font>
      <sz val="8"/>
      <color theme="1"/>
      <name val="Calibri"/>
      <family val="2"/>
      <scheme val="minor"/>
    </font>
    <font>
      <sz val="10"/>
      <name val="Arial"/>
      <family val="2"/>
    </font>
    <font>
      <b/>
      <sz val="10"/>
      <color theme="0"/>
      <name val="Calibri"/>
      <family val="2"/>
      <scheme val="minor"/>
    </font>
    <font>
      <sz val="10"/>
      <name val="Calibri"/>
      <family val="2"/>
      <scheme val="minor"/>
    </font>
    <font>
      <b/>
      <sz val="8"/>
      <name val="Calibri"/>
      <family val="2"/>
      <scheme val="minor"/>
    </font>
    <font>
      <sz val="8"/>
      <name val="Calibri"/>
      <family val="2"/>
      <scheme val="minor"/>
    </font>
    <font>
      <b/>
      <sz val="8"/>
      <color indexed="8"/>
      <name val="Calibri"/>
      <family val="2"/>
      <scheme val="minor"/>
    </font>
    <font>
      <b/>
      <sz val="9"/>
      <color theme="1"/>
      <name val="Calibri"/>
      <family val="2"/>
      <scheme val="minor"/>
    </font>
    <font>
      <b/>
      <sz val="11"/>
      <color theme="1"/>
      <name val="Calibri"/>
      <family val="2"/>
      <scheme val="minor"/>
    </font>
    <font>
      <b/>
      <sz val="11"/>
      <color rgb="FF0000FF"/>
      <name val="Calibri"/>
      <family val="2"/>
    </font>
    <font>
      <b/>
      <sz val="11"/>
      <color theme="1"/>
      <name val="Calibri"/>
      <family val="2"/>
    </font>
    <font>
      <sz val="12"/>
      <color theme="1"/>
      <name val="Calibri"/>
      <family val="2"/>
    </font>
    <font>
      <b/>
      <sz val="12"/>
      <color rgb="FF0000FF"/>
      <name val="Calibri"/>
      <family val="2"/>
    </font>
    <font>
      <b/>
      <sz val="9"/>
      <color theme="0"/>
      <name val="Calibri"/>
      <family val="2"/>
      <scheme val="minor"/>
    </font>
    <font>
      <sz val="9"/>
      <color rgb="FFFF0000"/>
      <name val="Calibri"/>
      <family val="2"/>
      <scheme val="minor"/>
    </font>
    <font>
      <sz val="9"/>
      <color theme="0"/>
      <name val="Calibri"/>
      <family val="2"/>
      <scheme val="minor"/>
    </font>
    <font>
      <b/>
      <sz val="9"/>
      <color rgb="FF0000FF"/>
      <name val="Calibri"/>
      <family val="2"/>
      <scheme val="minor"/>
    </font>
    <font>
      <b/>
      <sz val="11"/>
      <color rgb="FF0000FF"/>
      <name val="Calibri"/>
      <family val="2"/>
      <scheme val="minor"/>
    </font>
    <font>
      <b/>
      <vertAlign val="subscript"/>
      <sz val="11"/>
      <color theme="1"/>
      <name val="Calibri"/>
      <family val="2"/>
      <scheme val="minor"/>
    </font>
    <font>
      <b/>
      <sz val="9"/>
      <color theme="0" tint="-0.499984740745262"/>
      <name val="Calibri"/>
      <family val="2"/>
      <scheme val="minor"/>
    </font>
    <font>
      <b/>
      <sz val="12"/>
      <color rgb="FF0000FF"/>
      <name val="Calibri"/>
      <family val="2"/>
      <scheme val="minor"/>
    </font>
    <font>
      <b/>
      <sz val="12"/>
      <color theme="1"/>
      <name val="Calibri"/>
      <family val="2"/>
      <scheme val="minor"/>
    </font>
    <font>
      <sz val="9"/>
      <color rgb="FF010000"/>
      <name val="Calibri"/>
      <family val="2"/>
      <scheme val="minor"/>
    </font>
    <font>
      <sz val="8"/>
      <color rgb="FF010000"/>
      <name val="Calibri"/>
      <family val="2"/>
      <scheme val="minor"/>
    </font>
    <font>
      <b/>
      <sz val="10"/>
      <color rgb="FF0000FF"/>
      <name val="Calibri"/>
      <family val="2"/>
    </font>
    <font>
      <b/>
      <sz val="11"/>
      <color rgb="FFC00000"/>
      <name val="Calibri"/>
      <family val="2"/>
    </font>
    <font>
      <b/>
      <sz val="10"/>
      <color theme="1"/>
      <name val="Calibri"/>
      <family val="2"/>
      <scheme val="minor"/>
    </font>
    <font>
      <sz val="10"/>
      <color theme="1"/>
      <name val="Calibri"/>
      <family val="2"/>
      <scheme val="minor"/>
    </font>
    <font>
      <sz val="8"/>
      <name val="Arial"/>
      <family val="2"/>
    </font>
    <font>
      <sz val="11"/>
      <color theme="1"/>
      <name val="Calibri"/>
      <family val="2"/>
      <scheme val="minor"/>
    </font>
    <font>
      <vertAlign val="superscript"/>
      <sz val="9"/>
      <color theme="1"/>
      <name val="Calibri"/>
      <family val="2"/>
      <scheme val="minor"/>
    </font>
    <font>
      <sz val="11"/>
      <color theme="1"/>
      <name val="Calibri"/>
      <family val="2"/>
    </font>
    <font>
      <b/>
      <sz val="14"/>
      <color theme="1"/>
      <name val="Calibri"/>
      <family val="2"/>
    </font>
    <font>
      <sz val="12"/>
      <color theme="1"/>
      <name val="Calibri"/>
      <family val="2"/>
      <scheme val="minor"/>
    </font>
    <font>
      <b/>
      <vertAlign val="subscript"/>
      <sz val="12"/>
      <color theme="1"/>
      <name val="Calibri"/>
      <family val="2"/>
      <scheme val="minor"/>
    </font>
    <font>
      <b/>
      <sz val="14"/>
      <color rgb="FF0000FF"/>
      <name val="Calibri"/>
      <family val="2"/>
      <scheme val="minor"/>
    </font>
    <font>
      <sz val="11"/>
      <color theme="1"/>
      <name val="Symbol"/>
      <family val="1"/>
      <charset val="2"/>
    </font>
    <font>
      <vertAlign val="subscript"/>
      <sz val="11"/>
      <color theme="1"/>
      <name val="Calibri"/>
      <family val="2"/>
      <scheme val="minor"/>
    </font>
  </fonts>
  <fills count="24">
    <fill>
      <patternFill patternType="none"/>
    </fill>
    <fill>
      <patternFill patternType="gray125"/>
    </fill>
    <fill>
      <patternFill patternType="solid">
        <fgColor theme="4" tint="0.79998168889431442"/>
        <bgColor indexed="64"/>
      </patternFill>
    </fill>
    <fill>
      <patternFill patternType="solid">
        <fgColor theme="9" tint="0.79998168889431442"/>
        <bgColor indexed="64"/>
      </patternFill>
    </fill>
    <fill>
      <patternFill patternType="solid">
        <fgColor rgb="FFFFC000"/>
        <bgColor indexed="64"/>
      </patternFill>
    </fill>
    <fill>
      <patternFill patternType="solid">
        <fgColor theme="6" tint="0.79998168889431442"/>
        <bgColor indexed="64"/>
      </patternFill>
    </fill>
    <fill>
      <patternFill patternType="solid">
        <fgColor theme="0"/>
        <bgColor indexed="64"/>
      </patternFill>
    </fill>
    <fill>
      <patternFill patternType="solid">
        <fgColor theme="9" tint="0.59999389629810485"/>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theme="8" tint="0.39997558519241921"/>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rgb="FF002060"/>
        <bgColor indexed="64"/>
      </patternFill>
    </fill>
    <fill>
      <patternFill patternType="solid">
        <fgColor rgb="FFADD8E6"/>
        <bgColor indexed="64"/>
      </patternFill>
    </fill>
    <fill>
      <patternFill patternType="solid">
        <fgColor rgb="FFCAE6EF"/>
        <bgColor indexed="64"/>
      </patternFill>
    </fill>
    <fill>
      <patternFill patternType="solid">
        <fgColor theme="4" tint="-0.499984740745262"/>
        <bgColor indexed="64"/>
      </patternFill>
    </fill>
    <fill>
      <patternFill patternType="solid">
        <fgColor theme="1"/>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6" tint="0.59999389629810485"/>
        <bgColor indexed="64"/>
      </patternFill>
    </fill>
  </fills>
  <borders count="89">
    <border>
      <left/>
      <right/>
      <top/>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theme="0" tint="-0.24994659260841701"/>
      </right>
      <top style="thin">
        <color indexed="64"/>
      </top>
      <bottom style="thin">
        <color theme="0" tint="-0.24994659260841701"/>
      </bottom>
      <diagonal/>
    </border>
    <border>
      <left style="thin">
        <color theme="0" tint="-0.24994659260841701"/>
      </left>
      <right style="thin">
        <color indexed="64"/>
      </right>
      <top style="thin">
        <color indexed="64"/>
      </top>
      <bottom style="thin">
        <color theme="0" tint="-0.24994659260841701"/>
      </bottom>
      <diagonal/>
    </border>
    <border>
      <left style="thin">
        <color indexed="64"/>
      </left>
      <right style="thin">
        <color theme="0" tint="-0.24994659260841701"/>
      </right>
      <top style="thin">
        <color theme="0" tint="-0.24994659260841701"/>
      </top>
      <bottom style="thin">
        <color theme="0" tint="-0.24994659260841701"/>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indexed="64"/>
      </left>
      <right style="thin">
        <color theme="0" tint="-0.24994659260841701"/>
      </right>
      <top style="thin">
        <color theme="0" tint="-0.24994659260841701"/>
      </top>
      <bottom style="thin">
        <color indexed="64"/>
      </bottom>
      <diagonal/>
    </border>
    <border>
      <left style="thin">
        <color theme="0" tint="-0.24994659260841701"/>
      </left>
      <right style="thin">
        <color indexed="64"/>
      </right>
      <top style="thin">
        <color theme="0" tint="-0.24994659260841701"/>
      </top>
      <bottom style="thin">
        <color indexed="64"/>
      </bottom>
      <diagonal/>
    </border>
    <border>
      <left style="thin">
        <color indexed="64"/>
      </left>
      <right style="thin">
        <color indexed="64"/>
      </right>
      <top style="thin">
        <color indexed="64"/>
      </top>
      <bottom style="thin">
        <color theme="0" tint="-0.24994659260841701"/>
      </bottom>
      <diagonal/>
    </border>
    <border>
      <left style="thin">
        <color indexed="64"/>
      </left>
      <right style="thin">
        <color indexed="64"/>
      </right>
      <top style="thin">
        <color theme="0" tint="-0.24994659260841701"/>
      </top>
      <bottom style="thin">
        <color theme="0" tint="-0.24994659260841701"/>
      </bottom>
      <diagonal/>
    </border>
    <border>
      <left style="thin">
        <color indexed="64"/>
      </left>
      <right style="thin">
        <color indexed="64"/>
      </right>
      <top style="thin">
        <color theme="0" tint="-0.24994659260841701"/>
      </top>
      <bottom style="thin">
        <color indexed="64"/>
      </bottom>
      <diagonal/>
    </border>
    <border>
      <left style="thin">
        <color indexed="64"/>
      </left>
      <right/>
      <top style="thin">
        <color indexed="64"/>
      </top>
      <bottom style="thin">
        <color theme="0" tint="-0.24994659260841701"/>
      </bottom>
      <diagonal/>
    </border>
    <border>
      <left/>
      <right style="thin">
        <color indexed="64"/>
      </right>
      <top style="thin">
        <color indexed="64"/>
      </top>
      <bottom style="thin">
        <color theme="0" tint="-0.24994659260841701"/>
      </bottom>
      <diagonal/>
    </border>
    <border>
      <left style="thin">
        <color indexed="64"/>
      </left>
      <right/>
      <top style="thin">
        <color theme="0" tint="-0.24994659260841701"/>
      </top>
      <bottom style="thin">
        <color theme="0" tint="-0.24994659260841701"/>
      </bottom>
      <diagonal/>
    </border>
    <border>
      <left/>
      <right style="thin">
        <color indexed="64"/>
      </right>
      <top style="thin">
        <color theme="0" tint="-0.24994659260841701"/>
      </top>
      <bottom style="thin">
        <color theme="0" tint="-0.24994659260841701"/>
      </bottom>
      <diagonal/>
    </border>
    <border>
      <left style="thin">
        <color indexed="64"/>
      </left>
      <right/>
      <top style="thin">
        <color theme="0" tint="-0.24994659260841701"/>
      </top>
      <bottom style="thin">
        <color indexed="64"/>
      </bottom>
      <diagonal/>
    </border>
    <border>
      <left/>
      <right style="thin">
        <color indexed="64"/>
      </right>
      <top style="thin">
        <color theme="0" tint="-0.24994659260841701"/>
      </top>
      <bottom style="thin">
        <color indexed="64"/>
      </bottom>
      <diagonal/>
    </border>
    <border>
      <left/>
      <right style="thin">
        <color theme="0" tint="-0.14996795556505021"/>
      </right>
      <top style="thin">
        <color indexed="64"/>
      </top>
      <bottom/>
      <diagonal/>
    </border>
    <border>
      <left/>
      <right style="thin">
        <color theme="0" tint="-0.14996795556505021"/>
      </right>
      <top/>
      <bottom/>
      <diagonal/>
    </border>
    <border>
      <left style="thin">
        <color theme="0" tint="-0.14996795556505021"/>
      </left>
      <right style="thin">
        <color theme="0" tint="-0.14993743705557422"/>
      </right>
      <top style="thin">
        <color indexed="64"/>
      </top>
      <bottom/>
      <diagonal/>
    </border>
    <border>
      <left style="thin">
        <color theme="0" tint="-0.14996795556505021"/>
      </left>
      <right style="thin">
        <color theme="0" tint="-0.14993743705557422"/>
      </right>
      <top/>
      <bottom/>
      <diagonal/>
    </border>
    <border>
      <left/>
      <right style="thin">
        <color theme="0" tint="-0.14993743705557422"/>
      </right>
      <top style="thin">
        <color indexed="64"/>
      </top>
      <bottom/>
      <diagonal/>
    </border>
    <border>
      <left/>
      <right style="thin">
        <color theme="0" tint="-0.14993743705557422"/>
      </right>
      <top/>
      <bottom/>
      <diagonal/>
    </border>
    <border>
      <left style="thin">
        <color theme="0" tint="-0.14996795556505021"/>
      </left>
      <right style="thin">
        <color theme="0" tint="-0.14996795556505021"/>
      </right>
      <top style="thin">
        <color indexed="64"/>
      </top>
      <bottom/>
      <diagonal/>
    </border>
    <border>
      <left style="thin">
        <color theme="0" tint="-0.14996795556505021"/>
      </left>
      <right style="thin">
        <color theme="0" tint="-0.14996795556505021"/>
      </right>
      <top/>
      <bottom/>
      <diagonal/>
    </border>
    <border>
      <left style="thin">
        <color indexed="64"/>
      </left>
      <right style="thin">
        <color theme="0" tint="-0.14996795556505021"/>
      </right>
      <top style="thin">
        <color indexed="64"/>
      </top>
      <bottom/>
      <diagonal/>
    </border>
    <border>
      <left style="thin">
        <color indexed="64"/>
      </left>
      <right style="thin">
        <color theme="0" tint="-0.14996795556505021"/>
      </right>
      <top/>
      <bottom/>
      <diagonal/>
    </border>
    <border>
      <left style="thin">
        <color indexed="64"/>
      </left>
      <right style="thin">
        <color theme="0" tint="-0.14996795556505021"/>
      </right>
      <top/>
      <bottom style="thin">
        <color indexed="64"/>
      </bottom>
      <diagonal/>
    </border>
    <border>
      <left style="thin">
        <color theme="0" tint="-0.34998626667073579"/>
      </left>
      <right/>
      <top style="thin">
        <color theme="0" tint="-0.34998626667073579"/>
      </top>
      <bottom/>
      <diagonal/>
    </border>
    <border>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top/>
      <bottom style="thin">
        <color theme="0" tint="-0.34998626667073579"/>
      </bottom>
      <diagonal/>
    </border>
    <border>
      <left/>
      <right/>
      <top/>
      <bottom style="thin">
        <color theme="0" tint="-0.34998626667073579"/>
      </bottom>
      <diagonal/>
    </border>
    <border>
      <left/>
      <right style="thin">
        <color theme="0" tint="-0.34998626667073579"/>
      </right>
      <top/>
      <bottom style="thin">
        <color theme="0" tint="-0.34998626667073579"/>
      </bottom>
      <diagonal/>
    </border>
    <border>
      <left style="thin">
        <color theme="0" tint="-0.24994659260841701"/>
      </left>
      <right/>
      <top style="thin">
        <color indexed="64"/>
      </top>
      <bottom style="thin">
        <color indexed="64"/>
      </bottom>
      <diagonal/>
    </border>
    <border>
      <left/>
      <right style="thin">
        <color theme="0" tint="-0.24994659260841701"/>
      </right>
      <top style="thin">
        <color indexed="64"/>
      </top>
      <bottom style="thin">
        <color indexed="64"/>
      </bottom>
      <diagonal/>
    </border>
    <border>
      <left style="thin">
        <color theme="0" tint="-0.24994659260841701"/>
      </left>
      <right/>
      <top/>
      <bottom/>
      <diagonal/>
    </border>
    <border>
      <left/>
      <right style="thin">
        <color theme="0" tint="-0.24994659260841701"/>
      </right>
      <top/>
      <bottom/>
      <diagonal/>
    </border>
    <border>
      <left style="thin">
        <color theme="0" tint="-0.24994659260841701"/>
      </left>
      <right/>
      <top/>
      <bottom style="thin">
        <color theme="0" tint="-0.24994659260841701"/>
      </bottom>
      <diagonal/>
    </border>
    <border>
      <left/>
      <right/>
      <top/>
      <bottom style="thin">
        <color theme="0" tint="-0.24994659260841701"/>
      </bottom>
      <diagonal/>
    </border>
    <border>
      <left/>
      <right style="thin">
        <color theme="0" tint="-0.24994659260841701"/>
      </right>
      <top/>
      <bottom style="thin">
        <color theme="0" tint="-0.24994659260841701"/>
      </bottom>
      <diagonal/>
    </border>
    <border>
      <left style="thin">
        <color theme="0" tint="-0.24994659260841701"/>
      </left>
      <right/>
      <top style="thin">
        <color theme="0" tint="-0.24994659260841701"/>
      </top>
      <bottom/>
      <diagonal/>
    </border>
    <border>
      <left/>
      <right/>
      <top style="thin">
        <color theme="0" tint="-0.24994659260841701"/>
      </top>
      <bottom/>
      <diagonal/>
    </border>
    <border>
      <left/>
      <right style="thin">
        <color theme="0" tint="-0.24994659260841701"/>
      </right>
      <top style="thin">
        <color theme="0" tint="-0.24994659260841701"/>
      </top>
      <bottom/>
      <diagonal/>
    </border>
    <border>
      <left style="thin">
        <color theme="0" tint="-0.24994659260841701"/>
      </left>
      <right/>
      <top style="thin">
        <color indexed="64"/>
      </top>
      <bottom/>
      <diagonal/>
    </border>
    <border>
      <left/>
      <right style="thin">
        <color theme="0" tint="-0.24994659260841701"/>
      </right>
      <top style="thin">
        <color indexed="64"/>
      </top>
      <bottom/>
      <diagonal/>
    </border>
    <border>
      <left style="thin">
        <color theme="0" tint="-0.34998626667073579"/>
      </left>
      <right/>
      <top style="thin">
        <color indexed="64"/>
      </top>
      <bottom/>
      <diagonal/>
    </border>
    <border>
      <left/>
      <right style="thin">
        <color theme="0" tint="-0.34998626667073579"/>
      </right>
      <top style="thin">
        <color indexed="64"/>
      </top>
      <bottom/>
      <diagonal/>
    </border>
    <border>
      <left style="thin">
        <color indexed="64"/>
      </left>
      <right/>
      <top/>
      <bottom style="thin">
        <color theme="0" tint="-0.34998626667073579"/>
      </bottom>
      <diagonal/>
    </border>
    <border>
      <left/>
      <right style="thin">
        <color indexed="64"/>
      </right>
      <top/>
      <bottom style="thin">
        <color theme="0" tint="-0.34998626667073579"/>
      </bottom>
      <diagonal/>
    </border>
    <border>
      <left style="thin">
        <color indexed="8"/>
      </left>
      <right/>
      <top style="thin">
        <color indexed="8"/>
      </top>
      <bottom style="thin">
        <color indexed="8"/>
      </bottom>
      <diagonal/>
    </border>
    <border>
      <left/>
      <right/>
      <top style="thin">
        <color indexed="8"/>
      </top>
      <bottom style="thin">
        <color indexed="8"/>
      </bottom>
      <diagonal/>
    </border>
    <border>
      <left/>
      <right style="thin">
        <color indexed="8"/>
      </right>
      <top style="thin">
        <color indexed="8"/>
      </top>
      <bottom style="thin">
        <color indexed="8"/>
      </bottom>
      <diagonal/>
    </border>
    <border>
      <left style="thin">
        <color theme="0" tint="-0.24994659260841701"/>
      </left>
      <right/>
      <top/>
      <bottom style="thin">
        <color theme="0" tint="-0.34998626667073579"/>
      </bottom>
      <diagonal/>
    </border>
    <border>
      <left/>
      <right style="thin">
        <color theme="0" tint="-0.24994659260841701"/>
      </right>
      <top/>
      <bottom style="thin">
        <color theme="0" tint="-0.34998626667073579"/>
      </bottom>
      <diagonal/>
    </border>
    <border>
      <left style="thin">
        <color indexed="8"/>
      </left>
      <right/>
      <top style="thin">
        <color indexed="8"/>
      </top>
      <bottom/>
      <diagonal/>
    </border>
    <border>
      <left/>
      <right/>
      <top style="thin">
        <color indexed="8"/>
      </top>
      <bottom/>
      <diagonal/>
    </border>
    <border>
      <left/>
      <right style="thin">
        <color indexed="8"/>
      </right>
      <top style="thin">
        <color indexed="8"/>
      </top>
      <bottom/>
      <diagonal/>
    </border>
    <border>
      <left style="thin">
        <color indexed="8"/>
      </left>
      <right/>
      <top/>
      <bottom style="thin">
        <color indexed="8"/>
      </bottom>
      <diagonal/>
    </border>
    <border>
      <left/>
      <right/>
      <top/>
      <bottom style="thin">
        <color indexed="8"/>
      </bottom>
      <diagonal/>
    </border>
    <border>
      <left/>
      <right style="thin">
        <color indexed="8"/>
      </right>
      <top/>
      <bottom style="thin">
        <color indexed="8"/>
      </bottom>
      <diagonal/>
    </border>
    <border>
      <left style="thin">
        <color indexed="8"/>
      </left>
      <right/>
      <top/>
      <bottom/>
      <diagonal/>
    </border>
    <border>
      <left/>
      <right style="thin">
        <color indexed="8"/>
      </right>
      <top/>
      <bottom/>
      <diagonal/>
    </border>
    <border>
      <left style="thin">
        <color indexed="64"/>
      </left>
      <right/>
      <top style="thin">
        <color theme="0" tint="-0.34998626667073579"/>
      </top>
      <bottom/>
      <diagonal/>
    </border>
    <border>
      <left/>
      <right style="thin">
        <color indexed="64"/>
      </right>
      <top style="thin">
        <color theme="0" tint="-0.34998626667073579"/>
      </top>
      <bottom/>
      <diagonal/>
    </border>
    <border>
      <left style="thin">
        <color indexed="64"/>
      </left>
      <right style="thin">
        <color theme="0" tint="-0.24994659260841701"/>
      </right>
      <top style="thin">
        <color indexed="64"/>
      </top>
      <bottom/>
      <diagonal/>
    </border>
    <border>
      <left style="thin">
        <color theme="0" tint="-0.24994659260841701"/>
      </left>
      <right style="thin">
        <color indexed="64"/>
      </right>
      <top style="thin">
        <color indexed="64"/>
      </top>
      <bottom/>
      <diagonal/>
    </border>
    <border>
      <left style="thin">
        <color indexed="64"/>
      </left>
      <right style="thin">
        <color theme="0" tint="-0.24994659260841701"/>
      </right>
      <top/>
      <bottom style="thin">
        <color indexed="64"/>
      </bottom>
      <diagonal/>
    </border>
    <border>
      <left style="thin">
        <color theme="0" tint="-0.24994659260841701"/>
      </left>
      <right style="thin">
        <color indexed="64"/>
      </right>
      <top/>
      <bottom style="thin">
        <color indexed="64"/>
      </bottom>
      <diagonal/>
    </border>
    <border>
      <left style="thin">
        <color indexed="64"/>
      </left>
      <right/>
      <top style="thin">
        <color theme="0" tint="-0.24994659260841701"/>
      </top>
      <bottom/>
      <diagonal/>
    </border>
    <border>
      <left/>
      <right style="thin">
        <color indexed="64"/>
      </right>
      <top style="thin">
        <color theme="0" tint="-0.24994659260841701"/>
      </top>
      <bottom/>
      <diagonal/>
    </border>
    <border>
      <left style="thin">
        <color indexed="64"/>
      </left>
      <right/>
      <top/>
      <bottom style="thin">
        <color theme="0" tint="-0.24994659260841701"/>
      </bottom>
      <diagonal/>
    </border>
    <border>
      <left/>
      <right style="thin">
        <color indexed="64"/>
      </right>
      <top/>
      <bottom style="thin">
        <color theme="0" tint="-0.24994659260841701"/>
      </bottom>
      <diagonal/>
    </border>
  </borders>
  <cellStyleXfs count="7">
    <xf numFmtId="0" fontId="0" fillId="0" borderId="0"/>
    <xf numFmtId="43" fontId="17" fillId="0" borderId="0" applyFont="0" applyFill="0" applyBorder="0" applyAlignment="0" applyProtection="0"/>
    <xf numFmtId="0" fontId="34" fillId="0" borderId="0"/>
    <xf numFmtId="0" fontId="35" fillId="0" borderId="0"/>
    <xf numFmtId="0" fontId="3" fillId="0" borderId="0"/>
    <xf numFmtId="0" fontId="63" fillId="0" borderId="0"/>
    <xf numFmtId="193" fontId="63" fillId="0" borderId="0" applyFont="0" applyFill="0" applyBorder="0" applyAlignment="0" applyProtection="0"/>
  </cellStyleXfs>
  <cellXfs count="879">
    <xf numFmtId="0" fontId="0" fillId="0" borderId="0" xfId="0"/>
    <xf numFmtId="0" fontId="0" fillId="0" borderId="0" xfId="0" applyAlignment="1">
      <alignment horizontal="right"/>
    </xf>
    <xf numFmtId="0" fontId="4" fillId="2" borderId="2" xfId="0" applyFont="1" applyFill="1" applyBorder="1" applyAlignment="1">
      <alignment horizontal="right"/>
    </xf>
    <xf numFmtId="0" fontId="4" fillId="2" borderId="3" xfId="0" applyFont="1" applyFill="1" applyBorder="1" applyAlignment="1">
      <alignment horizontal="right"/>
    </xf>
    <xf numFmtId="0" fontId="4" fillId="2" borderId="4" xfId="0" applyFont="1" applyFill="1" applyBorder="1" applyAlignment="1">
      <alignment horizontal="right"/>
    </xf>
    <xf numFmtId="0" fontId="4" fillId="2" borderId="0" xfId="0" applyFont="1" applyFill="1" applyAlignment="1">
      <alignment horizontal="right"/>
    </xf>
    <xf numFmtId="0" fontId="4" fillId="2" borderId="6" xfId="0" applyFont="1" applyFill="1" applyBorder="1" applyAlignment="1">
      <alignment horizontal="right"/>
    </xf>
    <xf numFmtId="164" fontId="0" fillId="0" borderId="0" xfId="0" applyNumberFormat="1" applyAlignment="1">
      <alignment horizontal="right"/>
    </xf>
    <xf numFmtId="2" fontId="0" fillId="0" borderId="0" xfId="0" applyNumberFormat="1" applyAlignment="1">
      <alignment horizontal="right"/>
    </xf>
    <xf numFmtId="0" fontId="5" fillId="2" borderId="1" xfId="0" applyFont="1" applyFill="1" applyBorder="1" applyAlignment="1">
      <alignment horizontal="right"/>
    </xf>
    <xf numFmtId="0" fontId="5" fillId="2" borderId="8" xfId="0" applyFont="1" applyFill="1" applyBorder="1" applyAlignment="1">
      <alignment horizontal="right"/>
    </xf>
    <xf numFmtId="0" fontId="6" fillId="0" borderId="0" xfId="0" applyFont="1" applyAlignment="1">
      <alignment horizontal="left"/>
    </xf>
    <xf numFmtId="0" fontId="0" fillId="0" borderId="0" xfId="0" applyAlignment="1">
      <alignment horizontal="right" indent="1"/>
    </xf>
    <xf numFmtId="0" fontId="4" fillId="2" borderId="2" xfId="0" applyFont="1" applyFill="1" applyBorder="1" applyAlignment="1">
      <alignment horizontal="right" indent="1"/>
    </xf>
    <xf numFmtId="0" fontId="4" fillId="2" borderId="3" xfId="0" applyFont="1" applyFill="1" applyBorder="1" applyAlignment="1">
      <alignment horizontal="right" indent="1"/>
    </xf>
    <xf numFmtId="0" fontId="4" fillId="2" borderId="4" xfId="0" applyFont="1" applyFill="1" applyBorder="1" applyAlignment="1">
      <alignment horizontal="right" indent="1"/>
    </xf>
    <xf numFmtId="0" fontId="4" fillId="2" borderId="5" xfId="0" applyFont="1" applyFill="1" applyBorder="1" applyAlignment="1">
      <alignment horizontal="right" indent="1"/>
    </xf>
    <xf numFmtId="0" fontId="4" fillId="2" borderId="0" xfId="0" applyFont="1" applyFill="1" applyAlignment="1">
      <alignment horizontal="right" indent="1"/>
    </xf>
    <xf numFmtId="0" fontId="4" fillId="2" borderId="6" xfId="0" applyFont="1" applyFill="1" applyBorder="1" applyAlignment="1">
      <alignment horizontal="right" indent="1"/>
    </xf>
    <xf numFmtId="2" fontId="0" fillId="0" borderId="0" xfId="0" applyNumberFormat="1" applyAlignment="1">
      <alignment horizontal="right" indent="1"/>
    </xf>
    <xf numFmtId="0" fontId="0" fillId="0" borderId="0" xfId="0" applyAlignment="1">
      <alignment horizontal="left"/>
    </xf>
    <xf numFmtId="0" fontId="0" fillId="2" borderId="2" xfId="0" applyFill="1" applyBorder="1" applyAlignment="1">
      <alignment horizontal="left"/>
    </xf>
    <xf numFmtId="0" fontId="4" fillId="2" borderId="3" xfId="0" applyFont="1" applyFill="1" applyBorder="1"/>
    <xf numFmtId="0" fontId="4" fillId="2" borderId="3" xfId="0" applyFont="1" applyFill="1" applyBorder="1" applyAlignment="1">
      <alignment horizontal="left"/>
    </xf>
    <xf numFmtId="0" fontId="4" fillId="2" borderId="5" xfId="0" applyFont="1" applyFill="1" applyBorder="1" applyAlignment="1">
      <alignment horizontal="left"/>
    </xf>
    <xf numFmtId="0" fontId="4" fillId="2" borderId="0" xfId="0" applyFont="1" applyFill="1"/>
    <xf numFmtId="0" fontId="4" fillId="2" borderId="0" xfId="0" applyFont="1" applyFill="1" applyAlignment="1">
      <alignment horizontal="left"/>
    </xf>
    <xf numFmtId="0" fontId="0" fillId="2" borderId="1" xfId="0" applyFill="1" applyBorder="1"/>
    <xf numFmtId="0" fontId="0" fillId="2" borderId="1" xfId="0" applyFill="1" applyBorder="1" applyAlignment="1">
      <alignment horizontal="right"/>
    </xf>
    <xf numFmtId="0" fontId="0" fillId="2" borderId="8" xfId="0" applyFill="1" applyBorder="1" applyAlignment="1">
      <alignment horizontal="right"/>
    </xf>
    <xf numFmtId="0" fontId="0" fillId="2" borderId="3" xfId="0" applyFill="1" applyBorder="1" applyAlignment="1">
      <alignment horizontal="left"/>
    </xf>
    <xf numFmtId="0" fontId="0" fillId="2" borderId="0" xfId="0" applyFill="1" applyAlignment="1">
      <alignment horizontal="left"/>
    </xf>
    <xf numFmtId="0" fontId="0" fillId="2" borderId="1" xfId="0" applyFill="1" applyBorder="1" applyAlignment="1">
      <alignment horizontal="left"/>
    </xf>
    <xf numFmtId="0" fontId="4" fillId="2" borderId="1" xfId="0" applyFont="1" applyFill="1" applyBorder="1"/>
    <xf numFmtId="0" fontId="4" fillId="2" borderId="1" xfId="0" applyFont="1" applyFill="1" applyBorder="1" applyAlignment="1">
      <alignment horizontal="left"/>
    </xf>
    <xf numFmtId="0" fontId="4" fillId="2" borderId="1" xfId="0" applyFont="1" applyFill="1" applyBorder="1" applyAlignment="1">
      <alignment horizontal="right"/>
    </xf>
    <xf numFmtId="0" fontId="4" fillId="2" borderId="8" xfId="0" applyFont="1" applyFill="1" applyBorder="1" applyAlignment="1">
      <alignment horizontal="right"/>
    </xf>
    <xf numFmtId="0" fontId="6" fillId="2" borderId="2" xfId="0" applyFont="1" applyFill="1" applyBorder="1"/>
    <xf numFmtId="0" fontId="6" fillId="2" borderId="5" xfId="0" applyFont="1" applyFill="1" applyBorder="1"/>
    <xf numFmtId="0" fontId="6" fillId="2" borderId="7" xfId="0" applyFont="1" applyFill="1" applyBorder="1"/>
    <xf numFmtId="0" fontId="4" fillId="0" borderId="0" xfId="0" applyFont="1"/>
    <xf numFmtId="0" fontId="4" fillId="0" borderId="0" xfId="0" applyFont="1" applyAlignment="1">
      <alignment horizontal="left"/>
    </xf>
    <xf numFmtId="0" fontId="4" fillId="0" borderId="0" xfId="0" applyFont="1" applyAlignment="1">
      <alignment horizontal="right"/>
    </xf>
    <xf numFmtId="0" fontId="4" fillId="2" borderId="2" xfId="0" applyFont="1" applyFill="1" applyBorder="1" applyAlignment="1">
      <alignment horizontal="left"/>
    </xf>
    <xf numFmtId="0" fontId="4" fillId="2" borderId="7" xfId="0" applyFont="1" applyFill="1" applyBorder="1" applyAlignment="1">
      <alignment horizontal="left"/>
    </xf>
    <xf numFmtId="0" fontId="7" fillId="3" borderId="9" xfId="0" applyFont="1" applyFill="1" applyBorder="1" applyAlignment="1">
      <alignment vertical="center"/>
    </xf>
    <xf numFmtId="0" fontId="8" fillId="3" borderId="10" xfId="0" applyFont="1" applyFill="1" applyBorder="1" applyAlignment="1">
      <alignment horizontal="center" vertical="center"/>
    </xf>
    <xf numFmtId="0" fontId="8" fillId="3" borderId="10" xfId="0" applyFont="1" applyFill="1" applyBorder="1" applyAlignment="1">
      <alignment horizontal="left" vertical="center"/>
    </xf>
    <xf numFmtId="166" fontId="0" fillId="0" borderId="0" xfId="0" applyNumberFormat="1" applyAlignment="1">
      <alignment horizontal="right"/>
    </xf>
    <xf numFmtId="0" fontId="0" fillId="0" borderId="0" xfId="0" applyAlignment="1">
      <alignment horizontal="center"/>
    </xf>
    <xf numFmtId="0" fontId="6" fillId="2" borderId="10" xfId="0" applyFont="1" applyFill="1" applyBorder="1"/>
    <xf numFmtId="0" fontId="4" fillId="2" borderId="10" xfId="0" applyFont="1" applyFill="1" applyBorder="1"/>
    <xf numFmtId="168" fontId="10" fillId="2" borderId="11" xfId="0" applyNumberFormat="1" applyFont="1" applyFill="1" applyBorder="1" applyAlignment="1">
      <alignment horizontal="center"/>
    </xf>
    <xf numFmtId="164" fontId="0" fillId="2" borderId="11" xfId="0" applyNumberFormat="1" applyFill="1" applyBorder="1" applyAlignment="1">
      <alignment horizontal="center"/>
    </xf>
    <xf numFmtId="166" fontId="6" fillId="2" borderId="10" xfId="0" applyNumberFormat="1" applyFont="1" applyFill="1" applyBorder="1" applyAlignment="1">
      <alignment horizontal="center"/>
    </xf>
    <xf numFmtId="0" fontId="9" fillId="0" borderId="0" xfId="0" applyFont="1"/>
    <xf numFmtId="165" fontId="0" fillId="0" borderId="0" xfId="0" applyNumberFormat="1"/>
    <xf numFmtId="0" fontId="6" fillId="0" borderId="0" xfId="0" applyFont="1" applyAlignment="1">
      <alignment horizontal="center"/>
    </xf>
    <xf numFmtId="0" fontId="4" fillId="2" borderId="2" xfId="0" applyFont="1" applyFill="1" applyBorder="1" applyAlignment="1">
      <alignment horizontal="center"/>
    </xf>
    <xf numFmtId="0" fontId="4" fillId="2" borderId="5" xfId="0" applyFont="1" applyFill="1" applyBorder="1" applyAlignment="1">
      <alignment horizontal="center"/>
    </xf>
    <xf numFmtId="0" fontId="5" fillId="2" borderId="7" xfId="0" applyFont="1" applyFill="1" applyBorder="1" applyAlignment="1">
      <alignment horizontal="center"/>
    </xf>
    <xf numFmtId="169" fontId="0" fillId="0" borderId="0" xfId="0" applyNumberFormat="1" applyAlignment="1">
      <alignment horizontal="center"/>
    </xf>
    <xf numFmtId="0" fontId="4" fillId="2" borderId="9" xfId="0" applyFont="1" applyFill="1" applyBorder="1" applyAlignment="1">
      <alignment horizontal="left"/>
    </xf>
    <xf numFmtId="2" fontId="0" fillId="0" borderId="3" xfId="0" applyNumberFormat="1" applyBorder="1" applyAlignment="1">
      <alignment horizontal="right" indent="1"/>
    </xf>
    <xf numFmtId="167" fontId="10" fillId="2" borderId="4" xfId="0" applyNumberFormat="1" applyFont="1" applyFill="1" applyBorder="1" applyAlignment="1">
      <alignment horizontal="left"/>
    </xf>
    <xf numFmtId="167" fontId="10" fillId="2" borderId="6" xfId="0" applyNumberFormat="1" applyFont="1" applyFill="1" applyBorder="1" applyAlignment="1">
      <alignment horizontal="left"/>
    </xf>
    <xf numFmtId="167" fontId="10" fillId="2" borderId="8" xfId="0" applyNumberFormat="1" applyFont="1" applyFill="1" applyBorder="1" applyAlignment="1">
      <alignment horizontal="left"/>
    </xf>
    <xf numFmtId="0" fontId="4" fillId="0" borderId="3" xfId="0" applyFont="1" applyBorder="1" applyAlignment="1">
      <alignment horizontal="left"/>
    </xf>
    <xf numFmtId="0" fontId="4" fillId="0" borderId="3" xfId="0" applyFont="1" applyBorder="1" applyAlignment="1">
      <alignment horizontal="right" indent="1"/>
    </xf>
    <xf numFmtId="0" fontId="4" fillId="0" borderId="4" xfId="0" applyFont="1" applyBorder="1" applyAlignment="1">
      <alignment horizontal="right" indent="1"/>
    </xf>
    <xf numFmtId="0" fontId="4" fillId="0" borderId="0" xfId="0" applyFont="1" applyAlignment="1">
      <alignment horizontal="right" indent="1"/>
    </xf>
    <xf numFmtId="0" fontId="4" fillId="0" borderId="6" xfId="0" applyFont="1" applyBorder="1" applyAlignment="1">
      <alignment horizontal="right" indent="1"/>
    </xf>
    <xf numFmtId="0" fontId="4" fillId="0" borderId="2" xfId="0" applyFont="1" applyBorder="1" applyAlignment="1">
      <alignment horizontal="left" indent="1"/>
    </xf>
    <xf numFmtId="0" fontId="4" fillId="0" borderId="5" xfId="0" applyFont="1" applyBorder="1" applyAlignment="1">
      <alignment horizontal="left" indent="1"/>
    </xf>
    <xf numFmtId="0" fontId="0" fillId="0" borderId="0" xfId="0" applyAlignment="1">
      <alignment horizontal="left" indent="1"/>
    </xf>
    <xf numFmtId="167" fontId="10" fillId="3" borderId="11" xfId="0" applyNumberFormat="1" applyFont="1" applyFill="1" applyBorder="1" applyAlignment="1">
      <alignment horizontal="left" vertical="center"/>
    </xf>
    <xf numFmtId="0" fontId="6" fillId="0" borderId="0" xfId="0" applyFont="1"/>
    <xf numFmtId="164" fontId="0" fillId="0" borderId="0" xfId="0" applyNumberFormat="1"/>
    <xf numFmtId="2" fontId="0" fillId="0" borderId="0" xfId="0" applyNumberFormat="1"/>
    <xf numFmtId="0" fontId="0" fillId="0" borderId="9" xfId="0" applyBorder="1" applyAlignment="1">
      <alignment horizontal="right"/>
    </xf>
    <xf numFmtId="0" fontId="0" fillId="0" borderId="10" xfId="0" applyBorder="1" applyAlignment="1">
      <alignment horizontal="right"/>
    </xf>
    <xf numFmtId="0" fontId="0" fillId="0" borderId="11" xfId="0" applyBorder="1" applyAlignment="1">
      <alignment horizontal="right"/>
    </xf>
    <xf numFmtId="0" fontId="0" fillId="0" borderId="11" xfId="0" applyBorder="1" applyAlignment="1">
      <alignment horizontal="center"/>
    </xf>
    <xf numFmtId="0" fontId="4" fillId="0" borderId="2" xfId="0" applyFont="1" applyBorder="1" applyAlignment="1">
      <alignment horizontal="right"/>
    </xf>
    <xf numFmtId="0" fontId="4" fillId="0" borderId="3" xfId="0" applyFont="1" applyBorder="1" applyAlignment="1">
      <alignment horizontal="right"/>
    </xf>
    <xf numFmtId="0" fontId="4" fillId="0" borderId="4" xfId="0" applyFont="1" applyBorder="1" applyAlignment="1">
      <alignment horizontal="right"/>
    </xf>
    <xf numFmtId="0" fontId="4" fillId="0" borderId="5" xfId="0" applyFont="1" applyBorder="1" applyAlignment="1">
      <alignment horizontal="right"/>
    </xf>
    <xf numFmtId="0" fontId="4" fillId="0" borderId="6" xfId="0" applyFont="1" applyBorder="1" applyAlignment="1">
      <alignment horizontal="right"/>
    </xf>
    <xf numFmtId="0" fontId="4" fillId="0" borderId="1" xfId="0" applyFont="1" applyBorder="1" applyAlignment="1">
      <alignment horizontal="right"/>
    </xf>
    <xf numFmtId="0" fontId="4" fillId="4" borderId="9" xfId="0" applyFont="1" applyFill="1" applyBorder="1" applyAlignment="1">
      <alignment horizontal="left"/>
    </xf>
    <xf numFmtId="0" fontId="0" fillId="0" borderId="12" xfId="0" applyBorder="1"/>
    <xf numFmtId="11" fontId="0" fillId="0" borderId="0" xfId="0" applyNumberFormat="1" applyAlignment="1">
      <alignment horizontal="right"/>
    </xf>
    <xf numFmtId="0" fontId="14" fillId="0" borderId="1" xfId="0" applyFont="1" applyBorder="1" applyAlignment="1">
      <alignment horizontal="right"/>
    </xf>
    <xf numFmtId="0" fontId="15" fillId="5" borderId="1" xfId="0" applyFont="1" applyFill="1" applyBorder="1"/>
    <xf numFmtId="171" fontId="0" fillId="0" borderId="0" xfId="0" applyNumberFormat="1"/>
    <xf numFmtId="0" fontId="15" fillId="5" borderId="1" xfId="0" applyFont="1" applyFill="1" applyBorder="1" applyAlignment="1">
      <alignment horizontal="left" indent="1"/>
    </xf>
    <xf numFmtId="0" fontId="10" fillId="0" borderId="1" xfId="0" applyFont="1" applyBorder="1" applyAlignment="1">
      <alignment horizontal="right"/>
    </xf>
    <xf numFmtId="0" fontId="10" fillId="0" borderId="7" xfId="0" applyFont="1" applyBorder="1" applyAlignment="1">
      <alignment horizontal="right"/>
    </xf>
    <xf numFmtId="0" fontId="10" fillId="0" borderId="8" xfId="0" applyFont="1" applyBorder="1" applyAlignment="1">
      <alignment horizontal="right"/>
    </xf>
    <xf numFmtId="172" fontId="0" fillId="0" borderId="0" xfId="0" applyNumberFormat="1" applyAlignment="1">
      <alignment horizontal="right"/>
    </xf>
    <xf numFmtId="173" fontId="0" fillId="0" borderId="0" xfId="0" applyNumberFormat="1" applyAlignment="1">
      <alignment horizontal="right"/>
    </xf>
    <xf numFmtId="0" fontId="4" fillId="0" borderId="10" xfId="0" applyFont="1" applyBorder="1" applyAlignment="1">
      <alignment horizontal="center"/>
    </xf>
    <xf numFmtId="0" fontId="4" fillId="0" borderId="11" xfId="0" applyFont="1" applyBorder="1" applyAlignment="1">
      <alignment horizontal="center"/>
    </xf>
    <xf numFmtId="0" fontId="4" fillId="0" borderId="12" xfId="0" applyFont="1" applyBorder="1" applyAlignment="1">
      <alignment horizontal="center"/>
    </xf>
    <xf numFmtId="0" fontId="0" fillId="0" borderId="9" xfId="0" applyBorder="1" applyAlignment="1">
      <alignment horizontal="center"/>
    </xf>
    <xf numFmtId="0" fontId="0" fillId="0" borderId="25" xfId="0" applyBorder="1" applyAlignment="1">
      <alignment horizontal="center"/>
    </xf>
    <xf numFmtId="0" fontId="0" fillId="0" borderId="26" xfId="0" applyBorder="1" applyAlignment="1">
      <alignment horizontal="center"/>
    </xf>
    <xf numFmtId="0" fontId="0" fillId="0" borderId="27" xfId="0" applyBorder="1" applyAlignment="1">
      <alignment horizontal="center"/>
    </xf>
    <xf numFmtId="0" fontId="0" fillId="0" borderId="28" xfId="0" applyBorder="1" applyAlignment="1">
      <alignment horizontal="center"/>
    </xf>
    <xf numFmtId="0" fontId="0" fillId="0" borderId="29" xfId="0" applyBorder="1" applyAlignment="1">
      <alignment horizontal="center"/>
    </xf>
    <xf numFmtId="0" fontId="0" fillId="0" borderId="30" xfId="0" applyBorder="1" applyAlignment="1">
      <alignment horizontal="center"/>
    </xf>
    <xf numFmtId="0" fontId="0" fillId="0" borderId="22" xfId="0" applyBorder="1" applyAlignment="1">
      <alignment horizontal="left" indent="1"/>
    </xf>
    <xf numFmtId="0" fontId="0" fillId="0" borderId="23" xfId="0" applyBorder="1" applyAlignment="1">
      <alignment horizontal="left" indent="1"/>
    </xf>
    <xf numFmtId="0" fontId="0" fillId="0" borderId="24" xfId="0" applyBorder="1" applyAlignment="1">
      <alignment horizontal="left" indent="1"/>
    </xf>
    <xf numFmtId="0" fontId="0" fillId="0" borderId="12" xfId="0" applyBorder="1" applyAlignment="1">
      <alignment horizontal="right"/>
    </xf>
    <xf numFmtId="175" fontId="0" fillId="0" borderId="0" xfId="0" applyNumberFormat="1" applyAlignment="1">
      <alignment horizontal="right"/>
    </xf>
    <xf numFmtId="0" fontId="4" fillId="7" borderId="2" xfId="0" applyFont="1" applyFill="1" applyBorder="1" applyAlignment="1">
      <alignment horizontal="right"/>
    </xf>
    <xf numFmtId="0" fontId="4" fillId="7" borderId="5" xfId="0" applyFont="1" applyFill="1" applyBorder="1" applyAlignment="1">
      <alignment horizontal="right"/>
    </xf>
    <xf numFmtId="0" fontId="10" fillId="7" borderId="7" xfId="0" applyFont="1" applyFill="1" applyBorder="1" applyAlignment="1">
      <alignment horizontal="right"/>
    </xf>
    <xf numFmtId="173" fontId="0" fillId="8" borderId="3" xfId="0" applyNumberFormat="1" applyFill="1" applyBorder="1" applyAlignment="1">
      <alignment horizontal="right"/>
    </xf>
    <xf numFmtId="173" fontId="0" fillId="8" borderId="31" xfId="0" applyNumberFormat="1" applyFill="1" applyBorder="1" applyAlignment="1">
      <alignment horizontal="right"/>
    </xf>
    <xf numFmtId="173" fontId="0" fillId="8" borderId="0" xfId="0" applyNumberFormat="1" applyFill="1" applyAlignment="1">
      <alignment horizontal="right"/>
    </xf>
    <xf numFmtId="173" fontId="0" fillId="8" borderId="32" xfId="0" applyNumberFormat="1" applyFill="1" applyBorder="1" applyAlignment="1">
      <alignment horizontal="right"/>
    </xf>
    <xf numFmtId="173" fontId="4" fillId="8" borderId="33" xfId="0" applyNumberFormat="1" applyFont="1" applyFill="1" applyBorder="1" applyAlignment="1">
      <alignment horizontal="right"/>
    </xf>
    <xf numFmtId="173" fontId="4" fillId="8" borderId="34" xfId="0" applyNumberFormat="1" applyFont="1" applyFill="1" applyBorder="1" applyAlignment="1">
      <alignment horizontal="right"/>
    </xf>
    <xf numFmtId="173" fontId="0" fillId="9" borderId="0" xfId="0" applyNumberFormat="1" applyFill="1" applyAlignment="1">
      <alignment horizontal="right"/>
    </xf>
    <xf numFmtId="173" fontId="0" fillId="9" borderId="3" xfId="0" applyNumberFormat="1" applyFill="1" applyBorder="1" applyAlignment="1">
      <alignment horizontal="right"/>
    </xf>
    <xf numFmtId="173" fontId="0" fillId="9" borderId="35" xfId="0" applyNumberFormat="1" applyFill="1" applyBorder="1" applyAlignment="1">
      <alignment horizontal="right"/>
    </xf>
    <xf numFmtId="173" fontId="0" fillId="9" borderId="36" xfId="0" applyNumberFormat="1" applyFill="1" applyBorder="1" applyAlignment="1">
      <alignment horizontal="right"/>
    </xf>
    <xf numFmtId="173" fontId="4" fillId="9" borderId="37" xfId="0" applyNumberFormat="1" applyFont="1" applyFill="1" applyBorder="1" applyAlignment="1">
      <alignment horizontal="right"/>
    </xf>
    <xf numFmtId="173" fontId="4" fillId="9" borderId="38" xfId="0" applyNumberFormat="1" applyFont="1" applyFill="1" applyBorder="1" applyAlignment="1">
      <alignment horizontal="right"/>
    </xf>
    <xf numFmtId="0" fontId="4" fillId="6" borderId="4" xfId="0" applyFont="1" applyFill="1" applyBorder="1" applyAlignment="1">
      <alignment horizontal="right"/>
    </xf>
    <xf numFmtId="0" fontId="4" fillId="6" borderId="6" xfId="0" applyFont="1" applyFill="1" applyBorder="1" applyAlignment="1">
      <alignment horizontal="right"/>
    </xf>
    <xf numFmtId="0" fontId="0" fillId="0" borderId="5" xfId="0" applyBorder="1" applyAlignment="1">
      <alignment horizontal="right"/>
    </xf>
    <xf numFmtId="0" fontId="0" fillId="0" borderId="6" xfId="0" applyBorder="1" applyAlignment="1">
      <alignment horizontal="right"/>
    </xf>
    <xf numFmtId="0" fontId="10" fillId="6" borderId="8" xfId="0" applyFont="1" applyFill="1" applyBorder="1" applyAlignment="1">
      <alignment horizontal="right"/>
    </xf>
    <xf numFmtId="0" fontId="10" fillId="10" borderId="1" xfId="0" applyFont="1" applyFill="1" applyBorder="1" applyAlignment="1">
      <alignment horizontal="right"/>
    </xf>
    <xf numFmtId="0" fontId="10" fillId="10" borderId="8" xfId="0" applyFont="1" applyFill="1" applyBorder="1" applyAlignment="1">
      <alignment horizontal="right"/>
    </xf>
    <xf numFmtId="0" fontId="0" fillId="10" borderId="3" xfId="0" applyFill="1" applyBorder="1" applyAlignment="1">
      <alignment horizontal="right"/>
    </xf>
    <xf numFmtId="0" fontId="0" fillId="10" borderId="4" xfId="0" applyFill="1" applyBorder="1" applyAlignment="1">
      <alignment horizontal="right"/>
    </xf>
    <xf numFmtId="0" fontId="0" fillId="10" borderId="0" xfId="0" applyFill="1" applyAlignment="1">
      <alignment horizontal="right"/>
    </xf>
    <xf numFmtId="0" fontId="0" fillId="10" borderId="6" xfId="0" applyFill="1" applyBorder="1" applyAlignment="1">
      <alignment horizontal="right"/>
    </xf>
    <xf numFmtId="0" fontId="4" fillId="11" borderId="39" xfId="0" applyFont="1" applyFill="1" applyBorder="1" applyAlignment="1">
      <alignment horizontal="right"/>
    </xf>
    <xf numFmtId="0" fontId="4" fillId="11" borderId="40" xfId="0" applyFont="1" applyFill="1" applyBorder="1" applyAlignment="1">
      <alignment horizontal="right"/>
    </xf>
    <xf numFmtId="0" fontId="10" fillId="11" borderId="41" xfId="0" applyFont="1" applyFill="1" applyBorder="1" applyAlignment="1">
      <alignment horizontal="right"/>
    </xf>
    <xf numFmtId="0" fontId="4" fillId="11" borderId="5" xfId="0" applyFont="1" applyFill="1" applyBorder="1" applyAlignment="1">
      <alignment horizontal="right"/>
    </xf>
    <xf numFmtId="0" fontId="4" fillId="0" borderId="5" xfId="0" quotePrefix="1" applyFont="1" applyBorder="1" applyAlignment="1">
      <alignment horizontal="right"/>
    </xf>
    <xf numFmtId="43" fontId="0" fillId="0" borderId="3" xfId="1" applyFont="1" applyBorder="1" applyAlignment="1">
      <alignment horizontal="right" indent="1"/>
    </xf>
    <xf numFmtId="43" fontId="0" fillId="0" borderId="0" xfId="1" applyFont="1" applyBorder="1" applyAlignment="1">
      <alignment horizontal="right" indent="1"/>
    </xf>
    <xf numFmtId="0" fontId="14" fillId="0" borderId="7" xfId="0" applyFont="1" applyBorder="1" applyAlignment="1">
      <alignment horizontal="left" indent="1"/>
    </xf>
    <xf numFmtId="0" fontId="14" fillId="0" borderId="1" xfId="0" applyFont="1" applyBorder="1" applyAlignment="1">
      <alignment horizontal="left"/>
    </xf>
    <xf numFmtId="0" fontId="14" fillId="0" borderId="1" xfId="0" applyFont="1" applyBorder="1" applyAlignment="1">
      <alignment horizontal="right" indent="1"/>
    </xf>
    <xf numFmtId="0" fontId="14" fillId="0" borderId="8" xfId="0" applyFont="1" applyBorder="1" applyAlignment="1">
      <alignment horizontal="right" indent="1"/>
    </xf>
    <xf numFmtId="43" fontId="0" fillId="0" borderId="13" xfId="1" applyFont="1" applyBorder="1" applyAlignment="1">
      <alignment horizontal="right"/>
    </xf>
    <xf numFmtId="43" fontId="0" fillId="0" borderId="14" xfId="1" applyFont="1" applyBorder="1" applyAlignment="1">
      <alignment horizontal="right"/>
    </xf>
    <xf numFmtId="170" fontId="0" fillId="0" borderId="2" xfId="0" applyNumberFormat="1" applyBorder="1" applyAlignment="1">
      <alignment horizontal="left" indent="1"/>
    </xf>
    <xf numFmtId="0" fontId="0" fillId="0" borderId="3" xfId="0" applyBorder="1" applyAlignment="1">
      <alignment horizontal="left"/>
    </xf>
    <xf numFmtId="170" fontId="0" fillId="0" borderId="5" xfId="0" applyNumberFormat="1" applyBorder="1" applyAlignment="1">
      <alignment horizontal="left" indent="1"/>
    </xf>
    <xf numFmtId="43" fontId="0" fillId="0" borderId="0" xfId="1" applyFont="1" applyFill="1" applyBorder="1" applyAlignment="1">
      <alignment horizontal="right" indent="1"/>
    </xf>
    <xf numFmtId="170" fontId="0" fillId="8" borderId="5" xfId="0" applyNumberFormat="1" applyFill="1" applyBorder="1" applyAlignment="1">
      <alignment horizontal="left" indent="1"/>
    </xf>
    <xf numFmtId="0" fontId="0" fillId="8" borderId="0" xfId="0" applyFill="1" applyAlignment="1">
      <alignment horizontal="left"/>
    </xf>
    <xf numFmtId="2" fontId="0" fillId="8" borderId="0" xfId="0" applyNumberFormat="1" applyFill="1" applyAlignment="1">
      <alignment horizontal="right" indent="1"/>
    </xf>
    <xf numFmtId="43" fontId="0" fillId="8" borderId="14" xfId="1" applyFont="1" applyFill="1" applyBorder="1" applyAlignment="1">
      <alignment horizontal="right"/>
    </xf>
    <xf numFmtId="43" fontId="0" fillId="0" borderId="0" xfId="1" applyFont="1"/>
    <xf numFmtId="0" fontId="0" fillId="0" borderId="2" xfId="0" applyBorder="1"/>
    <xf numFmtId="0" fontId="0" fillId="0" borderId="5" xfId="0" applyBorder="1"/>
    <xf numFmtId="0" fontId="0" fillId="0" borderId="7" xfId="0" applyBorder="1"/>
    <xf numFmtId="0" fontId="4" fillId="0" borderId="1" xfId="0" applyFont="1" applyBorder="1"/>
    <xf numFmtId="0" fontId="0" fillId="0" borderId="2" xfId="0" applyBorder="1" applyAlignment="1">
      <alignment horizontal="left" indent="1"/>
    </xf>
    <xf numFmtId="0" fontId="0" fillId="0" borderId="5" xfId="0" applyBorder="1" applyAlignment="1">
      <alignment horizontal="left" indent="1"/>
    </xf>
    <xf numFmtId="0" fontId="0" fillId="0" borderId="3" xfId="0" applyBorder="1" applyAlignment="1">
      <alignment horizontal="right"/>
    </xf>
    <xf numFmtId="43" fontId="0" fillId="0" borderId="4" xfId="1" applyFont="1" applyBorder="1" applyAlignment="1">
      <alignment horizontal="right" indent="1"/>
    </xf>
    <xf numFmtId="43" fontId="0" fillId="0" borderId="6" xfId="1" applyFont="1" applyBorder="1" applyAlignment="1">
      <alignment horizontal="right" indent="1"/>
    </xf>
    <xf numFmtId="0" fontId="0" fillId="0" borderId="4" xfId="0" applyBorder="1" applyAlignment="1">
      <alignment horizontal="left" indent="1"/>
    </xf>
    <xf numFmtId="0" fontId="0" fillId="0" borderId="6" xfId="0" applyBorder="1" applyAlignment="1">
      <alignment horizontal="left" indent="1"/>
    </xf>
    <xf numFmtId="0" fontId="0" fillId="0" borderId="1" xfId="0" applyBorder="1" applyAlignment="1">
      <alignment horizontal="center"/>
    </xf>
    <xf numFmtId="0" fontId="0" fillId="0" borderId="8" xfId="0" applyBorder="1" applyAlignment="1">
      <alignment horizontal="center"/>
    </xf>
    <xf numFmtId="0" fontId="0" fillId="0" borderId="6" xfId="0" applyBorder="1" applyAlignment="1">
      <alignment horizontal="center"/>
    </xf>
    <xf numFmtId="0" fontId="18" fillId="0" borderId="0" xfId="0" applyFont="1"/>
    <xf numFmtId="11" fontId="0" fillId="0" borderId="0" xfId="1" applyNumberFormat="1" applyFont="1"/>
    <xf numFmtId="0" fontId="4" fillId="12" borderId="2" xfId="0" applyFont="1" applyFill="1" applyBorder="1" applyAlignment="1">
      <alignment horizontal="left" indent="1"/>
    </xf>
    <xf numFmtId="43" fontId="4" fillId="12" borderId="3" xfId="1" applyFont="1" applyFill="1" applyBorder="1" applyAlignment="1">
      <alignment horizontal="right" indent="1"/>
    </xf>
    <xf numFmtId="43" fontId="4" fillId="12" borderId="4" xfId="1" applyFont="1" applyFill="1" applyBorder="1" applyAlignment="1">
      <alignment horizontal="right" indent="1"/>
    </xf>
    <xf numFmtId="0" fontId="4" fillId="12" borderId="7" xfId="0" applyFont="1" applyFill="1" applyBorder="1" applyAlignment="1">
      <alignment horizontal="left" indent="1"/>
    </xf>
    <xf numFmtId="43" fontId="4" fillId="12" borderId="1" xfId="1" applyFont="1" applyFill="1" applyBorder="1" applyAlignment="1">
      <alignment horizontal="right" indent="1"/>
    </xf>
    <xf numFmtId="43" fontId="4" fillId="12" borderId="8" xfId="1" applyFont="1" applyFill="1" applyBorder="1" applyAlignment="1">
      <alignment horizontal="right" indent="1"/>
    </xf>
    <xf numFmtId="0" fontId="4" fillId="13" borderId="9" xfId="0" applyFont="1" applyFill="1" applyBorder="1"/>
    <xf numFmtId="0" fontId="4" fillId="13" borderId="10" xfId="0" applyFont="1" applyFill="1" applyBorder="1" applyAlignment="1">
      <alignment horizontal="center"/>
    </xf>
    <xf numFmtId="0" fontId="4" fillId="13" borderId="11" xfId="0" applyFont="1" applyFill="1" applyBorder="1" applyAlignment="1">
      <alignment horizontal="center"/>
    </xf>
    <xf numFmtId="0" fontId="0" fillId="0" borderId="52" xfId="0" applyBorder="1"/>
    <xf numFmtId="0" fontId="0" fillId="0" borderId="53" xfId="0" applyBorder="1"/>
    <xf numFmtId="0" fontId="4" fillId="0" borderId="52" xfId="0" applyFont="1" applyBorder="1"/>
    <xf numFmtId="0" fontId="0" fillId="0" borderId="54" xfId="0" applyBorder="1"/>
    <xf numFmtId="0" fontId="0" fillId="0" borderId="55" xfId="0" applyBorder="1"/>
    <xf numFmtId="0" fontId="0" fillId="0" borderId="57" xfId="0" applyBorder="1"/>
    <xf numFmtId="0" fontId="9" fillId="2" borderId="9" xfId="0" applyFont="1" applyFill="1" applyBorder="1"/>
    <xf numFmtId="0" fontId="9" fillId="2" borderId="10" xfId="0" applyFont="1" applyFill="1" applyBorder="1"/>
    <xf numFmtId="0" fontId="9" fillId="2" borderId="11" xfId="0" applyFont="1" applyFill="1" applyBorder="1"/>
    <xf numFmtId="0" fontId="4" fillId="0" borderId="9" xfId="0" applyFont="1" applyBorder="1" applyAlignment="1">
      <alignment horizontal="right"/>
    </xf>
    <xf numFmtId="0" fontId="0" fillId="4" borderId="10" xfId="0" applyFill="1" applyBorder="1"/>
    <xf numFmtId="0" fontId="10" fillId="0" borderId="0" xfId="0" applyFont="1" applyAlignment="1">
      <alignment horizontal="left" indent="1"/>
    </xf>
    <xf numFmtId="0" fontId="0" fillId="2" borderId="9" xfId="0" applyFill="1" applyBorder="1" applyAlignment="1">
      <alignment horizontal="right"/>
    </xf>
    <xf numFmtId="0" fontId="0" fillId="2" borderId="10" xfId="0" applyFill="1" applyBorder="1" applyAlignment="1">
      <alignment horizontal="right"/>
    </xf>
    <xf numFmtId="0" fontId="0" fillId="2" borderId="11" xfId="0" applyFill="1" applyBorder="1" applyAlignment="1">
      <alignment horizontal="center"/>
    </xf>
    <xf numFmtId="0" fontId="0" fillId="0" borderId="60" xfId="0" applyBorder="1"/>
    <xf numFmtId="0" fontId="0" fillId="0" borderId="3" xfId="0" applyBorder="1"/>
    <xf numFmtId="0" fontId="0" fillId="0" borderId="61" xfId="0" applyBorder="1"/>
    <xf numFmtId="0" fontId="9" fillId="2" borderId="10" xfId="0" applyFont="1" applyFill="1" applyBorder="1" applyAlignment="1">
      <alignment horizontal="center"/>
    </xf>
    <xf numFmtId="0" fontId="9" fillId="2" borderId="11" xfId="0" applyFont="1" applyFill="1" applyBorder="1" applyAlignment="1">
      <alignment horizontal="center"/>
    </xf>
    <xf numFmtId="0" fontId="4" fillId="14" borderId="9" xfId="0" applyFont="1" applyFill="1" applyBorder="1" applyAlignment="1">
      <alignment horizontal="right"/>
    </xf>
    <xf numFmtId="0" fontId="0" fillId="14" borderId="10" xfId="0" applyFill="1" applyBorder="1" applyAlignment="1">
      <alignment horizontal="right"/>
    </xf>
    <xf numFmtId="0" fontId="0" fillId="14" borderId="11" xfId="0" applyFill="1" applyBorder="1" applyAlignment="1">
      <alignment horizontal="right"/>
    </xf>
    <xf numFmtId="0" fontId="0" fillId="14" borderId="11" xfId="0" applyFill="1" applyBorder="1" applyAlignment="1">
      <alignment horizontal="center"/>
    </xf>
    <xf numFmtId="176" fontId="0" fillId="0" borderId="0" xfId="1" applyNumberFormat="1" applyFont="1"/>
    <xf numFmtId="43" fontId="0" fillId="2" borderId="13" xfId="1" applyFont="1" applyFill="1" applyBorder="1" applyAlignment="1">
      <alignment horizontal="right"/>
    </xf>
    <xf numFmtId="43" fontId="4" fillId="2" borderId="14" xfId="1" applyFont="1" applyFill="1" applyBorder="1" applyAlignment="1">
      <alignment horizontal="right"/>
    </xf>
    <xf numFmtId="43" fontId="10" fillId="2" borderId="15" xfId="1" applyFont="1" applyFill="1" applyBorder="1" applyAlignment="1">
      <alignment horizontal="right"/>
    </xf>
    <xf numFmtId="0" fontId="21" fillId="0" borderId="0" xfId="0" applyFont="1" applyAlignment="1">
      <alignment horizontal="left" indent="1"/>
    </xf>
    <xf numFmtId="0" fontId="22" fillId="5" borderId="1" xfId="0" applyFont="1" applyFill="1" applyBorder="1" applyAlignment="1">
      <alignment horizontal="left" indent="1"/>
    </xf>
    <xf numFmtId="11" fontId="0" fillId="0" borderId="0" xfId="0" applyNumberFormat="1"/>
    <xf numFmtId="0" fontId="15" fillId="8" borderId="3" xfId="0" applyFont="1" applyFill="1" applyBorder="1" applyAlignment="1">
      <alignment horizontal="right"/>
    </xf>
    <xf numFmtId="0" fontId="15" fillId="8" borderId="4" xfId="0" applyFont="1" applyFill="1" applyBorder="1" applyAlignment="1">
      <alignment horizontal="right" indent="1"/>
    </xf>
    <xf numFmtId="0" fontId="24" fillId="8" borderId="1" xfId="0" applyFont="1" applyFill="1" applyBorder="1" applyAlignment="1">
      <alignment horizontal="right"/>
    </xf>
    <xf numFmtId="0" fontId="24" fillId="8" borderId="8" xfId="0" applyFont="1" applyFill="1" applyBorder="1" applyAlignment="1">
      <alignment horizontal="right"/>
    </xf>
    <xf numFmtId="0" fontId="15" fillId="8" borderId="2" xfId="0" applyFont="1" applyFill="1" applyBorder="1" applyAlignment="1">
      <alignment horizontal="left"/>
    </xf>
    <xf numFmtId="0" fontId="15" fillId="8" borderId="3" xfId="0" applyFont="1" applyFill="1" applyBorder="1" applyAlignment="1">
      <alignment horizontal="left"/>
    </xf>
    <xf numFmtId="0" fontId="24" fillId="8" borderId="7" xfId="0" applyFont="1" applyFill="1" applyBorder="1" applyAlignment="1">
      <alignment horizontal="left"/>
    </xf>
    <xf numFmtId="0" fontId="24" fillId="8" borderId="1" xfId="0" applyFont="1" applyFill="1" applyBorder="1" applyAlignment="1">
      <alignment horizontal="left"/>
    </xf>
    <xf numFmtId="0" fontId="0" fillId="0" borderId="60" xfId="0" applyBorder="1" applyAlignment="1">
      <alignment horizontal="left"/>
    </xf>
    <xf numFmtId="0" fontId="0" fillId="0" borderId="52" xfId="0" applyBorder="1" applyAlignment="1">
      <alignment horizontal="left"/>
    </xf>
    <xf numFmtId="0" fontId="4" fillId="0" borderId="3" xfId="0" applyFont="1" applyBorder="1"/>
    <xf numFmtId="43" fontId="0" fillId="0" borderId="0" xfId="1" applyFont="1" applyBorder="1" applyAlignment="1">
      <alignment horizontal="right"/>
    </xf>
    <xf numFmtId="0" fontId="21" fillId="0" borderId="61" xfId="0" applyFont="1" applyBorder="1" applyAlignment="1">
      <alignment horizontal="left" indent="1"/>
    </xf>
    <xf numFmtId="0" fontId="21" fillId="0" borderId="53" xfId="0" applyFont="1" applyBorder="1" applyAlignment="1">
      <alignment horizontal="left" indent="1"/>
    </xf>
    <xf numFmtId="0" fontId="15" fillId="0" borderId="1" xfId="0" applyFont="1" applyBorder="1" applyAlignment="1">
      <alignment horizontal="left"/>
    </xf>
    <xf numFmtId="0" fontId="21" fillId="0" borderId="45" xfId="0" applyFont="1" applyBorder="1" applyAlignment="1">
      <alignment horizontal="left" indent="1"/>
    </xf>
    <xf numFmtId="0" fontId="21" fillId="0" borderId="47" xfId="0" applyFont="1" applyBorder="1" applyAlignment="1">
      <alignment horizontal="left" indent="1"/>
    </xf>
    <xf numFmtId="0" fontId="4" fillId="0" borderId="2" xfId="0" applyFont="1" applyBorder="1"/>
    <xf numFmtId="0" fontId="4" fillId="0" borderId="7" xfId="0" applyFont="1" applyBorder="1"/>
    <xf numFmtId="0" fontId="0" fillId="0" borderId="46" xfId="0" applyBorder="1" applyAlignment="1">
      <alignment horizontal="right"/>
    </xf>
    <xf numFmtId="0" fontId="0" fillId="0" borderId="48" xfId="0" applyBorder="1" applyAlignment="1">
      <alignment horizontal="right"/>
    </xf>
    <xf numFmtId="0" fontId="0" fillId="0" borderId="49" xfId="0" applyBorder="1" applyAlignment="1">
      <alignment horizontal="right"/>
    </xf>
    <xf numFmtId="0" fontId="4" fillId="14" borderId="5" xfId="0" applyFont="1" applyFill="1" applyBorder="1" applyAlignment="1">
      <alignment vertical="center"/>
    </xf>
    <xf numFmtId="0" fontId="0" fillId="14" borderId="0" xfId="0" applyFill="1"/>
    <xf numFmtId="0" fontId="0" fillId="14" borderId="6" xfId="0" applyFill="1" applyBorder="1"/>
    <xf numFmtId="0" fontId="4" fillId="15" borderId="7" xfId="0" applyFont="1" applyFill="1" applyBorder="1" applyAlignment="1">
      <alignment horizontal="left" vertical="center"/>
    </xf>
    <xf numFmtId="0" fontId="0" fillId="15" borderId="1" xfId="0" applyFill="1" applyBorder="1"/>
    <xf numFmtId="0" fontId="0" fillId="15" borderId="8" xfId="0" applyFill="1" applyBorder="1"/>
    <xf numFmtId="0" fontId="10" fillId="2" borderId="7" xfId="0" applyFont="1" applyFill="1" applyBorder="1" applyAlignment="1">
      <alignment horizontal="right"/>
    </xf>
    <xf numFmtId="0" fontId="10" fillId="2" borderId="1" xfId="0" applyFont="1" applyFill="1" applyBorder="1" applyAlignment="1">
      <alignment horizontal="right"/>
    </xf>
    <xf numFmtId="177" fontId="0" fillId="0" borderId="62" xfId="1" applyNumberFormat="1" applyFont="1" applyBorder="1" applyAlignment="1">
      <alignment horizontal="right"/>
    </xf>
    <xf numFmtId="177" fontId="0" fillId="0" borderId="3" xfId="1" applyNumberFormat="1" applyFont="1" applyBorder="1" applyAlignment="1">
      <alignment horizontal="right"/>
    </xf>
    <xf numFmtId="177" fontId="0" fillId="0" borderId="45" xfId="1" applyNumberFormat="1" applyFont="1" applyBorder="1" applyAlignment="1">
      <alignment horizontal="right"/>
    </xf>
    <xf numFmtId="177" fontId="0" fillId="0" borderId="0" xfId="1" applyNumberFormat="1" applyFont="1" applyBorder="1" applyAlignment="1">
      <alignment horizontal="right"/>
    </xf>
    <xf numFmtId="177" fontId="0" fillId="0" borderId="47" xfId="1" applyNumberFormat="1" applyFont="1" applyBorder="1" applyAlignment="1">
      <alignment horizontal="right"/>
    </xf>
    <xf numFmtId="177" fontId="0" fillId="0" borderId="48" xfId="1" applyNumberFormat="1" applyFont="1" applyBorder="1" applyAlignment="1">
      <alignment horizontal="right"/>
    </xf>
    <xf numFmtId="0" fontId="0" fillId="15" borderId="1" xfId="0" applyFill="1" applyBorder="1" applyAlignment="1">
      <alignment horizontal="right"/>
    </xf>
    <xf numFmtId="0" fontId="6" fillId="15" borderId="1" xfId="0" applyFont="1" applyFill="1" applyBorder="1" applyAlignment="1">
      <alignment horizontal="right"/>
    </xf>
    <xf numFmtId="0" fontId="25" fillId="16" borderId="10" xfId="0" applyFont="1" applyFill="1" applyBorder="1" applyAlignment="1">
      <alignment horizontal="right"/>
    </xf>
    <xf numFmtId="0" fontId="25" fillId="16" borderId="10" xfId="0" applyFont="1" applyFill="1" applyBorder="1"/>
    <xf numFmtId="0" fontId="6" fillId="2" borderId="3" xfId="0" applyFont="1" applyFill="1" applyBorder="1" applyAlignment="1">
      <alignment horizontal="right"/>
    </xf>
    <xf numFmtId="0" fontId="6" fillId="14" borderId="0" xfId="0" applyFont="1" applyFill="1" applyAlignment="1">
      <alignment horizontal="right"/>
    </xf>
    <xf numFmtId="0" fontId="26" fillId="0" borderId="60" xfId="0" applyFont="1" applyBorder="1"/>
    <xf numFmtId="0" fontId="26" fillId="0" borderId="52" xfId="0" applyFont="1" applyBorder="1"/>
    <xf numFmtId="0" fontId="4" fillId="14" borderId="2" xfId="0" applyFont="1" applyFill="1" applyBorder="1"/>
    <xf numFmtId="0" fontId="4" fillId="14" borderId="3" xfId="0" applyFont="1" applyFill="1" applyBorder="1" applyAlignment="1">
      <alignment horizontal="right"/>
    </xf>
    <xf numFmtId="0" fontId="4" fillId="14" borderId="7" xfId="0" applyFont="1" applyFill="1" applyBorder="1"/>
    <xf numFmtId="0" fontId="4" fillId="14" borderId="1" xfId="0" applyFont="1" applyFill="1" applyBorder="1" applyAlignment="1">
      <alignment horizontal="right"/>
    </xf>
    <xf numFmtId="0" fontId="4" fillId="15" borderId="2" xfId="0" applyFont="1" applyFill="1" applyBorder="1"/>
    <xf numFmtId="0" fontId="4" fillId="15" borderId="7" xfId="0" applyFont="1" applyFill="1" applyBorder="1"/>
    <xf numFmtId="0" fontId="4" fillId="14" borderId="3" xfId="0" applyFont="1" applyFill="1" applyBorder="1" applyAlignment="1">
      <alignment horizontal="left"/>
    </xf>
    <xf numFmtId="0" fontId="4" fillId="14" borderId="0" xfId="0" applyFont="1" applyFill="1" applyAlignment="1">
      <alignment horizontal="left"/>
    </xf>
    <xf numFmtId="0" fontId="0" fillId="14" borderId="1" xfId="0" applyFill="1" applyBorder="1" applyAlignment="1">
      <alignment horizontal="left"/>
    </xf>
    <xf numFmtId="0" fontId="4" fillId="14" borderId="3" xfId="0" applyFont="1" applyFill="1" applyBorder="1" applyAlignment="1">
      <alignment horizontal="right" indent="1"/>
    </xf>
    <xf numFmtId="0" fontId="4" fillId="14" borderId="0" xfId="0" applyFont="1" applyFill="1" applyAlignment="1">
      <alignment horizontal="right" indent="1"/>
    </xf>
    <xf numFmtId="0" fontId="0" fillId="14" borderId="1" xfId="0" applyFill="1" applyBorder="1" applyAlignment="1">
      <alignment horizontal="right" indent="1"/>
    </xf>
    <xf numFmtId="0" fontId="21" fillId="0" borderId="0" xfId="0" applyFont="1" applyAlignment="1">
      <alignment horizontal="right" indent="1"/>
    </xf>
    <xf numFmtId="4" fontId="0" fillId="0" borderId="0" xfId="0" applyNumberFormat="1" applyAlignment="1">
      <alignment horizontal="right"/>
    </xf>
    <xf numFmtId="4" fontId="0" fillId="0" borderId="0" xfId="0" applyNumberFormat="1"/>
    <xf numFmtId="178" fontId="0" fillId="2" borderId="0" xfId="0" applyNumberFormat="1" applyFill="1" applyAlignment="1">
      <alignment horizontal="right"/>
    </xf>
    <xf numFmtId="178" fontId="0" fillId="2" borderId="48" xfId="0" applyNumberFormat="1" applyFill="1" applyBorder="1" applyAlignment="1">
      <alignment horizontal="right"/>
    </xf>
    <xf numFmtId="0" fontId="0" fillId="14" borderId="0" xfId="0" applyFill="1" applyAlignment="1">
      <alignment horizontal="right"/>
    </xf>
    <xf numFmtId="0" fontId="6" fillId="0" borderId="9" xfId="0" applyFont="1" applyBorder="1"/>
    <xf numFmtId="0" fontId="4" fillId="2" borderId="5" xfId="0" applyFont="1" applyFill="1" applyBorder="1" applyAlignment="1">
      <alignment horizontal="left" indent="1"/>
    </xf>
    <xf numFmtId="0" fontId="0" fillId="0" borderId="11" xfId="0" applyBorder="1"/>
    <xf numFmtId="0" fontId="21" fillId="0" borderId="2" xfId="0" applyFont="1" applyBorder="1" applyAlignment="1">
      <alignment horizontal="left" indent="1"/>
    </xf>
    <xf numFmtId="0" fontId="21" fillId="0" borderId="5" xfId="0" applyFont="1" applyBorder="1" applyAlignment="1">
      <alignment horizontal="left" indent="1"/>
    </xf>
    <xf numFmtId="0" fontId="21" fillId="0" borderId="7" xfId="0" applyFont="1" applyBorder="1" applyAlignment="1">
      <alignment horizontal="left" indent="1"/>
    </xf>
    <xf numFmtId="0" fontId="6" fillId="2" borderId="0" xfId="0" applyFont="1" applyFill="1"/>
    <xf numFmtId="0" fontId="4" fillId="14" borderId="0" xfId="0" applyFont="1" applyFill="1" applyAlignment="1">
      <alignment horizontal="right"/>
    </xf>
    <xf numFmtId="0" fontId="21" fillId="0" borderId="0" xfId="0" applyFont="1" applyAlignment="1">
      <alignment horizontal="right"/>
    </xf>
    <xf numFmtId="4" fontId="0" fillId="0" borderId="0" xfId="1" applyNumberFormat="1" applyFont="1" applyBorder="1" applyAlignment="1">
      <alignment horizontal="right"/>
    </xf>
    <xf numFmtId="0" fontId="26" fillId="0" borderId="62" xfId="0" applyFont="1" applyBorder="1"/>
    <xf numFmtId="4" fontId="0" fillId="0" borderId="3" xfId="1" applyNumberFormat="1" applyFont="1" applyBorder="1" applyAlignment="1">
      <alignment horizontal="right"/>
    </xf>
    <xf numFmtId="0" fontId="26" fillId="0" borderId="45" xfId="0" applyFont="1" applyBorder="1"/>
    <xf numFmtId="0" fontId="0" fillId="0" borderId="45" xfId="0" applyBorder="1"/>
    <xf numFmtId="0" fontId="0" fillId="0" borderId="47" xfId="0" applyBorder="1"/>
    <xf numFmtId="0" fontId="4" fillId="0" borderId="48" xfId="0" applyFont="1" applyBorder="1"/>
    <xf numFmtId="0" fontId="0" fillId="2" borderId="45" xfId="0" applyFill="1" applyBorder="1"/>
    <xf numFmtId="0" fontId="6" fillId="14" borderId="9" xfId="0" applyFont="1" applyFill="1" applyBorder="1"/>
    <xf numFmtId="0" fontId="6" fillId="14" borderId="10" xfId="0" applyFont="1" applyFill="1" applyBorder="1"/>
    <xf numFmtId="0" fontId="6" fillId="14" borderId="10" xfId="0" applyFont="1" applyFill="1" applyBorder="1" applyAlignment="1">
      <alignment horizontal="right"/>
    </xf>
    <xf numFmtId="0" fontId="6" fillId="14" borderId="11" xfId="0" applyFont="1" applyFill="1" applyBorder="1" applyAlignment="1">
      <alignment horizontal="right"/>
    </xf>
    <xf numFmtId="0" fontId="5" fillId="0" borderId="0" xfId="0" applyFont="1"/>
    <xf numFmtId="0" fontId="0" fillId="2" borderId="2" xfId="0" applyFill="1" applyBorder="1" applyAlignment="1">
      <alignment horizontal="left" indent="1"/>
    </xf>
    <xf numFmtId="0" fontId="0" fillId="2" borderId="7" xfId="0" applyFill="1" applyBorder="1" applyAlignment="1">
      <alignment horizontal="left" indent="1"/>
    </xf>
    <xf numFmtId="0" fontId="10" fillId="2" borderId="8" xfId="0" applyFont="1" applyFill="1" applyBorder="1" applyAlignment="1">
      <alignment horizontal="right"/>
    </xf>
    <xf numFmtId="4" fontId="0" fillId="0" borderId="62" xfId="0" applyNumberFormat="1" applyBorder="1" applyAlignment="1">
      <alignment horizontal="right"/>
    </xf>
    <xf numFmtId="4" fontId="0" fillId="0" borderId="45" xfId="0" applyNumberFormat="1" applyBorder="1" applyAlignment="1">
      <alignment horizontal="right"/>
    </xf>
    <xf numFmtId="4" fontId="0" fillId="0" borderId="47" xfId="0" applyNumberFormat="1" applyBorder="1" applyAlignment="1">
      <alignment horizontal="right"/>
    </xf>
    <xf numFmtId="4" fontId="0" fillId="0" borderId="48" xfId="1" applyNumberFormat="1" applyFont="1" applyBorder="1" applyAlignment="1">
      <alignment horizontal="right"/>
    </xf>
    <xf numFmtId="4" fontId="0" fillId="0" borderId="1" xfId="0" applyNumberFormat="1" applyBorder="1" applyAlignment="1">
      <alignment horizontal="right"/>
    </xf>
    <xf numFmtId="0" fontId="0" fillId="0" borderId="5" xfId="0" applyBorder="1" applyAlignment="1">
      <alignment horizontal="left"/>
    </xf>
    <xf numFmtId="0" fontId="0" fillId="0" borderId="7" xfId="0" applyBorder="1" applyAlignment="1">
      <alignment horizontal="left"/>
    </xf>
    <xf numFmtId="178" fontId="0" fillId="2" borderId="6" xfId="0" applyNumberFormat="1" applyFill="1" applyBorder="1" applyAlignment="1">
      <alignment horizontal="right"/>
    </xf>
    <xf numFmtId="178" fontId="0" fillId="2" borderId="65" xfId="0" applyNumberFormat="1" applyFill="1" applyBorder="1" applyAlignment="1">
      <alignment horizontal="right"/>
    </xf>
    <xf numFmtId="4" fontId="0" fillId="0" borderId="6" xfId="0" applyNumberFormat="1" applyBorder="1" applyAlignment="1">
      <alignment horizontal="right"/>
    </xf>
    <xf numFmtId="4" fontId="0" fillId="0" borderId="8" xfId="0" applyNumberFormat="1" applyBorder="1" applyAlignment="1">
      <alignment horizontal="right"/>
    </xf>
    <xf numFmtId="0" fontId="28" fillId="0" borderId="0" xfId="0" applyFont="1"/>
    <xf numFmtId="4" fontId="0" fillId="0" borderId="63" xfId="1" applyNumberFormat="1" applyFont="1" applyBorder="1" applyAlignment="1">
      <alignment horizontal="right"/>
    </xf>
    <xf numFmtId="4" fontId="0" fillId="0" borderId="46" xfId="1" applyNumberFormat="1" applyFont="1" applyBorder="1" applyAlignment="1">
      <alignment horizontal="right"/>
    </xf>
    <xf numFmtId="4" fontId="0" fillId="0" borderId="49" xfId="1" applyNumberFormat="1" applyFont="1" applyBorder="1" applyAlignment="1">
      <alignment horizontal="right"/>
    </xf>
    <xf numFmtId="4" fontId="0" fillId="0" borderId="62" xfId="1" applyNumberFormat="1" applyFont="1" applyBorder="1" applyAlignment="1">
      <alignment horizontal="right"/>
    </xf>
    <xf numFmtId="4" fontId="0" fillId="0" borderId="45" xfId="1" applyNumberFormat="1" applyFont="1" applyBorder="1" applyAlignment="1">
      <alignment horizontal="right"/>
    </xf>
    <xf numFmtId="4" fontId="0" fillId="0" borderId="47" xfId="1" applyNumberFormat="1" applyFont="1" applyBorder="1" applyAlignment="1">
      <alignment horizontal="right"/>
    </xf>
    <xf numFmtId="0" fontId="4" fillId="2" borderId="64" xfId="0" applyFont="1" applyFill="1" applyBorder="1" applyAlignment="1">
      <alignment horizontal="left"/>
    </xf>
    <xf numFmtId="178" fontId="29" fillId="2" borderId="3" xfId="0" applyNumberFormat="1" applyFont="1" applyFill="1" applyBorder="1" applyAlignment="1">
      <alignment horizontal="right"/>
    </xf>
    <xf numFmtId="178" fontId="29" fillId="2" borderId="4" xfId="0" applyNumberFormat="1" applyFont="1" applyFill="1" applyBorder="1" applyAlignment="1">
      <alignment horizontal="right"/>
    </xf>
    <xf numFmtId="178" fontId="29" fillId="2" borderId="0" xfId="0" applyNumberFormat="1" applyFont="1" applyFill="1" applyAlignment="1">
      <alignment horizontal="right"/>
    </xf>
    <xf numFmtId="178" fontId="29" fillId="2" borderId="6" xfId="0" applyNumberFormat="1" applyFont="1" applyFill="1" applyBorder="1" applyAlignment="1">
      <alignment horizontal="right"/>
    </xf>
    <xf numFmtId="178" fontId="17" fillId="0" borderId="3" xfId="1" applyNumberFormat="1" applyFont="1" applyBorder="1" applyAlignment="1">
      <alignment horizontal="right"/>
    </xf>
    <xf numFmtId="178" fontId="17" fillId="0" borderId="3" xfId="0" applyNumberFormat="1" applyFont="1" applyBorder="1" applyAlignment="1">
      <alignment horizontal="right"/>
    </xf>
    <xf numFmtId="178" fontId="17" fillId="0" borderId="3" xfId="0" applyNumberFormat="1" applyFont="1" applyBorder="1"/>
    <xf numFmtId="178" fontId="17" fillId="0" borderId="63" xfId="0" applyNumberFormat="1" applyFont="1" applyBorder="1"/>
    <xf numFmtId="178" fontId="17" fillId="0" borderId="0" xfId="1" applyNumberFormat="1" applyFont="1" applyBorder="1" applyAlignment="1">
      <alignment horizontal="right"/>
    </xf>
    <xf numFmtId="178" fontId="17" fillId="0" borderId="0" xfId="0" applyNumberFormat="1" applyFont="1" applyAlignment="1">
      <alignment horizontal="right"/>
    </xf>
    <xf numFmtId="178" fontId="17" fillId="0" borderId="0" xfId="0" applyNumberFormat="1" applyFont="1"/>
    <xf numFmtId="178" fontId="17" fillId="0" borderId="46" xfId="0" applyNumberFormat="1" applyFont="1" applyBorder="1"/>
    <xf numFmtId="178" fontId="17" fillId="2" borderId="0" xfId="0" applyNumberFormat="1" applyFont="1" applyFill="1" applyAlignment="1">
      <alignment horizontal="right"/>
    </xf>
    <xf numFmtId="178" fontId="17" fillId="2" borderId="0" xfId="0" applyNumberFormat="1" applyFont="1" applyFill="1"/>
    <xf numFmtId="178" fontId="17" fillId="2" borderId="46" xfId="0" applyNumberFormat="1" applyFont="1" applyFill="1" applyBorder="1"/>
    <xf numFmtId="179" fontId="17" fillId="2" borderId="0" xfId="0" applyNumberFormat="1" applyFont="1" applyFill="1" applyAlignment="1">
      <alignment horizontal="right"/>
    </xf>
    <xf numFmtId="179" fontId="17" fillId="2" borderId="0" xfId="0" applyNumberFormat="1" applyFont="1" applyFill="1"/>
    <xf numFmtId="179" fontId="17" fillId="2" borderId="46" xfId="0" applyNumberFormat="1" applyFont="1" applyFill="1" applyBorder="1"/>
    <xf numFmtId="178" fontId="17" fillId="0" borderId="48" xfId="0" applyNumberFormat="1" applyFont="1" applyBorder="1" applyAlignment="1">
      <alignment horizontal="right"/>
    </xf>
    <xf numFmtId="178" fontId="17" fillId="0" borderId="48" xfId="0" applyNumberFormat="1" applyFont="1" applyBorder="1"/>
    <xf numFmtId="178" fontId="17" fillId="0" borderId="49" xfId="0" applyNumberFormat="1" applyFont="1" applyBorder="1"/>
    <xf numFmtId="0" fontId="6" fillId="15" borderId="9" xfId="0" applyFont="1" applyFill="1" applyBorder="1" applyAlignment="1">
      <alignment horizontal="left"/>
    </xf>
    <xf numFmtId="0" fontId="6" fillId="15" borderId="10" xfId="0" applyFont="1" applyFill="1" applyBorder="1" applyAlignment="1">
      <alignment horizontal="right"/>
    </xf>
    <xf numFmtId="0" fontId="6" fillId="15" borderId="10" xfId="0" applyFont="1" applyFill="1" applyBorder="1"/>
    <xf numFmtId="0" fontId="6" fillId="15" borderId="11" xfId="0" applyFont="1" applyFill="1" applyBorder="1"/>
    <xf numFmtId="0" fontId="5" fillId="0" borderId="0" xfId="0" applyFont="1" applyAlignment="1">
      <alignment horizontal="right"/>
    </xf>
    <xf numFmtId="0" fontId="30" fillId="14" borderId="10" xfId="0" applyFont="1" applyFill="1" applyBorder="1"/>
    <xf numFmtId="0" fontId="31" fillId="0" borderId="3" xfId="0" applyFont="1" applyBorder="1"/>
    <xf numFmtId="0" fontId="31" fillId="0" borderId="0" xfId="0" applyFont="1"/>
    <xf numFmtId="0" fontId="24" fillId="2" borderId="0" xfId="0" applyFont="1" applyFill="1"/>
    <xf numFmtId="0" fontId="24" fillId="0" borderId="0" xfId="0" applyFont="1"/>
    <xf numFmtId="0" fontId="24" fillId="0" borderId="48" xfId="0" applyFont="1" applyBorder="1"/>
    <xf numFmtId="0" fontId="32" fillId="15" borderId="9" xfId="0" applyFont="1" applyFill="1" applyBorder="1" applyAlignment="1">
      <alignment horizontal="right"/>
    </xf>
    <xf numFmtId="178" fontId="24" fillId="2" borderId="3" xfId="0" applyNumberFormat="1" applyFont="1" applyFill="1" applyBorder="1" applyAlignment="1">
      <alignment horizontal="right"/>
    </xf>
    <xf numFmtId="178" fontId="24" fillId="2" borderId="0" xfId="0" applyNumberFormat="1" applyFont="1" applyFill="1" applyAlignment="1">
      <alignment horizontal="right"/>
    </xf>
    <xf numFmtId="178" fontId="24" fillId="2" borderId="48" xfId="0" applyNumberFormat="1" applyFont="1" applyFill="1" applyBorder="1" applyAlignment="1">
      <alignment horizontal="right"/>
    </xf>
    <xf numFmtId="4" fontId="24" fillId="0" borderId="0" xfId="0" applyNumberFormat="1" applyFont="1" applyAlignment="1">
      <alignment horizontal="right"/>
    </xf>
    <xf numFmtId="4" fontId="24" fillId="0" borderId="1" xfId="0" applyNumberFormat="1" applyFont="1" applyBorder="1" applyAlignment="1">
      <alignment horizontal="right"/>
    </xf>
    <xf numFmtId="0" fontId="5" fillId="0" borderId="0" xfId="0" applyFont="1" applyAlignment="1">
      <alignment horizontal="left"/>
    </xf>
    <xf numFmtId="0" fontId="32" fillId="14" borderId="3" xfId="0" applyFont="1" applyFill="1" applyBorder="1" applyAlignment="1">
      <alignment horizontal="right"/>
    </xf>
    <xf numFmtId="0" fontId="32" fillId="14" borderId="0" xfId="0" applyFont="1" applyFill="1" applyAlignment="1">
      <alignment horizontal="right"/>
    </xf>
    <xf numFmtId="0" fontId="5" fillId="14" borderId="1" xfId="0" applyFont="1" applyFill="1" applyBorder="1" applyAlignment="1">
      <alignment horizontal="right"/>
    </xf>
    <xf numFmtId="0" fontId="33" fillId="0" borderId="0" xfId="0" applyFont="1" applyAlignment="1">
      <alignment horizontal="right"/>
    </xf>
    <xf numFmtId="0" fontId="34" fillId="0" borderId="0" xfId="2"/>
    <xf numFmtId="0" fontId="15" fillId="0" borderId="0" xfId="2" applyFont="1"/>
    <xf numFmtId="0" fontId="34" fillId="0" borderId="0" xfId="2" applyAlignment="1">
      <alignment horizontal="right"/>
    </xf>
    <xf numFmtId="0" fontId="23" fillId="0" borderId="0" xfId="2" applyFont="1"/>
    <xf numFmtId="4" fontId="34" fillId="2" borderId="60" xfId="2" applyNumberFormat="1" applyFill="1" applyBorder="1" applyAlignment="1">
      <alignment horizontal="right"/>
    </xf>
    <xf numFmtId="4" fontId="34" fillId="2" borderId="61" xfId="2" applyNumberFormat="1" applyFill="1" applyBorder="1" applyAlignment="1">
      <alignment horizontal="right"/>
    </xf>
    <xf numFmtId="4" fontId="34" fillId="2" borderId="52" xfId="2" applyNumberFormat="1" applyFill="1" applyBorder="1" applyAlignment="1">
      <alignment horizontal="right"/>
    </xf>
    <xf numFmtId="4" fontId="34" fillId="2" borderId="53" xfId="2" applyNumberFormat="1" applyFill="1" applyBorder="1" applyAlignment="1">
      <alignment horizontal="right"/>
    </xf>
    <xf numFmtId="4" fontId="34" fillId="2" borderId="69" xfId="2" applyNumberFormat="1" applyFill="1" applyBorder="1" applyAlignment="1">
      <alignment horizontal="right"/>
    </xf>
    <xf numFmtId="4" fontId="34" fillId="2" borderId="70" xfId="2" applyNumberFormat="1" applyFill="1" applyBorder="1" applyAlignment="1">
      <alignment horizontal="right"/>
    </xf>
    <xf numFmtId="0" fontId="34" fillId="15" borderId="7" xfId="2" applyFill="1" applyBorder="1"/>
    <xf numFmtId="0" fontId="34" fillId="15" borderId="1" xfId="2" applyFill="1" applyBorder="1" applyAlignment="1">
      <alignment horizontal="right"/>
    </xf>
    <xf numFmtId="0" fontId="34" fillId="15" borderId="8" xfId="2" applyFill="1" applyBorder="1" applyAlignment="1">
      <alignment horizontal="right"/>
    </xf>
    <xf numFmtId="180" fontId="4" fillId="18" borderId="66" xfId="0" applyNumberFormat="1" applyFont="1" applyFill="1" applyBorder="1"/>
    <xf numFmtId="180" fontId="4" fillId="18" borderId="67" xfId="0" applyNumberFormat="1" applyFont="1" applyFill="1" applyBorder="1"/>
    <xf numFmtId="180" fontId="4" fillId="18" borderId="68" xfId="0" applyNumberFormat="1" applyFont="1" applyFill="1" applyBorder="1"/>
    <xf numFmtId="180" fontId="4" fillId="17" borderId="66" xfId="0" applyNumberFormat="1" applyFont="1" applyFill="1" applyBorder="1"/>
    <xf numFmtId="180" fontId="4" fillId="17" borderId="67" xfId="0" applyNumberFormat="1" applyFont="1" applyFill="1" applyBorder="1"/>
    <xf numFmtId="180" fontId="4" fillId="17" borderId="68" xfId="0" applyNumberFormat="1" applyFont="1" applyFill="1" applyBorder="1"/>
    <xf numFmtId="0" fontId="4" fillId="0" borderId="71" xfId="0" applyFont="1" applyBorder="1"/>
    <xf numFmtId="0" fontId="4" fillId="0" borderId="72" xfId="0" applyFont="1" applyBorder="1"/>
    <xf numFmtId="0" fontId="4" fillId="0" borderId="74" xfId="0" applyFont="1" applyBorder="1"/>
    <xf numFmtId="0" fontId="4" fillId="0" borderId="75" xfId="0" applyFont="1" applyBorder="1"/>
    <xf numFmtId="0" fontId="4" fillId="0" borderId="76" xfId="0" applyFont="1" applyBorder="1"/>
    <xf numFmtId="180" fontId="4" fillId="0" borderId="72" xfId="0" applyNumberFormat="1" applyFont="1" applyBorder="1"/>
    <xf numFmtId="4" fontId="4" fillId="0" borderId="72" xfId="0" applyNumberFormat="1" applyFont="1" applyBorder="1"/>
    <xf numFmtId="4" fontId="4" fillId="0" borderId="73" xfId="0" applyNumberFormat="1" applyFont="1" applyBorder="1"/>
    <xf numFmtId="181" fontId="34" fillId="0" borderId="3" xfId="2" applyNumberFormat="1" applyBorder="1" applyAlignment="1">
      <alignment horizontal="right"/>
    </xf>
    <xf numFmtId="0" fontId="25" fillId="16" borderId="9" xfId="0" applyFont="1" applyFill="1" applyBorder="1"/>
    <xf numFmtId="0" fontId="4" fillId="2" borderId="5" xfId="0" applyFont="1" applyFill="1" applyBorder="1" applyAlignment="1">
      <alignment vertical="center"/>
    </xf>
    <xf numFmtId="0" fontId="25" fillId="16" borderId="11" xfId="0" applyFont="1" applyFill="1" applyBorder="1" applyAlignment="1">
      <alignment horizontal="left" indent="1"/>
    </xf>
    <xf numFmtId="0" fontId="9" fillId="0" borderId="3" xfId="0" applyFont="1" applyBorder="1" applyAlignment="1">
      <alignment horizontal="right"/>
    </xf>
    <xf numFmtId="0" fontId="9" fillId="0" borderId="4" xfId="0" applyFont="1" applyBorder="1" applyAlignment="1">
      <alignment horizontal="right"/>
    </xf>
    <xf numFmtId="4" fontId="34" fillId="0" borderId="3" xfId="2" applyNumberFormat="1" applyBorder="1" applyAlignment="1">
      <alignment horizontal="right"/>
    </xf>
    <xf numFmtId="0" fontId="34" fillId="0" borderId="62" xfId="2" applyBorder="1" applyAlignment="1">
      <alignment horizontal="left" indent="2"/>
    </xf>
    <xf numFmtId="0" fontId="34" fillId="0" borderId="45" xfId="2" applyBorder="1" applyAlignment="1">
      <alignment horizontal="left" indent="2"/>
    </xf>
    <xf numFmtId="0" fontId="34" fillId="0" borderId="45" xfId="2" applyBorder="1" applyAlignment="1">
      <alignment horizontal="left"/>
    </xf>
    <xf numFmtId="0" fontId="34" fillId="0" borderId="47" xfId="2" applyBorder="1" applyAlignment="1">
      <alignment horizontal="left"/>
    </xf>
    <xf numFmtId="0" fontId="34" fillId="0" borderId="3" xfId="2" applyBorder="1" applyAlignment="1">
      <alignment horizontal="left" indent="1"/>
    </xf>
    <xf numFmtId="0" fontId="34" fillId="0" borderId="63" xfId="2" applyBorder="1" applyAlignment="1">
      <alignment horizontal="left" indent="1"/>
    </xf>
    <xf numFmtId="0" fontId="34" fillId="0" borderId="0" xfId="2" applyAlignment="1">
      <alignment horizontal="left" indent="1"/>
    </xf>
    <xf numFmtId="0" fontId="34" fillId="0" borderId="46" xfId="2" applyBorder="1" applyAlignment="1">
      <alignment horizontal="left" indent="1"/>
    </xf>
    <xf numFmtId="0" fontId="34" fillId="0" borderId="48" xfId="2" applyBorder="1" applyAlignment="1">
      <alignment horizontal="left" indent="1"/>
    </xf>
    <xf numFmtId="0" fontId="34" fillId="0" borderId="49" xfId="2" applyBorder="1" applyAlignment="1">
      <alignment horizontal="left" indent="1"/>
    </xf>
    <xf numFmtId="4" fontId="34" fillId="0" borderId="0" xfId="2" applyNumberFormat="1"/>
    <xf numFmtId="0" fontId="0" fillId="0" borderId="0" xfId="0" quotePrefix="1"/>
    <xf numFmtId="0" fontId="9" fillId="0" borderId="9" xfId="0" applyFont="1" applyBorder="1"/>
    <xf numFmtId="0" fontId="9" fillId="0" borderId="2" xfId="0" applyFont="1" applyBorder="1"/>
    <xf numFmtId="0" fontId="9" fillId="0" borderId="3" xfId="0" applyFont="1" applyBorder="1"/>
    <xf numFmtId="0" fontId="9" fillId="0" borderId="4" xfId="0" applyFont="1" applyBorder="1"/>
    <xf numFmtId="0" fontId="4" fillId="15" borderId="5" xfId="0" applyFont="1" applyFill="1" applyBorder="1"/>
    <xf numFmtId="0" fontId="0" fillId="15" borderId="7" xfId="0" applyFill="1" applyBorder="1"/>
    <xf numFmtId="0" fontId="0" fillId="2" borderId="44" xfId="0" applyFill="1" applyBorder="1" applyAlignment="1">
      <alignment horizontal="right"/>
    </xf>
    <xf numFmtId="0" fontId="0" fillId="2" borderId="49" xfId="0" applyFill="1" applyBorder="1" applyAlignment="1">
      <alignment horizontal="right"/>
    </xf>
    <xf numFmtId="0" fontId="4" fillId="2" borderId="42" xfId="0" applyFont="1" applyFill="1" applyBorder="1" applyAlignment="1">
      <alignment horizontal="left"/>
    </xf>
    <xf numFmtId="0" fontId="4" fillId="2" borderId="47" xfId="0" applyFont="1" applyFill="1" applyBorder="1" applyAlignment="1">
      <alignment horizontal="left"/>
    </xf>
    <xf numFmtId="0" fontId="4" fillId="15" borderId="3" xfId="0" applyFont="1" applyFill="1" applyBorder="1" applyAlignment="1">
      <alignment horizontal="right"/>
    </xf>
    <xf numFmtId="0" fontId="4" fillId="15" borderId="3" xfId="0" quotePrefix="1" applyFont="1" applyFill="1" applyBorder="1" applyAlignment="1">
      <alignment horizontal="right"/>
    </xf>
    <xf numFmtId="0" fontId="4" fillId="15" borderId="4" xfId="0" applyFont="1" applyFill="1" applyBorder="1" applyAlignment="1">
      <alignment horizontal="right"/>
    </xf>
    <xf numFmtId="0" fontId="4" fillId="15" borderId="0" xfId="0" applyFont="1" applyFill="1" applyAlignment="1">
      <alignment horizontal="right"/>
    </xf>
    <xf numFmtId="0" fontId="4" fillId="15" borderId="6" xfId="0" applyFont="1" applyFill="1" applyBorder="1" applyAlignment="1">
      <alignment horizontal="right"/>
    </xf>
    <xf numFmtId="0" fontId="0" fillId="15" borderId="8" xfId="0" applyFill="1" applyBorder="1" applyAlignment="1">
      <alignment horizontal="right"/>
    </xf>
    <xf numFmtId="0" fontId="0" fillId="0" borderId="74" xfId="0" applyBorder="1"/>
    <xf numFmtId="0" fontId="0" fillId="0" borderId="75" xfId="0" applyBorder="1"/>
    <xf numFmtId="0" fontId="0" fillId="0" borderId="76" xfId="0" applyBorder="1"/>
    <xf numFmtId="180" fontId="0" fillId="0" borderId="71" xfId="0" applyNumberFormat="1" applyBorder="1"/>
    <xf numFmtId="180" fontId="0" fillId="0" borderId="72" xfId="0" applyNumberFormat="1" applyBorder="1"/>
    <xf numFmtId="180" fontId="0" fillId="0" borderId="73" xfId="0" applyNumberFormat="1" applyBorder="1"/>
    <xf numFmtId="180" fontId="0" fillId="0" borderId="77" xfId="0" applyNumberFormat="1" applyBorder="1"/>
    <xf numFmtId="180" fontId="0" fillId="0" borderId="78" xfId="0" applyNumberFormat="1" applyBorder="1"/>
    <xf numFmtId="0" fontId="34" fillId="14" borderId="2" xfId="2" applyFill="1" applyBorder="1"/>
    <xf numFmtId="0" fontId="34" fillId="14" borderId="3" xfId="2" applyFill="1" applyBorder="1"/>
    <xf numFmtId="0" fontId="34" fillId="14" borderId="4" xfId="2" applyFill="1" applyBorder="1"/>
    <xf numFmtId="0" fontId="34" fillId="14" borderId="0" xfId="2" applyFill="1"/>
    <xf numFmtId="0" fontId="36" fillId="19" borderId="9" xfId="3" applyFont="1" applyFill="1" applyBorder="1"/>
    <xf numFmtId="0" fontId="36" fillId="19" borderId="10" xfId="3" applyFont="1" applyFill="1" applyBorder="1"/>
    <xf numFmtId="0" fontId="36" fillId="19" borderId="11" xfId="3" applyFont="1" applyFill="1" applyBorder="1"/>
    <xf numFmtId="0" fontId="37" fillId="14" borderId="5" xfId="3" applyFont="1" applyFill="1" applyBorder="1"/>
    <xf numFmtId="0" fontId="38" fillId="14" borderId="0" xfId="3" applyFont="1" applyFill="1" applyAlignment="1">
      <alignment horizontal="right"/>
    </xf>
    <xf numFmtId="0" fontId="38" fillId="14" borderId="6" xfId="3" applyFont="1" applyFill="1" applyBorder="1" applyAlignment="1">
      <alignment horizontal="right"/>
    </xf>
    <xf numFmtId="0" fontId="38" fillId="14" borderId="7" xfId="3" applyFont="1" applyFill="1" applyBorder="1"/>
    <xf numFmtId="0" fontId="39" fillId="14" borderId="1" xfId="3" applyFont="1" applyFill="1" applyBorder="1"/>
    <xf numFmtId="0" fontId="34" fillId="14" borderId="1" xfId="3" applyFont="1" applyFill="1" applyBorder="1" applyAlignment="1">
      <alignment horizontal="right"/>
    </xf>
    <xf numFmtId="0" fontId="34" fillId="14" borderId="8" xfId="3" applyFont="1" applyFill="1" applyBorder="1" applyAlignment="1">
      <alignment horizontal="right"/>
    </xf>
    <xf numFmtId="0" fontId="38" fillId="14" borderId="2" xfId="3" applyFont="1" applyFill="1" applyBorder="1" applyAlignment="1">
      <alignment horizontal="right" vertical="center"/>
    </xf>
    <xf numFmtId="0" fontId="40" fillId="14" borderId="3" xfId="3" applyFont="1" applyFill="1" applyBorder="1" applyAlignment="1">
      <alignment horizontal="right" vertical="center"/>
    </xf>
    <xf numFmtId="0" fontId="38" fillId="14" borderId="3" xfId="3" applyFont="1" applyFill="1" applyBorder="1" applyAlignment="1">
      <alignment horizontal="right" vertical="center"/>
    </xf>
    <xf numFmtId="0" fontId="38" fillId="14" borderId="3" xfId="3" applyFont="1" applyFill="1" applyBorder="1" applyAlignment="1">
      <alignment horizontal="right" vertical="center" wrapText="1"/>
    </xf>
    <xf numFmtId="0" fontId="40" fillId="14" borderId="3" xfId="3" applyFont="1" applyFill="1" applyBorder="1" applyAlignment="1">
      <alignment horizontal="right" vertical="center" wrapText="1"/>
    </xf>
    <xf numFmtId="0" fontId="40" fillId="14" borderId="4" xfId="3" applyFont="1" applyFill="1" applyBorder="1" applyAlignment="1">
      <alignment horizontal="right" vertical="center" wrapText="1"/>
    </xf>
    <xf numFmtId="0" fontId="34" fillId="14" borderId="7" xfId="3" applyFont="1" applyFill="1" applyBorder="1" applyAlignment="1">
      <alignment horizontal="right"/>
    </xf>
    <xf numFmtId="0" fontId="41" fillId="17" borderId="66" xfId="0" applyFont="1" applyFill="1" applyBorder="1"/>
    <xf numFmtId="0" fontId="41" fillId="17" borderId="67" xfId="0" applyFont="1" applyFill="1" applyBorder="1"/>
    <xf numFmtId="4" fontId="41" fillId="17" borderId="67" xfId="0" applyNumberFormat="1" applyFont="1" applyFill="1" applyBorder="1"/>
    <xf numFmtId="4" fontId="41" fillId="17" borderId="68" xfId="0" applyNumberFormat="1" applyFont="1" applyFill="1" applyBorder="1"/>
    <xf numFmtId="0" fontId="41" fillId="18" borderId="66" xfId="0" applyFont="1" applyFill="1" applyBorder="1"/>
    <xf numFmtId="0" fontId="41" fillId="18" borderId="67" xfId="0" applyFont="1" applyFill="1" applyBorder="1"/>
    <xf numFmtId="4" fontId="41" fillId="18" borderId="67" xfId="0" applyNumberFormat="1" applyFont="1" applyFill="1" applyBorder="1"/>
    <xf numFmtId="4" fontId="41" fillId="18" borderId="68" xfId="0" applyNumberFormat="1" applyFont="1" applyFill="1" applyBorder="1"/>
    <xf numFmtId="0" fontId="15" fillId="14" borderId="0" xfId="2" applyFont="1" applyFill="1" applyAlignment="1">
      <alignment horizontal="right"/>
    </xf>
    <xf numFmtId="0" fontId="39" fillId="14" borderId="1" xfId="3" applyFont="1" applyFill="1" applyBorder="1" applyAlignment="1">
      <alignment horizontal="right"/>
    </xf>
    <xf numFmtId="166" fontId="0" fillId="0" borderId="48" xfId="0" applyNumberFormat="1" applyBorder="1" applyAlignment="1">
      <alignment horizontal="right"/>
    </xf>
    <xf numFmtId="0" fontId="21" fillId="0" borderId="53" xfId="0" applyFont="1" applyBorder="1" applyAlignment="1">
      <alignment horizontal="center" vertical="center"/>
    </xf>
    <xf numFmtId="0" fontId="4" fillId="0" borderId="4" xfId="0" applyFont="1" applyBorder="1" applyAlignment="1">
      <alignment horizontal="center"/>
    </xf>
    <xf numFmtId="0" fontId="4" fillId="0" borderId="8" xfId="0" applyFont="1" applyBorder="1" applyAlignment="1">
      <alignment horizontal="center"/>
    </xf>
    <xf numFmtId="2" fontId="0" fillId="0" borderId="4" xfId="0" applyNumberFormat="1" applyBorder="1" applyAlignment="1">
      <alignment horizontal="center"/>
    </xf>
    <xf numFmtId="2" fontId="0" fillId="0" borderId="6" xfId="0" applyNumberFormat="1" applyBorder="1" applyAlignment="1">
      <alignment horizontal="center"/>
    </xf>
    <xf numFmtId="2" fontId="0" fillId="0" borderId="8" xfId="0" applyNumberFormat="1" applyBorder="1" applyAlignment="1">
      <alignment horizontal="center"/>
    </xf>
    <xf numFmtId="183" fontId="0" fillId="0" borderId="3" xfId="0" applyNumberFormat="1" applyBorder="1" applyAlignment="1">
      <alignment horizontal="left"/>
    </xf>
    <xf numFmtId="43" fontId="0" fillId="0" borderId="3" xfId="1" applyFont="1" applyBorder="1" applyAlignment="1">
      <alignment horizontal="right"/>
    </xf>
    <xf numFmtId="43" fontId="0" fillId="0" borderId="61" xfId="1" applyFont="1" applyBorder="1" applyAlignment="1">
      <alignment horizontal="right"/>
    </xf>
    <xf numFmtId="43" fontId="0" fillId="0" borderId="53" xfId="1" applyFont="1" applyBorder="1" applyAlignment="1">
      <alignment horizontal="right"/>
    </xf>
    <xf numFmtId="0" fontId="6" fillId="0" borderId="9" xfId="0" applyFont="1" applyBorder="1" applyAlignment="1">
      <alignment horizontal="left"/>
    </xf>
    <xf numFmtId="0" fontId="0" fillId="14" borderId="5" xfId="0" applyFill="1" applyBorder="1" applyAlignment="1">
      <alignment horizontal="left"/>
    </xf>
    <xf numFmtId="0" fontId="0" fillId="15" borderId="7" xfId="0" applyFill="1" applyBorder="1" applyAlignment="1">
      <alignment horizontal="left"/>
    </xf>
    <xf numFmtId="177" fontId="0" fillId="0" borderId="63" xfId="1" applyNumberFormat="1" applyFont="1" applyBorder="1" applyAlignment="1">
      <alignment horizontal="right"/>
    </xf>
    <xf numFmtId="177" fontId="0" fillId="0" borderId="46" xfId="1" applyNumberFormat="1" applyFont="1" applyBorder="1" applyAlignment="1">
      <alignment horizontal="right"/>
    </xf>
    <xf numFmtId="177" fontId="0" fillId="0" borderId="49" xfId="1" applyNumberFormat="1" applyFont="1" applyBorder="1" applyAlignment="1">
      <alignment horizontal="right"/>
    </xf>
    <xf numFmtId="178" fontId="0" fillId="2" borderId="3" xfId="0" applyNumberFormat="1" applyFill="1" applyBorder="1" applyAlignment="1">
      <alignment horizontal="right"/>
    </xf>
    <xf numFmtId="180" fontId="0" fillId="0" borderId="0" xfId="0" applyNumberFormat="1"/>
    <xf numFmtId="0" fontId="0" fillId="0" borderId="56" xfId="0" applyBorder="1"/>
    <xf numFmtId="0" fontId="42" fillId="5" borderId="1" xfId="0" applyFont="1" applyFill="1" applyBorder="1"/>
    <xf numFmtId="0" fontId="43" fillId="0" borderId="52" xfId="0" applyFont="1" applyBorder="1"/>
    <xf numFmtId="0" fontId="43" fillId="0" borderId="0" xfId="0" applyFont="1"/>
    <xf numFmtId="0" fontId="4" fillId="0" borderId="58" xfId="0" applyFont="1" applyBorder="1"/>
    <xf numFmtId="0" fontId="0" fillId="0" borderId="59" xfId="0" applyBorder="1" applyAlignment="1">
      <alignment horizontal="left"/>
    </xf>
    <xf numFmtId="0" fontId="0" fillId="0" borderId="53" xfId="0" applyBorder="1" applyAlignment="1">
      <alignment horizontal="left"/>
    </xf>
    <xf numFmtId="0" fontId="4" fillId="0" borderId="55" xfId="0" applyFont="1" applyBorder="1"/>
    <xf numFmtId="184" fontId="0" fillId="0" borderId="56" xfId="0" applyNumberFormat="1" applyBorder="1" applyAlignment="1">
      <alignment horizontal="left"/>
    </xf>
    <xf numFmtId="176" fontId="0" fillId="0" borderId="0" xfId="1" applyNumberFormat="1" applyFont="1" applyAlignment="1">
      <alignment horizontal="left"/>
    </xf>
    <xf numFmtId="183" fontId="0" fillId="0" borderId="0" xfId="0" applyNumberFormat="1" applyAlignment="1">
      <alignment horizontal="left"/>
    </xf>
    <xf numFmtId="43" fontId="20" fillId="0" borderId="0" xfId="1" applyFont="1"/>
    <xf numFmtId="185" fontId="0" fillId="0" borderId="0" xfId="0" applyNumberFormat="1" applyAlignment="1">
      <alignment horizontal="center"/>
    </xf>
    <xf numFmtId="0" fontId="0" fillId="0" borderId="7" xfId="0" applyBorder="1" applyAlignment="1">
      <alignment horizontal="right"/>
    </xf>
    <xf numFmtId="0" fontId="0" fillId="0" borderId="1" xfId="0" applyBorder="1" applyAlignment="1">
      <alignment horizontal="right"/>
    </xf>
    <xf numFmtId="0" fontId="0" fillId="0" borderId="8" xfId="0" applyBorder="1" applyAlignment="1">
      <alignment horizontal="right"/>
    </xf>
    <xf numFmtId="0" fontId="44" fillId="4" borderId="11" xfId="0" applyFont="1" applyFill="1" applyBorder="1" applyAlignment="1">
      <alignment horizontal="center"/>
    </xf>
    <xf numFmtId="0" fontId="45" fillId="14" borderId="10" xfId="0" applyFont="1" applyFill="1" applyBorder="1" applyAlignment="1">
      <alignment horizontal="right"/>
    </xf>
    <xf numFmtId="0" fontId="20" fillId="14" borderId="9" xfId="0" applyFont="1" applyFill="1" applyBorder="1" applyAlignment="1">
      <alignment horizontal="left"/>
    </xf>
    <xf numFmtId="0" fontId="46" fillId="0" borderId="0" xfId="0" applyFont="1"/>
    <xf numFmtId="0" fontId="44" fillId="0" borderId="9" xfId="0" applyFont="1" applyBorder="1"/>
    <xf numFmtId="0" fontId="44" fillId="0" borderId="10" xfId="0" applyFont="1" applyBorder="1"/>
    <xf numFmtId="0" fontId="44" fillId="0" borderId="10" xfId="0" applyFont="1" applyBorder="1" applyAlignment="1">
      <alignment horizontal="right"/>
    </xf>
    <xf numFmtId="0" fontId="44" fillId="0" borderId="11" xfId="0" applyFont="1" applyBorder="1" applyAlignment="1">
      <alignment horizontal="left" indent="1"/>
    </xf>
    <xf numFmtId="0" fontId="47" fillId="20" borderId="0" xfId="4" applyFont="1" applyFill="1"/>
    <xf numFmtId="0" fontId="3" fillId="0" borderId="0" xfId="4"/>
    <xf numFmtId="0" fontId="41" fillId="0" borderId="2" xfId="4" applyFont="1" applyBorder="1"/>
    <xf numFmtId="0" fontId="41" fillId="0" borderId="3" xfId="4" applyFont="1" applyBorder="1"/>
    <xf numFmtId="0" fontId="41" fillId="0" borderId="3" xfId="4" applyFont="1" applyBorder="1" applyAlignment="1">
      <alignment horizontal="right" indent="1"/>
    </xf>
    <xf numFmtId="0" fontId="42" fillId="0" borderId="3" xfId="4" applyFont="1" applyBorder="1" applyAlignment="1">
      <alignment horizontal="right"/>
    </xf>
    <xf numFmtId="0" fontId="42" fillId="0" borderId="4" xfId="4" applyFont="1" applyBorder="1" applyAlignment="1">
      <alignment horizontal="right"/>
    </xf>
    <xf numFmtId="0" fontId="3" fillId="0" borderId="0" xfId="4" applyAlignment="1">
      <alignment horizontal="right"/>
    </xf>
    <xf numFmtId="0" fontId="50" fillId="0" borderId="2" xfId="4" applyFont="1" applyBorder="1"/>
    <xf numFmtId="0" fontId="50" fillId="0" borderId="3" xfId="4" applyFont="1" applyBorder="1"/>
    <xf numFmtId="0" fontId="51" fillId="0" borderId="3" xfId="4" applyFont="1" applyBorder="1"/>
    <xf numFmtId="0" fontId="50" fillId="0" borderId="4" xfId="4" applyFont="1" applyBorder="1"/>
    <xf numFmtId="0" fontId="41" fillId="0" borderId="5" xfId="4" applyFont="1" applyBorder="1" applyAlignment="1">
      <alignment horizontal="left"/>
    </xf>
    <xf numFmtId="0" fontId="41" fillId="0" borderId="0" xfId="4" applyFont="1" applyAlignment="1">
      <alignment horizontal="left"/>
    </xf>
    <xf numFmtId="0" fontId="41" fillId="0" borderId="0" xfId="4" applyFont="1" applyAlignment="1">
      <alignment horizontal="right" indent="1"/>
    </xf>
    <xf numFmtId="0" fontId="15" fillId="0" borderId="0" xfId="4" applyFont="1" applyAlignment="1">
      <alignment horizontal="right" indent="1"/>
    </xf>
    <xf numFmtId="0" fontId="42" fillId="0" borderId="0" xfId="4" applyFont="1" applyAlignment="1">
      <alignment horizontal="right"/>
    </xf>
    <xf numFmtId="0" fontId="42" fillId="0" borderId="6" xfId="4" applyFont="1" applyBorder="1" applyAlignment="1">
      <alignment horizontal="right"/>
    </xf>
    <xf numFmtId="0" fontId="50" fillId="0" borderId="5" xfId="4" applyFont="1" applyBorder="1"/>
    <xf numFmtId="0" fontId="50" fillId="0" borderId="0" xfId="4" applyFont="1"/>
    <xf numFmtId="0" fontId="51" fillId="0" borderId="0" xfId="4" applyFont="1"/>
    <xf numFmtId="0" fontId="50" fillId="0" borderId="6" xfId="4" applyFont="1" applyBorder="1"/>
    <xf numFmtId="0" fontId="3" fillId="0" borderId="7" xfId="4" applyBorder="1" applyAlignment="1">
      <alignment horizontal="left"/>
    </xf>
    <xf numFmtId="0" fontId="3" fillId="0" borderId="1" xfId="4" applyBorder="1" applyAlignment="1">
      <alignment horizontal="left"/>
    </xf>
    <xf numFmtId="0" fontId="3" fillId="0" borderId="1" xfId="4" applyBorder="1" applyAlignment="1">
      <alignment horizontal="right" indent="1"/>
    </xf>
    <xf numFmtId="0" fontId="41" fillId="0" borderId="1" xfId="4" applyFont="1" applyBorder="1" applyAlignment="1">
      <alignment horizontal="right" indent="1"/>
    </xf>
    <xf numFmtId="0" fontId="53" fillId="0" borderId="1" xfId="4" applyFont="1" applyBorder="1" applyAlignment="1">
      <alignment horizontal="right"/>
    </xf>
    <xf numFmtId="0" fontId="53" fillId="0" borderId="8" xfId="4" applyFont="1" applyBorder="1" applyAlignment="1">
      <alignment horizontal="right"/>
    </xf>
    <xf numFmtId="184" fontId="3" fillId="0" borderId="2" xfId="4" applyNumberFormat="1" applyBorder="1" applyAlignment="1">
      <alignment horizontal="left"/>
    </xf>
    <xf numFmtId="186" fontId="3" fillId="0" borderId="3" xfId="4" applyNumberFormat="1" applyBorder="1" applyAlignment="1">
      <alignment horizontal="left"/>
    </xf>
    <xf numFmtId="187" fontId="3" fillId="0" borderId="3" xfId="4" applyNumberFormat="1" applyBorder="1" applyAlignment="1">
      <alignment horizontal="right" indent="1"/>
    </xf>
    <xf numFmtId="188" fontId="3" fillId="0" borderId="3" xfId="4" applyNumberFormat="1" applyBorder="1" applyAlignment="1">
      <alignment horizontal="right" indent="1"/>
    </xf>
    <xf numFmtId="187" fontId="42" fillId="0" borderId="3" xfId="4" applyNumberFormat="1" applyFont="1" applyBorder="1" applyAlignment="1">
      <alignment horizontal="right"/>
    </xf>
    <xf numFmtId="187" fontId="54" fillId="0" borderId="3" xfId="4" applyNumberFormat="1" applyFont="1" applyBorder="1" applyAlignment="1">
      <alignment horizontal="right"/>
    </xf>
    <xf numFmtId="187" fontId="3" fillId="0" borderId="3" xfId="4" applyNumberFormat="1" applyBorder="1" applyAlignment="1">
      <alignment horizontal="right"/>
    </xf>
    <xf numFmtId="188" fontId="3" fillId="0" borderId="3" xfId="4" applyNumberFormat="1" applyBorder="1" applyAlignment="1">
      <alignment horizontal="right"/>
    </xf>
    <xf numFmtId="188" fontId="3" fillId="0" borderId="4" xfId="4" applyNumberFormat="1" applyBorder="1" applyAlignment="1">
      <alignment horizontal="right"/>
    </xf>
    <xf numFmtId="184" fontId="3" fillId="2" borderId="5" xfId="4" applyNumberFormat="1" applyFill="1" applyBorder="1" applyAlignment="1">
      <alignment horizontal="left"/>
    </xf>
    <xf numFmtId="186" fontId="3" fillId="2" borderId="0" xfId="4" applyNumberFormat="1" applyFill="1" applyAlignment="1">
      <alignment horizontal="left"/>
    </xf>
    <xf numFmtId="187" fontId="3" fillId="2" borderId="0" xfId="4" applyNumberFormat="1" applyFill="1" applyAlignment="1">
      <alignment horizontal="right" indent="1"/>
    </xf>
    <xf numFmtId="188" fontId="3" fillId="2" borderId="0" xfId="4" applyNumberFormat="1" applyFill="1" applyAlignment="1">
      <alignment horizontal="right" indent="1"/>
    </xf>
    <xf numFmtId="187" fontId="42" fillId="2" borderId="0" xfId="4" applyNumberFormat="1" applyFont="1" applyFill="1" applyAlignment="1">
      <alignment horizontal="right"/>
    </xf>
    <xf numFmtId="187" fontId="54" fillId="2" borderId="0" xfId="4" applyNumberFormat="1" applyFont="1" applyFill="1" applyAlignment="1">
      <alignment horizontal="right"/>
    </xf>
    <xf numFmtId="187" fontId="3" fillId="2" borderId="0" xfId="4" applyNumberFormat="1" applyFill="1" applyAlignment="1">
      <alignment horizontal="right"/>
    </xf>
    <xf numFmtId="188" fontId="3" fillId="2" borderId="0" xfId="4" applyNumberFormat="1" applyFill="1" applyAlignment="1">
      <alignment horizontal="right"/>
    </xf>
    <xf numFmtId="188" fontId="3" fillId="2" borderId="6" xfId="4" applyNumberFormat="1" applyFill="1" applyBorder="1" applyAlignment="1">
      <alignment horizontal="right"/>
    </xf>
    <xf numFmtId="0" fontId="41" fillId="0" borderId="9" xfId="4" applyFont="1" applyBorder="1" applyAlignment="1">
      <alignment horizontal="right"/>
    </xf>
    <xf numFmtId="0" fontId="41" fillId="0" borderId="10" xfId="4" applyFont="1" applyBorder="1" applyAlignment="1">
      <alignment horizontal="right"/>
    </xf>
    <xf numFmtId="189" fontId="3" fillId="0" borderId="10" xfId="4" applyNumberFormat="1" applyBorder="1" applyAlignment="1">
      <alignment horizontal="right"/>
    </xf>
    <xf numFmtId="189" fontId="3" fillId="0" borderId="11" xfId="4" applyNumberFormat="1" applyBorder="1" applyAlignment="1">
      <alignment horizontal="right"/>
    </xf>
    <xf numFmtId="0" fontId="50" fillId="0" borderId="7" xfId="4" applyFont="1" applyBorder="1"/>
    <xf numFmtId="0" fontId="50" fillId="0" borderId="1" xfId="4" applyFont="1" applyBorder="1"/>
    <xf numFmtId="0" fontId="50" fillId="0" borderId="8" xfId="4" applyFont="1" applyBorder="1"/>
    <xf numFmtId="184" fontId="3" fillId="0" borderId="5" xfId="4" applyNumberFormat="1" applyBorder="1" applyAlignment="1">
      <alignment horizontal="left"/>
    </xf>
    <xf numFmtId="186" fontId="3" fillId="0" borderId="0" xfId="4" applyNumberFormat="1" applyAlignment="1">
      <alignment horizontal="left"/>
    </xf>
    <xf numFmtId="187" fontId="3" fillId="0" borderId="0" xfId="4" applyNumberFormat="1" applyAlignment="1">
      <alignment horizontal="right" indent="1"/>
    </xf>
    <xf numFmtId="188" fontId="3" fillId="0" borderId="0" xfId="4" applyNumberFormat="1" applyAlignment="1">
      <alignment horizontal="right" indent="1"/>
    </xf>
    <xf numFmtId="187" fontId="42" fillId="0" borderId="0" xfId="4" applyNumberFormat="1" applyFont="1" applyAlignment="1">
      <alignment horizontal="right"/>
    </xf>
    <xf numFmtId="187" fontId="54" fillId="0" borderId="0" xfId="4" applyNumberFormat="1" applyFont="1" applyAlignment="1">
      <alignment horizontal="right"/>
    </xf>
    <xf numFmtId="187" fontId="3" fillId="0" borderId="0" xfId="4" applyNumberFormat="1" applyAlignment="1">
      <alignment horizontal="right"/>
    </xf>
    <xf numFmtId="188" fontId="3" fillId="0" borderId="0" xfId="4" applyNumberFormat="1" applyAlignment="1">
      <alignment horizontal="right"/>
    </xf>
    <xf numFmtId="188" fontId="3" fillId="0" borderId="6" xfId="4" applyNumberFormat="1" applyBorder="1" applyAlignment="1">
      <alignment horizontal="right"/>
    </xf>
    <xf numFmtId="184" fontId="3" fillId="2" borderId="7" xfId="4" applyNumberFormat="1" applyFill="1" applyBorder="1" applyAlignment="1">
      <alignment horizontal="left"/>
    </xf>
    <xf numFmtId="187" fontId="3" fillId="2" borderId="1" xfId="4" applyNumberFormat="1" applyFill="1" applyBorder="1" applyAlignment="1">
      <alignment horizontal="left"/>
    </xf>
    <xf numFmtId="187" fontId="3" fillId="2" borderId="1" xfId="4" applyNumberFormat="1" applyFill="1" applyBorder="1" applyAlignment="1">
      <alignment horizontal="right" indent="1"/>
    </xf>
    <xf numFmtId="188" fontId="3" fillId="2" borderId="1" xfId="4" applyNumberFormat="1" applyFill="1" applyBorder="1" applyAlignment="1">
      <alignment horizontal="right" indent="1"/>
    </xf>
    <xf numFmtId="187" fontId="42" fillId="2" borderId="1" xfId="4" applyNumberFormat="1" applyFont="1" applyFill="1" applyBorder="1" applyAlignment="1">
      <alignment horizontal="right"/>
    </xf>
    <xf numFmtId="187" fontId="54" fillId="2" borderId="1" xfId="4" applyNumberFormat="1" applyFont="1" applyFill="1" applyBorder="1" applyAlignment="1">
      <alignment horizontal="right"/>
    </xf>
    <xf numFmtId="187" fontId="3" fillId="2" borderId="1" xfId="4" applyNumberFormat="1" applyFill="1" applyBorder="1" applyAlignment="1">
      <alignment horizontal="right"/>
    </xf>
    <xf numFmtId="188" fontId="3" fillId="2" borderId="1" xfId="4" applyNumberFormat="1" applyFill="1" applyBorder="1" applyAlignment="1">
      <alignment horizontal="right"/>
    </xf>
    <xf numFmtId="188" fontId="3" fillId="2" borderId="8" xfId="4" applyNumberFormat="1" applyFill="1" applyBorder="1" applyAlignment="1">
      <alignment horizontal="right"/>
    </xf>
    <xf numFmtId="0" fontId="41" fillId="0" borderId="2" xfId="4" applyFont="1" applyBorder="1" applyAlignment="1">
      <alignment horizontal="right"/>
    </xf>
    <xf numFmtId="0" fontId="41" fillId="0" borderId="3" xfId="4" applyFont="1" applyBorder="1" applyAlignment="1">
      <alignment horizontal="right"/>
    </xf>
    <xf numFmtId="0" fontId="41" fillId="0" borderId="4" xfId="4" applyFont="1" applyBorder="1" applyAlignment="1">
      <alignment horizontal="right"/>
    </xf>
    <xf numFmtId="0" fontId="41" fillId="0" borderId="4" xfId="4" applyFont="1" applyBorder="1"/>
    <xf numFmtId="0" fontId="41" fillId="0" borderId="5" xfId="4" applyFont="1" applyBorder="1" applyAlignment="1">
      <alignment horizontal="right"/>
    </xf>
    <xf numFmtId="0" fontId="41" fillId="0" borderId="0" xfId="4" applyFont="1" applyAlignment="1">
      <alignment horizontal="right"/>
    </xf>
    <xf numFmtId="0" fontId="41" fillId="0" borderId="6" xfId="4" applyFont="1" applyBorder="1" applyAlignment="1">
      <alignment horizontal="right"/>
    </xf>
    <xf numFmtId="0" fontId="41" fillId="0" borderId="7" xfId="4" applyFont="1" applyBorder="1"/>
    <xf numFmtId="0" fontId="41" fillId="0" borderId="1" xfId="4" applyFont="1" applyBorder="1"/>
    <xf numFmtId="0" fontId="41" fillId="0" borderId="8" xfId="4" applyFont="1" applyBorder="1"/>
    <xf numFmtId="0" fontId="41" fillId="0" borderId="7" xfId="4" applyFont="1" applyBorder="1" applyAlignment="1">
      <alignment horizontal="right"/>
    </xf>
    <xf numFmtId="0" fontId="41" fillId="0" borderId="1" xfId="4" applyFont="1" applyBorder="1" applyAlignment="1">
      <alignment horizontal="right"/>
    </xf>
    <xf numFmtId="0" fontId="41" fillId="0" borderId="8" xfId="4" applyFont="1" applyBorder="1" applyAlignment="1">
      <alignment horizontal="right"/>
    </xf>
    <xf numFmtId="190" fontId="3" fillId="0" borderId="0" xfId="4" applyNumberFormat="1" applyAlignment="1">
      <alignment horizontal="right"/>
    </xf>
    <xf numFmtId="191" fontId="3" fillId="0" borderId="0" xfId="4" applyNumberFormat="1" applyAlignment="1">
      <alignment horizontal="right"/>
    </xf>
    <xf numFmtId="189" fontId="3" fillId="0" borderId="0" xfId="4" applyNumberFormat="1" applyAlignment="1">
      <alignment horizontal="right"/>
    </xf>
    <xf numFmtId="0" fontId="48" fillId="0" borderId="0" xfId="4" applyFont="1"/>
    <xf numFmtId="0" fontId="41" fillId="21" borderId="9" xfId="4" applyFont="1" applyFill="1" applyBorder="1"/>
    <xf numFmtId="0" fontId="41" fillId="21" borderId="10" xfId="4" applyFont="1" applyFill="1" applyBorder="1"/>
    <xf numFmtId="0" fontId="49" fillId="0" borderId="0" xfId="4" applyFont="1"/>
    <xf numFmtId="0" fontId="49" fillId="0" borderId="0" xfId="4" applyFont="1" applyAlignment="1">
      <alignment horizontal="right"/>
    </xf>
    <xf numFmtId="0" fontId="50" fillId="0" borderId="3" xfId="4" applyFont="1" applyBorder="1" applyAlignment="1">
      <alignment horizontal="left"/>
    </xf>
    <xf numFmtId="0" fontId="3" fillId="0" borderId="4" xfId="4" applyBorder="1"/>
    <xf numFmtId="0" fontId="50" fillId="0" borderId="1" xfId="4" applyFont="1" applyBorder="1" applyAlignment="1">
      <alignment horizontal="left"/>
    </xf>
    <xf numFmtId="0" fontId="3" fillId="0" borderId="8" xfId="4" applyBorder="1"/>
    <xf numFmtId="0" fontId="56" fillId="0" borderId="2" xfId="4" applyFont="1" applyBorder="1"/>
    <xf numFmtId="0" fontId="57" fillId="0" borderId="3" xfId="4" applyFont="1" applyBorder="1"/>
    <xf numFmtId="0" fontId="56" fillId="0" borderId="3" xfId="4" applyFont="1" applyBorder="1"/>
    <xf numFmtId="0" fontId="57" fillId="0" borderId="4" xfId="4" applyFont="1" applyBorder="1"/>
    <xf numFmtId="0" fontId="56" fillId="5" borderId="5" xfId="4" applyFont="1" applyFill="1" applyBorder="1"/>
    <xf numFmtId="0" fontId="57" fillId="5" borderId="0" xfId="4" applyFont="1" applyFill="1"/>
    <xf numFmtId="0" fontId="56" fillId="5" borderId="0" xfId="4" applyFont="1" applyFill="1"/>
    <xf numFmtId="0" fontId="57" fillId="5" borderId="6" xfId="4" applyFont="1" applyFill="1" applyBorder="1"/>
    <xf numFmtId="0" fontId="56" fillId="0" borderId="0" xfId="4" applyFont="1"/>
    <xf numFmtId="0" fontId="56" fillId="0" borderId="5" xfId="4" applyFont="1" applyBorder="1"/>
    <xf numFmtId="0" fontId="57" fillId="0" borderId="0" xfId="4" applyFont="1"/>
    <xf numFmtId="0" fontId="57" fillId="0" borderId="6" xfId="4" applyFont="1" applyBorder="1"/>
    <xf numFmtId="192" fontId="3" fillId="0" borderId="0" xfId="4" applyNumberFormat="1" applyAlignment="1">
      <alignment horizontal="right"/>
    </xf>
    <xf numFmtId="184" fontId="41" fillId="0" borderId="3" xfId="4" applyNumberFormat="1" applyFont="1" applyBorder="1"/>
    <xf numFmtId="184" fontId="41" fillId="0" borderId="1" xfId="4" applyNumberFormat="1" applyFont="1" applyBorder="1"/>
    <xf numFmtId="0" fontId="34" fillId="0" borderId="60" xfId="2" applyBorder="1"/>
    <xf numFmtId="4" fontId="34" fillId="0" borderId="61" xfId="2" applyNumberFormat="1" applyBorder="1" applyAlignment="1">
      <alignment horizontal="right"/>
    </xf>
    <xf numFmtId="0" fontId="34" fillId="0" borderId="52" xfId="2" applyBorder="1"/>
    <xf numFmtId="181" fontId="34" fillId="0" borderId="0" xfId="2" applyNumberFormat="1" applyAlignment="1">
      <alignment horizontal="right"/>
    </xf>
    <xf numFmtId="4" fontId="34" fillId="0" borderId="0" xfId="2" applyNumberFormat="1" applyAlignment="1">
      <alignment horizontal="right"/>
    </xf>
    <xf numFmtId="4" fontId="34" fillId="0" borderId="53" xfId="2" applyNumberFormat="1" applyBorder="1" applyAlignment="1">
      <alignment horizontal="right"/>
    </xf>
    <xf numFmtId="0" fontId="34" fillId="0" borderId="53" xfId="2" applyBorder="1" applyAlignment="1">
      <alignment horizontal="right"/>
    </xf>
    <xf numFmtId="0" fontId="34" fillId="0" borderId="54" xfId="2" applyBorder="1"/>
    <xf numFmtId="0" fontId="34" fillId="0" borderId="55" xfId="2" applyBorder="1" applyAlignment="1">
      <alignment horizontal="right"/>
    </xf>
    <xf numFmtId="0" fontId="34" fillId="0" borderId="56" xfId="2" applyBorder="1" applyAlignment="1">
      <alignment horizontal="right"/>
    </xf>
    <xf numFmtId="0" fontId="20" fillId="0" borderId="1" xfId="0" applyFont="1" applyBorder="1"/>
    <xf numFmtId="0" fontId="7" fillId="0" borderId="3" xfId="0" applyFont="1" applyBorder="1"/>
    <xf numFmtId="0" fontId="7" fillId="0" borderId="0" xfId="0" applyFont="1"/>
    <xf numFmtId="182" fontId="4" fillId="0" borderId="3" xfId="1" applyNumberFormat="1" applyFont="1" applyBorder="1" applyAlignment="1">
      <alignment horizontal="right"/>
    </xf>
    <xf numFmtId="182" fontId="4" fillId="0" borderId="0" xfId="1" applyNumberFormat="1" applyFont="1" applyBorder="1" applyAlignment="1">
      <alignment horizontal="right"/>
    </xf>
    <xf numFmtId="43" fontId="10" fillId="0" borderId="0" xfId="1" applyFont="1" applyBorder="1" applyAlignment="1">
      <alignment horizontal="right"/>
    </xf>
    <xf numFmtId="0" fontId="51" fillId="0" borderId="0" xfId="2" applyFont="1"/>
    <xf numFmtId="0" fontId="58" fillId="2" borderId="0" xfId="0" applyFont="1" applyFill="1" applyAlignment="1">
      <alignment horizontal="right"/>
    </xf>
    <xf numFmtId="0" fontId="58" fillId="2" borderId="6" xfId="0" applyFont="1" applyFill="1" applyBorder="1" applyAlignment="1">
      <alignment horizontal="right"/>
    </xf>
    <xf numFmtId="0" fontId="6" fillId="0" borderId="10" xfId="0" applyFont="1" applyBorder="1" applyAlignment="1">
      <alignment horizontal="left"/>
    </xf>
    <xf numFmtId="0" fontId="10" fillId="2" borderId="3" xfId="0" applyFont="1" applyFill="1" applyBorder="1" applyAlignment="1">
      <alignment horizontal="left"/>
    </xf>
    <xf numFmtId="0" fontId="0" fillId="0" borderId="10" xfId="0" applyBorder="1" applyAlignment="1">
      <alignment horizontal="left"/>
    </xf>
    <xf numFmtId="0" fontId="44" fillId="0" borderId="9" xfId="0" applyFont="1" applyBorder="1" applyAlignment="1">
      <alignment horizontal="left"/>
    </xf>
    <xf numFmtId="0" fontId="10" fillId="14" borderId="0" xfId="0" applyFont="1" applyFill="1" applyAlignment="1">
      <alignment horizontal="left"/>
    </xf>
    <xf numFmtId="0" fontId="10" fillId="15" borderId="1" xfId="0" applyFont="1" applyFill="1" applyBorder="1" applyAlignment="1">
      <alignment horizontal="left"/>
    </xf>
    <xf numFmtId="0" fontId="10" fillId="2" borderId="0" xfId="0" applyFont="1" applyFill="1" applyAlignment="1">
      <alignment horizontal="left"/>
    </xf>
    <xf numFmtId="178" fontId="59" fillId="2" borderId="0" xfId="0" applyNumberFormat="1" applyFont="1" applyFill="1" applyAlignment="1">
      <alignment horizontal="right"/>
    </xf>
    <xf numFmtId="4" fontId="0" fillId="14" borderId="0" xfId="0" applyNumberFormat="1" applyFill="1" applyAlignment="1">
      <alignment horizontal="right"/>
    </xf>
    <xf numFmtId="0" fontId="10" fillId="15" borderId="0" xfId="0" applyFont="1" applyFill="1" applyAlignment="1">
      <alignment horizontal="left"/>
    </xf>
    <xf numFmtId="4" fontId="0" fillId="15" borderId="0" xfId="0" applyNumberFormat="1" applyFill="1" applyAlignment="1">
      <alignment horizontal="right"/>
    </xf>
    <xf numFmtId="178" fontId="7" fillId="14" borderId="0" xfId="0" applyNumberFormat="1" applyFont="1" applyFill="1" applyAlignment="1">
      <alignment horizontal="right"/>
    </xf>
    <xf numFmtId="0" fontId="0" fillId="15" borderId="0" xfId="0" applyFill="1"/>
    <xf numFmtId="0" fontId="0" fillId="15" borderId="0" xfId="0" applyFill="1" applyAlignment="1">
      <alignment horizontal="right"/>
    </xf>
    <xf numFmtId="0" fontId="0" fillId="0" borderId="1" xfId="0" applyBorder="1"/>
    <xf numFmtId="0" fontId="6" fillId="2" borderId="0" xfId="0" applyFont="1" applyFill="1" applyAlignment="1">
      <alignment horizontal="left"/>
    </xf>
    <xf numFmtId="178" fontId="6" fillId="2" borderId="0" xfId="0" applyNumberFormat="1" applyFont="1" applyFill="1" applyAlignment="1">
      <alignment horizontal="right"/>
    </xf>
    <xf numFmtId="0" fontId="0" fillId="2" borderId="2" xfId="0" applyFill="1" applyBorder="1"/>
    <xf numFmtId="0" fontId="20" fillId="2" borderId="5" xfId="0" applyFont="1" applyFill="1" applyBorder="1"/>
    <xf numFmtId="0" fontId="59" fillId="2" borderId="5" xfId="0" applyFont="1" applyFill="1" applyBorder="1"/>
    <xf numFmtId="0" fontId="7" fillId="14" borderId="5" xfId="0" applyFont="1" applyFill="1" applyBorder="1"/>
    <xf numFmtId="0" fontId="0" fillId="14" borderId="5" xfId="0" applyFill="1" applyBorder="1"/>
    <xf numFmtId="0" fontId="0" fillId="15" borderId="5" xfId="0" applyFill="1" applyBorder="1"/>
    <xf numFmtId="0" fontId="45" fillId="0" borderId="10" xfId="0" applyFont="1" applyBorder="1" applyAlignment="1">
      <alignment horizontal="right"/>
    </xf>
    <xf numFmtId="0" fontId="43" fillId="0" borderId="9" xfId="0" applyFont="1" applyBorder="1" applyAlignment="1">
      <alignment horizontal="left"/>
    </xf>
    <xf numFmtId="0" fontId="43" fillId="0" borderId="10" xfId="0" applyFont="1" applyBorder="1" applyAlignment="1">
      <alignment horizontal="left"/>
    </xf>
    <xf numFmtId="0" fontId="0" fillId="14" borderId="4" xfId="0" applyFill="1" applyBorder="1" applyAlignment="1">
      <alignment horizontal="center"/>
    </xf>
    <xf numFmtId="0" fontId="0" fillId="14" borderId="8" xfId="0" applyFill="1" applyBorder="1" applyAlignment="1">
      <alignment horizontal="center"/>
    </xf>
    <xf numFmtId="0" fontId="0" fillId="15" borderId="4" xfId="0" applyFill="1" applyBorder="1" applyAlignment="1">
      <alignment horizontal="right"/>
    </xf>
    <xf numFmtId="0" fontId="60" fillId="15" borderId="2" xfId="2" applyFont="1" applyFill="1" applyBorder="1"/>
    <xf numFmtId="0" fontId="60" fillId="15" borderId="3" xfId="2" applyFont="1" applyFill="1" applyBorder="1" applyAlignment="1">
      <alignment horizontal="right"/>
    </xf>
    <xf numFmtId="0" fontId="60" fillId="15" borderId="4" xfId="2" applyFont="1" applyFill="1" applyBorder="1" applyAlignment="1">
      <alignment horizontal="right"/>
    </xf>
    <xf numFmtId="0" fontId="61" fillId="0" borderId="0" xfId="2" applyFont="1"/>
    <xf numFmtId="0" fontId="60" fillId="15" borderId="2" xfId="2" applyFont="1" applyFill="1" applyBorder="1" applyAlignment="1">
      <alignment horizontal="left" indent="2"/>
    </xf>
    <xf numFmtId="0" fontId="60" fillId="15" borderId="3" xfId="2" applyFont="1" applyFill="1" applyBorder="1" applyAlignment="1">
      <alignment horizontal="left" indent="1"/>
    </xf>
    <xf numFmtId="0" fontId="60" fillId="15" borderId="4" xfId="2" applyFont="1" applyFill="1" applyBorder="1" applyAlignment="1">
      <alignment horizontal="left" indent="1"/>
    </xf>
    <xf numFmtId="0" fontId="62" fillId="15" borderId="7" xfId="3" applyFont="1" applyFill="1" applyBorder="1" applyAlignment="1">
      <alignment horizontal="left" indent="2"/>
    </xf>
    <xf numFmtId="0" fontId="62" fillId="15" borderId="1" xfId="3" applyFont="1" applyFill="1" applyBorder="1" applyAlignment="1">
      <alignment horizontal="right"/>
    </xf>
    <xf numFmtId="0" fontId="62" fillId="15" borderId="1" xfId="3" applyFont="1" applyFill="1" applyBorder="1" applyAlignment="1">
      <alignment horizontal="left" indent="1"/>
    </xf>
    <xf numFmtId="0" fontId="34" fillId="15" borderId="8" xfId="2" applyFill="1" applyBorder="1" applyAlignment="1">
      <alignment horizontal="left" indent="1"/>
    </xf>
    <xf numFmtId="179" fontId="20" fillId="2" borderId="0" xfId="0" applyNumberFormat="1" applyFont="1" applyFill="1" applyAlignment="1">
      <alignment horizontal="right"/>
    </xf>
    <xf numFmtId="178" fontId="20" fillId="2" borderId="0" xfId="0" applyNumberFormat="1" applyFont="1" applyFill="1" applyAlignment="1">
      <alignment horizontal="right"/>
    </xf>
    <xf numFmtId="2" fontId="0" fillId="0" borderId="0" xfId="0" applyNumberFormat="1" applyAlignment="1">
      <alignment horizontal="left"/>
    </xf>
    <xf numFmtId="165" fontId="0" fillId="0" borderId="0" xfId="0" applyNumberFormat="1" applyAlignment="1">
      <alignment horizontal="right"/>
    </xf>
    <xf numFmtId="0" fontId="44" fillId="2" borderId="3" xfId="0" applyFont="1" applyFill="1" applyBorder="1" applyAlignment="1">
      <alignment horizontal="right"/>
    </xf>
    <xf numFmtId="0" fontId="44" fillId="2" borderId="4" xfId="0" applyFont="1" applyFill="1" applyBorder="1" applyAlignment="1">
      <alignment horizontal="right"/>
    </xf>
    <xf numFmtId="0" fontId="0" fillId="8" borderId="3" xfId="0" applyFill="1" applyBorder="1" applyAlignment="1">
      <alignment horizontal="right"/>
    </xf>
    <xf numFmtId="0" fontId="0" fillId="8" borderId="3" xfId="0" applyFill="1" applyBorder="1"/>
    <xf numFmtId="0" fontId="0" fillId="8" borderId="4" xfId="0" applyFill="1" applyBorder="1"/>
    <xf numFmtId="165" fontId="0" fillId="22" borderId="0" xfId="0" applyNumberFormat="1" applyFill="1"/>
    <xf numFmtId="165" fontId="0" fillId="22" borderId="6" xfId="0" applyNumberFormat="1" applyFill="1" applyBorder="1"/>
    <xf numFmtId="165" fontId="0" fillId="12" borderId="1" xfId="0" applyNumberFormat="1" applyFill="1" applyBorder="1"/>
    <xf numFmtId="165" fontId="0" fillId="12" borderId="8" xfId="0" applyNumberFormat="1" applyFill="1" applyBorder="1"/>
    <xf numFmtId="0" fontId="6" fillId="0" borderId="2" xfId="0" applyFont="1" applyBorder="1"/>
    <xf numFmtId="0" fontId="6" fillId="0" borderId="3" xfId="0" applyFont="1" applyBorder="1"/>
    <xf numFmtId="0" fontId="13" fillId="0" borderId="4" xfId="0" applyFont="1" applyBorder="1" applyAlignment="1">
      <alignment horizontal="center"/>
    </xf>
    <xf numFmtId="0" fontId="6" fillId="0" borderId="7" xfId="0" applyFont="1" applyBorder="1"/>
    <xf numFmtId="0" fontId="6" fillId="0" borderId="1" xfId="0" applyFont="1" applyBorder="1"/>
    <xf numFmtId="0" fontId="9" fillId="0" borderId="1" xfId="0" applyFont="1" applyBorder="1"/>
    <xf numFmtId="0" fontId="13" fillId="0" borderId="8" xfId="0" applyFont="1" applyBorder="1" applyAlignment="1">
      <alignment horizontal="center"/>
    </xf>
    <xf numFmtId="164" fontId="0" fillId="0" borderId="0" xfId="0" applyNumberFormat="1" applyAlignment="1">
      <alignment horizontal="right" indent="1"/>
    </xf>
    <xf numFmtId="0" fontId="44" fillId="2" borderId="2" xfId="0" applyFont="1" applyFill="1" applyBorder="1" applyAlignment="1">
      <alignment horizontal="center"/>
    </xf>
    <xf numFmtId="0" fontId="0" fillId="2" borderId="7" xfId="0" applyFill="1" applyBorder="1" applyAlignment="1">
      <alignment horizontal="center"/>
    </xf>
    <xf numFmtId="2" fontId="0" fillId="0" borderId="60" xfId="0" applyNumberFormat="1" applyBorder="1" applyAlignment="1">
      <alignment horizontal="right" indent="1"/>
    </xf>
    <xf numFmtId="164" fontId="0" fillId="0" borderId="61" xfId="0" applyNumberFormat="1" applyBorder="1" applyAlignment="1">
      <alignment horizontal="right" indent="1"/>
    </xf>
    <xf numFmtId="2" fontId="0" fillId="0" borderId="52" xfId="0" applyNumberFormat="1" applyBorder="1" applyAlignment="1">
      <alignment horizontal="right" indent="1"/>
    </xf>
    <xf numFmtId="164" fontId="0" fillId="0" borderId="53" xfId="0" applyNumberFormat="1" applyBorder="1" applyAlignment="1">
      <alignment horizontal="right" indent="1"/>
    </xf>
    <xf numFmtId="165" fontId="0" fillId="0" borderId="54" xfId="0" applyNumberFormat="1" applyBorder="1" applyAlignment="1">
      <alignment horizontal="right" indent="1"/>
    </xf>
    <xf numFmtId="165" fontId="0" fillId="0" borderId="55" xfId="0" applyNumberFormat="1" applyBorder="1" applyAlignment="1">
      <alignment horizontal="right" indent="1"/>
    </xf>
    <xf numFmtId="2" fontId="0" fillId="0" borderId="55" xfId="0" applyNumberFormat="1" applyBorder="1" applyAlignment="1">
      <alignment horizontal="right" indent="1"/>
    </xf>
    <xf numFmtId="164" fontId="0" fillId="0" borderId="56" xfId="0" applyNumberFormat="1" applyBorder="1" applyAlignment="1">
      <alignment horizontal="right" indent="1"/>
    </xf>
    <xf numFmtId="0" fontId="43" fillId="0" borderId="0" xfId="0" applyFont="1" applyAlignment="1">
      <alignment horizontal="left" indent="1"/>
    </xf>
    <xf numFmtId="0" fontId="0" fillId="2" borderId="4" xfId="0" applyFill="1" applyBorder="1" applyAlignment="1">
      <alignment horizontal="left"/>
    </xf>
    <xf numFmtId="0" fontId="0" fillId="2" borderId="8" xfId="0" applyFill="1" applyBorder="1" applyAlignment="1">
      <alignment horizontal="left"/>
    </xf>
    <xf numFmtId="0" fontId="44" fillId="2" borderId="2" xfId="0" applyFont="1" applyFill="1" applyBorder="1" applyAlignment="1">
      <alignment horizontal="left"/>
    </xf>
    <xf numFmtId="0" fontId="44" fillId="2" borderId="7" xfId="0" applyFont="1" applyFill="1" applyBorder="1" applyAlignment="1">
      <alignment horizontal="left"/>
    </xf>
    <xf numFmtId="0" fontId="9" fillId="0" borderId="0" xfId="0" applyFont="1" applyAlignment="1">
      <alignment horizontal="left"/>
    </xf>
    <xf numFmtId="0" fontId="5" fillId="8" borderId="2" xfId="0" applyFont="1" applyFill="1" applyBorder="1" applyAlignment="1">
      <alignment horizontal="center"/>
    </xf>
    <xf numFmtId="0" fontId="5" fillId="22" borderId="5" xfId="0" applyFont="1" applyFill="1" applyBorder="1" applyAlignment="1">
      <alignment horizontal="center"/>
    </xf>
    <xf numFmtId="0" fontId="5" fillId="12" borderId="7" xfId="0" applyFont="1" applyFill="1" applyBorder="1" applyAlignment="1">
      <alignment horizontal="center"/>
    </xf>
    <xf numFmtId="0" fontId="0" fillId="2" borderId="2" xfId="0" applyFill="1" applyBorder="1" applyAlignment="1">
      <alignment horizontal="center"/>
    </xf>
    <xf numFmtId="0" fontId="2" fillId="0" borderId="0" xfId="5" applyFont="1"/>
    <xf numFmtId="0" fontId="2" fillId="5" borderId="2" xfId="5" applyFont="1" applyFill="1" applyBorder="1"/>
    <xf numFmtId="0" fontId="2" fillId="5" borderId="5" xfId="5" applyFont="1" applyFill="1" applyBorder="1"/>
    <xf numFmtId="0" fontId="2" fillId="5" borderId="7" xfId="5" applyFont="1" applyFill="1" applyBorder="1"/>
    <xf numFmtId="0" fontId="2" fillId="23" borderId="2" xfId="5" applyFont="1" applyFill="1" applyBorder="1"/>
    <xf numFmtId="0" fontId="2" fillId="23" borderId="5" xfId="5" applyFont="1" applyFill="1" applyBorder="1"/>
    <xf numFmtId="194" fontId="2" fillId="5" borderId="3" xfId="6" applyNumberFormat="1" applyFont="1" applyFill="1" applyBorder="1"/>
    <xf numFmtId="194" fontId="2" fillId="5" borderId="0" xfId="6" applyNumberFormat="1" applyFont="1" applyFill="1" applyBorder="1"/>
    <xf numFmtId="194" fontId="2" fillId="5" borderId="1" xfId="6" applyNumberFormat="1" applyFont="1" applyFill="1" applyBorder="1"/>
    <xf numFmtId="0" fontId="2" fillId="0" borderId="2" xfId="5" applyFont="1" applyBorder="1"/>
    <xf numFmtId="0" fontId="2" fillId="0" borderId="3" xfId="5" applyFont="1" applyBorder="1"/>
    <xf numFmtId="181" fontId="2" fillId="0" borderId="3" xfId="5" applyNumberFormat="1" applyFont="1" applyBorder="1"/>
    <xf numFmtId="0" fontId="2" fillId="0" borderId="5" xfId="5" applyFont="1" applyBorder="1"/>
    <xf numFmtId="0" fontId="2" fillId="8" borderId="79" xfId="5" applyFont="1" applyFill="1" applyBorder="1"/>
    <xf numFmtId="0" fontId="2" fillId="8" borderId="43" xfId="5" applyFont="1" applyFill="1" applyBorder="1"/>
    <xf numFmtId="0" fontId="2" fillId="8" borderId="64" xfId="5" applyFont="1" applyFill="1" applyBorder="1"/>
    <xf numFmtId="0" fontId="2" fillId="8" borderId="48" xfId="5" applyFont="1" applyFill="1" applyBorder="1"/>
    <xf numFmtId="195" fontId="2" fillId="0" borderId="0" xfId="5" applyNumberFormat="1" applyFont="1"/>
    <xf numFmtId="0" fontId="2" fillId="0" borderId="7" xfId="5" applyFont="1" applyBorder="1"/>
    <xf numFmtId="0" fontId="2" fillId="0" borderId="1" xfId="5" applyFont="1" applyBorder="1"/>
    <xf numFmtId="0" fontId="41" fillId="2" borderId="2" xfId="5" applyFont="1" applyFill="1" applyBorder="1"/>
    <xf numFmtId="174" fontId="41" fillId="2" borderId="3" xfId="5" applyNumberFormat="1" applyFont="1" applyFill="1" applyBorder="1"/>
    <xf numFmtId="0" fontId="41" fillId="2" borderId="7" xfId="5" applyFont="1" applyFill="1" applyBorder="1"/>
    <xf numFmtId="0" fontId="41" fillId="2" borderId="1" xfId="5" applyFont="1" applyFill="1" applyBorder="1"/>
    <xf numFmtId="11" fontId="2" fillId="0" borderId="0" xfId="5" applyNumberFormat="1" applyFont="1"/>
    <xf numFmtId="166" fontId="2" fillId="0" borderId="1" xfId="5" applyNumberFormat="1" applyFont="1" applyBorder="1"/>
    <xf numFmtId="2" fontId="41" fillId="2" borderId="1" xfId="5" applyNumberFormat="1" applyFont="1" applyFill="1" applyBorder="1"/>
    <xf numFmtId="2" fontId="2" fillId="0" borderId="0" xfId="5" applyNumberFormat="1" applyFont="1"/>
    <xf numFmtId="0" fontId="42" fillId="5" borderId="3" xfId="5" applyFont="1" applyFill="1" applyBorder="1"/>
    <xf numFmtId="0" fontId="42" fillId="5" borderId="0" xfId="5" applyFont="1" applyFill="1"/>
    <xf numFmtId="0" fontId="42" fillId="5" borderId="1" xfId="5" applyFont="1" applyFill="1" applyBorder="1"/>
    <xf numFmtId="0" fontId="0" fillId="0" borderId="3" xfId="0" applyBorder="1" applyAlignment="1">
      <alignment horizontal="center"/>
    </xf>
    <xf numFmtId="0" fontId="0" fillId="0" borderId="55" xfId="0" applyBorder="1" applyAlignment="1">
      <alignment horizontal="center"/>
    </xf>
    <xf numFmtId="0" fontId="0" fillId="0" borderId="58" xfId="0" applyBorder="1" applyAlignment="1">
      <alignment horizontal="center"/>
    </xf>
    <xf numFmtId="0" fontId="5" fillId="0" borderId="0" xfId="0" applyFont="1" applyAlignment="1">
      <alignment horizontal="center"/>
    </xf>
    <xf numFmtId="196" fontId="41" fillId="2" borderId="3" xfId="6" applyNumberFormat="1" applyFont="1" applyFill="1" applyBorder="1"/>
    <xf numFmtId="0" fontId="8" fillId="0" borderId="0" xfId="0" applyFont="1"/>
    <xf numFmtId="0" fontId="10" fillId="0" borderId="0" xfId="0" applyFont="1"/>
    <xf numFmtId="164" fontId="65" fillId="0" borderId="16" xfId="0" applyNumberFormat="1" applyFont="1" applyBorder="1" applyAlignment="1">
      <alignment horizontal="center"/>
    </xf>
    <xf numFmtId="164" fontId="65" fillId="0" borderId="17" xfId="0" applyNumberFormat="1" applyFont="1" applyBorder="1" applyAlignment="1">
      <alignment horizontal="center"/>
    </xf>
    <xf numFmtId="174" fontId="65" fillId="0" borderId="22" xfId="0" applyNumberFormat="1" applyFont="1" applyBorder="1" applyAlignment="1">
      <alignment horizontal="center"/>
    </xf>
    <xf numFmtId="164" fontId="65" fillId="0" borderId="18" xfId="0" applyNumberFormat="1" applyFont="1" applyBorder="1" applyAlignment="1">
      <alignment horizontal="center"/>
    </xf>
    <xf numFmtId="164" fontId="65" fillId="0" borderId="19" xfId="0" applyNumberFormat="1" applyFont="1" applyBorder="1" applyAlignment="1">
      <alignment horizontal="center"/>
    </xf>
    <xf numFmtId="174" fontId="65" fillId="0" borderId="23" xfId="0" applyNumberFormat="1" applyFont="1" applyBorder="1" applyAlignment="1">
      <alignment horizontal="center"/>
    </xf>
    <xf numFmtId="164" fontId="65" fillId="0" borderId="20" xfId="0" applyNumberFormat="1" applyFont="1" applyBorder="1" applyAlignment="1">
      <alignment horizontal="center"/>
    </xf>
    <xf numFmtId="164" fontId="65" fillId="0" borderId="21" xfId="0" applyNumberFormat="1" applyFont="1" applyBorder="1" applyAlignment="1">
      <alignment horizontal="center"/>
    </xf>
    <xf numFmtId="174" fontId="65" fillId="0" borderId="24" xfId="0" applyNumberFormat="1" applyFont="1" applyBorder="1" applyAlignment="1">
      <alignment horizontal="center"/>
    </xf>
    <xf numFmtId="175" fontId="0" fillId="0" borderId="0" xfId="0" applyNumberFormat="1"/>
    <xf numFmtId="0" fontId="46" fillId="0" borderId="0" xfId="0" applyFont="1" applyAlignment="1">
      <alignment horizontal="left"/>
    </xf>
    <xf numFmtId="0" fontId="44" fillId="0" borderId="13" xfId="0" applyFont="1" applyBorder="1" applyAlignment="1">
      <alignment horizontal="left"/>
    </xf>
    <xf numFmtId="0" fontId="44" fillId="0" borderId="14" xfId="0" applyFont="1" applyBorder="1" applyAlignment="1">
      <alignment horizontal="left"/>
    </xf>
    <xf numFmtId="0" fontId="44" fillId="0" borderId="15" xfId="0" applyFont="1" applyBorder="1" applyAlignment="1">
      <alignment horizontal="left"/>
    </xf>
    <xf numFmtId="173" fontId="44" fillId="0" borderId="2" xfId="0" applyNumberFormat="1" applyFont="1" applyBorder="1" applyAlignment="1">
      <alignment horizontal="left"/>
    </xf>
    <xf numFmtId="173" fontId="44" fillId="0" borderId="7" xfId="0" applyNumberFormat="1" applyFont="1" applyBorder="1" applyAlignment="1">
      <alignment horizontal="left"/>
    </xf>
    <xf numFmtId="164" fontId="65" fillId="0" borderId="81" xfId="0" applyNumberFormat="1" applyFont="1" applyBorder="1" applyAlignment="1">
      <alignment horizontal="center"/>
    </xf>
    <xf numFmtId="164" fontId="65" fillId="0" borderId="82" xfId="0" applyNumberFormat="1" applyFont="1" applyBorder="1" applyAlignment="1">
      <alignment horizontal="center"/>
    </xf>
    <xf numFmtId="174" fontId="65" fillId="0" borderId="13" xfId="0" applyNumberFormat="1" applyFont="1" applyBorder="1" applyAlignment="1">
      <alignment horizontal="center"/>
    </xf>
    <xf numFmtId="164" fontId="65" fillId="0" borderId="83" xfId="0" applyNumberFormat="1" applyFont="1" applyBorder="1" applyAlignment="1">
      <alignment horizontal="center"/>
    </xf>
    <xf numFmtId="164" fontId="65" fillId="0" borderId="84" xfId="0" applyNumberFormat="1" applyFont="1" applyBorder="1" applyAlignment="1">
      <alignment horizontal="center"/>
    </xf>
    <xf numFmtId="174" fontId="65" fillId="0" borderId="15" xfId="0" applyNumberFormat="1" applyFont="1" applyBorder="1" applyAlignment="1">
      <alignment horizontal="center"/>
    </xf>
    <xf numFmtId="4" fontId="0" fillId="0" borderId="0" xfId="1" applyNumberFormat="1" applyFont="1" applyAlignment="1">
      <alignment horizontal="right"/>
    </xf>
    <xf numFmtId="0" fontId="66" fillId="0" borderId="0" xfId="0" applyFont="1" applyAlignment="1">
      <alignment horizontal="left" indent="1"/>
    </xf>
    <xf numFmtId="2" fontId="44" fillId="0" borderId="3" xfId="0" applyNumberFormat="1" applyFont="1" applyBorder="1" applyAlignment="1">
      <alignment horizontal="right" indent="1"/>
    </xf>
    <xf numFmtId="2" fontId="44" fillId="8" borderId="0" xfId="0" applyNumberFormat="1" applyFont="1" applyFill="1" applyAlignment="1">
      <alignment horizontal="right" indent="1"/>
    </xf>
    <xf numFmtId="2" fontId="44" fillId="0" borderId="0" xfId="0" applyNumberFormat="1" applyFont="1" applyAlignment="1">
      <alignment horizontal="right" indent="1"/>
    </xf>
    <xf numFmtId="0" fontId="44" fillId="0" borderId="0" xfId="0" applyFont="1" applyAlignment="1">
      <alignment horizontal="right" indent="1"/>
    </xf>
    <xf numFmtId="178" fontId="0" fillId="0" borderId="3" xfId="1" applyNumberFormat="1" applyFont="1" applyFill="1" applyBorder="1" applyAlignment="1">
      <alignment horizontal="right" indent="1"/>
    </xf>
    <xf numFmtId="178" fontId="44" fillId="0" borderId="3" xfId="0" applyNumberFormat="1" applyFont="1" applyBorder="1" applyAlignment="1">
      <alignment horizontal="right" indent="1"/>
    </xf>
    <xf numFmtId="178" fontId="0" fillId="0" borderId="4" xfId="0" applyNumberFormat="1" applyBorder="1" applyAlignment="1">
      <alignment horizontal="right" indent="1"/>
    </xf>
    <xf numFmtId="178" fontId="0" fillId="8" borderId="0" xfId="1" applyNumberFormat="1" applyFont="1" applyFill="1" applyBorder="1" applyAlignment="1">
      <alignment horizontal="right" indent="1"/>
    </xf>
    <xf numFmtId="178" fontId="44" fillId="8" borderId="0" xfId="0" applyNumberFormat="1" applyFont="1" applyFill="1" applyAlignment="1">
      <alignment horizontal="right" indent="1"/>
    </xf>
    <xf numFmtId="178" fontId="0" fillId="8" borderId="6" xfId="0" applyNumberFormat="1" applyFill="1" applyBorder="1" applyAlignment="1">
      <alignment horizontal="right" indent="1"/>
    </xf>
    <xf numFmtId="178" fontId="0" fillId="0" borderId="0" xfId="1" applyNumberFormat="1" applyFont="1" applyFill="1" applyBorder="1" applyAlignment="1">
      <alignment horizontal="right" indent="1"/>
    </xf>
    <xf numFmtId="178" fontId="44" fillId="0" borderId="0" xfId="0" applyNumberFormat="1" applyFont="1" applyAlignment="1">
      <alignment horizontal="right" indent="1"/>
    </xf>
    <xf numFmtId="178" fontId="0" fillId="0" borderId="6" xfId="0" applyNumberFormat="1" applyBorder="1" applyAlignment="1">
      <alignment horizontal="right" indent="1"/>
    </xf>
    <xf numFmtId="178" fontId="0" fillId="0" borderId="0" xfId="0" applyNumberFormat="1" applyAlignment="1">
      <alignment horizontal="right" indent="1"/>
    </xf>
    <xf numFmtId="0" fontId="43" fillId="0" borderId="0" xfId="0" applyFont="1" applyAlignment="1">
      <alignment horizontal="left"/>
    </xf>
    <xf numFmtId="4" fontId="44" fillId="0" borderId="0" xfId="0" applyNumberFormat="1" applyFont="1" applyAlignment="1">
      <alignment horizontal="right"/>
    </xf>
    <xf numFmtId="0" fontId="51" fillId="0" borderId="0" xfId="5" applyFont="1"/>
    <xf numFmtId="0" fontId="67" fillId="5" borderId="3" xfId="5" applyFont="1" applyFill="1" applyBorder="1"/>
    <xf numFmtId="0" fontId="67" fillId="5" borderId="0" xfId="5" applyFont="1" applyFill="1"/>
    <xf numFmtId="0" fontId="67" fillId="5" borderId="1" xfId="5" applyFont="1" applyFill="1" applyBorder="1"/>
    <xf numFmtId="0" fontId="67" fillId="23" borderId="3" xfId="5" applyFont="1" applyFill="1" applyBorder="1"/>
    <xf numFmtId="0" fontId="34" fillId="0" borderId="0" xfId="5" applyFont="1"/>
    <xf numFmtId="197" fontId="2" fillId="23" borderId="3" xfId="5" applyNumberFormat="1" applyFont="1" applyFill="1" applyBorder="1"/>
    <xf numFmtId="198" fontId="2" fillId="23" borderId="4" xfId="5" applyNumberFormat="1" applyFont="1" applyFill="1" applyBorder="1"/>
    <xf numFmtId="0" fontId="67" fillId="23" borderId="0" xfId="5" applyFont="1" applyFill="1"/>
    <xf numFmtId="199" fontId="2" fillId="23" borderId="0" xfId="5" applyNumberFormat="1" applyFont="1" applyFill="1"/>
    <xf numFmtId="200" fontId="2" fillId="23" borderId="6" xfId="5" applyNumberFormat="1" applyFont="1" applyFill="1" applyBorder="1"/>
    <xf numFmtId="0" fontId="55" fillId="23" borderId="7" xfId="5" applyFont="1" applyFill="1" applyBorder="1"/>
    <xf numFmtId="0" fontId="55" fillId="23" borderId="1" xfId="5" applyFont="1" applyFill="1" applyBorder="1"/>
    <xf numFmtId="0" fontId="2" fillId="23" borderId="8" xfId="5" applyFont="1" applyFill="1" applyBorder="1"/>
    <xf numFmtId="164" fontId="69" fillId="23" borderId="1" xfId="5" applyNumberFormat="1" applyFont="1" applyFill="1" applyBorder="1"/>
    <xf numFmtId="0" fontId="1" fillId="5" borderId="5" xfId="5" applyFont="1" applyFill="1" applyBorder="1"/>
    <xf numFmtId="0" fontId="1" fillId="5" borderId="7" xfId="5" applyFont="1" applyFill="1" applyBorder="1"/>
    <xf numFmtId="0" fontId="2" fillId="8" borderId="85" xfId="5" applyFont="1" applyFill="1" applyBorder="1"/>
    <xf numFmtId="181" fontId="2" fillId="8" borderId="58" xfId="5" applyNumberFormat="1" applyFont="1" applyFill="1" applyBorder="1"/>
    <xf numFmtId="0" fontId="2" fillId="8" borderId="87" xfId="5" applyFont="1" applyFill="1" applyBorder="1"/>
    <xf numFmtId="181" fontId="2" fillId="8" borderId="55" xfId="5" applyNumberFormat="1" applyFont="1" applyFill="1" applyBorder="1"/>
    <xf numFmtId="0" fontId="2" fillId="0" borderId="4" xfId="5" applyFont="1" applyBorder="1" applyAlignment="1">
      <alignment horizontal="left" indent="1"/>
    </xf>
    <xf numFmtId="0" fontId="2" fillId="8" borderId="86" xfId="5" applyFont="1" applyFill="1" applyBorder="1" applyAlignment="1">
      <alignment horizontal="left" indent="1"/>
    </xf>
    <xf numFmtId="0" fontId="2" fillId="8" borderId="88" xfId="5" applyFont="1" applyFill="1" applyBorder="1" applyAlignment="1">
      <alignment horizontal="left" indent="1"/>
    </xf>
    <xf numFmtId="0" fontId="2" fillId="0" borderId="6" xfId="5" applyFont="1" applyBorder="1" applyAlignment="1">
      <alignment horizontal="left" indent="1"/>
    </xf>
    <xf numFmtId="0" fontId="2" fillId="8" borderId="80" xfId="5" applyFont="1" applyFill="1" applyBorder="1" applyAlignment="1">
      <alignment horizontal="left" indent="1"/>
    </xf>
    <xf numFmtId="0" fontId="2" fillId="8" borderId="65" xfId="5" applyFont="1" applyFill="1" applyBorder="1" applyAlignment="1">
      <alignment horizontal="left" indent="1"/>
    </xf>
    <xf numFmtId="0" fontId="2" fillId="0" borderId="8" xfId="5" applyFont="1" applyBorder="1" applyAlignment="1">
      <alignment horizontal="left" indent="1"/>
    </xf>
    <xf numFmtId="0" fontId="2" fillId="2" borderId="4" xfId="5" applyFont="1" applyFill="1" applyBorder="1" applyAlignment="1">
      <alignment horizontal="left" indent="1"/>
    </xf>
    <xf numFmtId="0" fontId="2" fillId="2" borderId="8" xfId="5" applyFont="1" applyFill="1" applyBorder="1" applyAlignment="1">
      <alignment horizontal="left" indent="1"/>
    </xf>
    <xf numFmtId="0" fontId="2" fillId="0" borderId="0" xfId="5" applyFont="1" applyAlignment="1">
      <alignment horizontal="left" indent="1"/>
    </xf>
    <xf numFmtId="0" fontId="2" fillId="5" borderId="4" xfId="5" applyFont="1" applyFill="1" applyBorder="1" applyAlignment="1">
      <alignment horizontal="left" indent="1"/>
    </xf>
    <xf numFmtId="0" fontId="2" fillId="5" borderId="6" xfId="5" applyFont="1" applyFill="1" applyBorder="1" applyAlignment="1">
      <alignment horizontal="left" indent="1"/>
    </xf>
    <xf numFmtId="0" fontId="2" fillId="5" borderId="8" xfId="5" applyFont="1" applyFill="1" applyBorder="1" applyAlignment="1">
      <alignment horizontal="left" indent="1"/>
    </xf>
    <xf numFmtId="0" fontId="54" fillId="0" borderId="0" xfId="0" applyFont="1"/>
    <xf numFmtId="0" fontId="63" fillId="0" borderId="3" xfId="5" applyBorder="1"/>
    <xf numFmtId="0" fontId="63" fillId="8" borderId="58" xfId="5" applyFill="1" applyBorder="1"/>
    <xf numFmtId="0" fontId="63" fillId="8" borderId="55" xfId="5" applyFill="1" applyBorder="1"/>
    <xf numFmtId="0" fontId="63" fillId="0" borderId="0" xfId="5"/>
    <xf numFmtId="0" fontId="70" fillId="0" borderId="0" xfId="5" applyFont="1"/>
    <xf numFmtId="0" fontId="63" fillId="8" borderId="43" xfId="5" applyFill="1" applyBorder="1"/>
    <xf numFmtId="0" fontId="63" fillId="8" borderId="48" xfId="5" applyFill="1" applyBorder="1"/>
    <xf numFmtId="0" fontId="63" fillId="0" borderId="1" xfId="5" applyBorder="1"/>
    <xf numFmtId="0" fontId="42" fillId="2" borderId="3" xfId="5" applyFont="1" applyFill="1" applyBorder="1"/>
    <xf numFmtId="0" fontId="42" fillId="2" borderId="1" xfId="5" applyFont="1" applyFill="1" applyBorder="1"/>
    <xf numFmtId="0" fontId="0" fillId="2" borderId="7" xfId="0" applyFill="1" applyBorder="1" applyAlignment="1">
      <alignment horizontal="right" indent="1"/>
    </xf>
    <xf numFmtId="0" fontId="0" fillId="2" borderId="1" xfId="0" applyFill="1" applyBorder="1" applyAlignment="1">
      <alignment horizontal="right" indent="1"/>
    </xf>
    <xf numFmtId="0" fontId="0" fillId="2" borderId="8" xfId="0" applyFill="1" applyBorder="1" applyAlignment="1">
      <alignment horizontal="right" indent="1"/>
    </xf>
    <xf numFmtId="0" fontId="19" fillId="2" borderId="50" xfId="0" applyFont="1" applyFill="1" applyBorder="1" applyAlignment="1">
      <alignment horizontal="center"/>
    </xf>
    <xf numFmtId="0" fontId="19" fillId="2" borderId="10" xfId="0" applyFont="1" applyFill="1" applyBorder="1" applyAlignment="1">
      <alignment horizontal="center"/>
    </xf>
    <xf numFmtId="0" fontId="19" fillId="2" borderId="51" xfId="0" applyFont="1" applyFill="1" applyBorder="1" applyAlignment="1">
      <alignment horizontal="center"/>
    </xf>
    <xf numFmtId="0" fontId="0" fillId="0" borderId="42" xfId="0" applyBorder="1" applyAlignment="1">
      <alignment horizontal="center" vertical="top"/>
    </xf>
    <xf numFmtId="0" fontId="0" fillId="0" borderId="43" xfId="0" applyBorder="1" applyAlignment="1">
      <alignment horizontal="center" vertical="top"/>
    </xf>
    <xf numFmtId="0" fontId="0" fillId="0" borderId="44" xfId="0" applyBorder="1" applyAlignment="1">
      <alignment horizontal="center" vertical="top"/>
    </xf>
    <xf numFmtId="0" fontId="0" fillId="0" borderId="45" xfId="0" applyBorder="1" applyAlignment="1">
      <alignment horizontal="center" vertical="top"/>
    </xf>
    <xf numFmtId="0" fontId="0" fillId="0" borderId="0" xfId="0" applyAlignment="1">
      <alignment horizontal="center" vertical="top"/>
    </xf>
    <xf numFmtId="0" fontId="0" fillId="0" borderId="46" xfId="0" applyBorder="1" applyAlignment="1">
      <alignment horizontal="center" vertical="top"/>
    </xf>
    <xf numFmtId="0" fontId="0" fillId="0" borderId="47" xfId="0" applyBorder="1" applyAlignment="1">
      <alignment horizontal="center" vertical="top"/>
    </xf>
    <xf numFmtId="0" fontId="0" fillId="0" borderId="48" xfId="0" applyBorder="1" applyAlignment="1">
      <alignment horizontal="center" vertical="top"/>
    </xf>
    <xf numFmtId="0" fontId="0" fillId="0" borderId="49" xfId="0" applyBorder="1" applyAlignment="1">
      <alignment horizontal="center" vertical="top"/>
    </xf>
    <xf numFmtId="0" fontId="20" fillId="0" borderId="0" xfId="0" applyFont="1" applyAlignment="1">
      <alignment horizontal="left" vertical="center"/>
    </xf>
    <xf numFmtId="0" fontId="20" fillId="0" borderId="1" xfId="0" applyFont="1" applyBorder="1" applyAlignment="1">
      <alignment horizontal="left" vertical="center"/>
    </xf>
    <xf numFmtId="0" fontId="25" fillId="16" borderId="9" xfId="0" applyFont="1" applyFill="1" applyBorder="1" applyAlignment="1">
      <alignment horizontal="center"/>
    </xf>
    <xf numFmtId="0" fontId="25" fillId="16" borderId="10" xfId="0" applyFont="1" applyFill="1" applyBorder="1" applyAlignment="1">
      <alignment horizontal="center"/>
    </xf>
    <xf numFmtId="0" fontId="25" fillId="16" borderId="11" xfId="0" applyFont="1" applyFill="1" applyBorder="1" applyAlignment="1">
      <alignment horizontal="center"/>
    </xf>
    <xf numFmtId="0" fontId="55" fillId="21" borderId="10" xfId="4" applyFont="1" applyFill="1" applyBorder="1" applyAlignment="1">
      <alignment horizontal="center"/>
    </xf>
    <xf numFmtId="0" fontId="55" fillId="21" borderId="11" xfId="4" applyFont="1" applyFill="1" applyBorder="1" applyAlignment="1">
      <alignment horizontal="center"/>
    </xf>
    <xf numFmtId="0" fontId="0" fillId="0" borderId="0" xfId="0" applyAlignment="1">
      <alignment horizontal="center" vertical="center" wrapText="1"/>
    </xf>
    <xf numFmtId="0" fontId="20" fillId="2" borderId="12" xfId="0" applyFont="1" applyFill="1" applyBorder="1" applyAlignment="1">
      <alignment horizontal="left" vertical="center"/>
    </xf>
    <xf numFmtId="0" fontId="4" fillId="12" borderId="9" xfId="0" applyFont="1" applyFill="1" applyBorder="1" applyAlignment="1">
      <alignment horizontal="center"/>
    </xf>
    <xf numFmtId="0" fontId="4" fillId="12" borderId="10" xfId="0" applyFont="1" applyFill="1" applyBorder="1" applyAlignment="1">
      <alignment horizontal="center"/>
    </xf>
    <xf numFmtId="0" fontId="4" fillId="12" borderId="11" xfId="0" applyFont="1" applyFill="1" applyBorder="1" applyAlignment="1">
      <alignment horizontal="center"/>
    </xf>
    <xf numFmtId="0" fontId="0" fillId="0" borderId="1"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6" xfId="0" applyBorder="1" applyAlignment="1">
      <alignment horizontal="center"/>
    </xf>
    <xf numFmtId="0" fontId="10" fillId="0" borderId="0" xfId="0" applyFont="1" applyAlignment="1">
      <alignment horizontal="center"/>
    </xf>
  </cellXfs>
  <cellStyles count="7">
    <cellStyle name="Comma" xfId="1" builtinId="3"/>
    <cellStyle name="Comma 2" xfId="6" xr:uid="{52E6098E-598A-47C8-9A5F-B0767B1DFDDA}"/>
    <cellStyle name="Normal" xfId="0" builtinId="0"/>
    <cellStyle name="Normal 2" xfId="2" xr:uid="{00000000-0005-0000-0000-000002000000}"/>
    <cellStyle name="Normal 2 2" xfId="3" xr:uid="{00000000-0005-0000-0000-000003000000}"/>
    <cellStyle name="Normal 3" xfId="4" xr:uid="{00000000-0005-0000-0000-000004000000}"/>
    <cellStyle name="Normal 4" xfId="5" xr:uid="{3DF64BDF-0FAD-4A03-8BAF-92AEF9462080}"/>
  </cellStyles>
  <dxfs count="0"/>
  <tableStyles count="0" defaultTableStyle="TableStyleMedium2" defaultPivotStyle="PivotStyleLight16"/>
  <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_rels/chart8.xml.rels><?xml version="1.0" encoding="UTF-8" standalone="yes"?>
<Relationships xmlns="http://schemas.openxmlformats.org/package/2006/relationships"><Relationship Id="rId1" Type="http://schemas.openxmlformats.org/officeDocument/2006/relationships/image" Target="../media/image2.png"/></Relationships>
</file>

<file path=xl/charts/_rels/chart10.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Z Factor</a:t>
            </a:r>
          </a:p>
        </c:rich>
      </c:tx>
      <c:overlay val="0"/>
    </c:title>
    <c:autoTitleDeleted val="0"/>
    <c:plotArea>
      <c:layout>
        <c:manualLayout>
          <c:layoutTarget val="inner"/>
          <c:xMode val="edge"/>
          <c:yMode val="edge"/>
          <c:x val="7.7270666948563452E-2"/>
          <c:y val="0.12491817199320673"/>
          <c:w val="0.84530568430719188"/>
          <c:h val="0.70729272811486799"/>
        </c:manualLayout>
      </c:layout>
      <c:scatterChart>
        <c:scatterStyle val="smoothMarker"/>
        <c:varyColors val="0"/>
        <c:ser>
          <c:idx val="1"/>
          <c:order val="0"/>
          <c:tx>
            <c:v> PVT Study</c:v>
          </c:tx>
          <c:spPr>
            <a:ln w="9525">
              <a:noFill/>
              <a:prstDash val="solid"/>
            </a:ln>
          </c:spPr>
          <c:marker>
            <c:symbol val="circle"/>
            <c:size val="8"/>
            <c:spPr>
              <a:solidFill>
                <a:srgbClr val="FFC000"/>
              </a:solidFill>
              <a:ln>
                <a:solidFill>
                  <a:srgbClr val="C00000"/>
                </a:solidFill>
              </a:ln>
            </c:spPr>
          </c:marker>
          <c:xVal>
            <c:numRef>
              <c:f>'PVT Input '!$H$10:$H$19</c:f>
              <c:numCache>
                <c:formatCode>General</c:formatCode>
                <c:ptCount val="10"/>
                <c:pt idx="0">
                  <c:v>4208</c:v>
                </c:pt>
                <c:pt idx="1">
                  <c:v>3807</c:v>
                </c:pt>
                <c:pt idx="2">
                  <c:v>3292</c:v>
                </c:pt>
                <c:pt idx="3">
                  <c:v>2579</c:v>
                </c:pt>
              </c:numCache>
            </c:numRef>
          </c:xVal>
          <c:yVal>
            <c:numRef>
              <c:f>'PVT Input '!$I$10:$I$19</c:f>
              <c:numCache>
                <c:formatCode>General</c:formatCode>
                <c:ptCount val="10"/>
                <c:pt idx="0">
                  <c:v>0.96599999999999997</c:v>
                </c:pt>
                <c:pt idx="1">
                  <c:v>0.94499999999999995</c:v>
                </c:pt>
                <c:pt idx="2">
                  <c:v>0.92300000000000004</c:v>
                </c:pt>
                <c:pt idx="3">
                  <c:v>0.90500000000000003</c:v>
                </c:pt>
              </c:numCache>
            </c:numRef>
          </c:yVal>
          <c:smooth val="1"/>
          <c:extLst>
            <c:ext xmlns:c16="http://schemas.microsoft.com/office/drawing/2014/chart" uri="{C3380CC4-5D6E-409C-BE32-E72D297353CC}">
              <c16:uniqueId val="{00000001-98F5-49DE-A7F7-9336D5BA0230}"/>
            </c:ext>
          </c:extLst>
        </c:ser>
        <c:ser>
          <c:idx val="0"/>
          <c:order val="1"/>
          <c:tx>
            <c:v>Temp 86</c:v>
          </c:tx>
          <c:spPr>
            <a:ln w="25400">
              <a:solidFill>
                <a:srgbClr val="000000"/>
              </a:solidFill>
              <a:prstDash val="solid"/>
            </a:ln>
          </c:spPr>
          <c:marker>
            <c:symbol val="none"/>
          </c:marker>
          <c:xVal>
            <c:numRef>
              <c:f>'PVT Results'!$U$10:$U$19</c:f>
              <c:numCache>
                <c:formatCode>0.00;\-0.00;0.00</c:formatCode>
                <c:ptCount val="10"/>
                <c:pt idx="0">
                  <c:v>14</c:v>
                </c:pt>
                <c:pt idx="1">
                  <c:v>568</c:v>
                </c:pt>
                <c:pt idx="2">
                  <c:v>1122</c:v>
                </c:pt>
                <c:pt idx="3">
                  <c:v>1676</c:v>
                </c:pt>
                <c:pt idx="4">
                  <c:v>2230</c:v>
                </c:pt>
                <c:pt idx="5">
                  <c:v>2784</c:v>
                </c:pt>
                <c:pt idx="6">
                  <c:v>3338</c:v>
                </c:pt>
                <c:pt idx="7">
                  <c:v>3892</c:v>
                </c:pt>
                <c:pt idx="8">
                  <c:v>4446</c:v>
                </c:pt>
                <c:pt idx="9">
                  <c:v>5000</c:v>
                </c:pt>
              </c:numCache>
            </c:numRef>
          </c:xVal>
          <c:yVal>
            <c:numRef>
              <c:f>'PVT Results'!$Y$10:$Y$19</c:f>
              <c:numCache>
                <c:formatCode>0.0000;\-0.0;0.0</c:formatCode>
                <c:ptCount val="10"/>
                <c:pt idx="0">
                  <c:v>1.0138100000000001</c:v>
                </c:pt>
                <c:pt idx="1">
                  <c:v>0.93710700000000002</c:v>
                </c:pt>
                <c:pt idx="2">
                  <c:v>0.86646900000000004</c:v>
                </c:pt>
                <c:pt idx="3">
                  <c:v>0.81799900000000003</c:v>
                </c:pt>
                <c:pt idx="4">
                  <c:v>0.80413000000000001</c:v>
                </c:pt>
                <c:pt idx="5">
                  <c:v>0.81829600000000002</c:v>
                </c:pt>
                <c:pt idx="6">
                  <c:v>0.848943</c:v>
                </c:pt>
                <c:pt idx="7">
                  <c:v>0.88863000000000003</c:v>
                </c:pt>
                <c:pt idx="8">
                  <c:v>0.93327499999999997</c:v>
                </c:pt>
                <c:pt idx="9">
                  <c:v>0.98065899999999995</c:v>
                </c:pt>
              </c:numCache>
            </c:numRef>
          </c:yVal>
          <c:smooth val="0"/>
          <c:extLst>
            <c:ext xmlns:c16="http://schemas.microsoft.com/office/drawing/2014/chart" uri="{C3380CC4-5D6E-409C-BE32-E72D297353CC}">
              <c16:uniqueId val="{0000005A-4942-4645-8805-9C7BBEFB0580}"/>
            </c:ext>
          </c:extLst>
        </c:ser>
        <c:ser>
          <c:idx val="2"/>
          <c:order val="2"/>
          <c:tx>
            <c:v>Temp 129.5</c:v>
          </c:tx>
          <c:spPr>
            <a:ln w="25400">
              <a:solidFill>
                <a:srgbClr val="2D626A"/>
              </a:solidFill>
              <a:prstDash val="solid"/>
            </a:ln>
          </c:spPr>
          <c:marker>
            <c:symbol val="none"/>
          </c:marker>
          <c:xVal>
            <c:numRef>
              <c:f>'PVT Results'!$U$20:$U$29</c:f>
              <c:numCache>
                <c:formatCode>0.00;\-0.00;0.00</c:formatCode>
                <c:ptCount val="10"/>
                <c:pt idx="0">
                  <c:v>14</c:v>
                </c:pt>
                <c:pt idx="1">
                  <c:v>568</c:v>
                </c:pt>
                <c:pt idx="2">
                  <c:v>1122</c:v>
                </c:pt>
                <c:pt idx="3">
                  <c:v>1676</c:v>
                </c:pt>
                <c:pt idx="4">
                  <c:v>2230</c:v>
                </c:pt>
                <c:pt idx="5">
                  <c:v>2784</c:v>
                </c:pt>
                <c:pt idx="6">
                  <c:v>3338</c:v>
                </c:pt>
                <c:pt idx="7">
                  <c:v>3892</c:v>
                </c:pt>
                <c:pt idx="8">
                  <c:v>4446</c:v>
                </c:pt>
                <c:pt idx="9">
                  <c:v>5000</c:v>
                </c:pt>
              </c:numCache>
            </c:numRef>
          </c:xVal>
          <c:yVal>
            <c:numRef>
              <c:f>'PVT Results'!$Y$20:$Y$29</c:f>
              <c:numCache>
                <c:formatCode>0.0000;\-0.0;0.0</c:formatCode>
                <c:ptCount val="10"/>
                <c:pt idx="0">
                  <c:v>1.01467</c:v>
                </c:pt>
                <c:pt idx="1">
                  <c:v>0.95635499999999996</c:v>
                </c:pt>
                <c:pt idx="2">
                  <c:v>0.90548300000000004</c:v>
                </c:pt>
                <c:pt idx="3">
                  <c:v>0.87038800000000005</c:v>
                </c:pt>
                <c:pt idx="4">
                  <c:v>0.85734299999999997</c:v>
                </c:pt>
                <c:pt idx="5">
                  <c:v>0.86470199999999997</c:v>
                </c:pt>
                <c:pt idx="6">
                  <c:v>0.88643700000000003</c:v>
                </c:pt>
                <c:pt idx="7">
                  <c:v>0.91729899999999998</c:v>
                </c:pt>
                <c:pt idx="8">
                  <c:v>0.95385200000000003</c:v>
                </c:pt>
                <c:pt idx="9">
                  <c:v>0.99396700000000004</c:v>
                </c:pt>
              </c:numCache>
            </c:numRef>
          </c:yVal>
          <c:smooth val="0"/>
          <c:extLst>
            <c:ext xmlns:c16="http://schemas.microsoft.com/office/drawing/2014/chart" uri="{C3380CC4-5D6E-409C-BE32-E72D297353CC}">
              <c16:uniqueId val="{0000005B-4942-4645-8805-9C7BBEFB0580}"/>
            </c:ext>
          </c:extLst>
        </c:ser>
        <c:ser>
          <c:idx val="3"/>
          <c:order val="3"/>
          <c:tx>
            <c:v>Temp 173</c:v>
          </c:tx>
          <c:spPr>
            <a:ln w="25400">
              <a:solidFill>
                <a:srgbClr val="428A91"/>
              </a:solidFill>
              <a:prstDash val="solid"/>
            </a:ln>
          </c:spPr>
          <c:marker>
            <c:symbol val="none"/>
          </c:marker>
          <c:xVal>
            <c:numRef>
              <c:f>'PVT Results'!$U$30:$U$39</c:f>
              <c:numCache>
                <c:formatCode>0.00;\-0.00;0.00</c:formatCode>
                <c:ptCount val="10"/>
                <c:pt idx="0">
                  <c:v>14</c:v>
                </c:pt>
                <c:pt idx="1">
                  <c:v>568</c:v>
                </c:pt>
                <c:pt idx="2">
                  <c:v>1122</c:v>
                </c:pt>
                <c:pt idx="3">
                  <c:v>1676</c:v>
                </c:pt>
                <c:pt idx="4">
                  <c:v>2230</c:v>
                </c:pt>
                <c:pt idx="5">
                  <c:v>2784</c:v>
                </c:pt>
                <c:pt idx="6">
                  <c:v>3338</c:v>
                </c:pt>
                <c:pt idx="7">
                  <c:v>3892</c:v>
                </c:pt>
                <c:pt idx="8">
                  <c:v>4446</c:v>
                </c:pt>
                <c:pt idx="9">
                  <c:v>5000</c:v>
                </c:pt>
              </c:numCache>
            </c:numRef>
          </c:xVal>
          <c:yVal>
            <c:numRef>
              <c:f>'PVT Results'!$Y$30:$Y$39</c:f>
              <c:numCache>
                <c:formatCode>0.0000;\-0.0;0.0</c:formatCode>
                <c:ptCount val="10"/>
                <c:pt idx="0">
                  <c:v>1.01532</c:v>
                </c:pt>
                <c:pt idx="1">
                  <c:v>0.97018899999999997</c:v>
                </c:pt>
                <c:pt idx="2">
                  <c:v>0.93264499999999995</c:v>
                </c:pt>
                <c:pt idx="3">
                  <c:v>0.90742699999999998</c:v>
                </c:pt>
                <c:pt idx="4">
                  <c:v>0.89773700000000001</c:v>
                </c:pt>
                <c:pt idx="5">
                  <c:v>0.90297700000000003</c:v>
                </c:pt>
                <c:pt idx="6">
                  <c:v>0.91987799999999997</c:v>
                </c:pt>
                <c:pt idx="7">
                  <c:v>0.94495399999999996</c:v>
                </c:pt>
                <c:pt idx="8">
                  <c:v>0.97556399999999999</c:v>
                </c:pt>
                <c:pt idx="9">
                  <c:v>1.0099100000000001</c:v>
                </c:pt>
              </c:numCache>
            </c:numRef>
          </c:yVal>
          <c:smooth val="0"/>
          <c:extLst>
            <c:ext xmlns:c16="http://schemas.microsoft.com/office/drawing/2014/chart" uri="{C3380CC4-5D6E-409C-BE32-E72D297353CC}">
              <c16:uniqueId val="{0000005C-4942-4645-8805-9C7BBEFB0580}"/>
            </c:ext>
          </c:extLst>
        </c:ser>
        <c:ser>
          <c:idx val="4"/>
          <c:order val="4"/>
          <c:tx>
            <c:v>Temp 216.5</c:v>
          </c:tx>
          <c:spPr>
            <a:ln w="25400">
              <a:solidFill>
                <a:srgbClr val="6F9C97"/>
              </a:solidFill>
              <a:prstDash val="solid"/>
            </a:ln>
          </c:spPr>
          <c:marker>
            <c:symbol val="none"/>
          </c:marker>
          <c:xVal>
            <c:numRef>
              <c:f>'PVT Results'!$U$40:$U$49</c:f>
              <c:numCache>
                <c:formatCode>0.00;\-0.00;0.00</c:formatCode>
                <c:ptCount val="10"/>
                <c:pt idx="0">
                  <c:v>14</c:v>
                </c:pt>
                <c:pt idx="1">
                  <c:v>568</c:v>
                </c:pt>
                <c:pt idx="2">
                  <c:v>1122</c:v>
                </c:pt>
                <c:pt idx="3">
                  <c:v>1676</c:v>
                </c:pt>
                <c:pt idx="4">
                  <c:v>2230</c:v>
                </c:pt>
                <c:pt idx="5">
                  <c:v>2784</c:v>
                </c:pt>
                <c:pt idx="6">
                  <c:v>3338</c:v>
                </c:pt>
                <c:pt idx="7">
                  <c:v>3892</c:v>
                </c:pt>
                <c:pt idx="8">
                  <c:v>4446</c:v>
                </c:pt>
                <c:pt idx="9">
                  <c:v>5000</c:v>
                </c:pt>
              </c:numCache>
            </c:numRef>
          </c:xVal>
          <c:yVal>
            <c:numRef>
              <c:f>'PVT Results'!$Y$40:$Y$49</c:f>
              <c:numCache>
                <c:formatCode>0.0000;\-0.0;0.0</c:formatCode>
                <c:ptCount val="10"/>
                <c:pt idx="0">
                  <c:v>1.0158100000000001</c:v>
                </c:pt>
                <c:pt idx="1">
                  <c:v>0.98046100000000003</c:v>
                </c:pt>
                <c:pt idx="2">
                  <c:v>0.95238100000000003</c:v>
                </c:pt>
                <c:pt idx="3">
                  <c:v>0.93441799999999997</c:v>
                </c:pt>
                <c:pt idx="4">
                  <c:v>0.92822499999999997</c:v>
                </c:pt>
                <c:pt idx="5">
                  <c:v>0.933365</c:v>
                </c:pt>
                <c:pt idx="6">
                  <c:v>0.94784500000000005</c:v>
                </c:pt>
                <c:pt idx="7">
                  <c:v>0.96931699999999998</c:v>
                </c:pt>
                <c:pt idx="8">
                  <c:v>0.995811</c:v>
                </c:pt>
                <c:pt idx="9">
                  <c:v>1.0258700000000001</c:v>
                </c:pt>
              </c:numCache>
            </c:numRef>
          </c:yVal>
          <c:smooth val="0"/>
          <c:extLst>
            <c:ext xmlns:c16="http://schemas.microsoft.com/office/drawing/2014/chart" uri="{C3380CC4-5D6E-409C-BE32-E72D297353CC}">
              <c16:uniqueId val="{0000005D-4942-4645-8805-9C7BBEFB0580}"/>
            </c:ext>
          </c:extLst>
        </c:ser>
        <c:ser>
          <c:idx val="5"/>
          <c:order val="5"/>
          <c:tx>
            <c:v>Temp 260</c:v>
          </c:tx>
          <c:spPr>
            <a:ln w="25400">
              <a:solidFill>
                <a:srgbClr val="AECDC7"/>
              </a:solidFill>
              <a:prstDash val="solid"/>
            </a:ln>
          </c:spPr>
          <c:marker>
            <c:symbol val="none"/>
          </c:marker>
          <c:xVal>
            <c:numRef>
              <c:f>'PVT Results'!$U$50:$U$59</c:f>
              <c:numCache>
                <c:formatCode>0.00;\-0.00;0.00</c:formatCode>
                <c:ptCount val="10"/>
                <c:pt idx="0">
                  <c:v>14</c:v>
                </c:pt>
                <c:pt idx="1">
                  <c:v>568</c:v>
                </c:pt>
                <c:pt idx="2">
                  <c:v>1122</c:v>
                </c:pt>
                <c:pt idx="3">
                  <c:v>1676</c:v>
                </c:pt>
                <c:pt idx="4">
                  <c:v>2230</c:v>
                </c:pt>
                <c:pt idx="5">
                  <c:v>2784</c:v>
                </c:pt>
                <c:pt idx="6">
                  <c:v>3338</c:v>
                </c:pt>
                <c:pt idx="7">
                  <c:v>3892</c:v>
                </c:pt>
                <c:pt idx="8">
                  <c:v>4446</c:v>
                </c:pt>
                <c:pt idx="9">
                  <c:v>5000</c:v>
                </c:pt>
              </c:numCache>
            </c:numRef>
          </c:xVal>
          <c:yVal>
            <c:numRef>
              <c:f>'PVT Results'!$Y$50:$Y$59</c:f>
              <c:numCache>
                <c:formatCode>0.0000;\-0.0;0.0</c:formatCode>
                <c:ptCount val="10"/>
                <c:pt idx="0">
                  <c:v>1.0161899999999999</c:v>
                </c:pt>
                <c:pt idx="1">
                  <c:v>0.98828000000000005</c:v>
                </c:pt>
                <c:pt idx="2">
                  <c:v>0.96716800000000003</c:v>
                </c:pt>
                <c:pt idx="3">
                  <c:v>0.95461399999999996</c:v>
                </c:pt>
                <c:pt idx="4">
                  <c:v>0.95144899999999999</c:v>
                </c:pt>
                <c:pt idx="5">
                  <c:v>0.957229</c:v>
                </c:pt>
                <c:pt idx="6">
                  <c:v>0.97057499999999997</c:v>
                </c:pt>
                <c:pt idx="7">
                  <c:v>0.98983100000000002</c:v>
                </c:pt>
                <c:pt idx="8">
                  <c:v>1.0135099999999999</c:v>
                </c:pt>
                <c:pt idx="9">
                  <c:v>1.0404500000000001</c:v>
                </c:pt>
              </c:numCache>
            </c:numRef>
          </c:yVal>
          <c:smooth val="0"/>
          <c:extLst>
            <c:ext xmlns:c16="http://schemas.microsoft.com/office/drawing/2014/chart" uri="{C3380CC4-5D6E-409C-BE32-E72D297353CC}">
              <c16:uniqueId val="{0000005E-4942-4645-8805-9C7BBEFB0580}"/>
            </c:ext>
          </c:extLst>
        </c:ser>
        <c:dLbls>
          <c:showLegendKey val="0"/>
          <c:showVal val="0"/>
          <c:showCatName val="0"/>
          <c:showSerName val="0"/>
          <c:showPercent val="0"/>
          <c:showBubbleSize val="0"/>
        </c:dLbls>
        <c:axId val="53617792"/>
        <c:axId val="52442176"/>
      </c:scatterChart>
      <c:valAx>
        <c:axId val="53617792"/>
        <c:scaling>
          <c:orientation val="minMax"/>
          <c:max val="5000"/>
          <c:min val="0"/>
        </c:scaling>
        <c:delete val="0"/>
        <c:axPos val="b"/>
        <c:majorGridlines>
          <c:spPr>
            <a:ln w="3175">
              <a:solidFill>
                <a:schemeClr val="bg1">
                  <a:lumMod val="95000"/>
                </a:schemeClr>
              </a:solidFill>
              <a:prstDash val="sysDash"/>
            </a:ln>
          </c:spPr>
        </c:majorGridlines>
        <c:title>
          <c:tx>
            <c:rich>
              <a:bodyPr/>
              <a:lstStyle/>
              <a:p>
                <a:pPr>
                  <a:defRPr sz="1100"/>
                </a:pPr>
                <a:r>
                  <a:rPr lang="es-BO" sz="1100"/>
                  <a:t>Pressure, psi</a:t>
                </a:r>
              </a:p>
            </c:rich>
          </c:tx>
          <c:overlay val="0"/>
        </c:title>
        <c:numFmt formatCode="#,##0" sourceLinked="0"/>
        <c:majorTickMark val="out"/>
        <c:minorTickMark val="in"/>
        <c:tickLblPos val="nextTo"/>
        <c:spPr>
          <a:ln w="12700">
            <a:solidFill>
              <a:srgbClr val="000000"/>
            </a:solidFill>
            <a:prstDash val="solid"/>
          </a:ln>
        </c:spPr>
        <c:txPr>
          <a:bodyPr rot="0" vert="horz"/>
          <a:lstStyle/>
          <a:p>
            <a:pPr>
              <a:defRPr sz="800" b="0"/>
            </a:pPr>
            <a:endParaRPr lang="es-BO"/>
          </a:p>
        </c:txPr>
        <c:crossAx val="52442176"/>
        <c:crossesAt val="0"/>
        <c:crossBetween val="midCat"/>
      </c:valAx>
      <c:valAx>
        <c:axId val="52442176"/>
        <c:scaling>
          <c:orientation val="minMax"/>
          <c:min val="0"/>
        </c:scaling>
        <c:delete val="0"/>
        <c:axPos val="l"/>
        <c:majorGridlines>
          <c:spPr>
            <a:ln w="3175">
              <a:solidFill>
                <a:schemeClr val="bg1">
                  <a:lumMod val="95000"/>
                </a:schemeClr>
              </a:solidFill>
              <a:prstDash val="sysDash"/>
            </a:ln>
          </c:spPr>
        </c:majorGridlines>
        <c:numFmt formatCode="#,##0.0" sourceLinked="0"/>
        <c:majorTickMark val="out"/>
        <c:minorTickMark val="in"/>
        <c:tickLblPos val="nextTo"/>
        <c:spPr>
          <a:ln w="12700">
            <a:solidFill>
              <a:srgbClr val="000000"/>
            </a:solidFill>
            <a:prstDash val="solid"/>
          </a:ln>
        </c:spPr>
        <c:txPr>
          <a:bodyPr rot="0" vert="horz"/>
          <a:lstStyle/>
          <a:p>
            <a:pPr>
              <a:defRPr sz="900" b="0"/>
            </a:pPr>
            <a:endParaRPr lang="es-BO"/>
          </a:p>
        </c:txPr>
        <c:crossAx val="53617792"/>
        <c:crossesAt val="0"/>
        <c:crossBetween val="midCat"/>
      </c:valAx>
      <c:spPr>
        <a:solidFill>
          <a:srgbClr val="FFFFFF"/>
        </a:solidFill>
        <a:ln w="25400">
          <a:noFill/>
        </a:ln>
      </c:spPr>
    </c:plotArea>
    <c:legend>
      <c:legendPos val="r"/>
      <c:legendEntry>
        <c:idx val="1"/>
        <c:delete val="1"/>
      </c:legendEntry>
      <c:legendEntry>
        <c:idx val="2"/>
        <c:delete val="1"/>
      </c:legendEntry>
      <c:legendEntry>
        <c:idx val="3"/>
        <c:delete val="1"/>
      </c:legendEntry>
      <c:legendEntry>
        <c:idx val="4"/>
        <c:delete val="1"/>
      </c:legendEntry>
      <c:legendEntry>
        <c:idx val="5"/>
        <c:delete val="1"/>
      </c:legendEntry>
      <c:layout>
        <c:manualLayout>
          <c:xMode val="edge"/>
          <c:yMode val="edge"/>
          <c:x val="3.888888888888889E-2"/>
          <c:y val="1.7429193899782137E-2"/>
          <c:w val="0.1838882327209099"/>
          <c:h val="7.8792650918635174E-2"/>
        </c:manualLayout>
      </c:layout>
      <c:overlay val="0"/>
    </c:legend>
    <c:plotVisOnly val="1"/>
    <c:dispBlanksAs val="gap"/>
    <c:showDLblsOverMax val="0"/>
  </c:chart>
  <c:spPr>
    <a:solidFill>
      <a:schemeClr val="bg1"/>
    </a:solidFill>
    <a:ln w="9525" cap="flat" cmpd="sng" algn="ctr">
      <a:solidFill>
        <a:schemeClr val="bg1">
          <a:lumMod val="75000"/>
        </a:schemeClr>
      </a:solidFill>
      <a:prstDash val="solid"/>
    </a:ln>
    <a:effectLst/>
  </c:spPr>
  <c:txPr>
    <a:bodyPr/>
    <a:lstStyle/>
    <a:p>
      <a:pPr>
        <a:defRPr>
          <a:solidFill>
            <a:schemeClr val="dk1"/>
          </a:solidFill>
          <a:latin typeface="+mn-lt"/>
          <a:ea typeface="+mn-ea"/>
          <a:cs typeface="+mn-cs"/>
        </a:defRPr>
      </a:pPr>
      <a:endParaRPr lang="es-BO"/>
    </a:p>
  </c:txPr>
  <c:printSettings>
    <c:headerFooter alignWithMargins="0"/>
    <c:pageMargins b="1" l="0.75" r="0.75" t="1" header="0.5" footer="0.5"/>
    <c:pageSetup paperSize="9" orientation="landscape" horizontalDpi="1200" verticalDpi="1200"/>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Gas Viscosity</a:t>
            </a:r>
          </a:p>
        </c:rich>
      </c:tx>
      <c:overlay val="0"/>
    </c:title>
    <c:autoTitleDeleted val="0"/>
    <c:plotArea>
      <c:layout>
        <c:manualLayout>
          <c:layoutTarget val="inner"/>
          <c:xMode val="edge"/>
          <c:yMode val="edge"/>
          <c:x val="7.7270666948563452E-2"/>
          <c:y val="0.13472209356183421"/>
          <c:w val="0.84530568430719188"/>
          <c:h val="0.70239076733055439"/>
        </c:manualLayout>
      </c:layout>
      <c:scatterChart>
        <c:scatterStyle val="smoothMarker"/>
        <c:varyColors val="0"/>
        <c:ser>
          <c:idx val="1"/>
          <c:order val="0"/>
          <c:tx>
            <c:v> PVT Study</c:v>
          </c:tx>
          <c:spPr>
            <a:ln w="9525">
              <a:noFill/>
              <a:prstDash val="solid"/>
            </a:ln>
          </c:spPr>
          <c:marker>
            <c:symbol val="circle"/>
            <c:size val="8"/>
            <c:spPr>
              <a:solidFill>
                <a:srgbClr val="FFC000"/>
              </a:solidFill>
              <a:ln>
                <a:solidFill>
                  <a:srgbClr val="C00000"/>
                </a:solidFill>
              </a:ln>
            </c:spPr>
          </c:marker>
          <c:xVal>
            <c:numRef>
              <c:f>'PVT Input '!$H$10:$H$19</c:f>
              <c:numCache>
                <c:formatCode>General</c:formatCode>
                <c:ptCount val="10"/>
                <c:pt idx="0">
                  <c:v>4208</c:v>
                </c:pt>
                <c:pt idx="1">
                  <c:v>3807</c:v>
                </c:pt>
                <c:pt idx="2">
                  <c:v>3292</c:v>
                </c:pt>
                <c:pt idx="3">
                  <c:v>2579</c:v>
                </c:pt>
              </c:numCache>
            </c:numRef>
          </c:xVal>
          <c:yVal>
            <c:numRef>
              <c:f>'PVT Input '!$J$10:$J$19</c:f>
              <c:numCache>
                <c:formatCode>General</c:formatCode>
                <c:ptCount val="10"/>
              </c:numCache>
            </c:numRef>
          </c:yVal>
          <c:smooth val="1"/>
          <c:extLst>
            <c:ext xmlns:c16="http://schemas.microsoft.com/office/drawing/2014/chart" uri="{C3380CC4-5D6E-409C-BE32-E72D297353CC}">
              <c16:uniqueId val="{00000000-88B5-4976-8539-1085CCA0F8CB}"/>
            </c:ext>
          </c:extLst>
        </c:ser>
        <c:ser>
          <c:idx val="0"/>
          <c:order val="1"/>
          <c:tx>
            <c:v>Temp 86</c:v>
          </c:tx>
          <c:spPr>
            <a:ln w="25400">
              <a:solidFill>
                <a:srgbClr val="000000"/>
              </a:solidFill>
              <a:prstDash val="solid"/>
            </a:ln>
          </c:spPr>
          <c:marker>
            <c:symbol val="none"/>
          </c:marker>
          <c:xVal>
            <c:numRef>
              <c:f>'PVT Results'!$U$10:$U$19</c:f>
              <c:numCache>
                <c:formatCode>0.00;\-0.00;0.00</c:formatCode>
                <c:ptCount val="10"/>
                <c:pt idx="0">
                  <c:v>14</c:v>
                </c:pt>
                <c:pt idx="1">
                  <c:v>568</c:v>
                </c:pt>
                <c:pt idx="2">
                  <c:v>1122</c:v>
                </c:pt>
                <c:pt idx="3">
                  <c:v>1676</c:v>
                </c:pt>
                <c:pt idx="4">
                  <c:v>2230</c:v>
                </c:pt>
                <c:pt idx="5">
                  <c:v>2784</c:v>
                </c:pt>
                <c:pt idx="6">
                  <c:v>3338</c:v>
                </c:pt>
                <c:pt idx="7">
                  <c:v>3892</c:v>
                </c:pt>
                <c:pt idx="8">
                  <c:v>4446</c:v>
                </c:pt>
                <c:pt idx="9">
                  <c:v>5000</c:v>
                </c:pt>
              </c:numCache>
            </c:numRef>
          </c:xVal>
          <c:yVal>
            <c:numRef>
              <c:f>'PVT Results'!$W$10:$W$19</c:f>
              <c:numCache>
                <c:formatCode>0.0000;\-0.0;0.0</c:formatCode>
                <c:ptCount val="10"/>
                <c:pt idx="0">
                  <c:v>1.07814E-2</c:v>
                </c:pt>
                <c:pt idx="1">
                  <c:v>1.1618399999999999E-2</c:v>
                </c:pt>
                <c:pt idx="2">
                  <c:v>1.3154600000000001E-2</c:v>
                </c:pt>
                <c:pt idx="3">
                  <c:v>1.5447600000000001E-2</c:v>
                </c:pt>
                <c:pt idx="4">
                  <c:v>1.8343999999999999E-2</c:v>
                </c:pt>
                <c:pt idx="5">
                  <c:v>2.1535599999999998E-2</c:v>
                </c:pt>
                <c:pt idx="6">
                  <c:v>2.4821800000000002E-2</c:v>
                </c:pt>
                <c:pt idx="7">
                  <c:v>2.8112499999999999E-2</c:v>
                </c:pt>
                <c:pt idx="8">
                  <c:v>3.13745E-2</c:v>
                </c:pt>
                <c:pt idx="9">
                  <c:v>3.4598299999999998E-2</c:v>
                </c:pt>
              </c:numCache>
            </c:numRef>
          </c:yVal>
          <c:smooth val="0"/>
          <c:extLst>
            <c:ext xmlns:c16="http://schemas.microsoft.com/office/drawing/2014/chart" uri="{C3380CC4-5D6E-409C-BE32-E72D297353CC}">
              <c16:uniqueId val="{0000005A-FAF0-4BA4-AB83-C8A543D9759C}"/>
            </c:ext>
          </c:extLst>
        </c:ser>
        <c:ser>
          <c:idx val="2"/>
          <c:order val="2"/>
          <c:tx>
            <c:v>Temp 129.5</c:v>
          </c:tx>
          <c:spPr>
            <a:ln w="25400">
              <a:solidFill>
                <a:srgbClr val="2D626A"/>
              </a:solidFill>
              <a:prstDash val="solid"/>
            </a:ln>
          </c:spPr>
          <c:marker>
            <c:symbol val="none"/>
          </c:marker>
          <c:xVal>
            <c:numRef>
              <c:f>'PVT Results'!$U$20:$U$29</c:f>
              <c:numCache>
                <c:formatCode>0.00;\-0.00;0.00</c:formatCode>
                <c:ptCount val="10"/>
                <c:pt idx="0">
                  <c:v>14</c:v>
                </c:pt>
                <c:pt idx="1">
                  <c:v>568</c:v>
                </c:pt>
                <c:pt idx="2">
                  <c:v>1122</c:v>
                </c:pt>
                <c:pt idx="3">
                  <c:v>1676</c:v>
                </c:pt>
                <c:pt idx="4">
                  <c:v>2230</c:v>
                </c:pt>
                <c:pt idx="5">
                  <c:v>2784</c:v>
                </c:pt>
                <c:pt idx="6">
                  <c:v>3338</c:v>
                </c:pt>
                <c:pt idx="7">
                  <c:v>3892</c:v>
                </c:pt>
                <c:pt idx="8">
                  <c:v>4446</c:v>
                </c:pt>
                <c:pt idx="9">
                  <c:v>5000</c:v>
                </c:pt>
              </c:numCache>
            </c:numRef>
          </c:xVal>
          <c:yVal>
            <c:numRef>
              <c:f>'PVT Results'!$W$20:$W$29</c:f>
              <c:numCache>
                <c:formatCode>0.0000;\-0.0;0.0</c:formatCode>
                <c:ptCount val="10"/>
                <c:pt idx="0">
                  <c:v>1.1656100000000001E-2</c:v>
                </c:pt>
                <c:pt idx="1">
                  <c:v>1.23622E-2</c:v>
                </c:pt>
                <c:pt idx="2">
                  <c:v>1.3605000000000001E-2</c:v>
                </c:pt>
                <c:pt idx="3">
                  <c:v>1.5363699999999999E-2</c:v>
                </c:pt>
                <c:pt idx="4">
                  <c:v>1.7569600000000001E-2</c:v>
                </c:pt>
                <c:pt idx="5">
                  <c:v>2.00714E-2</c:v>
                </c:pt>
                <c:pt idx="6">
                  <c:v>2.27336E-2</c:v>
                </c:pt>
                <c:pt idx="7">
                  <c:v>2.5471000000000001E-2</c:v>
                </c:pt>
                <c:pt idx="8">
                  <c:v>2.8235799999999998E-2</c:v>
                </c:pt>
                <c:pt idx="9">
                  <c:v>3.1002399999999999E-2</c:v>
                </c:pt>
              </c:numCache>
            </c:numRef>
          </c:yVal>
          <c:smooth val="0"/>
          <c:extLst>
            <c:ext xmlns:c16="http://schemas.microsoft.com/office/drawing/2014/chart" uri="{C3380CC4-5D6E-409C-BE32-E72D297353CC}">
              <c16:uniqueId val="{0000005B-FAF0-4BA4-AB83-C8A543D9759C}"/>
            </c:ext>
          </c:extLst>
        </c:ser>
        <c:ser>
          <c:idx val="3"/>
          <c:order val="3"/>
          <c:tx>
            <c:v>Temp 173</c:v>
          </c:tx>
          <c:spPr>
            <a:ln w="25400">
              <a:solidFill>
                <a:srgbClr val="428A91"/>
              </a:solidFill>
              <a:prstDash val="solid"/>
            </a:ln>
          </c:spPr>
          <c:marker>
            <c:symbol val="none"/>
          </c:marker>
          <c:xVal>
            <c:numRef>
              <c:f>'PVT Results'!$U$30:$U$39</c:f>
              <c:numCache>
                <c:formatCode>0.00;\-0.00;0.00</c:formatCode>
                <c:ptCount val="10"/>
                <c:pt idx="0">
                  <c:v>14</c:v>
                </c:pt>
                <c:pt idx="1">
                  <c:v>568</c:v>
                </c:pt>
                <c:pt idx="2">
                  <c:v>1122</c:v>
                </c:pt>
                <c:pt idx="3">
                  <c:v>1676</c:v>
                </c:pt>
                <c:pt idx="4">
                  <c:v>2230</c:v>
                </c:pt>
                <c:pt idx="5">
                  <c:v>2784</c:v>
                </c:pt>
                <c:pt idx="6">
                  <c:v>3338</c:v>
                </c:pt>
                <c:pt idx="7">
                  <c:v>3892</c:v>
                </c:pt>
                <c:pt idx="8">
                  <c:v>4446</c:v>
                </c:pt>
                <c:pt idx="9">
                  <c:v>5000</c:v>
                </c:pt>
              </c:numCache>
            </c:numRef>
          </c:xVal>
          <c:yVal>
            <c:numRef>
              <c:f>'PVT Results'!$W$30:$W$39</c:f>
              <c:numCache>
                <c:formatCode>0.0000;\-0.0;0.0</c:formatCode>
                <c:ptCount val="10"/>
                <c:pt idx="0">
                  <c:v>1.25164E-2</c:v>
                </c:pt>
                <c:pt idx="1">
                  <c:v>1.3125E-2</c:v>
                </c:pt>
                <c:pt idx="2">
                  <c:v>1.4172499999999999E-2</c:v>
                </c:pt>
                <c:pt idx="3">
                  <c:v>1.56049E-2</c:v>
                </c:pt>
                <c:pt idx="4">
                  <c:v>1.7375000000000002E-2</c:v>
                </c:pt>
                <c:pt idx="5">
                  <c:v>1.9397899999999999E-2</c:v>
                </c:pt>
                <c:pt idx="6">
                  <c:v>2.1586899999999999E-2</c:v>
                </c:pt>
                <c:pt idx="7">
                  <c:v>2.3877499999999999E-2</c:v>
                </c:pt>
                <c:pt idx="8">
                  <c:v>2.6226900000000001E-2</c:v>
                </c:pt>
                <c:pt idx="9">
                  <c:v>2.8607500000000001E-2</c:v>
                </c:pt>
              </c:numCache>
            </c:numRef>
          </c:yVal>
          <c:smooth val="0"/>
          <c:extLst>
            <c:ext xmlns:c16="http://schemas.microsoft.com/office/drawing/2014/chart" uri="{C3380CC4-5D6E-409C-BE32-E72D297353CC}">
              <c16:uniqueId val="{0000005C-FAF0-4BA4-AB83-C8A543D9759C}"/>
            </c:ext>
          </c:extLst>
        </c:ser>
        <c:ser>
          <c:idx val="4"/>
          <c:order val="4"/>
          <c:tx>
            <c:v>Temp 216.5</c:v>
          </c:tx>
          <c:spPr>
            <a:ln w="25400">
              <a:solidFill>
                <a:srgbClr val="6F9C97"/>
              </a:solidFill>
              <a:prstDash val="solid"/>
            </a:ln>
          </c:spPr>
          <c:marker>
            <c:symbol val="none"/>
          </c:marker>
          <c:xVal>
            <c:numRef>
              <c:f>'PVT Results'!$U$40:$U$49</c:f>
              <c:numCache>
                <c:formatCode>0.00;\-0.00;0.00</c:formatCode>
                <c:ptCount val="10"/>
                <c:pt idx="0">
                  <c:v>14</c:v>
                </c:pt>
                <c:pt idx="1">
                  <c:v>568</c:v>
                </c:pt>
                <c:pt idx="2">
                  <c:v>1122</c:v>
                </c:pt>
                <c:pt idx="3">
                  <c:v>1676</c:v>
                </c:pt>
                <c:pt idx="4">
                  <c:v>2230</c:v>
                </c:pt>
                <c:pt idx="5">
                  <c:v>2784</c:v>
                </c:pt>
                <c:pt idx="6">
                  <c:v>3338</c:v>
                </c:pt>
                <c:pt idx="7">
                  <c:v>3892</c:v>
                </c:pt>
                <c:pt idx="8">
                  <c:v>4446</c:v>
                </c:pt>
                <c:pt idx="9">
                  <c:v>5000</c:v>
                </c:pt>
              </c:numCache>
            </c:numRef>
          </c:xVal>
          <c:yVal>
            <c:numRef>
              <c:f>'PVT Results'!$W$40:$W$49</c:f>
              <c:numCache>
                <c:formatCode>0.0000;\-0.0;0.0</c:formatCode>
                <c:ptCount val="10"/>
                <c:pt idx="0">
                  <c:v>1.3362199999999999E-2</c:v>
                </c:pt>
                <c:pt idx="1">
                  <c:v>1.3895299999999999E-2</c:v>
                </c:pt>
                <c:pt idx="2">
                  <c:v>1.48022E-2</c:v>
                </c:pt>
                <c:pt idx="3">
                  <c:v>1.6014899999999999E-2</c:v>
                </c:pt>
                <c:pt idx="4">
                  <c:v>1.74933E-2</c:v>
                </c:pt>
                <c:pt idx="5">
                  <c:v>1.9181799999999999E-2</c:v>
                </c:pt>
                <c:pt idx="6">
                  <c:v>2.1022699999999998E-2</c:v>
                </c:pt>
                <c:pt idx="7">
                  <c:v>2.2968499999999999E-2</c:v>
                </c:pt>
                <c:pt idx="8">
                  <c:v>2.4984900000000001E-2</c:v>
                </c:pt>
                <c:pt idx="9">
                  <c:v>2.7047600000000002E-2</c:v>
                </c:pt>
              </c:numCache>
            </c:numRef>
          </c:yVal>
          <c:smooth val="0"/>
          <c:extLst>
            <c:ext xmlns:c16="http://schemas.microsoft.com/office/drawing/2014/chart" uri="{C3380CC4-5D6E-409C-BE32-E72D297353CC}">
              <c16:uniqueId val="{0000005D-FAF0-4BA4-AB83-C8A543D9759C}"/>
            </c:ext>
          </c:extLst>
        </c:ser>
        <c:ser>
          <c:idx val="5"/>
          <c:order val="5"/>
          <c:tx>
            <c:v>Temp 260</c:v>
          </c:tx>
          <c:spPr>
            <a:ln w="25400">
              <a:solidFill>
                <a:srgbClr val="AECDC7"/>
              </a:solidFill>
              <a:prstDash val="solid"/>
            </a:ln>
          </c:spPr>
          <c:marker>
            <c:symbol val="none"/>
          </c:marker>
          <c:xVal>
            <c:numRef>
              <c:f>'PVT Results'!$U$50:$U$59</c:f>
              <c:numCache>
                <c:formatCode>0.00;\-0.00;0.00</c:formatCode>
                <c:ptCount val="10"/>
                <c:pt idx="0">
                  <c:v>14</c:v>
                </c:pt>
                <c:pt idx="1">
                  <c:v>568</c:v>
                </c:pt>
                <c:pt idx="2">
                  <c:v>1122</c:v>
                </c:pt>
                <c:pt idx="3">
                  <c:v>1676</c:v>
                </c:pt>
                <c:pt idx="4">
                  <c:v>2230</c:v>
                </c:pt>
                <c:pt idx="5">
                  <c:v>2784</c:v>
                </c:pt>
                <c:pt idx="6">
                  <c:v>3338</c:v>
                </c:pt>
                <c:pt idx="7">
                  <c:v>3892</c:v>
                </c:pt>
                <c:pt idx="8">
                  <c:v>4446</c:v>
                </c:pt>
                <c:pt idx="9">
                  <c:v>5000</c:v>
                </c:pt>
              </c:numCache>
            </c:numRef>
          </c:xVal>
          <c:yVal>
            <c:numRef>
              <c:f>'PVT Results'!$W$50:$W$59</c:f>
              <c:numCache>
                <c:formatCode>0.0000;\-0.0;0.0</c:formatCode>
                <c:ptCount val="10"/>
                <c:pt idx="0">
                  <c:v>1.41934E-2</c:v>
                </c:pt>
                <c:pt idx="1">
                  <c:v>1.4666500000000001E-2</c:v>
                </c:pt>
                <c:pt idx="2">
                  <c:v>1.54666E-2</c:v>
                </c:pt>
                <c:pt idx="3">
                  <c:v>1.6520900000000002E-2</c:v>
                </c:pt>
                <c:pt idx="4">
                  <c:v>1.7792499999999999E-2</c:v>
                </c:pt>
                <c:pt idx="5">
                  <c:v>1.9240299999999998E-2</c:v>
                </c:pt>
                <c:pt idx="6">
                  <c:v>2.08227E-2</c:v>
                </c:pt>
                <c:pt idx="7">
                  <c:v>2.25046E-2</c:v>
                </c:pt>
                <c:pt idx="8">
                  <c:v>2.4258600000000002E-2</c:v>
                </c:pt>
                <c:pt idx="9">
                  <c:v>2.60647E-2</c:v>
                </c:pt>
              </c:numCache>
            </c:numRef>
          </c:yVal>
          <c:smooth val="0"/>
          <c:extLst>
            <c:ext xmlns:c16="http://schemas.microsoft.com/office/drawing/2014/chart" uri="{C3380CC4-5D6E-409C-BE32-E72D297353CC}">
              <c16:uniqueId val="{0000005E-FAF0-4BA4-AB83-C8A543D9759C}"/>
            </c:ext>
          </c:extLst>
        </c:ser>
        <c:dLbls>
          <c:showLegendKey val="0"/>
          <c:showVal val="0"/>
          <c:showCatName val="0"/>
          <c:showSerName val="0"/>
          <c:showPercent val="0"/>
          <c:showBubbleSize val="0"/>
        </c:dLbls>
        <c:axId val="53617792"/>
        <c:axId val="52442176"/>
      </c:scatterChart>
      <c:valAx>
        <c:axId val="53617792"/>
        <c:scaling>
          <c:orientation val="minMax"/>
          <c:max val="5000"/>
          <c:min val="0"/>
        </c:scaling>
        <c:delete val="0"/>
        <c:axPos val="b"/>
        <c:majorGridlines>
          <c:spPr>
            <a:ln w="3175">
              <a:solidFill>
                <a:schemeClr val="bg1">
                  <a:lumMod val="95000"/>
                </a:schemeClr>
              </a:solidFill>
              <a:prstDash val="sysDash"/>
            </a:ln>
          </c:spPr>
        </c:majorGridlines>
        <c:title>
          <c:tx>
            <c:rich>
              <a:bodyPr/>
              <a:lstStyle/>
              <a:p>
                <a:pPr>
                  <a:defRPr sz="1100"/>
                </a:pPr>
                <a:r>
                  <a:rPr lang="es-BO" sz="1100"/>
                  <a:t>Pressure, psi</a:t>
                </a:r>
              </a:p>
            </c:rich>
          </c:tx>
          <c:overlay val="0"/>
        </c:title>
        <c:numFmt formatCode="#,##0" sourceLinked="0"/>
        <c:majorTickMark val="out"/>
        <c:minorTickMark val="in"/>
        <c:tickLblPos val="nextTo"/>
        <c:spPr>
          <a:ln w="12700">
            <a:solidFill>
              <a:srgbClr val="000000"/>
            </a:solidFill>
            <a:prstDash val="solid"/>
          </a:ln>
        </c:spPr>
        <c:txPr>
          <a:bodyPr rot="0" vert="horz"/>
          <a:lstStyle/>
          <a:p>
            <a:pPr>
              <a:defRPr sz="800" b="0"/>
            </a:pPr>
            <a:endParaRPr lang="es-BO"/>
          </a:p>
        </c:txPr>
        <c:crossAx val="52442176"/>
        <c:crossesAt val="0"/>
        <c:crossBetween val="midCat"/>
      </c:valAx>
      <c:valAx>
        <c:axId val="52442176"/>
        <c:scaling>
          <c:orientation val="minMax"/>
          <c:min val="0"/>
        </c:scaling>
        <c:delete val="0"/>
        <c:axPos val="l"/>
        <c:majorGridlines>
          <c:spPr>
            <a:ln w="3175">
              <a:solidFill>
                <a:schemeClr val="bg1">
                  <a:lumMod val="95000"/>
                </a:schemeClr>
              </a:solidFill>
              <a:prstDash val="sysDash"/>
            </a:ln>
          </c:spPr>
        </c:majorGridlines>
        <c:numFmt formatCode="#,##0.0" sourceLinked="0"/>
        <c:majorTickMark val="out"/>
        <c:minorTickMark val="in"/>
        <c:tickLblPos val="nextTo"/>
        <c:spPr>
          <a:ln w="12700">
            <a:solidFill>
              <a:srgbClr val="000000"/>
            </a:solidFill>
            <a:prstDash val="solid"/>
          </a:ln>
        </c:spPr>
        <c:txPr>
          <a:bodyPr rot="0" vert="horz"/>
          <a:lstStyle/>
          <a:p>
            <a:pPr>
              <a:defRPr sz="900" b="0"/>
            </a:pPr>
            <a:endParaRPr lang="es-BO"/>
          </a:p>
        </c:txPr>
        <c:crossAx val="53617792"/>
        <c:crossesAt val="0"/>
        <c:crossBetween val="midCat"/>
      </c:valAx>
      <c:spPr>
        <a:solidFill>
          <a:srgbClr val="FFFFFF"/>
        </a:solidFill>
        <a:ln w="25400">
          <a:noFill/>
        </a:ln>
      </c:spPr>
    </c:plotArea>
    <c:legend>
      <c:legendPos val="r"/>
      <c:legendEntry>
        <c:idx val="1"/>
        <c:delete val="1"/>
      </c:legendEntry>
      <c:legendEntry>
        <c:idx val="2"/>
        <c:delete val="1"/>
      </c:legendEntry>
      <c:legendEntry>
        <c:idx val="3"/>
        <c:delete val="1"/>
      </c:legendEntry>
      <c:legendEntry>
        <c:idx val="4"/>
        <c:delete val="1"/>
      </c:legendEntry>
      <c:legendEntry>
        <c:idx val="5"/>
        <c:delete val="1"/>
      </c:legendEntry>
      <c:layout>
        <c:manualLayout>
          <c:xMode val="edge"/>
          <c:yMode val="edge"/>
          <c:x val="3.888888888888889E-2"/>
          <c:y val="1.7429193899782137E-2"/>
          <c:w val="0.1838882327209099"/>
          <c:h val="7.8792650918635174E-2"/>
        </c:manualLayout>
      </c:layout>
      <c:overlay val="0"/>
    </c:legend>
    <c:plotVisOnly val="1"/>
    <c:dispBlanksAs val="gap"/>
    <c:showDLblsOverMax val="0"/>
  </c:chart>
  <c:spPr>
    <a:solidFill>
      <a:schemeClr val="bg1"/>
    </a:solidFill>
    <a:ln w="9525" cap="flat" cmpd="sng" algn="ctr">
      <a:solidFill>
        <a:schemeClr val="bg1">
          <a:lumMod val="75000"/>
        </a:schemeClr>
      </a:solidFill>
      <a:prstDash val="solid"/>
    </a:ln>
    <a:effectLst/>
  </c:spPr>
  <c:txPr>
    <a:bodyPr/>
    <a:lstStyle/>
    <a:p>
      <a:pPr>
        <a:defRPr>
          <a:solidFill>
            <a:schemeClr val="dk1"/>
          </a:solidFill>
          <a:latin typeface="+mn-lt"/>
          <a:ea typeface="+mn-ea"/>
          <a:cs typeface="+mn-cs"/>
        </a:defRPr>
      </a:pPr>
      <a:endParaRPr lang="es-BO"/>
    </a:p>
  </c:txPr>
  <c:printSettings>
    <c:headerFooter alignWithMargins="0"/>
    <c:pageMargins b="1" l="0.75" r="0.75" t="1" header="0.5" footer="0.5"/>
    <c:pageSetup paperSize="9" orientation="landscape" horizontalDpi="1200" verticalDpi="1200"/>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Gas FVF</a:t>
            </a:r>
          </a:p>
        </c:rich>
      </c:tx>
      <c:overlay val="0"/>
    </c:title>
    <c:autoTitleDeleted val="0"/>
    <c:plotArea>
      <c:layout>
        <c:manualLayout>
          <c:layoutTarget val="inner"/>
          <c:xMode val="edge"/>
          <c:yMode val="edge"/>
          <c:x val="7.7270666948563452E-2"/>
          <c:y val="0.13472209356183421"/>
          <c:w val="0.84530568430719188"/>
          <c:h val="0.69748880654624068"/>
        </c:manualLayout>
      </c:layout>
      <c:scatterChart>
        <c:scatterStyle val="smoothMarker"/>
        <c:varyColors val="0"/>
        <c:ser>
          <c:idx val="1"/>
          <c:order val="0"/>
          <c:tx>
            <c:v> PVT Study</c:v>
          </c:tx>
          <c:spPr>
            <a:ln w="9525">
              <a:noFill/>
              <a:prstDash val="solid"/>
            </a:ln>
          </c:spPr>
          <c:marker>
            <c:symbol val="circle"/>
            <c:size val="8"/>
            <c:spPr>
              <a:solidFill>
                <a:srgbClr val="FFC000"/>
              </a:solidFill>
              <a:ln>
                <a:solidFill>
                  <a:srgbClr val="C00000"/>
                </a:solidFill>
              </a:ln>
            </c:spPr>
          </c:marker>
          <c:xVal>
            <c:numRef>
              <c:f>'PVT Input '!$H$10:$H$19</c:f>
              <c:numCache>
                <c:formatCode>General</c:formatCode>
                <c:ptCount val="10"/>
                <c:pt idx="0">
                  <c:v>4208</c:v>
                </c:pt>
                <c:pt idx="1">
                  <c:v>3807</c:v>
                </c:pt>
                <c:pt idx="2">
                  <c:v>3292</c:v>
                </c:pt>
                <c:pt idx="3">
                  <c:v>2579</c:v>
                </c:pt>
              </c:numCache>
            </c:numRef>
          </c:xVal>
          <c:yVal>
            <c:numRef>
              <c:f>'PVT Input '!$K$10:$K$19</c:f>
              <c:numCache>
                <c:formatCode>General</c:formatCode>
                <c:ptCount val="10"/>
              </c:numCache>
            </c:numRef>
          </c:yVal>
          <c:smooth val="1"/>
          <c:extLst>
            <c:ext xmlns:c16="http://schemas.microsoft.com/office/drawing/2014/chart" uri="{C3380CC4-5D6E-409C-BE32-E72D297353CC}">
              <c16:uniqueId val="{00000000-B1F0-451D-85FD-B182985E2B36}"/>
            </c:ext>
          </c:extLst>
        </c:ser>
        <c:ser>
          <c:idx val="0"/>
          <c:order val="1"/>
          <c:tx>
            <c:v>Temp 86</c:v>
          </c:tx>
          <c:spPr>
            <a:ln w="25400">
              <a:solidFill>
                <a:srgbClr val="000000"/>
              </a:solidFill>
              <a:prstDash val="solid"/>
            </a:ln>
          </c:spPr>
          <c:marker>
            <c:symbol val="none"/>
          </c:marker>
          <c:xVal>
            <c:numRef>
              <c:f>'PVT Results'!$U$10:$U$19</c:f>
              <c:numCache>
                <c:formatCode>0.00;\-0.00;0.00</c:formatCode>
                <c:ptCount val="10"/>
                <c:pt idx="0">
                  <c:v>14</c:v>
                </c:pt>
                <c:pt idx="1">
                  <c:v>568</c:v>
                </c:pt>
                <c:pt idx="2">
                  <c:v>1122</c:v>
                </c:pt>
                <c:pt idx="3">
                  <c:v>1676</c:v>
                </c:pt>
                <c:pt idx="4">
                  <c:v>2230</c:v>
                </c:pt>
                <c:pt idx="5">
                  <c:v>2784</c:v>
                </c:pt>
                <c:pt idx="6">
                  <c:v>3338</c:v>
                </c:pt>
                <c:pt idx="7">
                  <c:v>3892</c:v>
                </c:pt>
                <c:pt idx="8">
                  <c:v>4446</c:v>
                </c:pt>
                <c:pt idx="9">
                  <c:v>5000</c:v>
                </c:pt>
              </c:numCache>
            </c:numRef>
          </c:xVal>
          <c:yVal>
            <c:numRef>
              <c:f>'PVT Results'!$X$10:$X$19</c:f>
              <c:numCache>
                <c:formatCode>0.0000;\-0.0;0.0</c:formatCode>
                <c:ptCount val="10"/>
                <c:pt idx="0">
                  <c:v>0.54558899999999999</c:v>
                </c:pt>
                <c:pt idx="1">
                  <c:v>2.4835900000000001E-2</c:v>
                </c:pt>
                <c:pt idx="2">
                  <c:v>1.17717E-2</c:v>
                </c:pt>
                <c:pt idx="3">
                  <c:v>7.4716899999999996E-3</c:v>
                </c:pt>
                <c:pt idx="4">
                  <c:v>5.5322399999999999E-3</c:v>
                </c:pt>
                <c:pt idx="5">
                  <c:v>4.5152999999999999E-3</c:v>
                </c:pt>
                <c:pt idx="6">
                  <c:v>3.9103599999999999E-3</c:v>
                </c:pt>
                <c:pt idx="7">
                  <c:v>3.51272E-3</c:v>
                </c:pt>
                <c:pt idx="8">
                  <c:v>3.2310099999999999E-3</c:v>
                </c:pt>
                <c:pt idx="9">
                  <c:v>3.0199900000000002E-3</c:v>
                </c:pt>
              </c:numCache>
            </c:numRef>
          </c:yVal>
          <c:smooth val="0"/>
          <c:extLst>
            <c:ext xmlns:c16="http://schemas.microsoft.com/office/drawing/2014/chart" uri="{C3380CC4-5D6E-409C-BE32-E72D297353CC}">
              <c16:uniqueId val="{0000005A-2B6B-4C8A-B2BB-E1742808F870}"/>
            </c:ext>
          </c:extLst>
        </c:ser>
        <c:ser>
          <c:idx val="2"/>
          <c:order val="2"/>
          <c:tx>
            <c:v>Temp 129.5</c:v>
          </c:tx>
          <c:spPr>
            <a:ln w="25400">
              <a:solidFill>
                <a:srgbClr val="2D626A"/>
              </a:solidFill>
              <a:prstDash val="solid"/>
            </a:ln>
          </c:spPr>
          <c:marker>
            <c:symbol val="none"/>
          </c:marker>
          <c:xVal>
            <c:numRef>
              <c:f>'PVT Results'!$U$20:$U$29</c:f>
              <c:numCache>
                <c:formatCode>0.00;\-0.00;0.00</c:formatCode>
                <c:ptCount val="10"/>
                <c:pt idx="0">
                  <c:v>14</c:v>
                </c:pt>
                <c:pt idx="1">
                  <c:v>568</c:v>
                </c:pt>
                <c:pt idx="2">
                  <c:v>1122</c:v>
                </c:pt>
                <c:pt idx="3">
                  <c:v>1676</c:v>
                </c:pt>
                <c:pt idx="4">
                  <c:v>2230</c:v>
                </c:pt>
                <c:pt idx="5">
                  <c:v>2784</c:v>
                </c:pt>
                <c:pt idx="6">
                  <c:v>3338</c:v>
                </c:pt>
                <c:pt idx="7">
                  <c:v>3892</c:v>
                </c:pt>
                <c:pt idx="8">
                  <c:v>4446</c:v>
                </c:pt>
                <c:pt idx="9">
                  <c:v>5000</c:v>
                </c:pt>
              </c:numCache>
            </c:numRef>
          </c:xVal>
          <c:yVal>
            <c:numRef>
              <c:f>'PVT Results'!$X$20:$X$29</c:f>
              <c:numCache>
                <c:formatCode>0.0000;\-0.0;0.0</c:formatCode>
                <c:ptCount val="10"/>
                <c:pt idx="0">
                  <c:v>0.58958500000000003</c:v>
                </c:pt>
                <c:pt idx="1">
                  <c:v>2.7366499999999998E-2</c:v>
                </c:pt>
                <c:pt idx="2">
                  <c:v>1.3282499999999999E-2</c:v>
                </c:pt>
                <c:pt idx="3">
                  <c:v>8.5840099999999996E-3</c:v>
                </c:pt>
                <c:pt idx="4">
                  <c:v>6.3685399999999998E-3</c:v>
                </c:pt>
                <c:pt idx="5">
                  <c:v>5.1517300000000002E-3</c:v>
                </c:pt>
                <c:pt idx="6">
                  <c:v>4.4085499999999998E-3</c:v>
                </c:pt>
                <c:pt idx="7">
                  <c:v>3.9151100000000003E-3</c:v>
                </c:pt>
                <c:pt idx="8">
                  <c:v>3.5655000000000001E-3</c:v>
                </c:pt>
                <c:pt idx="9">
                  <c:v>3.3049899999999998E-3</c:v>
                </c:pt>
              </c:numCache>
            </c:numRef>
          </c:yVal>
          <c:smooth val="0"/>
          <c:extLst>
            <c:ext xmlns:c16="http://schemas.microsoft.com/office/drawing/2014/chart" uri="{C3380CC4-5D6E-409C-BE32-E72D297353CC}">
              <c16:uniqueId val="{0000005B-2B6B-4C8A-B2BB-E1742808F870}"/>
            </c:ext>
          </c:extLst>
        </c:ser>
        <c:ser>
          <c:idx val="3"/>
          <c:order val="3"/>
          <c:tx>
            <c:v>Temp 173</c:v>
          </c:tx>
          <c:spPr>
            <a:ln w="25400">
              <a:solidFill>
                <a:srgbClr val="428A91"/>
              </a:solidFill>
              <a:prstDash val="solid"/>
            </a:ln>
          </c:spPr>
          <c:marker>
            <c:symbol val="none"/>
          </c:marker>
          <c:xVal>
            <c:numRef>
              <c:f>'PVT Results'!$U$30:$U$39</c:f>
              <c:numCache>
                <c:formatCode>0.00;\-0.00;0.00</c:formatCode>
                <c:ptCount val="10"/>
                <c:pt idx="0">
                  <c:v>14</c:v>
                </c:pt>
                <c:pt idx="1">
                  <c:v>568</c:v>
                </c:pt>
                <c:pt idx="2">
                  <c:v>1122</c:v>
                </c:pt>
                <c:pt idx="3">
                  <c:v>1676</c:v>
                </c:pt>
                <c:pt idx="4">
                  <c:v>2230</c:v>
                </c:pt>
                <c:pt idx="5">
                  <c:v>2784</c:v>
                </c:pt>
                <c:pt idx="6">
                  <c:v>3338</c:v>
                </c:pt>
                <c:pt idx="7">
                  <c:v>3892</c:v>
                </c:pt>
                <c:pt idx="8">
                  <c:v>4446</c:v>
                </c:pt>
                <c:pt idx="9">
                  <c:v>5000</c:v>
                </c:pt>
              </c:numCache>
            </c:numRef>
          </c:xVal>
          <c:yVal>
            <c:numRef>
              <c:f>'PVT Results'!$X$30:$X$39</c:f>
              <c:numCache>
                <c:formatCode>0.0000;\-0.0;0.0</c:formatCode>
                <c:ptCount val="10"/>
                <c:pt idx="0">
                  <c:v>0.63351800000000003</c:v>
                </c:pt>
                <c:pt idx="1">
                  <c:v>2.9812200000000001E-2</c:v>
                </c:pt>
                <c:pt idx="2">
                  <c:v>1.4690999999999999E-2</c:v>
                </c:pt>
                <c:pt idx="3">
                  <c:v>9.6100400000000002E-3</c:v>
                </c:pt>
                <c:pt idx="4">
                  <c:v>7.1609500000000001E-3</c:v>
                </c:pt>
                <c:pt idx="5">
                  <c:v>5.7769700000000002E-3</c:v>
                </c:pt>
                <c:pt idx="6">
                  <c:v>4.9126400000000002E-3</c:v>
                </c:pt>
                <c:pt idx="7">
                  <c:v>4.3309200000000003E-3</c:v>
                </c:pt>
                <c:pt idx="8">
                  <c:v>3.9159099999999999E-3</c:v>
                </c:pt>
                <c:pt idx="9">
                  <c:v>3.6059299999999998E-3</c:v>
                </c:pt>
              </c:numCache>
            </c:numRef>
          </c:yVal>
          <c:smooth val="0"/>
          <c:extLst>
            <c:ext xmlns:c16="http://schemas.microsoft.com/office/drawing/2014/chart" uri="{C3380CC4-5D6E-409C-BE32-E72D297353CC}">
              <c16:uniqueId val="{0000005C-2B6B-4C8A-B2BB-E1742808F870}"/>
            </c:ext>
          </c:extLst>
        </c:ser>
        <c:ser>
          <c:idx val="4"/>
          <c:order val="4"/>
          <c:tx>
            <c:v>Temp 216.5</c:v>
          </c:tx>
          <c:spPr>
            <a:ln w="25400">
              <a:solidFill>
                <a:srgbClr val="6F9C97"/>
              </a:solidFill>
              <a:prstDash val="solid"/>
            </a:ln>
          </c:spPr>
          <c:marker>
            <c:symbol val="none"/>
          </c:marker>
          <c:xVal>
            <c:numRef>
              <c:f>'PVT Results'!$U$40:$U$49</c:f>
              <c:numCache>
                <c:formatCode>0.00;\-0.00;0.00</c:formatCode>
                <c:ptCount val="10"/>
                <c:pt idx="0">
                  <c:v>14</c:v>
                </c:pt>
                <c:pt idx="1">
                  <c:v>568</c:v>
                </c:pt>
                <c:pt idx="2">
                  <c:v>1122</c:v>
                </c:pt>
                <c:pt idx="3">
                  <c:v>1676</c:v>
                </c:pt>
                <c:pt idx="4">
                  <c:v>2230</c:v>
                </c:pt>
                <c:pt idx="5">
                  <c:v>2784</c:v>
                </c:pt>
                <c:pt idx="6">
                  <c:v>3338</c:v>
                </c:pt>
                <c:pt idx="7">
                  <c:v>3892</c:v>
                </c:pt>
                <c:pt idx="8">
                  <c:v>4446</c:v>
                </c:pt>
                <c:pt idx="9">
                  <c:v>5000</c:v>
                </c:pt>
              </c:numCache>
            </c:numRef>
          </c:xVal>
          <c:yVal>
            <c:numRef>
              <c:f>'PVT Results'!$X$40:$X$49</c:f>
              <c:numCache>
                <c:formatCode>0.0000;\-0.0;0.0</c:formatCode>
                <c:ptCount val="10"/>
                <c:pt idx="0">
                  <c:v>0.67740299999999998</c:v>
                </c:pt>
                <c:pt idx="1">
                  <c:v>3.21993E-2</c:v>
                </c:pt>
                <c:pt idx="2">
                  <c:v>1.60333E-2</c:v>
                </c:pt>
                <c:pt idx="3">
                  <c:v>1.05763E-2</c:v>
                </c:pt>
                <c:pt idx="4">
                  <c:v>7.9132300000000003E-3</c:v>
                </c:pt>
                <c:pt idx="5">
                  <c:v>6.3819499999999999E-3</c:v>
                </c:pt>
                <c:pt idx="6">
                  <c:v>5.4100399999999996E-3</c:v>
                </c:pt>
                <c:pt idx="7">
                  <c:v>4.7480400000000002E-3</c:v>
                </c:pt>
                <c:pt idx="8">
                  <c:v>4.2720099999999997E-3</c:v>
                </c:pt>
                <c:pt idx="9">
                  <c:v>3.9147599999999998E-3</c:v>
                </c:pt>
              </c:numCache>
            </c:numRef>
          </c:yVal>
          <c:smooth val="0"/>
          <c:extLst>
            <c:ext xmlns:c16="http://schemas.microsoft.com/office/drawing/2014/chart" uri="{C3380CC4-5D6E-409C-BE32-E72D297353CC}">
              <c16:uniqueId val="{0000005D-2B6B-4C8A-B2BB-E1742808F870}"/>
            </c:ext>
          </c:extLst>
        </c:ser>
        <c:ser>
          <c:idx val="5"/>
          <c:order val="5"/>
          <c:tx>
            <c:v>Temp 260</c:v>
          </c:tx>
          <c:spPr>
            <a:ln w="25400">
              <a:solidFill>
                <a:srgbClr val="AECDC7"/>
              </a:solidFill>
              <a:prstDash val="solid"/>
            </a:ln>
          </c:spPr>
          <c:marker>
            <c:symbol val="none"/>
          </c:marker>
          <c:xVal>
            <c:numRef>
              <c:f>'PVT Results'!$U$50:$U$59</c:f>
              <c:numCache>
                <c:formatCode>0.00;\-0.00;0.00</c:formatCode>
                <c:ptCount val="10"/>
                <c:pt idx="0">
                  <c:v>14</c:v>
                </c:pt>
                <c:pt idx="1">
                  <c:v>568</c:v>
                </c:pt>
                <c:pt idx="2">
                  <c:v>1122</c:v>
                </c:pt>
                <c:pt idx="3">
                  <c:v>1676</c:v>
                </c:pt>
                <c:pt idx="4">
                  <c:v>2230</c:v>
                </c:pt>
                <c:pt idx="5">
                  <c:v>2784</c:v>
                </c:pt>
                <c:pt idx="6">
                  <c:v>3338</c:v>
                </c:pt>
                <c:pt idx="7">
                  <c:v>3892</c:v>
                </c:pt>
                <c:pt idx="8">
                  <c:v>4446</c:v>
                </c:pt>
                <c:pt idx="9">
                  <c:v>5000</c:v>
                </c:pt>
              </c:numCache>
            </c:numRef>
          </c:xVal>
          <c:yVal>
            <c:numRef>
              <c:f>'PVT Results'!$X$50:$X$59</c:f>
              <c:numCache>
                <c:formatCode>0.0000;\-0.0;0.0</c:formatCode>
                <c:ptCount val="10"/>
                <c:pt idx="0">
                  <c:v>0.72125399999999995</c:v>
                </c:pt>
                <c:pt idx="1">
                  <c:v>3.4544100000000001E-2</c:v>
                </c:pt>
                <c:pt idx="2">
                  <c:v>1.7329799999999999E-2</c:v>
                </c:pt>
                <c:pt idx="3">
                  <c:v>1.15E-2</c:v>
                </c:pt>
                <c:pt idx="4">
                  <c:v>8.6330299999999999E-3</c:v>
                </c:pt>
                <c:pt idx="5">
                  <c:v>6.9661899999999997E-3</c:v>
                </c:pt>
                <c:pt idx="6">
                  <c:v>5.8961700000000001E-3</c:v>
                </c:pt>
                <c:pt idx="7">
                  <c:v>5.1604399999999996E-3</c:v>
                </c:pt>
                <c:pt idx="8">
                  <c:v>4.6276399999999997E-3</c:v>
                </c:pt>
                <c:pt idx="9">
                  <c:v>4.22581E-3</c:v>
                </c:pt>
              </c:numCache>
            </c:numRef>
          </c:yVal>
          <c:smooth val="0"/>
          <c:extLst>
            <c:ext xmlns:c16="http://schemas.microsoft.com/office/drawing/2014/chart" uri="{C3380CC4-5D6E-409C-BE32-E72D297353CC}">
              <c16:uniqueId val="{0000005E-2B6B-4C8A-B2BB-E1742808F870}"/>
            </c:ext>
          </c:extLst>
        </c:ser>
        <c:dLbls>
          <c:showLegendKey val="0"/>
          <c:showVal val="0"/>
          <c:showCatName val="0"/>
          <c:showSerName val="0"/>
          <c:showPercent val="0"/>
          <c:showBubbleSize val="0"/>
        </c:dLbls>
        <c:axId val="53617792"/>
        <c:axId val="52442176"/>
      </c:scatterChart>
      <c:valAx>
        <c:axId val="53617792"/>
        <c:scaling>
          <c:orientation val="minMax"/>
          <c:max val="5000"/>
          <c:min val="0"/>
        </c:scaling>
        <c:delete val="0"/>
        <c:axPos val="b"/>
        <c:majorGridlines>
          <c:spPr>
            <a:ln w="3175">
              <a:solidFill>
                <a:schemeClr val="bg1">
                  <a:lumMod val="95000"/>
                </a:schemeClr>
              </a:solidFill>
              <a:prstDash val="sysDash"/>
            </a:ln>
          </c:spPr>
        </c:majorGridlines>
        <c:title>
          <c:tx>
            <c:rich>
              <a:bodyPr/>
              <a:lstStyle/>
              <a:p>
                <a:pPr>
                  <a:defRPr sz="1100"/>
                </a:pPr>
                <a:r>
                  <a:rPr lang="es-BO" sz="1100"/>
                  <a:t>Pressure, psi</a:t>
                </a:r>
              </a:p>
            </c:rich>
          </c:tx>
          <c:overlay val="0"/>
        </c:title>
        <c:numFmt formatCode="#,##0" sourceLinked="0"/>
        <c:majorTickMark val="out"/>
        <c:minorTickMark val="in"/>
        <c:tickLblPos val="nextTo"/>
        <c:spPr>
          <a:ln w="12700">
            <a:solidFill>
              <a:srgbClr val="000000"/>
            </a:solidFill>
            <a:prstDash val="solid"/>
          </a:ln>
        </c:spPr>
        <c:txPr>
          <a:bodyPr rot="0" vert="horz"/>
          <a:lstStyle/>
          <a:p>
            <a:pPr>
              <a:defRPr sz="800" b="0"/>
            </a:pPr>
            <a:endParaRPr lang="es-BO"/>
          </a:p>
        </c:txPr>
        <c:crossAx val="52442176"/>
        <c:crossesAt val="0"/>
        <c:crossBetween val="midCat"/>
      </c:valAx>
      <c:valAx>
        <c:axId val="52442176"/>
        <c:scaling>
          <c:orientation val="minMax"/>
          <c:min val="0"/>
        </c:scaling>
        <c:delete val="0"/>
        <c:axPos val="l"/>
        <c:majorGridlines>
          <c:spPr>
            <a:ln w="3175">
              <a:solidFill>
                <a:schemeClr val="bg1">
                  <a:lumMod val="95000"/>
                </a:schemeClr>
              </a:solidFill>
              <a:prstDash val="sysDash"/>
            </a:ln>
          </c:spPr>
        </c:majorGridlines>
        <c:numFmt formatCode="#,##0.0" sourceLinked="0"/>
        <c:majorTickMark val="out"/>
        <c:minorTickMark val="in"/>
        <c:tickLblPos val="nextTo"/>
        <c:spPr>
          <a:ln w="12700">
            <a:solidFill>
              <a:srgbClr val="000000"/>
            </a:solidFill>
            <a:prstDash val="solid"/>
          </a:ln>
        </c:spPr>
        <c:txPr>
          <a:bodyPr rot="0" vert="horz"/>
          <a:lstStyle/>
          <a:p>
            <a:pPr>
              <a:defRPr sz="800" b="0"/>
            </a:pPr>
            <a:endParaRPr lang="es-BO"/>
          </a:p>
        </c:txPr>
        <c:crossAx val="53617792"/>
        <c:crossesAt val="0"/>
        <c:crossBetween val="midCat"/>
      </c:valAx>
      <c:spPr>
        <a:solidFill>
          <a:srgbClr val="FFFFFF"/>
        </a:solidFill>
        <a:ln w="25400">
          <a:noFill/>
        </a:ln>
      </c:spPr>
    </c:plotArea>
    <c:legend>
      <c:legendPos val="r"/>
      <c:legendEntry>
        <c:idx val="1"/>
        <c:delete val="1"/>
      </c:legendEntry>
      <c:legendEntry>
        <c:idx val="2"/>
        <c:delete val="1"/>
      </c:legendEntry>
      <c:legendEntry>
        <c:idx val="3"/>
        <c:delete val="1"/>
      </c:legendEntry>
      <c:legendEntry>
        <c:idx val="4"/>
        <c:delete val="1"/>
      </c:legendEntry>
      <c:legendEntry>
        <c:idx val="5"/>
        <c:delete val="1"/>
      </c:legendEntry>
      <c:layout>
        <c:manualLayout>
          <c:xMode val="edge"/>
          <c:yMode val="edge"/>
          <c:x val="3.888888888888889E-2"/>
          <c:y val="1.9607843137254902E-2"/>
          <c:w val="0.1838882327209099"/>
          <c:h val="8.8641732283464572E-2"/>
        </c:manualLayout>
      </c:layout>
      <c:overlay val="0"/>
    </c:legend>
    <c:plotVisOnly val="1"/>
    <c:dispBlanksAs val="gap"/>
    <c:showDLblsOverMax val="0"/>
  </c:chart>
  <c:spPr>
    <a:solidFill>
      <a:schemeClr val="bg1"/>
    </a:solidFill>
    <a:ln w="9525" cap="flat" cmpd="sng" algn="ctr">
      <a:solidFill>
        <a:schemeClr val="bg1">
          <a:lumMod val="75000"/>
        </a:schemeClr>
      </a:solidFill>
      <a:prstDash val="solid"/>
    </a:ln>
    <a:effectLst/>
  </c:spPr>
  <c:txPr>
    <a:bodyPr/>
    <a:lstStyle/>
    <a:p>
      <a:pPr>
        <a:defRPr>
          <a:solidFill>
            <a:schemeClr val="dk1"/>
          </a:solidFill>
          <a:latin typeface="+mn-lt"/>
          <a:ea typeface="+mn-ea"/>
          <a:cs typeface="+mn-cs"/>
        </a:defRPr>
      </a:pPr>
      <a:endParaRPr lang="es-BO"/>
    </a:p>
  </c:txPr>
  <c:printSettings>
    <c:headerFooter alignWithMargins="0"/>
    <c:pageMargins b="1" l="0.75" r="0.75" t="1" header="0.5" footer="0.5"/>
    <c:pageSetup paperSize="9" orientation="landscape" horizontalDpi="1200" verticalDpi="1200"/>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Gas Density</a:t>
            </a:r>
          </a:p>
        </c:rich>
      </c:tx>
      <c:overlay val="0"/>
    </c:title>
    <c:autoTitleDeleted val="0"/>
    <c:plotArea>
      <c:layout>
        <c:manualLayout>
          <c:layoutTarget val="inner"/>
          <c:xMode val="edge"/>
          <c:yMode val="edge"/>
          <c:x val="7.7270666948563452E-2"/>
          <c:y val="0.14452601513046165"/>
          <c:w val="0.84530568430719188"/>
          <c:h val="0.68768488497761304"/>
        </c:manualLayout>
      </c:layout>
      <c:scatterChart>
        <c:scatterStyle val="smoothMarker"/>
        <c:varyColors val="0"/>
        <c:ser>
          <c:idx val="1"/>
          <c:order val="0"/>
          <c:tx>
            <c:v> PVT Study</c:v>
          </c:tx>
          <c:spPr>
            <a:ln w="9525">
              <a:noFill/>
              <a:prstDash val="solid"/>
            </a:ln>
          </c:spPr>
          <c:marker>
            <c:symbol val="circle"/>
            <c:size val="8"/>
            <c:spPr>
              <a:solidFill>
                <a:srgbClr val="FFC000"/>
              </a:solidFill>
              <a:ln>
                <a:solidFill>
                  <a:srgbClr val="C00000"/>
                </a:solidFill>
              </a:ln>
            </c:spPr>
          </c:marker>
          <c:xVal>
            <c:numRef>
              <c:f>'PVT Input '!$H$10:$H$19</c:f>
              <c:numCache>
                <c:formatCode>General</c:formatCode>
                <c:ptCount val="10"/>
                <c:pt idx="0">
                  <c:v>4208</c:v>
                </c:pt>
                <c:pt idx="1">
                  <c:v>3807</c:v>
                </c:pt>
                <c:pt idx="2">
                  <c:v>3292</c:v>
                </c:pt>
                <c:pt idx="3">
                  <c:v>2579</c:v>
                </c:pt>
              </c:numCache>
            </c:numRef>
          </c:xVal>
          <c:yVal>
            <c:numRef>
              <c:f>'PVT Input '!$L$10:$L$19</c:f>
              <c:numCache>
                <c:formatCode>General</c:formatCode>
                <c:ptCount val="10"/>
              </c:numCache>
            </c:numRef>
          </c:yVal>
          <c:smooth val="1"/>
          <c:extLst>
            <c:ext xmlns:c16="http://schemas.microsoft.com/office/drawing/2014/chart" uri="{C3380CC4-5D6E-409C-BE32-E72D297353CC}">
              <c16:uniqueId val="{00000000-1F2A-4733-9C38-7D8447A5D375}"/>
            </c:ext>
          </c:extLst>
        </c:ser>
        <c:ser>
          <c:idx val="0"/>
          <c:order val="1"/>
          <c:tx>
            <c:v>Temp 86</c:v>
          </c:tx>
          <c:spPr>
            <a:ln w="25400">
              <a:solidFill>
                <a:srgbClr val="000000"/>
              </a:solidFill>
              <a:prstDash val="solid"/>
            </a:ln>
          </c:spPr>
          <c:marker>
            <c:symbol val="none"/>
          </c:marker>
          <c:xVal>
            <c:numRef>
              <c:f>'PVT Results'!$U$10:$U$19</c:f>
              <c:numCache>
                <c:formatCode>0.00;\-0.00;0.00</c:formatCode>
                <c:ptCount val="10"/>
                <c:pt idx="0">
                  <c:v>14</c:v>
                </c:pt>
                <c:pt idx="1">
                  <c:v>568</c:v>
                </c:pt>
                <c:pt idx="2">
                  <c:v>1122</c:v>
                </c:pt>
                <c:pt idx="3">
                  <c:v>1676</c:v>
                </c:pt>
                <c:pt idx="4">
                  <c:v>2230</c:v>
                </c:pt>
                <c:pt idx="5">
                  <c:v>2784</c:v>
                </c:pt>
                <c:pt idx="6">
                  <c:v>3338</c:v>
                </c:pt>
                <c:pt idx="7">
                  <c:v>3892</c:v>
                </c:pt>
                <c:pt idx="8">
                  <c:v>4446</c:v>
                </c:pt>
                <c:pt idx="9">
                  <c:v>5000</c:v>
                </c:pt>
              </c:numCache>
            </c:numRef>
          </c:xVal>
          <c:yVal>
            <c:numRef>
              <c:f>'PVT Results'!$V$10:$V$19</c:f>
              <c:numCache>
                <c:formatCode>0.0000;\-0.0;0.0</c:formatCode>
                <c:ptCount val="10"/>
                <c:pt idx="0">
                  <c:v>0.10412200000000001</c:v>
                </c:pt>
                <c:pt idx="1">
                  <c:v>2.2873399999999999</c:v>
                </c:pt>
                <c:pt idx="2">
                  <c:v>4.8258000000000001</c:v>
                </c:pt>
                <c:pt idx="3">
                  <c:v>7.6031000000000004</c:v>
                </c:pt>
                <c:pt idx="4">
                  <c:v>10.2685</c:v>
                </c:pt>
                <c:pt idx="5">
                  <c:v>12.581200000000001</c:v>
                </c:pt>
                <c:pt idx="6">
                  <c:v>14.5276</c:v>
                </c:pt>
                <c:pt idx="7">
                  <c:v>16.1721</c:v>
                </c:pt>
                <c:pt idx="8">
                  <c:v>17.582100000000001</c:v>
                </c:pt>
                <c:pt idx="9">
                  <c:v>18.810700000000001</c:v>
                </c:pt>
              </c:numCache>
            </c:numRef>
          </c:yVal>
          <c:smooth val="0"/>
          <c:extLst>
            <c:ext xmlns:c16="http://schemas.microsoft.com/office/drawing/2014/chart" uri="{C3380CC4-5D6E-409C-BE32-E72D297353CC}">
              <c16:uniqueId val="{0000005A-6A6A-4D66-B269-A37D5CD5F462}"/>
            </c:ext>
          </c:extLst>
        </c:ser>
        <c:ser>
          <c:idx val="2"/>
          <c:order val="2"/>
          <c:tx>
            <c:v>Temp 129.5</c:v>
          </c:tx>
          <c:spPr>
            <a:ln w="25400">
              <a:solidFill>
                <a:srgbClr val="2D626A"/>
              </a:solidFill>
              <a:prstDash val="solid"/>
            </a:ln>
          </c:spPr>
          <c:marker>
            <c:symbol val="none"/>
          </c:marker>
          <c:xVal>
            <c:numRef>
              <c:f>'PVT Results'!$U$20:$U$29</c:f>
              <c:numCache>
                <c:formatCode>0.00;\-0.00;0.00</c:formatCode>
                <c:ptCount val="10"/>
                <c:pt idx="0">
                  <c:v>14</c:v>
                </c:pt>
                <c:pt idx="1">
                  <c:v>568</c:v>
                </c:pt>
                <c:pt idx="2">
                  <c:v>1122</c:v>
                </c:pt>
                <c:pt idx="3">
                  <c:v>1676</c:v>
                </c:pt>
                <c:pt idx="4">
                  <c:v>2230</c:v>
                </c:pt>
                <c:pt idx="5">
                  <c:v>2784</c:v>
                </c:pt>
                <c:pt idx="6">
                  <c:v>3338</c:v>
                </c:pt>
                <c:pt idx="7">
                  <c:v>3892</c:v>
                </c:pt>
                <c:pt idx="8">
                  <c:v>4446</c:v>
                </c:pt>
                <c:pt idx="9">
                  <c:v>5000</c:v>
                </c:pt>
              </c:numCache>
            </c:numRef>
          </c:xVal>
          <c:yVal>
            <c:numRef>
              <c:f>'PVT Results'!$V$20:$V$29</c:f>
              <c:numCache>
                <c:formatCode>0.0000;\-0.0;0.0</c:formatCode>
                <c:ptCount val="10"/>
                <c:pt idx="0">
                  <c:v>9.6352599999999997E-2</c:v>
                </c:pt>
                <c:pt idx="1">
                  <c:v>2.0758200000000002</c:v>
                </c:pt>
                <c:pt idx="2">
                  <c:v>4.2769199999999996</c:v>
                </c:pt>
                <c:pt idx="3">
                  <c:v>6.6178900000000001</c:v>
                </c:pt>
                <c:pt idx="4">
                  <c:v>8.9201099999999993</c:v>
                </c:pt>
                <c:pt idx="5">
                  <c:v>11.026999999999999</c:v>
                </c:pt>
                <c:pt idx="6">
                  <c:v>12.885899999999999</c:v>
                </c:pt>
                <c:pt idx="7">
                  <c:v>14.51</c:v>
                </c:pt>
                <c:pt idx="8">
                  <c:v>15.932700000000001</c:v>
                </c:pt>
                <c:pt idx="9">
                  <c:v>17.188600000000001</c:v>
                </c:pt>
              </c:numCache>
            </c:numRef>
          </c:yVal>
          <c:smooth val="0"/>
          <c:extLst>
            <c:ext xmlns:c16="http://schemas.microsoft.com/office/drawing/2014/chart" uri="{C3380CC4-5D6E-409C-BE32-E72D297353CC}">
              <c16:uniqueId val="{0000005B-6A6A-4D66-B269-A37D5CD5F462}"/>
            </c:ext>
          </c:extLst>
        </c:ser>
        <c:ser>
          <c:idx val="3"/>
          <c:order val="3"/>
          <c:tx>
            <c:v>Temp 173</c:v>
          </c:tx>
          <c:spPr>
            <a:ln w="25400">
              <a:solidFill>
                <a:srgbClr val="428A91"/>
              </a:solidFill>
              <a:prstDash val="solid"/>
            </a:ln>
          </c:spPr>
          <c:marker>
            <c:symbol val="none"/>
          </c:marker>
          <c:xVal>
            <c:numRef>
              <c:f>'PVT Results'!$U$30:$U$39</c:f>
              <c:numCache>
                <c:formatCode>0.00;\-0.00;0.00</c:formatCode>
                <c:ptCount val="10"/>
                <c:pt idx="0">
                  <c:v>14</c:v>
                </c:pt>
                <c:pt idx="1">
                  <c:v>568</c:v>
                </c:pt>
                <c:pt idx="2">
                  <c:v>1122</c:v>
                </c:pt>
                <c:pt idx="3">
                  <c:v>1676</c:v>
                </c:pt>
                <c:pt idx="4">
                  <c:v>2230</c:v>
                </c:pt>
                <c:pt idx="5">
                  <c:v>2784</c:v>
                </c:pt>
                <c:pt idx="6">
                  <c:v>3338</c:v>
                </c:pt>
                <c:pt idx="7">
                  <c:v>3892</c:v>
                </c:pt>
                <c:pt idx="8">
                  <c:v>4446</c:v>
                </c:pt>
                <c:pt idx="9">
                  <c:v>5000</c:v>
                </c:pt>
              </c:numCache>
            </c:numRef>
          </c:xVal>
          <c:yVal>
            <c:numRef>
              <c:f>'PVT Results'!$V$30:$V$39</c:f>
              <c:numCache>
                <c:formatCode>0.0000;\-0.0;0.0</c:formatCode>
                <c:ptCount val="10"/>
                <c:pt idx="0">
                  <c:v>8.9670799999999995E-2</c:v>
                </c:pt>
                <c:pt idx="1">
                  <c:v>1.9055299999999999</c:v>
                </c:pt>
                <c:pt idx="2">
                  <c:v>3.86686</c:v>
                </c:pt>
                <c:pt idx="3">
                  <c:v>5.9113199999999999</c:v>
                </c:pt>
                <c:pt idx="4">
                  <c:v>7.9330299999999996</c:v>
                </c:pt>
                <c:pt idx="5">
                  <c:v>9.8335399999999993</c:v>
                </c:pt>
                <c:pt idx="6">
                  <c:v>11.563599999999999</c:v>
                </c:pt>
                <c:pt idx="7">
                  <c:v>13.116899999999999</c:v>
                </c:pt>
                <c:pt idx="8">
                  <c:v>14.507</c:v>
                </c:pt>
                <c:pt idx="9">
                  <c:v>15.754</c:v>
                </c:pt>
              </c:numCache>
            </c:numRef>
          </c:yVal>
          <c:smooth val="0"/>
          <c:extLst>
            <c:ext xmlns:c16="http://schemas.microsoft.com/office/drawing/2014/chart" uri="{C3380CC4-5D6E-409C-BE32-E72D297353CC}">
              <c16:uniqueId val="{0000005C-6A6A-4D66-B269-A37D5CD5F462}"/>
            </c:ext>
          </c:extLst>
        </c:ser>
        <c:ser>
          <c:idx val="4"/>
          <c:order val="4"/>
          <c:tx>
            <c:v>Temp 216.5</c:v>
          </c:tx>
          <c:spPr>
            <a:ln w="25400">
              <a:solidFill>
                <a:srgbClr val="6F9C97"/>
              </a:solidFill>
              <a:prstDash val="solid"/>
            </a:ln>
          </c:spPr>
          <c:marker>
            <c:symbol val="none"/>
          </c:marker>
          <c:xVal>
            <c:numRef>
              <c:f>'PVT Results'!$U$40:$U$49</c:f>
              <c:numCache>
                <c:formatCode>0.00;\-0.00;0.00</c:formatCode>
                <c:ptCount val="10"/>
                <c:pt idx="0">
                  <c:v>14</c:v>
                </c:pt>
                <c:pt idx="1">
                  <c:v>568</c:v>
                </c:pt>
                <c:pt idx="2">
                  <c:v>1122</c:v>
                </c:pt>
                <c:pt idx="3">
                  <c:v>1676</c:v>
                </c:pt>
                <c:pt idx="4">
                  <c:v>2230</c:v>
                </c:pt>
                <c:pt idx="5">
                  <c:v>2784</c:v>
                </c:pt>
                <c:pt idx="6">
                  <c:v>3338</c:v>
                </c:pt>
                <c:pt idx="7">
                  <c:v>3892</c:v>
                </c:pt>
                <c:pt idx="8">
                  <c:v>4446</c:v>
                </c:pt>
                <c:pt idx="9">
                  <c:v>5000</c:v>
                </c:pt>
              </c:numCache>
            </c:numRef>
          </c:xVal>
          <c:yVal>
            <c:numRef>
              <c:f>'PVT Results'!$V$40:$V$49</c:f>
              <c:numCache>
                <c:formatCode>0.0000;\-0.0;0.0</c:formatCode>
                <c:ptCount val="10"/>
                <c:pt idx="0">
                  <c:v>8.3861500000000005E-2</c:v>
                </c:pt>
                <c:pt idx="1">
                  <c:v>1.76427</c:v>
                </c:pt>
                <c:pt idx="2">
                  <c:v>3.54312</c:v>
                </c:pt>
                <c:pt idx="3">
                  <c:v>5.3712600000000004</c:v>
                </c:pt>
                <c:pt idx="4">
                  <c:v>7.1788699999999999</c:v>
                </c:pt>
                <c:pt idx="5">
                  <c:v>8.9013600000000004</c:v>
                </c:pt>
                <c:pt idx="6">
                  <c:v>10.500500000000001</c:v>
                </c:pt>
                <c:pt idx="7">
                  <c:v>11.964499999999999</c:v>
                </c:pt>
                <c:pt idx="8">
                  <c:v>13.297700000000001</c:v>
                </c:pt>
                <c:pt idx="9">
                  <c:v>14.511200000000001</c:v>
                </c:pt>
              </c:numCache>
            </c:numRef>
          </c:yVal>
          <c:smooth val="0"/>
          <c:extLst>
            <c:ext xmlns:c16="http://schemas.microsoft.com/office/drawing/2014/chart" uri="{C3380CC4-5D6E-409C-BE32-E72D297353CC}">
              <c16:uniqueId val="{0000005D-6A6A-4D66-B269-A37D5CD5F462}"/>
            </c:ext>
          </c:extLst>
        </c:ser>
        <c:ser>
          <c:idx val="5"/>
          <c:order val="5"/>
          <c:tx>
            <c:v>Temp 260</c:v>
          </c:tx>
          <c:spPr>
            <a:ln w="25400">
              <a:solidFill>
                <a:srgbClr val="AECDC7"/>
              </a:solidFill>
              <a:prstDash val="solid"/>
            </a:ln>
          </c:spPr>
          <c:marker>
            <c:symbol val="none"/>
          </c:marker>
          <c:xVal>
            <c:numRef>
              <c:f>'PVT Results'!$U$50:$U$59</c:f>
              <c:numCache>
                <c:formatCode>0.00;\-0.00;0.00</c:formatCode>
                <c:ptCount val="10"/>
                <c:pt idx="0">
                  <c:v>14</c:v>
                </c:pt>
                <c:pt idx="1">
                  <c:v>568</c:v>
                </c:pt>
                <c:pt idx="2">
                  <c:v>1122</c:v>
                </c:pt>
                <c:pt idx="3">
                  <c:v>1676</c:v>
                </c:pt>
                <c:pt idx="4">
                  <c:v>2230</c:v>
                </c:pt>
                <c:pt idx="5">
                  <c:v>2784</c:v>
                </c:pt>
                <c:pt idx="6">
                  <c:v>3338</c:v>
                </c:pt>
                <c:pt idx="7">
                  <c:v>3892</c:v>
                </c:pt>
                <c:pt idx="8">
                  <c:v>4446</c:v>
                </c:pt>
                <c:pt idx="9">
                  <c:v>5000</c:v>
                </c:pt>
              </c:numCache>
            </c:numRef>
          </c:xVal>
          <c:yVal>
            <c:numRef>
              <c:f>'PVT Results'!$V$50:$V$59</c:f>
              <c:numCache>
                <c:formatCode>0.0000;\-0.0;0.0</c:formatCode>
                <c:ptCount val="10"/>
                <c:pt idx="0">
                  <c:v>7.8762899999999997E-2</c:v>
                </c:pt>
                <c:pt idx="1">
                  <c:v>1.6445099999999999</c:v>
                </c:pt>
                <c:pt idx="2">
                  <c:v>3.27806</c:v>
                </c:pt>
                <c:pt idx="3">
                  <c:v>4.9398299999999997</c:v>
                </c:pt>
                <c:pt idx="4">
                  <c:v>6.5803099999999999</c:v>
                </c:pt>
                <c:pt idx="5">
                  <c:v>8.1548200000000008</c:v>
                </c:pt>
                <c:pt idx="6">
                  <c:v>9.6347299999999994</c:v>
                </c:pt>
                <c:pt idx="7">
                  <c:v>11.0084</c:v>
                </c:pt>
                <c:pt idx="8">
                  <c:v>12.2758</c:v>
                </c:pt>
                <c:pt idx="9">
                  <c:v>13.443099999999999</c:v>
                </c:pt>
              </c:numCache>
            </c:numRef>
          </c:yVal>
          <c:smooth val="0"/>
          <c:extLst>
            <c:ext xmlns:c16="http://schemas.microsoft.com/office/drawing/2014/chart" uri="{C3380CC4-5D6E-409C-BE32-E72D297353CC}">
              <c16:uniqueId val="{0000005E-6A6A-4D66-B269-A37D5CD5F462}"/>
            </c:ext>
          </c:extLst>
        </c:ser>
        <c:dLbls>
          <c:showLegendKey val="0"/>
          <c:showVal val="0"/>
          <c:showCatName val="0"/>
          <c:showSerName val="0"/>
          <c:showPercent val="0"/>
          <c:showBubbleSize val="0"/>
        </c:dLbls>
        <c:axId val="53617792"/>
        <c:axId val="52442176"/>
      </c:scatterChart>
      <c:valAx>
        <c:axId val="53617792"/>
        <c:scaling>
          <c:orientation val="minMax"/>
          <c:max val="5000"/>
          <c:min val="0"/>
        </c:scaling>
        <c:delete val="0"/>
        <c:axPos val="b"/>
        <c:majorGridlines>
          <c:spPr>
            <a:ln w="3175">
              <a:solidFill>
                <a:schemeClr val="bg1">
                  <a:lumMod val="95000"/>
                </a:schemeClr>
              </a:solidFill>
              <a:prstDash val="sysDash"/>
            </a:ln>
          </c:spPr>
        </c:majorGridlines>
        <c:title>
          <c:tx>
            <c:rich>
              <a:bodyPr/>
              <a:lstStyle/>
              <a:p>
                <a:pPr>
                  <a:defRPr sz="1100"/>
                </a:pPr>
                <a:r>
                  <a:rPr lang="es-BO" sz="1100"/>
                  <a:t>Pressure, psi</a:t>
                </a:r>
              </a:p>
            </c:rich>
          </c:tx>
          <c:overlay val="0"/>
        </c:title>
        <c:numFmt formatCode="#,##0" sourceLinked="0"/>
        <c:majorTickMark val="out"/>
        <c:minorTickMark val="in"/>
        <c:tickLblPos val="nextTo"/>
        <c:spPr>
          <a:ln w="12700">
            <a:solidFill>
              <a:srgbClr val="000000"/>
            </a:solidFill>
            <a:prstDash val="solid"/>
          </a:ln>
        </c:spPr>
        <c:txPr>
          <a:bodyPr rot="0" vert="horz"/>
          <a:lstStyle/>
          <a:p>
            <a:pPr>
              <a:defRPr sz="800" b="0"/>
            </a:pPr>
            <a:endParaRPr lang="es-BO"/>
          </a:p>
        </c:txPr>
        <c:crossAx val="52442176"/>
        <c:crossesAt val="0"/>
        <c:crossBetween val="midCat"/>
      </c:valAx>
      <c:valAx>
        <c:axId val="52442176"/>
        <c:scaling>
          <c:orientation val="minMax"/>
          <c:min val="0"/>
        </c:scaling>
        <c:delete val="0"/>
        <c:axPos val="l"/>
        <c:majorGridlines>
          <c:spPr>
            <a:ln w="3175">
              <a:solidFill>
                <a:schemeClr val="bg1">
                  <a:lumMod val="95000"/>
                </a:schemeClr>
              </a:solidFill>
              <a:prstDash val="sysDash"/>
            </a:ln>
          </c:spPr>
        </c:majorGridlines>
        <c:numFmt formatCode="#,##0" sourceLinked="0"/>
        <c:majorTickMark val="out"/>
        <c:minorTickMark val="in"/>
        <c:tickLblPos val="nextTo"/>
        <c:spPr>
          <a:ln w="12700">
            <a:solidFill>
              <a:srgbClr val="000000"/>
            </a:solidFill>
            <a:prstDash val="solid"/>
          </a:ln>
        </c:spPr>
        <c:txPr>
          <a:bodyPr rot="0" vert="horz"/>
          <a:lstStyle/>
          <a:p>
            <a:pPr>
              <a:defRPr sz="800" b="0"/>
            </a:pPr>
            <a:endParaRPr lang="es-BO"/>
          </a:p>
        </c:txPr>
        <c:crossAx val="53617792"/>
        <c:crossesAt val="0"/>
        <c:crossBetween val="midCat"/>
      </c:valAx>
      <c:spPr>
        <a:solidFill>
          <a:srgbClr val="FFFFFF"/>
        </a:solidFill>
        <a:ln w="25400">
          <a:noFill/>
        </a:ln>
      </c:spPr>
    </c:plotArea>
    <c:legend>
      <c:legendPos val="r"/>
      <c:legendEntry>
        <c:idx val="1"/>
        <c:delete val="1"/>
      </c:legendEntry>
      <c:legendEntry>
        <c:idx val="2"/>
        <c:delete val="1"/>
      </c:legendEntry>
      <c:legendEntry>
        <c:idx val="3"/>
        <c:delete val="1"/>
      </c:legendEntry>
      <c:legendEntry>
        <c:idx val="4"/>
        <c:delete val="1"/>
      </c:legendEntry>
      <c:legendEntry>
        <c:idx val="5"/>
        <c:delete val="1"/>
      </c:legendEntry>
      <c:layout>
        <c:manualLayout>
          <c:xMode val="edge"/>
          <c:yMode val="edge"/>
          <c:x val="3.888888888888889E-2"/>
          <c:y val="1.9607843137254902E-2"/>
          <c:w val="0.1838882327209099"/>
          <c:h val="8.8641732283464572E-2"/>
        </c:manualLayout>
      </c:layout>
      <c:overlay val="0"/>
    </c:legend>
    <c:plotVisOnly val="1"/>
    <c:dispBlanksAs val="gap"/>
    <c:showDLblsOverMax val="0"/>
  </c:chart>
  <c:spPr>
    <a:solidFill>
      <a:schemeClr val="bg1"/>
    </a:solidFill>
    <a:ln w="9525" cap="flat" cmpd="sng" algn="ctr">
      <a:solidFill>
        <a:schemeClr val="bg1">
          <a:lumMod val="75000"/>
        </a:schemeClr>
      </a:solidFill>
      <a:prstDash val="solid"/>
    </a:ln>
    <a:effectLst/>
  </c:spPr>
  <c:txPr>
    <a:bodyPr/>
    <a:lstStyle/>
    <a:p>
      <a:pPr>
        <a:defRPr>
          <a:solidFill>
            <a:schemeClr val="dk1"/>
          </a:solidFill>
          <a:latin typeface="+mn-lt"/>
          <a:ea typeface="+mn-ea"/>
          <a:cs typeface="+mn-cs"/>
        </a:defRPr>
      </a:pPr>
      <a:endParaRPr lang="es-BO"/>
    </a:p>
  </c:txPr>
  <c:printSettings>
    <c:headerFooter alignWithMargins="0"/>
    <c:pageMargins b="1" l="0.75" r="0.75" t="1" header="0.5" footer="0.5"/>
    <c:pageSetup paperSize="9" orientation="landscape" horizontalDpi="1200" verticalDpi="1200"/>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1338167104111982"/>
          <c:y val="0.14452601513046165"/>
          <c:w val="0.53419466316710407"/>
          <c:h val="0.47199861046780917"/>
        </c:manualLayout>
      </c:layout>
      <c:scatterChart>
        <c:scatterStyle val="smoothMarker"/>
        <c:varyColors val="0"/>
        <c:ser>
          <c:idx val="1"/>
          <c:order val="0"/>
          <c:tx>
            <c:v> PVT Study</c:v>
          </c:tx>
          <c:spPr>
            <a:ln w="9525">
              <a:noFill/>
              <a:prstDash val="solid"/>
            </a:ln>
          </c:spPr>
          <c:marker>
            <c:symbol val="circle"/>
            <c:size val="8"/>
            <c:spPr>
              <a:solidFill>
                <a:srgbClr val="FFC000"/>
              </a:solidFill>
              <a:ln>
                <a:solidFill>
                  <a:srgbClr val="C00000"/>
                </a:solidFill>
              </a:ln>
            </c:spPr>
          </c:marker>
          <c:xVal>
            <c:numRef>
              <c:f>'PVT Input '!$H$10:$H$19</c:f>
              <c:numCache>
                <c:formatCode>General</c:formatCode>
                <c:ptCount val="10"/>
                <c:pt idx="0">
                  <c:v>4208</c:v>
                </c:pt>
                <c:pt idx="1">
                  <c:v>3807</c:v>
                </c:pt>
                <c:pt idx="2">
                  <c:v>3292</c:v>
                </c:pt>
                <c:pt idx="3">
                  <c:v>2579</c:v>
                </c:pt>
              </c:numCache>
            </c:numRef>
          </c:xVal>
          <c:yVal>
            <c:numRef>
              <c:f>'PVT Input '!$L$10:$L$19</c:f>
              <c:numCache>
                <c:formatCode>General</c:formatCode>
                <c:ptCount val="10"/>
              </c:numCache>
            </c:numRef>
          </c:yVal>
          <c:smooth val="1"/>
          <c:extLst>
            <c:ext xmlns:c16="http://schemas.microsoft.com/office/drawing/2014/chart" uri="{C3380CC4-5D6E-409C-BE32-E72D297353CC}">
              <c16:uniqueId val="{00000000-AE98-4150-BF41-844093C716AD}"/>
            </c:ext>
          </c:extLst>
        </c:ser>
        <c:ser>
          <c:idx val="0"/>
          <c:order val="1"/>
          <c:tx>
            <c:v>Temp 86</c:v>
          </c:tx>
          <c:spPr>
            <a:ln w="25400">
              <a:solidFill>
                <a:srgbClr val="000000"/>
              </a:solidFill>
              <a:prstDash val="solid"/>
            </a:ln>
          </c:spPr>
          <c:marker>
            <c:symbol val="none"/>
          </c:marker>
          <c:xVal>
            <c:numRef>
              <c:f>'PVT Results'!$U$10:$U$19</c:f>
              <c:numCache>
                <c:formatCode>0.00;\-0.00;0.00</c:formatCode>
                <c:ptCount val="10"/>
                <c:pt idx="0">
                  <c:v>14</c:v>
                </c:pt>
                <c:pt idx="1">
                  <c:v>568</c:v>
                </c:pt>
                <c:pt idx="2">
                  <c:v>1122</c:v>
                </c:pt>
                <c:pt idx="3">
                  <c:v>1676</c:v>
                </c:pt>
                <c:pt idx="4">
                  <c:v>2230</c:v>
                </c:pt>
                <c:pt idx="5">
                  <c:v>2784</c:v>
                </c:pt>
                <c:pt idx="6">
                  <c:v>3338</c:v>
                </c:pt>
                <c:pt idx="7">
                  <c:v>3892</c:v>
                </c:pt>
                <c:pt idx="8">
                  <c:v>4446</c:v>
                </c:pt>
                <c:pt idx="9">
                  <c:v>5000</c:v>
                </c:pt>
              </c:numCache>
            </c:numRef>
          </c:xVal>
          <c:yVal>
            <c:numRef>
              <c:f>'PVT Results'!$S$10:$S$19</c:f>
              <c:numCache>
                <c:formatCode>General</c:formatCode>
                <c:ptCount val="10"/>
              </c:numCache>
            </c:numRef>
          </c:yVal>
          <c:smooth val="0"/>
          <c:extLst>
            <c:ext xmlns:c16="http://schemas.microsoft.com/office/drawing/2014/chart" uri="{C3380CC4-5D6E-409C-BE32-E72D297353CC}">
              <c16:uniqueId val="{0000005A-9454-4823-8082-C7385F1EA06C}"/>
            </c:ext>
          </c:extLst>
        </c:ser>
        <c:ser>
          <c:idx val="2"/>
          <c:order val="2"/>
          <c:tx>
            <c:v>Temp 129.5</c:v>
          </c:tx>
          <c:spPr>
            <a:ln w="25400">
              <a:solidFill>
                <a:srgbClr val="2D626A"/>
              </a:solidFill>
              <a:prstDash val="solid"/>
            </a:ln>
          </c:spPr>
          <c:marker>
            <c:symbol val="none"/>
          </c:marker>
          <c:xVal>
            <c:numRef>
              <c:f>'PVT Results'!$U$20:$U$29</c:f>
              <c:numCache>
                <c:formatCode>0.00;\-0.00;0.00</c:formatCode>
                <c:ptCount val="10"/>
                <c:pt idx="0">
                  <c:v>14</c:v>
                </c:pt>
                <c:pt idx="1">
                  <c:v>568</c:v>
                </c:pt>
                <c:pt idx="2">
                  <c:v>1122</c:v>
                </c:pt>
                <c:pt idx="3">
                  <c:v>1676</c:v>
                </c:pt>
                <c:pt idx="4">
                  <c:v>2230</c:v>
                </c:pt>
                <c:pt idx="5">
                  <c:v>2784</c:v>
                </c:pt>
                <c:pt idx="6">
                  <c:v>3338</c:v>
                </c:pt>
                <c:pt idx="7">
                  <c:v>3892</c:v>
                </c:pt>
                <c:pt idx="8">
                  <c:v>4446</c:v>
                </c:pt>
                <c:pt idx="9">
                  <c:v>5000</c:v>
                </c:pt>
              </c:numCache>
            </c:numRef>
          </c:xVal>
          <c:yVal>
            <c:numRef>
              <c:f>'PVT Results'!$S$20:$S$29</c:f>
              <c:numCache>
                <c:formatCode>0.0000;\-0.0;0.0</c:formatCode>
                <c:ptCount val="10"/>
              </c:numCache>
            </c:numRef>
          </c:yVal>
          <c:smooth val="0"/>
          <c:extLst>
            <c:ext xmlns:c16="http://schemas.microsoft.com/office/drawing/2014/chart" uri="{C3380CC4-5D6E-409C-BE32-E72D297353CC}">
              <c16:uniqueId val="{0000005B-9454-4823-8082-C7385F1EA06C}"/>
            </c:ext>
          </c:extLst>
        </c:ser>
        <c:ser>
          <c:idx val="3"/>
          <c:order val="3"/>
          <c:tx>
            <c:v>Temp 173</c:v>
          </c:tx>
          <c:spPr>
            <a:ln w="25400">
              <a:solidFill>
                <a:srgbClr val="428A91"/>
              </a:solidFill>
              <a:prstDash val="solid"/>
            </a:ln>
          </c:spPr>
          <c:marker>
            <c:symbol val="none"/>
          </c:marker>
          <c:xVal>
            <c:numRef>
              <c:f>'PVT Results'!$U$30:$U$39</c:f>
              <c:numCache>
                <c:formatCode>0.00;\-0.00;0.00</c:formatCode>
                <c:ptCount val="10"/>
                <c:pt idx="0">
                  <c:v>14</c:v>
                </c:pt>
                <c:pt idx="1">
                  <c:v>568</c:v>
                </c:pt>
                <c:pt idx="2">
                  <c:v>1122</c:v>
                </c:pt>
                <c:pt idx="3">
                  <c:v>1676</c:v>
                </c:pt>
                <c:pt idx="4">
                  <c:v>2230</c:v>
                </c:pt>
                <c:pt idx="5">
                  <c:v>2784</c:v>
                </c:pt>
                <c:pt idx="6">
                  <c:v>3338</c:v>
                </c:pt>
                <c:pt idx="7">
                  <c:v>3892</c:v>
                </c:pt>
                <c:pt idx="8">
                  <c:v>4446</c:v>
                </c:pt>
                <c:pt idx="9">
                  <c:v>5000</c:v>
                </c:pt>
              </c:numCache>
            </c:numRef>
          </c:xVal>
          <c:yVal>
            <c:numRef>
              <c:f>'PVT Results'!$S$30:$S$39</c:f>
              <c:numCache>
                <c:formatCode>0.0000;\-0.0;0.0</c:formatCode>
                <c:ptCount val="10"/>
              </c:numCache>
            </c:numRef>
          </c:yVal>
          <c:smooth val="0"/>
          <c:extLst>
            <c:ext xmlns:c16="http://schemas.microsoft.com/office/drawing/2014/chart" uri="{C3380CC4-5D6E-409C-BE32-E72D297353CC}">
              <c16:uniqueId val="{0000005C-9454-4823-8082-C7385F1EA06C}"/>
            </c:ext>
          </c:extLst>
        </c:ser>
        <c:ser>
          <c:idx val="4"/>
          <c:order val="4"/>
          <c:tx>
            <c:v>Temp 216.5</c:v>
          </c:tx>
          <c:spPr>
            <a:ln w="25400">
              <a:solidFill>
                <a:srgbClr val="6F9C97"/>
              </a:solidFill>
              <a:prstDash val="solid"/>
            </a:ln>
          </c:spPr>
          <c:marker>
            <c:symbol val="none"/>
          </c:marker>
          <c:xVal>
            <c:numRef>
              <c:f>'PVT Results'!$U$40:$U$49</c:f>
              <c:numCache>
                <c:formatCode>0.00;\-0.00;0.00</c:formatCode>
                <c:ptCount val="10"/>
                <c:pt idx="0">
                  <c:v>14</c:v>
                </c:pt>
                <c:pt idx="1">
                  <c:v>568</c:v>
                </c:pt>
                <c:pt idx="2">
                  <c:v>1122</c:v>
                </c:pt>
                <c:pt idx="3">
                  <c:v>1676</c:v>
                </c:pt>
                <c:pt idx="4">
                  <c:v>2230</c:v>
                </c:pt>
                <c:pt idx="5">
                  <c:v>2784</c:v>
                </c:pt>
                <c:pt idx="6">
                  <c:v>3338</c:v>
                </c:pt>
                <c:pt idx="7">
                  <c:v>3892</c:v>
                </c:pt>
                <c:pt idx="8">
                  <c:v>4446</c:v>
                </c:pt>
                <c:pt idx="9">
                  <c:v>5000</c:v>
                </c:pt>
              </c:numCache>
            </c:numRef>
          </c:xVal>
          <c:yVal>
            <c:numRef>
              <c:f>'PVT Results'!$S$40:$S$49</c:f>
              <c:numCache>
                <c:formatCode>0.0000;\-0.0;0.0</c:formatCode>
                <c:ptCount val="10"/>
              </c:numCache>
            </c:numRef>
          </c:yVal>
          <c:smooth val="0"/>
          <c:extLst>
            <c:ext xmlns:c16="http://schemas.microsoft.com/office/drawing/2014/chart" uri="{C3380CC4-5D6E-409C-BE32-E72D297353CC}">
              <c16:uniqueId val="{0000005D-9454-4823-8082-C7385F1EA06C}"/>
            </c:ext>
          </c:extLst>
        </c:ser>
        <c:ser>
          <c:idx val="5"/>
          <c:order val="5"/>
          <c:tx>
            <c:v>Temp 260</c:v>
          </c:tx>
          <c:spPr>
            <a:ln w="25400">
              <a:solidFill>
                <a:srgbClr val="AECDC7"/>
              </a:solidFill>
              <a:prstDash val="solid"/>
            </a:ln>
          </c:spPr>
          <c:marker>
            <c:symbol val="none"/>
          </c:marker>
          <c:xVal>
            <c:numRef>
              <c:f>'PVT Results'!$U$50:$U$59</c:f>
              <c:numCache>
                <c:formatCode>0.00;\-0.00;0.00</c:formatCode>
                <c:ptCount val="10"/>
                <c:pt idx="0">
                  <c:v>14</c:v>
                </c:pt>
                <c:pt idx="1">
                  <c:v>568</c:v>
                </c:pt>
                <c:pt idx="2">
                  <c:v>1122</c:v>
                </c:pt>
                <c:pt idx="3">
                  <c:v>1676</c:v>
                </c:pt>
                <c:pt idx="4">
                  <c:v>2230</c:v>
                </c:pt>
                <c:pt idx="5">
                  <c:v>2784</c:v>
                </c:pt>
                <c:pt idx="6">
                  <c:v>3338</c:v>
                </c:pt>
                <c:pt idx="7">
                  <c:v>3892</c:v>
                </c:pt>
                <c:pt idx="8">
                  <c:v>4446</c:v>
                </c:pt>
                <c:pt idx="9">
                  <c:v>5000</c:v>
                </c:pt>
              </c:numCache>
            </c:numRef>
          </c:xVal>
          <c:yVal>
            <c:numRef>
              <c:f>'PVT Results'!$S$50:$S$59</c:f>
              <c:numCache>
                <c:formatCode>0.0000;\-0.0;0.0</c:formatCode>
                <c:ptCount val="10"/>
              </c:numCache>
            </c:numRef>
          </c:yVal>
          <c:smooth val="0"/>
          <c:extLst>
            <c:ext xmlns:c16="http://schemas.microsoft.com/office/drawing/2014/chart" uri="{C3380CC4-5D6E-409C-BE32-E72D297353CC}">
              <c16:uniqueId val="{0000005E-9454-4823-8082-C7385F1EA06C}"/>
            </c:ext>
          </c:extLst>
        </c:ser>
        <c:dLbls>
          <c:showLegendKey val="0"/>
          <c:showVal val="0"/>
          <c:showCatName val="0"/>
          <c:showSerName val="0"/>
          <c:showPercent val="0"/>
          <c:showBubbleSize val="0"/>
        </c:dLbls>
        <c:axId val="53617792"/>
        <c:axId val="52442176"/>
      </c:scatterChart>
      <c:valAx>
        <c:axId val="53617792"/>
        <c:scaling>
          <c:orientation val="minMax"/>
          <c:max val="5000"/>
          <c:min val="0"/>
        </c:scaling>
        <c:delete val="0"/>
        <c:axPos val="b"/>
        <c:majorGridlines>
          <c:spPr>
            <a:ln w="3175">
              <a:solidFill>
                <a:schemeClr val="bg1">
                  <a:lumMod val="95000"/>
                </a:schemeClr>
              </a:solidFill>
              <a:prstDash val="sysDash"/>
            </a:ln>
          </c:spPr>
        </c:majorGridlines>
        <c:numFmt formatCode="#,##0" sourceLinked="0"/>
        <c:majorTickMark val="out"/>
        <c:minorTickMark val="in"/>
        <c:tickLblPos val="nextTo"/>
        <c:spPr>
          <a:ln w="12700">
            <a:solidFill>
              <a:srgbClr val="000000"/>
            </a:solidFill>
            <a:prstDash val="solid"/>
          </a:ln>
        </c:spPr>
        <c:txPr>
          <a:bodyPr rot="0" vert="horz"/>
          <a:lstStyle/>
          <a:p>
            <a:pPr>
              <a:defRPr sz="800" b="0"/>
            </a:pPr>
            <a:endParaRPr lang="es-BO"/>
          </a:p>
        </c:txPr>
        <c:crossAx val="52442176"/>
        <c:crossesAt val="0"/>
        <c:crossBetween val="midCat"/>
      </c:valAx>
      <c:valAx>
        <c:axId val="52442176"/>
        <c:scaling>
          <c:orientation val="minMax"/>
          <c:min val="0"/>
        </c:scaling>
        <c:delete val="0"/>
        <c:axPos val="l"/>
        <c:majorGridlines>
          <c:spPr>
            <a:ln w="3175">
              <a:solidFill>
                <a:schemeClr val="bg1">
                  <a:lumMod val="95000"/>
                </a:schemeClr>
              </a:solidFill>
              <a:prstDash val="sysDash"/>
            </a:ln>
          </c:spPr>
        </c:majorGridlines>
        <c:numFmt formatCode="#,##0" sourceLinked="0"/>
        <c:majorTickMark val="out"/>
        <c:minorTickMark val="in"/>
        <c:tickLblPos val="nextTo"/>
        <c:spPr>
          <a:ln w="12700">
            <a:solidFill>
              <a:srgbClr val="000000"/>
            </a:solidFill>
            <a:prstDash val="solid"/>
          </a:ln>
        </c:spPr>
        <c:txPr>
          <a:bodyPr rot="0" vert="horz"/>
          <a:lstStyle/>
          <a:p>
            <a:pPr>
              <a:defRPr sz="800" b="0"/>
            </a:pPr>
            <a:endParaRPr lang="es-BO"/>
          </a:p>
        </c:txPr>
        <c:crossAx val="53617792"/>
        <c:crossesAt val="0"/>
        <c:crossBetween val="midCat"/>
      </c:valAx>
      <c:spPr>
        <a:solidFill>
          <a:srgbClr val="FFFFFF"/>
        </a:solidFill>
        <a:ln w="25400">
          <a:noFill/>
        </a:ln>
      </c:spPr>
    </c:plotArea>
    <c:legend>
      <c:legendPos val="r"/>
      <c:legendEntry>
        <c:idx val="0"/>
        <c:txPr>
          <a:bodyPr/>
          <a:lstStyle/>
          <a:p>
            <a:pPr>
              <a:defRPr sz="1600" b="1">
                <a:solidFill>
                  <a:schemeClr val="tx1"/>
                </a:solidFill>
              </a:defRPr>
            </a:pPr>
            <a:endParaRPr lang="es-BO"/>
          </a:p>
        </c:txPr>
      </c:legendEntry>
      <c:legendEntry>
        <c:idx val="1"/>
        <c:txPr>
          <a:bodyPr/>
          <a:lstStyle/>
          <a:p>
            <a:pPr>
              <a:defRPr sz="1600" b="1">
                <a:solidFill>
                  <a:srgbClr val="000000"/>
                </a:solidFill>
              </a:defRPr>
            </a:pPr>
            <a:endParaRPr lang="es-BO"/>
          </a:p>
        </c:txPr>
      </c:legendEntry>
      <c:legendEntry>
        <c:idx val="2"/>
        <c:txPr>
          <a:bodyPr/>
          <a:lstStyle/>
          <a:p>
            <a:pPr>
              <a:defRPr sz="1600" b="1">
                <a:solidFill>
                  <a:srgbClr val="2D626A"/>
                </a:solidFill>
              </a:defRPr>
            </a:pPr>
            <a:endParaRPr lang="es-BO"/>
          </a:p>
        </c:txPr>
      </c:legendEntry>
      <c:legendEntry>
        <c:idx val="3"/>
        <c:txPr>
          <a:bodyPr/>
          <a:lstStyle/>
          <a:p>
            <a:pPr>
              <a:defRPr sz="1600" b="1">
                <a:solidFill>
                  <a:srgbClr val="428A91"/>
                </a:solidFill>
              </a:defRPr>
            </a:pPr>
            <a:endParaRPr lang="es-BO"/>
          </a:p>
        </c:txPr>
      </c:legendEntry>
      <c:legendEntry>
        <c:idx val="4"/>
        <c:txPr>
          <a:bodyPr/>
          <a:lstStyle/>
          <a:p>
            <a:pPr>
              <a:defRPr sz="1600" b="1">
                <a:solidFill>
                  <a:srgbClr val="6F9C97"/>
                </a:solidFill>
              </a:defRPr>
            </a:pPr>
            <a:endParaRPr lang="es-BO"/>
          </a:p>
        </c:txPr>
      </c:legendEntry>
      <c:legendEntry>
        <c:idx val="5"/>
        <c:txPr>
          <a:bodyPr/>
          <a:lstStyle/>
          <a:p>
            <a:pPr>
              <a:defRPr sz="1600" b="1">
                <a:solidFill>
                  <a:srgbClr val="AECDC7"/>
                </a:solidFill>
              </a:defRPr>
            </a:pPr>
            <a:endParaRPr lang="es-BO"/>
          </a:p>
        </c:txPr>
      </c:legendEntry>
      <c:layout>
        <c:manualLayout>
          <c:xMode val="edge"/>
          <c:yMode val="edge"/>
          <c:x val="4.4222003499562526E-2"/>
          <c:y val="4.5449475065616765E-2"/>
          <c:w val="0.94744466316710407"/>
          <c:h val="0.89842437664041996"/>
        </c:manualLayout>
      </c:layout>
      <c:overlay val="0"/>
      <c:spPr>
        <a:solidFill>
          <a:schemeClr val="bg1"/>
        </a:solidFill>
      </c:spPr>
      <c:txPr>
        <a:bodyPr/>
        <a:lstStyle/>
        <a:p>
          <a:pPr>
            <a:defRPr sz="1600" b="1">
              <a:solidFill>
                <a:srgbClr val="AECDC7"/>
              </a:solidFill>
            </a:defRPr>
          </a:pPr>
          <a:endParaRPr lang="es-BO"/>
        </a:p>
      </c:txPr>
    </c:legend>
    <c:plotVisOnly val="1"/>
    <c:dispBlanksAs val="gap"/>
    <c:showDLblsOverMax val="0"/>
  </c:chart>
  <c:spPr>
    <a:solidFill>
      <a:schemeClr val="bg1"/>
    </a:solidFill>
    <a:ln w="9525" cap="flat" cmpd="sng" algn="ctr">
      <a:solidFill>
        <a:schemeClr val="bg1">
          <a:lumMod val="75000"/>
        </a:schemeClr>
      </a:solidFill>
      <a:prstDash val="solid"/>
    </a:ln>
    <a:effectLst/>
  </c:spPr>
  <c:txPr>
    <a:bodyPr/>
    <a:lstStyle/>
    <a:p>
      <a:pPr>
        <a:defRPr>
          <a:solidFill>
            <a:schemeClr val="dk1"/>
          </a:solidFill>
          <a:latin typeface="+mn-lt"/>
          <a:ea typeface="+mn-ea"/>
          <a:cs typeface="+mn-cs"/>
        </a:defRPr>
      </a:pPr>
      <a:endParaRPr lang="es-BO"/>
    </a:p>
  </c:txPr>
  <c:printSettings>
    <c:headerFooter alignWithMargins="0"/>
    <c:pageMargins b="1" l="0.75" r="0.75" t="1" header="0.5" footer="0.5"/>
    <c:pageSetup paperSize="9" orientation="landscape" horizontalDpi="1200" verticalDpi="1200"/>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solidFill>
                  <a:srgbClr val="0000FF"/>
                </a:solidFill>
              </a:defRPr>
            </a:pPr>
            <a:r>
              <a:rPr lang="es-BO" sz="1200">
                <a:solidFill>
                  <a:srgbClr val="0000FF"/>
                </a:solidFill>
              </a:rPr>
              <a:t>Inflow Performance Relationship (IPR)</a:t>
            </a:r>
          </a:p>
        </c:rich>
      </c:tx>
      <c:layout>
        <c:manualLayout>
          <c:xMode val="edge"/>
          <c:yMode val="edge"/>
          <c:x val="0.25866044233326702"/>
          <c:y val="1.5151515151515152E-2"/>
        </c:manualLayout>
      </c:layout>
      <c:overlay val="0"/>
    </c:title>
    <c:autoTitleDeleted val="0"/>
    <c:plotArea>
      <c:layout>
        <c:manualLayout>
          <c:layoutTarget val="inner"/>
          <c:xMode val="edge"/>
          <c:yMode val="edge"/>
          <c:x val="0.11381716215636492"/>
          <c:y val="0.12424201285184179"/>
          <c:w val="0.78339378268652538"/>
          <c:h val="0.74406507376233144"/>
        </c:manualLayout>
      </c:layout>
      <c:scatterChart>
        <c:scatterStyle val="smoothMarker"/>
        <c:varyColors val="0"/>
        <c:ser>
          <c:idx val="2"/>
          <c:order val="1"/>
          <c:tx>
            <c:v>IPR Results</c:v>
          </c:tx>
          <c:spPr>
            <a:ln w="9525">
              <a:solidFill>
                <a:schemeClr val="bg1">
                  <a:lumMod val="50000"/>
                </a:schemeClr>
              </a:solidFill>
            </a:ln>
          </c:spPr>
          <c:marker>
            <c:symbol val="circle"/>
            <c:size val="6"/>
            <c:spPr>
              <a:solidFill>
                <a:srgbClr val="FFC000"/>
              </a:solidFill>
              <a:ln>
                <a:solidFill>
                  <a:srgbClr val="C00000"/>
                </a:solidFill>
              </a:ln>
            </c:spPr>
          </c:marker>
          <c:xVal>
            <c:numRef>
              <c:f>Inflow!$Y$7:$Y$26</c:f>
              <c:numCache>
                <c:formatCode>0.00;\-0.00;0.00</c:formatCode>
                <c:ptCount val="20"/>
                <c:pt idx="0">
                  <c:v>1.0000000000000001E-5</c:v>
                </c:pt>
                <c:pt idx="1">
                  <c:v>3.7273800000000001</c:v>
                </c:pt>
                <c:pt idx="2">
                  <c:v>7.4547600000000003</c:v>
                </c:pt>
                <c:pt idx="3">
                  <c:v>11.1821</c:v>
                </c:pt>
                <c:pt idx="4">
                  <c:v>14.9095</c:v>
                </c:pt>
                <c:pt idx="5">
                  <c:v>18.636900000000001</c:v>
                </c:pt>
                <c:pt idx="6">
                  <c:v>22.3642</c:v>
                </c:pt>
                <c:pt idx="7">
                  <c:v>26.0916</c:v>
                </c:pt>
                <c:pt idx="8">
                  <c:v>29.818999999999999</c:v>
                </c:pt>
                <c:pt idx="9">
                  <c:v>33.546399999999998</c:v>
                </c:pt>
                <c:pt idx="10">
                  <c:v>37.273699999999998</c:v>
                </c:pt>
                <c:pt idx="11">
                  <c:v>41.001100000000001</c:v>
                </c:pt>
                <c:pt idx="12">
                  <c:v>44.728499999999997</c:v>
                </c:pt>
                <c:pt idx="13">
                  <c:v>48.4559</c:v>
                </c:pt>
                <c:pt idx="14">
                  <c:v>52.183199999999999</c:v>
                </c:pt>
                <c:pt idx="15">
                  <c:v>55.910600000000002</c:v>
                </c:pt>
                <c:pt idx="16">
                  <c:v>59.637999999999998</c:v>
                </c:pt>
                <c:pt idx="17">
                  <c:v>63.365299999999998</c:v>
                </c:pt>
                <c:pt idx="18">
                  <c:v>67.092699999999994</c:v>
                </c:pt>
                <c:pt idx="19">
                  <c:v>70.819999999999993</c:v>
                </c:pt>
              </c:numCache>
            </c:numRef>
          </c:xVal>
          <c:yVal>
            <c:numRef>
              <c:f>Inflow!$Z$7:$Z$26</c:f>
              <c:numCache>
                <c:formatCode>0.00;\-0.00;0.00</c:formatCode>
                <c:ptCount val="20"/>
                <c:pt idx="0">
                  <c:v>4400</c:v>
                </c:pt>
                <c:pt idx="1">
                  <c:v>4289.49</c:v>
                </c:pt>
                <c:pt idx="2">
                  <c:v>4174.83</c:v>
                </c:pt>
                <c:pt idx="3">
                  <c:v>4055.79</c:v>
                </c:pt>
                <c:pt idx="4">
                  <c:v>3931.84</c:v>
                </c:pt>
                <c:pt idx="5">
                  <c:v>3802.9</c:v>
                </c:pt>
                <c:pt idx="6">
                  <c:v>3668.42</c:v>
                </c:pt>
                <c:pt idx="7">
                  <c:v>3527.86</c:v>
                </c:pt>
                <c:pt idx="8">
                  <c:v>3380.56</c:v>
                </c:pt>
                <c:pt idx="9">
                  <c:v>3225.69</c:v>
                </c:pt>
                <c:pt idx="10">
                  <c:v>3062.7</c:v>
                </c:pt>
                <c:pt idx="11">
                  <c:v>2889.45</c:v>
                </c:pt>
                <c:pt idx="12">
                  <c:v>2704.46</c:v>
                </c:pt>
                <c:pt idx="13">
                  <c:v>2505.23</c:v>
                </c:pt>
                <c:pt idx="14">
                  <c:v>2288.12</c:v>
                </c:pt>
                <c:pt idx="15">
                  <c:v>2047.54</c:v>
                </c:pt>
                <c:pt idx="16">
                  <c:v>1773.54</c:v>
                </c:pt>
                <c:pt idx="17">
                  <c:v>1448.59</c:v>
                </c:pt>
                <c:pt idx="18">
                  <c:v>1024.6199999999999</c:v>
                </c:pt>
                <c:pt idx="19">
                  <c:v>0</c:v>
                </c:pt>
              </c:numCache>
            </c:numRef>
          </c:yVal>
          <c:smooth val="0"/>
          <c:extLst>
            <c:ext xmlns:c16="http://schemas.microsoft.com/office/drawing/2014/chart" uri="{C3380CC4-5D6E-409C-BE32-E72D297353CC}">
              <c16:uniqueId val="{00000000-8042-49C5-9074-944F725CA125}"/>
            </c:ext>
          </c:extLst>
        </c:ser>
        <c:dLbls>
          <c:showLegendKey val="0"/>
          <c:showVal val="0"/>
          <c:showCatName val="0"/>
          <c:showSerName val="0"/>
          <c:showPercent val="0"/>
          <c:showBubbleSize val="0"/>
        </c:dLbls>
        <c:axId val="54568064"/>
        <c:axId val="54568640"/>
      </c:scatterChart>
      <c:scatterChart>
        <c:scatterStyle val="smoothMarker"/>
        <c:varyColors val="0"/>
        <c:ser>
          <c:idx val="1"/>
          <c:order val="0"/>
          <c:tx>
            <c:v>Test Data</c:v>
          </c:tx>
          <c:spPr>
            <a:ln w="9525">
              <a:noFill/>
              <a:prstDash val="solid"/>
            </a:ln>
          </c:spPr>
          <c:marker>
            <c:symbol val="square"/>
            <c:size val="6"/>
            <c:spPr>
              <a:solidFill>
                <a:srgbClr val="FF0000"/>
              </a:solidFill>
              <a:ln>
                <a:solidFill>
                  <a:schemeClr val="tx1"/>
                </a:solidFill>
              </a:ln>
            </c:spPr>
          </c:marker>
          <c:xVal>
            <c:numRef>
              <c:f>Inflow!$I$35:$I$37</c:f>
              <c:numCache>
                <c:formatCode>_(* #,##0.00_);_(* \(#,##0.00\);_(* "-"??_);_(@_)</c:formatCode>
                <c:ptCount val="3"/>
                <c:pt idx="0">
                  <c:v>8.42</c:v>
                </c:pt>
                <c:pt idx="1">
                  <c:v>14.15</c:v>
                </c:pt>
                <c:pt idx="2">
                  <c:v>23.89</c:v>
                </c:pt>
              </c:numCache>
            </c:numRef>
          </c:xVal>
          <c:yVal>
            <c:numRef>
              <c:f>Inflow!$J$35:$J$37</c:f>
              <c:numCache>
                <c:formatCode>_(* #,##0.00_);_(* \(#,##0.00\);_(* "-"??_);_(@_)</c:formatCode>
                <c:ptCount val="3"/>
                <c:pt idx="0">
                  <c:v>4100</c:v>
                </c:pt>
                <c:pt idx="1">
                  <c:v>3975</c:v>
                </c:pt>
                <c:pt idx="2">
                  <c:v>3631</c:v>
                </c:pt>
              </c:numCache>
            </c:numRef>
          </c:yVal>
          <c:smooth val="1"/>
          <c:extLst>
            <c:ext xmlns:c16="http://schemas.microsoft.com/office/drawing/2014/chart" uri="{C3380CC4-5D6E-409C-BE32-E72D297353CC}">
              <c16:uniqueId val="{00000001-8042-49C5-9074-944F725CA125}"/>
            </c:ext>
          </c:extLst>
        </c:ser>
        <c:dLbls>
          <c:showLegendKey val="0"/>
          <c:showVal val="0"/>
          <c:showCatName val="0"/>
          <c:showSerName val="0"/>
          <c:showPercent val="0"/>
          <c:showBubbleSize val="0"/>
        </c:dLbls>
        <c:axId val="54570944"/>
        <c:axId val="54569792"/>
      </c:scatterChart>
      <c:valAx>
        <c:axId val="54568064"/>
        <c:scaling>
          <c:orientation val="minMax"/>
          <c:max val="80"/>
          <c:min val="0"/>
        </c:scaling>
        <c:delete val="0"/>
        <c:axPos val="b"/>
        <c:majorGridlines>
          <c:spPr>
            <a:ln w="3175">
              <a:solidFill>
                <a:schemeClr val="bg1">
                  <a:lumMod val="95000"/>
                </a:schemeClr>
              </a:solidFill>
              <a:prstDash val="sysDash"/>
            </a:ln>
          </c:spPr>
        </c:majorGridlines>
        <c:title>
          <c:tx>
            <c:rich>
              <a:bodyPr/>
              <a:lstStyle/>
              <a:p>
                <a:pPr>
                  <a:defRPr/>
                </a:pPr>
                <a:r>
                  <a:rPr lang="en-US"/>
                  <a:t>GasRate, MMscf/day</a:t>
                </a:r>
              </a:p>
            </c:rich>
          </c:tx>
          <c:overlay val="0"/>
        </c:title>
        <c:numFmt formatCode="#,##0" sourceLinked="0"/>
        <c:majorTickMark val="out"/>
        <c:minorTickMark val="in"/>
        <c:tickLblPos val="nextTo"/>
        <c:spPr>
          <a:ln w="12700">
            <a:solidFill>
              <a:srgbClr val="000000"/>
            </a:solidFill>
            <a:prstDash val="solid"/>
          </a:ln>
        </c:spPr>
        <c:txPr>
          <a:bodyPr rot="0" vert="horz"/>
          <a:lstStyle/>
          <a:p>
            <a:pPr>
              <a:defRPr sz="800" b="1"/>
            </a:pPr>
            <a:endParaRPr lang="es-BO"/>
          </a:p>
        </c:txPr>
        <c:crossAx val="54568640"/>
        <c:crossesAt val="0"/>
        <c:crossBetween val="midCat"/>
      </c:valAx>
      <c:valAx>
        <c:axId val="54568640"/>
        <c:scaling>
          <c:orientation val="minMax"/>
          <c:max val="5000"/>
          <c:min val="0"/>
        </c:scaling>
        <c:delete val="0"/>
        <c:axPos val="l"/>
        <c:majorGridlines>
          <c:spPr>
            <a:ln w="3175">
              <a:solidFill>
                <a:schemeClr val="bg1">
                  <a:lumMod val="95000"/>
                </a:schemeClr>
              </a:solidFill>
              <a:prstDash val="sysDash"/>
            </a:ln>
          </c:spPr>
        </c:majorGridlines>
        <c:title>
          <c:tx>
            <c:rich>
              <a:bodyPr/>
              <a:lstStyle/>
              <a:p>
                <a:pPr>
                  <a:defRPr/>
                </a:pPr>
                <a:r>
                  <a:rPr lang="en-US"/>
                  <a:t>Pressure, psi</a:t>
                </a:r>
              </a:p>
            </c:rich>
          </c:tx>
          <c:overlay val="0"/>
        </c:title>
        <c:numFmt formatCode="#,##0" sourceLinked="0"/>
        <c:majorTickMark val="out"/>
        <c:minorTickMark val="in"/>
        <c:tickLblPos val="nextTo"/>
        <c:spPr>
          <a:ln w="12700">
            <a:solidFill>
              <a:srgbClr val="000000"/>
            </a:solidFill>
            <a:prstDash val="solid"/>
          </a:ln>
        </c:spPr>
        <c:txPr>
          <a:bodyPr rot="0" vert="horz"/>
          <a:lstStyle/>
          <a:p>
            <a:pPr>
              <a:defRPr sz="800" b="1"/>
            </a:pPr>
            <a:endParaRPr lang="es-BO"/>
          </a:p>
        </c:txPr>
        <c:crossAx val="54568064"/>
        <c:crossesAt val="0"/>
        <c:crossBetween val="midCat"/>
      </c:valAx>
      <c:valAx>
        <c:axId val="54569792"/>
        <c:scaling>
          <c:orientation val="minMax"/>
          <c:max val="5000"/>
          <c:min val="0"/>
        </c:scaling>
        <c:delete val="0"/>
        <c:axPos val="r"/>
        <c:numFmt formatCode="#,##0" sourceLinked="0"/>
        <c:majorTickMark val="out"/>
        <c:minorTickMark val="in"/>
        <c:tickLblPos val="nextTo"/>
        <c:spPr>
          <a:ln w="12700">
            <a:solidFill>
              <a:schemeClr val="tx1"/>
            </a:solidFill>
          </a:ln>
        </c:spPr>
        <c:txPr>
          <a:bodyPr/>
          <a:lstStyle/>
          <a:p>
            <a:pPr>
              <a:defRPr sz="800" b="1"/>
            </a:pPr>
            <a:endParaRPr lang="es-BO"/>
          </a:p>
        </c:txPr>
        <c:crossAx val="54570944"/>
        <c:crosses val="max"/>
        <c:crossBetween val="midCat"/>
      </c:valAx>
      <c:valAx>
        <c:axId val="54570944"/>
        <c:scaling>
          <c:orientation val="minMax"/>
          <c:max val="80"/>
          <c:min val="0"/>
        </c:scaling>
        <c:delete val="0"/>
        <c:axPos val="t"/>
        <c:numFmt formatCode="#,##0" sourceLinked="0"/>
        <c:majorTickMark val="out"/>
        <c:minorTickMark val="in"/>
        <c:tickLblPos val="nextTo"/>
        <c:spPr>
          <a:ln w="12700">
            <a:solidFill>
              <a:schemeClr val="tx1"/>
            </a:solidFill>
          </a:ln>
        </c:spPr>
        <c:txPr>
          <a:bodyPr/>
          <a:lstStyle/>
          <a:p>
            <a:pPr>
              <a:defRPr sz="800" b="1"/>
            </a:pPr>
            <a:endParaRPr lang="es-BO"/>
          </a:p>
        </c:txPr>
        <c:crossAx val="54569792"/>
        <c:crosses val="max"/>
        <c:crossBetween val="midCat"/>
      </c:valAx>
      <c:spPr>
        <a:solidFill>
          <a:srgbClr val="FFFFFF"/>
        </a:solidFill>
        <a:ln w="25400">
          <a:noFill/>
        </a:ln>
      </c:spPr>
    </c:plotArea>
    <c:legend>
      <c:legendPos val="r"/>
      <c:layout>
        <c:manualLayout>
          <c:xMode val="edge"/>
          <c:yMode val="edge"/>
          <c:x val="0.66954931180050581"/>
          <c:y val="0.15220676079283196"/>
          <c:w val="0.20764907597166793"/>
          <c:h val="0.1616390623585845"/>
        </c:manualLayout>
      </c:layout>
      <c:overlay val="0"/>
      <c:spPr>
        <a:solidFill>
          <a:schemeClr val="bg1"/>
        </a:solidFill>
        <a:ln w="6350" cap="flat" cmpd="sng" algn="ctr">
          <a:solidFill>
            <a:schemeClr val="bg1">
              <a:lumMod val="85000"/>
            </a:schemeClr>
          </a:solidFill>
          <a:prstDash val="solid"/>
          <a:miter lim="800000"/>
        </a:ln>
        <a:effectLst/>
      </c:spPr>
      <c:txPr>
        <a:bodyPr/>
        <a:lstStyle/>
        <a:p>
          <a:pPr>
            <a:defRPr sz="900">
              <a:solidFill>
                <a:schemeClr val="dk1"/>
              </a:solidFill>
              <a:latin typeface="+mn-lt"/>
              <a:ea typeface="+mn-ea"/>
              <a:cs typeface="+mn-cs"/>
            </a:defRPr>
          </a:pPr>
          <a:endParaRPr lang="es-BO"/>
        </a:p>
      </c:txPr>
    </c:legend>
    <c:plotVisOnly val="1"/>
    <c:dispBlanksAs val="gap"/>
    <c:showDLblsOverMax val="0"/>
  </c:chart>
  <c:spPr>
    <a:solidFill>
      <a:schemeClr val="bg1"/>
    </a:solidFill>
    <a:ln w="9525" cap="flat" cmpd="sng" algn="ctr">
      <a:solidFill>
        <a:schemeClr val="bg1">
          <a:lumMod val="75000"/>
        </a:schemeClr>
      </a:solidFill>
      <a:prstDash val="solid"/>
    </a:ln>
    <a:effectLst/>
  </c:spPr>
  <c:txPr>
    <a:bodyPr/>
    <a:lstStyle/>
    <a:p>
      <a:pPr>
        <a:defRPr>
          <a:solidFill>
            <a:schemeClr val="dk1"/>
          </a:solidFill>
          <a:latin typeface="+mn-lt"/>
          <a:ea typeface="+mn-ea"/>
          <a:cs typeface="+mn-cs"/>
        </a:defRPr>
      </a:pPr>
      <a:endParaRPr lang="es-BO"/>
    </a:p>
  </c:txPr>
  <c:printSettings>
    <c:headerFooter alignWithMargins="0"/>
    <c:pageMargins b="1" l="0.75" r="0.75" t="1" header="0.5" footer="0.5"/>
    <c:pageSetup paperSize="9" orientation="landscape" horizontalDpi="1200" verticalDpi="1200"/>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solidFill>
                  <a:srgbClr val="0000FF"/>
                </a:solidFill>
              </a:defRPr>
            </a:pPr>
            <a:r>
              <a:rPr lang="es-BO" sz="1200">
                <a:solidFill>
                  <a:srgbClr val="0000FF"/>
                </a:solidFill>
              </a:rPr>
              <a:t>dP Completion, psi</a:t>
            </a:r>
          </a:p>
        </c:rich>
      </c:tx>
      <c:layout>
        <c:manualLayout>
          <c:xMode val="edge"/>
          <c:yMode val="edge"/>
          <c:x val="0.40680865711458197"/>
          <c:y val="1.515159742963164E-2"/>
        </c:manualLayout>
      </c:layout>
      <c:overlay val="0"/>
    </c:title>
    <c:autoTitleDeleted val="0"/>
    <c:plotArea>
      <c:layout>
        <c:manualLayout>
          <c:layoutTarget val="inner"/>
          <c:xMode val="edge"/>
          <c:yMode val="edge"/>
          <c:x val="0.11381716215636492"/>
          <c:y val="0.12424201285184179"/>
          <c:w val="0.78339378268652538"/>
          <c:h val="0.74406507376233144"/>
        </c:manualLayout>
      </c:layout>
      <c:scatterChart>
        <c:scatterStyle val="smoothMarker"/>
        <c:varyColors val="0"/>
        <c:ser>
          <c:idx val="2"/>
          <c:order val="1"/>
          <c:tx>
            <c:strRef>
              <c:f>Inflow!$AI$3:$AI$6</c:f>
              <c:strCache>
                <c:ptCount val="4"/>
                <c:pt idx="0">
                  <c:v>dP</c:v>
                </c:pt>
                <c:pt idx="2">
                  <c:v>Perforations</c:v>
                </c:pt>
                <c:pt idx="3">
                  <c:v>psi</c:v>
                </c:pt>
              </c:strCache>
            </c:strRef>
          </c:tx>
          <c:spPr>
            <a:ln w="9525">
              <a:noFill/>
            </a:ln>
          </c:spPr>
          <c:marker>
            <c:symbol val="circle"/>
            <c:size val="6"/>
            <c:spPr>
              <a:solidFill>
                <a:srgbClr val="FFC000"/>
              </a:solidFill>
              <a:ln>
                <a:solidFill>
                  <a:srgbClr val="C00000"/>
                </a:solidFill>
              </a:ln>
            </c:spPr>
          </c:marker>
          <c:xVal>
            <c:numRef>
              <c:f>Inflow!$Y$7:$Y$26</c:f>
              <c:numCache>
                <c:formatCode>0.00;\-0.00;0.00</c:formatCode>
                <c:ptCount val="20"/>
                <c:pt idx="0">
                  <c:v>1.0000000000000001E-5</c:v>
                </c:pt>
                <c:pt idx="1">
                  <c:v>3.7273800000000001</c:v>
                </c:pt>
                <c:pt idx="2">
                  <c:v>7.4547600000000003</c:v>
                </c:pt>
                <c:pt idx="3">
                  <c:v>11.1821</c:v>
                </c:pt>
                <c:pt idx="4">
                  <c:v>14.9095</c:v>
                </c:pt>
                <c:pt idx="5">
                  <c:v>18.636900000000001</c:v>
                </c:pt>
                <c:pt idx="6">
                  <c:v>22.3642</c:v>
                </c:pt>
                <c:pt idx="7">
                  <c:v>26.0916</c:v>
                </c:pt>
                <c:pt idx="8">
                  <c:v>29.818999999999999</c:v>
                </c:pt>
                <c:pt idx="9">
                  <c:v>33.546399999999998</c:v>
                </c:pt>
                <c:pt idx="10">
                  <c:v>37.273699999999998</c:v>
                </c:pt>
                <c:pt idx="11">
                  <c:v>41.001100000000001</c:v>
                </c:pt>
                <c:pt idx="12">
                  <c:v>44.728499999999997</c:v>
                </c:pt>
                <c:pt idx="13">
                  <c:v>48.4559</c:v>
                </c:pt>
                <c:pt idx="14">
                  <c:v>52.183199999999999</c:v>
                </c:pt>
                <c:pt idx="15">
                  <c:v>55.910600000000002</c:v>
                </c:pt>
                <c:pt idx="16">
                  <c:v>59.637999999999998</c:v>
                </c:pt>
                <c:pt idx="17">
                  <c:v>63.365299999999998</c:v>
                </c:pt>
                <c:pt idx="18">
                  <c:v>67.092699999999994</c:v>
                </c:pt>
                <c:pt idx="19">
                  <c:v>70.819999999999993</c:v>
                </c:pt>
              </c:numCache>
            </c:numRef>
          </c:xVal>
          <c:yVal>
            <c:numRef>
              <c:f>Inflow!$AI$7:$AI$26</c:f>
              <c:numCache>
                <c:formatCode>0.00;\-0.00;0.00</c:formatCode>
                <c:ptCount val="20"/>
              </c:numCache>
            </c:numRef>
          </c:yVal>
          <c:smooth val="1"/>
          <c:extLst>
            <c:ext xmlns:c16="http://schemas.microsoft.com/office/drawing/2014/chart" uri="{C3380CC4-5D6E-409C-BE32-E72D297353CC}">
              <c16:uniqueId val="{00000000-5B3E-4136-9EC2-9FDE876A40F7}"/>
            </c:ext>
          </c:extLst>
        </c:ser>
        <c:dLbls>
          <c:showLegendKey val="0"/>
          <c:showVal val="0"/>
          <c:showCatName val="0"/>
          <c:showSerName val="0"/>
          <c:showPercent val="0"/>
          <c:showBubbleSize val="0"/>
        </c:dLbls>
        <c:axId val="54572672"/>
        <c:axId val="54573248"/>
      </c:scatterChart>
      <c:scatterChart>
        <c:scatterStyle val="smoothMarker"/>
        <c:varyColors val="0"/>
        <c:ser>
          <c:idx val="1"/>
          <c:order val="0"/>
          <c:tx>
            <c:strRef>
              <c:f>Inflow!$AH$3:$AH$6</c:f>
              <c:strCache>
                <c:ptCount val="4"/>
                <c:pt idx="0">
                  <c:v>dP</c:v>
                </c:pt>
                <c:pt idx="1">
                  <c:v>Sand</c:v>
                </c:pt>
                <c:pt idx="2">
                  <c:v>Control</c:v>
                </c:pt>
                <c:pt idx="3">
                  <c:v>psi</c:v>
                </c:pt>
              </c:strCache>
            </c:strRef>
          </c:tx>
          <c:spPr>
            <a:ln w="9525">
              <a:noFill/>
              <a:prstDash val="solid"/>
            </a:ln>
          </c:spPr>
          <c:marker>
            <c:symbol val="square"/>
            <c:size val="6"/>
            <c:spPr>
              <a:solidFill>
                <a:srgbClr val="FF0000"/>
              </a:solidFill>
              <a:ln>
                <a:solidFill>
                  <a:schemeClr val="tx1"/>
                </a:solidFill>
              </a:ln>
            </c:spPr>
          </c:marker>
          <c:xVal>
            <c:numRef>
              <c:f>Inflow!$Y$7:$Y$26</c:f>
              <c:numCache>
                <c:formatCode>0.00;\-0.00;0.00</c:formatCode>
                <c:ptCount val="20"/>
                <c:pt idx="0">
                  <c:v>1.0000000000000001E-5</c:v>
                </c:pt>
                <c:pt idx="1">
                  <c:v>3.7273800000000001</c:v>
                </c:pt>
                <c:pt idx="2">
                  <c:v>7.4547600000000003</c:v>
                </c:pt>
                <c:pt idx="3">
                  <c:v>11.1821</c:v>
                </c:pt>
                <c:pt idx="4">
                  <c:v>14.9095</c:v>
                </c:pt>
                <c:pt idx="5">
                  <c:v>18.636900000000001</c:v>
                </c:pt>
                <c:pt idx="6">
                  <c:v>22.3642</c:v>
                </c:pt>
                <c:pt idx="7">
                  <c:v>26.0916</c:v>
                </c:pt>
                <c:pt idx="8">
                  <c:v>29.818999999999999</c:v>
                </c:pt>
                <c:pt idx="9">
                  <c:v>33.546399999999998</c:v>
                </c:pt>
                <c:pt idx="10">
                  <c:v>37.273699999999998</c:v>
                </c:pt>
                <c:pt idx="11">
                  <c:v>41.001100000000001</c:v>
                </c:pt>
                <c:pt idx="12">
                  <c:v>44.728499999999997</c:v>
                </c:pt>
                <c:pt idx="13">
                  <c:v>48.4559</c:v>
                </c:pt>
                <c:pt idx="14">
                  <c:v>52.183199999999999</c:v>
                </c:pt>
                <c:pt idx="15">
                  <c:v>55.910600000000002</c:v>
                </c:pt>
                <c:pt idx="16">
                  <c:v>59.637999999999998</c:v>
                </c:pt>
                <c:pt idx="17">
                  <c:v>63.365299999999998</c:v>
                </c:pt>
                <c:pt idx="18">
                  <c:v>67.092699999999994</c:v>
                </c:pt>
                <c:pt idx="19">
                  <c:v>70.819999999999993</c:v>
                </c:pt>
              </c:numCache>
            </c:numRef>
          </c:xVal>
          <c:yVal>
            <c:numRef>
              <c:f>Inflow!$AH$7:$AH$26</c:f>
              <c:numCache>
                <c:formatCode>0.00;\-0.00;0.00</c:formatCode>
                <c:ptCount val="20"/>
              </c:numCache>
            </c:numRef>
          </c:yVal>
          <c:smooth val="1"/>
          <c:extLst>
            <c:ext xmlns:c16="http://schemas.microsoft.com/office/drawing/2014/chart" uri="{C3380CC4-5D6E-409C-BE32-E72D297353CC}">
              <c16:uniqueId val="{00000001-5B3E-4136-9EC2-9FDE876A40F7}"/>
            </c:ext>
          </c:extLst>
        </c:ser>
        <c:ser>
          <c:idx val="0"/>
          <c:order val="2"/>
          <c:tx>
            <c:strRef>
              <c:f>Inflow!$AJ$3:$AJ$6</c:f>
              <c:strCache>
                <c:ptCount val="4"/>
                <c:pt idx="0">
                  <c:v>dP</c:v>
                </c:pt>
                <c:pt idx="1">
                  <c:v>Damage</c:v>
                </c:pt>
                <c:pt idx="2">
                  <c:v>Skin</c:v>
                </c:pt>
                <c:pt idx="3">
                  <c:v>psi</c:v>
                </c:pt>
              </c:strCache>
            </c:strRef>
          </c:tx>
          <c:spPr>
            <a:ln w="19050">
              <a:noFill/>
            </a:ln>
          </c:spPr>
          <c:marker>
            <c:spPr>
              <a:solidFill>
                <a:schemeClr val="accent1">
                  <a:lumMod val="20000"/>
                  <a:lumOff val="80000"/>
                </a:schemeClr>
              </a:solidFill>
              <a:ln>
                <a:solidFill>
                  <a:srgbClr val="0000FF"/>
                </a:solidFill>
              </a:ln>
            </c:spPr>
          </c:marker>
          <c:xVal>
            <c:numRef>
              <c:f>Inflow!$Y$7:$Y$26</c:f>
              <c:numCache>
                <c:formatCode>0.00;\-0.00;0.00</c:formatCode>
                <c:ptCount val="20"/>
                <c:pt idx="0">
                  <c:v>1.0000000000000001E-5</c:v>
                </c:pt>
                <c:pt idx="1">
                  <c:v>3.7273800000000001</c:v>
                </c:pt>
                <c:pt idx="2">
                  <c:v>7.4547600000000003</c:v>
                </c:pt>
                <c:pt idx="3">
                  <c:v>11.1821</c:v>
                </c:pt>
                <c:pt idx="4">
                  <c:v>14.9095</c:v>
                </c:pt>
                <c:pt idx="5">
                  <c:v>18.636900000000001</c:v>
                </c:pt>
                <c:pt idx="6">
                  <c:v>22.3642</c:v>
                </c:pt>
                <c:pt idx="7">
                  <c:v>26.0916</c:v>
                </c:pt>
                <c:pt idx="8">
                  <c:v>29.818999999999999</c:v>
                </c:pt>
                <c:pt idx="9">
                  <c:v>33.546399999999998</c:v>
                </c:pt>
                <c:pt idx="10">
                  <c:v>37.273699999999998</c:v>
                </c:pt>
                <c:pt idx="11">
                  <c:v>41.001100000000001</c:v>
                </c:pt>
                <c:pt idx="12">
                  <c:v>44.728499999999997</c:v>
                </c:pt>
                <c:pt idx="13">
                  <c:v>48.4559</c:v>
                </c:pt>
                <c:pt idx="14">
                  <c:v>52.183199999999999</c:v>
                </c:pt>
                <c:pt idx="15">
                  <c:v>55.910600000000002</c:v>
                </c:pt>
                <c:pt idx="16">
                  <c:v>59.637999999999998</c:v>
                </c:pt>
                <c:pt idx="17">
                  <c:v>63.365299999999998</c:v>
                </c:pt>
                <c:pt idx="18">
                  <c:v>67.092699999999994</c:v>
                </c:pt>
                <c:pt idx="19">
                  <c:v>70.819999999999993</c:v>
                </c:pt>
              </c:numCache>
            </c:numRef>
          </c:xVal>
          <c:yVal>
            <c:numRef>
              <c:f>Inflow!$AJ$7:$AJ$26</c:f>
              <c:numCache>
                <c:formatCode>0.00;\-0.00;0.00</c:formatCode>
                <c:ptCount val="20"/>
              </c:numCache>
            </c:numRef>
          </c:yVal>
          <c:smooth val="1"/>
          <c:extLst>
            <c:ext xmlns:c16="http://schemas.microsoft.com/office/drawing/2014/chart" uri="{C3380CC4-5D6E-409C-BE32-E72D297353CC}">
              <c16:uniqueId val="{00000003-5B3E-4136-9EC2-9FDE876A40F7}"/>
            </c:ext>
          </c:extLst>
        </c:ser>
        <c:dLbls>
          <c:showLegendKey val="0"/>
          <c:showVal val="0"/>
          <c:showCatName val="0"/>
          <c:showSerName val="0"/>
          <c:showPercent val="0"/>
          <c:showBubbleSize val="0"/>
        </c:dLbls>
        <c:axId val="54574400"/>
        <c:axId val="54573824"/>
      </c:scatterChart>
      <c:valAx>
        <c:axId val="54572672"/>
        <c:scaling>
          <c:orientation val="minMax"/>
          <c:max val="80"/>
          <c:min val="0"/>
        </c:scaling>
        <c:delete val="0"/>
        <c:axPos val="b"/>
        <c:majorGridlines>
          <c:spPr>
            <a:ln w="3175">
              <a:solidFill>
                <a:schemeClr val="bg1">
                  <a:lumMod val="95000"/>
                </a:schemeClr>
              </a:solidFill>
              <a:prstDash val="sysDash"/>
            </a:ln>
          </c:spPr>
        </c:majorGridlines>
        <c:title>
          <c:tx>
            <c:rich>
              <a:bodyPr/>
              <a:lstStyle/>
              <a:p>
                <a:pPr>
                  <a:defRPr/>
                </a:pPr>
                <a:r>
                  <a:rPr lang="en-US"/>
                  <a:t>GasRate, MMscf/day</a:t>
                </a:r>
              </a:p>
            </c:rich>
          </c:tx>
          <c:overlay val="0"/>
        </c:title>
        <c:numFmt formatCode="#,##0" sourceLinked="0"/>
        <c:majorTickMark val="out"/>
        <c:minorTickMark val="in"/>
        <c:tickLblPos val="nextTo"/>
        <c:spPr>
          <a:ln w="12700">
            <a:solidFill>
              <a:srgbClr val="000000"/>
            </a:solidFill>
            <a:prstDash val="solid"/>
          </a:ln>
        </c:spPr>
        <c:txPr>
          <a:bodyPr rot="0" vert="horz"/>
          <a:lstStyle/>
          <a:p>
            <a:pPr>
              <a:defRPr sz="800" b="1"/>
            </a:pPr>
            <a:endParaRPr lang="es-BO"/>
          </a:p>
        </c:txPr>
        <c:crossAx val="54573248"/>
        <c:crossesAt val="0"/>
        <c:crossBetween val="midCat"/>
      </c:valAx>
      <c:valAx>
        <c:axId val="54573248"/>
        <c:scaling>
          <c:orientation val="minMax"/>
          <c:max val="10"/>
          <c:min val="0"/>
        </c:scaling>
        <c:delete val="0"/>
        <c:axPos val="l"/>
        <c:majorGridlines>
          <c:spPr>
            <a:ln w="3175">
              <a:solidFill>
                <a:schemeClr val="bg1">
                  <a:lumMod val="95000"/>
                </a:schemeClr>
              </a:solidFill>
              <a:prstDash val="sysDash"/>
            </a:ln>
          </c:spPr>
        </c:majorGridlines>
        <c:title>
          <c:tx>
            <c:rich>
              <a:bodyPr/>
              <a:lstStyle/>
              <a:p>
                <a:pPr>
                  <a:defRPr/>
                </a:pPr>
                <a:r>
                  <a:rPr lang="es-BO"/>
                  <a:t>dP, psi</a:t>
                </a:r>
              </a:p>
            </c:rich>
          </c:tx>
          <c:overlay val="0"/>
        </c:title>
        <c:numFmt formatCode="#,##0" sourceLinked="0"/>
        <c:majorTickMark val="out"/>
        <c:minorTickMark val="in"/>
        <c:tickLblPos val="nextTo"/>
        <c:spPr>
          <a:ln w="12700">
            <a:solidFill>
              <a:srgbClr val="000000"/>
            </a:solidFill>
            <a:prstDash val="solid"/>
          </a:ln>
        </c:spPr>
        <c:txPr>
          <a:bodyPr rot="0" vert="horz"/>
          <a:lstStyle/>
          <a:p>
            <a:pPr>
              <a:defRPr sz="800" b="1"/>
            </a:pPr>
            <a:endParaRPr lang="es-BO"/>
          </a:p>
        </c:txPr>
        <c:crossAx val="54572672"/>
        <c:crossesAt val="0"/>
        <c:crossBetween val="midCat"/>
      </c:valAx>
      <c:valAx>
        <c:axId val="54573824"/>
        <c:scaling>
          <c:orientation val="minMax"/>
          <c:max val="10"/>
          <c:min val="0"/>
        </c:scaling>
        <c:delete val="0"/>
        <c:axPos val="r"/>
        <c:numFmt formatCode="#,##0" sourceLinked="0"/>
        <c:majorTickMark val="out"/>
        <c:minorTickMark val="in"/>
        <c:tickLblPos val="nextTo"/>
        <c:spPr>
          <a:ln w="12700">
            <a:solidFill>
              <a:schemeClr val="tx1"/>
            </a:solidFill>
          </a:ln>
        </c:spPr>
        <c:txPr>
          <a:bodyPr/>
          <a:lstStyle/>
          <a:p>
            <a:pPr>
              <a:defRPr sz="800" b="1"/>
            </a:pPr>
            <a:endParaRPr lang="es-BO"/>
          </a:p>
        </c:txPr>
        <c:crossAx val="54574400"/>
        <c:crosses val="max"/>
        <c:crossBetween val="midCat"/>
      </c:valAx>
      <c:valAx>
        <c:axId val="54574400"/>
        <c:scaling>
          <c:orientation val="minMax"/>
          <c:max val="80"/>
          <c:min val="0"/>
        </c:scaling>
        <c:delete val="0"/>
        <c:axPos val="t"/>
        <c:numFmt formatCode="#,##0" sourceLinked="0"/>
        <c:majorTickMark val="out"/>
        <c:minorTickMark val="in"/>
        <c:tickLblPos val="nextTo"/>
        <c:spPr>
          <a:ln w="12700">
            <a:solidFill>
              <a:schemeClr val="tx1"/>
            </a:solidFill>
          </a:ln>
        </c:spPr>
        <c:txPr>
          <a:bodyPr/>
          <a:lstStyle/>
          <a:p>
            <a:pPr>
              <a:defRPr sz="800" b="1"/>
            </a:pPr>
            <a:endParaRPr lang="es-BO"/>
          </a:p>
        </c:txPr>
        <c:crossAx val="54573824"/>
        <c:crosses val="max"/>
        <c:crossBetween val="midCat"/>
      </c:valAx>
      <c:spPr>
        <a:solidFill>
          <a:srgbClr val="FFFFFF"/>
        </a:solidFill>
        <a:ln w="25400">
          <a:noFill/>
        </a:ln>
      </c:spPr>
    </c:plotArea>
    <c:legend>
      <c:legendPos val="r"/>
      <c:layout>
        <c:manualLayout>
          <c:xMode val="edge"/>
          <c:yMode val="edge"/>
          <c:x val="0.13236990184970049"/>
          <c:y val="0.14828808036926416"/>
          <c:w val="0.24367195903790714"/>
          <c:h val="0.14547515612272605"/>
        </c:manualLayout>
      </c:layout>
      <c:overlay val="0"/>
      <c:spPr>
        <a:solidFill>
          <a:schemeClr val="bg1"/>
        </a:solidFill>
        <a:ln w="6350" cap="flat" cmpd="sng" algn="ctr">
          <a:solidFill>
            <a:schemeClr val="bg1">
              <a:lumMod val="85000"/>
            </a:schemeClr>
          </a:solidFill>
          <a:prstDash val="solid"/>
          <a:miter lim="800000"/>
        </a:ln>
        <a:effectLst/>
      </c:spPr>
      <c:txPr>
        <a:bodyPr/>
        <a:lstStyle/>
        <a:p>
          <a:pPr>
            <a:defRPr sz="900">
              <a:solidFill>
                <a:schemeClr val="dk1"/>
              </a:solidFill>
              <a:latin typeface="+mn-lt"/>
              <a:ea typeface="+mn-ea"/>
              <a:cs typeface="+mn-cs"/>
            </a:defRPr>
          </a:pPr>
          <a:endParaRPr lang="es-BO"/>
        </a:p>
      </c:txPr>
    </c:legend>
    <c:plotVisOnly val="1"/>
    <c:dispBlanksAs val="gap"/>
    <c:showDLblsOverMax val="0"/>
  </c:chart>
  <c:spPr>
    <a:solidFill>
      <a:schemeClr val="bg1"/>
    </a:solidFill>
    <a:ln w="9525" cap="flat" cmpd="sng" algn="ctr">
      <a:solidFill>
        <a:schemeClr val="bg1">
          <a:lumMod val="75000"/>
        </a:schemeClr>
      </a:solidFill>
      <a:prstDash val="solid"/>
    </a:ln>
    <a:effectLst/>
  </c:spPr>
  <c:txPr>
    <a:bodyPr/>
    <a:lstStyle/>
    <a:p>
      <a:pPr>
        <a:defRPr>
          <a:solidFill>
            <a:schemeClr val="dk1"/>
          </a:solidFill>
          <a:latin typeface="+mn-lt"/>
          <a:ea typeface="+mn-ea"/>
          <a:cs typeface="+mn-cs"/>
        </a:defRPr>
      </a:pPr>
      <a:endParaRPr lang="es-BO"/>
    </a:p>
  </c:txPr>
  <c:printSettings>
    <c:headerFooter alignWithMargins="0"/>
    <c:pageMargins b="1" l="0.75" r="0.75" t="1" header="0.5" footer="0.5"/>
    <c:pageSetup paperSize="9" orientation="landscape" horizontalDpi="1200" verticalDpi="1200"/>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815048118985127"/>
          <c:y val="6.1111111111111109E-2"/>
          <c:w val="0.80596062992125983"/>
          <c:h val="0.80331496062992114"/>
        </c:manualLayout>
      </c:layout>
      <c:scatterChart>
        <c:scatterStyle val="lineMarker"/>
        <c:varyColors val="0"/>
        <c:ser>
          <c:idx val="0"/>
          <c:order val="0"/>
          <c:tx>
            <c:v>Well</c:v>
          </c:tx>
          <c:spPr>
            <a:ln w="25400" cap="rnd">
              <a:noFill/>
              <a:round/>
            </a:ln>
            <a:effectLst>
              <a:outerShdw blurRad="50800" dist="38100" dir="2700000" algn="tl" rotWithShape="0">
                <a:prstClr val="black">
                  <a:alpha val="40000"/>
                </a:prstClr>
              </a:outerShdw>
            </a:effectLst>
          </c:spPr>
          <c:marker>
            <c:symbol val="picture"/>
            <c:spPr>
              <a:blipFill>
                <a:blip xmlns:r="http://schemas.openxmlformats.org/officeDocument/2006/relationships" r:embed="rId1"/>
                <a:stretch>
                  <a:fillRect/>
                </a:stretch>
              </a:blipFill>
              <a:ln w="25400">
                <a:noFill/>
              </a:ln>
              <a:effectLst>
                <a:outerShdw blurRad="50800" dist="38100" dir="2700000" algn="tl" rotWithShape="0">
                  <a:prstClr val="black">
                    <a:alpha val="40000"/>
                  </a:prstClr>
                </a:outerShdw>
              </a:effectLst>
            </c:spPr>
          </c:marker>
          <c:xVal>
            <c:numRef>
              <c:f>'Calc CA, C'!$D$5</c:f>
              <c:numCache>
                <c:formatCode>General</c:formatCode>
                <c:ptCount val="1"/>
                <c:pt idx="0">
                  <c:v>3000</c:v>
                </c:pt>
              </c:numCache>
            </c:numRef>
          </c:xVal>
          <c:yVal>
            <c:numRef>
              <c:f>'Calc CA, C'!$D$6</c:f>
              <c:numCache>
                <c:formatCode>General</c:formatCode>
                <c:ptCount val="1"/>
                <c:pt idx="0">
                  <c:v>3000</c:v>
                </c:pt>
              </c:numCache>
            </c:numRef>
          </c:yVal>
          <c:smooth val="0"/>
          <c:extLst>
            <c:ext xmlns:c16="http://schemas.microsoft.com/office/drawing/2014/chart" uri="{C3380CC4-5D6E-409C-BE32-E72D297353CC}">
              <c16:uniqueId val="{00000000-9615-493F-AD24-FF0EAC824073}"/>
            </c:ext>
          </c:extLst>
        </c:ser>
        <c:ser>
          <c:idx val="1"/>
          <c:order val="1"/>
          <c:tx>
            <c:strRef>
              <c:f>'Calc CA, C'!$C$6:$E$6</c:f>
              <c:strCache>
                <c:ptCount val="3"/>
                <c:pt idx="0">
                  <c:v>Yw</c:v>
                </c:pt>
                <c:pt idx="1">
                  <c:v>3000</c:v>
                </c:pt>
                <c:pt idx="2">
                  <c:v>m</c:v>
                </c:pt>
              </c:strCache>
            </c:strRef>
          </c:tx>
          <c:spPr>
            <a:ln w="12700">
              <a:solidFill>
                <a:srgbClr val="C00000"/>
              </a:solidFill>
              <a:prstDash val="dash"/>
            </a:ln>
          </c:spPr>
          <c:marker>
            <c:symbol val="square"/>
            <c:size val="5"/>
            <c:spPr>
              <a:solidFill>
                <a:srgbClr val="FFFF00"/>
              </a:solidFill>
              <a:ln>
                <a:solidFill>
                  <a:srgbClr val="00B050"/>
                </a:solidFill>
              </a:ln>
            </c:spPr>
          </c:marker>
          <c:dLbls>
            <c:dLbl>
              <c:idx val="1"/>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9615-493F-AD24-FF0EAC824073}"/>
                </c:ext>
              </c:extLst>
            </c:dLbl>
            <c:spPr>
              <a:noFill/>
              <a:ln>
                <a:noFill/>
              </a:ln>
              <a:effectLst/>
            </c:spPr>
            <c:txPr>
              <a:bodyPr wrap="square" lIns="38100" tIns="19050" rIns="38100" bIns="19050" anchor="ctr">
                <a:spAutoFit/>
              </a:bodyPr>
              <a:lstStyle/>
              <a:p>
                <a:pPr>
                  <a:defRPr sz="800">
                    <a:solidFill>
                      <a:srgbClr val="0000FF"/>
                    </a:solidFill>
                  </a:defRPr>
                </a:pPr>
                <a:endParaRPr lang="es-BO"/>
              </a:p>
            </c:txP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3"/>
              <c:pt idx="0">
                <c:v>3000</c:v>
              </c:pt>
              <c:pt idx="1">
                <c:v>3000</c:v>
              </c:pt>
              <c:pt idx="2">
                <c:v>3000</c:v>
              </c:pt>
            </c:numLit>
          </c:xVal>
          <c:yVal>
            <c:numLit>
              <c:formatCode>General</c:formatCode>
              <c:ptCount val="3"/>
              <c:pt idx="0">
                <c:v>0</c:v>
              </c:pt>
              <c:pt idx="1">
                <c:v>1500</c:v>
              </c:pt>
              <c:pt idx="2">
                <c:v>3000</c:v>
              </c:pt>
            </c:numLit>
          </c:yVal>
          <c:smooth val="0"/>
          <c:extLst>
            <c:ext xmlns:c16="http://schemas.microsoft.com/office/drawing/2014/chart" uri="{C3380CC4-5D6E-409C-BE32-E72D297353CC}">
              <c16:uniqueId val="{00000002-9615-493F-AD24-FF0EAC824073}"/>
            </c:ext>
          </c:extLst>
        </c:ser>
        <c:ser>
          <c:idx val="2"/>
          <c:order val="2"/>
          <c:tx>
            <c:strRef>
              <c:f>'Calc CA, C'!$C$5:$E$5</c:f>
              <c:strCache>
                <c:ptCount val="3"/>
                <c:pt idx="0">
                  <c:v>Xw</c:v>
                </c:pt>
                <c:pt idx="1">
                  <c:v>3000</c:v>
                </c:pt>
                <c:pt idx="2">
                  <c:v>m</c:v>
                </c:pt>
              </c:strCache>
            </c:strRef>
          </c:tx>
          <c:spPr>
            <a:ln w="12700">
              <a:solidFill>
                <a:srgbClr val="C00000"/>
              </a:solidFill>
              <a:prstDash val="dash"/>
            </a:ln>
          </c:spPr>
          <c:marker>
            <c:symbol val="square"/>
            <c:size val="5"/>
            <c:spPr>
              <a:solidFill>
                <a:srgbClr val="FFFF00"/>
              </a:solidFill>
              <a:ln>
                <a:solidFill>
                  <a:srgbClr val="00B050"/>
                </a:solidFill>
              </a:ln>
            </c:spPr>
          </c:marker>
          <c:dLbls>
            <c:dLbl>
              <c:idx val="1"/>
              <c:spPr>
                <a:noFill/>
                <a:ln>
                  <a:noFill/>
                </a:ln>
                <a:effectLst/>
              </c:spPr>
              <c:txPr>
                <a:bodyPr wrap="square" lIns="38100" tIns="19050" rIns="38100" bIns="19050" anchor="ctr">
                  <a:spAutoFit/>
                </a:bodyPr>
                <a:lstStyle/>
                <a:p>
                  <a:pPr>
                    <a:defRPr sz="800">
                      <a:solidFill>
                        <a:srgbClr val="0000FF"/>
                      </a:solidFill>
                    </a:defRPr>
                  </a:pPr>
                  <a:endParaRPr lang="es-BO"/>
                </a:p>
              </c:txPr>
              <c:dLblPos val="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3-9615-493F-AD24-FF0EAC824073}"/>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3"/>
              <c:pt idx="0">
                <c:v>0</c:v>
              </c:pt>
              <c:pt idx="1">
                <c:v>1500</c:v>
              </c:pt>
              <c:pt idx="2">
                <c:v>3000</c:v>
              </c:pt>
            </c:numLit>
          </c:xVal>
          <c:yVal>
            <c:numLit>
              <c:formatCode>General</c:formatCode>
              <c:ptCount val="3"/>
              <c:pt idx="0">
                <c:v>3000</c:v>
              </c:pt>
              <c:pt idx="1">
                <c:v>3000</c:v>
              </c:pt>
              <c:pt idx="2">
                <c:v>3000</c:v>
              </c:pt>
            </c:numLit>
          </c:yVal>
          <c:smooth val="0"/>
          <c:extLst>
            <c:ext xmlns:c16="http://schemas.microsoft.com/office/drawing/2014/chart" uri="{C3380CC4-5D6E-409C-BE32-E72D297353CC}">
              <c16:uniqueId val="{00000004-9615-493F-AD24-FF0EAC824073}"/>
            </c:ext>
          </c:extLst>
        </c:ser>
        <c:dLbls>
          <c:showLegendKey val="0"/>
          <c:showVal val="0"/>
          <c:showCatName val="0"/>
          <c:showSerName val="0"/>
          <c:showPercent val="0"/>
          <c:showBubbleSize val="0"/>
        </c:dLbls>
        <c:axId val="367796336"/>
        <c:axId val="367796896"/>
      </c:scatterChart>
      <c:valAx>
        <c:axId val="367796336"/>
        <c:scaling>
          <c:orientation val="minMax"/>
          <c:max val="6000"/>
        </c:scaling>
        <c:delete val="0"/>
        <c:axPos val="b"/>
        <c:majorGridlines>
          <c:spPr>
            <a:ln w="9525" cap="flat" cmpd="sng" algn="ctr">
              <a:solidFill>
                <a:schemeClr val="bg1">
                  <a:lumMod val="95000"/>
                </a:schemeClr>
              </a:solidFill>
              <a:round/>
            </a:ln>
            <a:effectLst/>
          </c:spPr>
        </c:majorGridlines>
        <c:title>
          <c:tx>
            <c:rich>
              <a:bodyPr rot="0" spcFirstLastPara="1" vertOverflow="ellipsis" vert="horz" wrap="square" anchor="ctr" anchorCtr="1"/>
              <a:lstStyle/>
              <a:p>
                <a:pPr>
                  <a:defRPr sz="1200" b="0" i="0" u="none" strike="noStrike" kern="1200" baseline="0">
                    <a:solidFill>
                      <a:srgbClr val="0000FF"/>
                    </a:solidFill>
                    <a:latin typeface="+mn-lt"/>
                    <a:ea typeface="+mn-ea"/>
                    <a:cs typeface="+mn-cs"/>
                  </a:defRPr>
                </a:pPr>
                <a:r>
                  <a:rPr lang="es-BO" sz="1200">
                    <a:solidFill>
                      <a:srgbClr val="0000FF"/>
                    </a:solidFill>
                  </a:rPr>
                  <a:t>Xe</a:t>
                </a:r>
              </a:p>
            </c:rich>
          </c:tx>
          <c:overlay val="0"/>
          <c:spPr>
            <a:noFill/>
            <a:ln>
              <a:noFill/>
            </a:ln>
            <a:effectLst/>
          </c:spPr>
        </c:title>
        <c:numFmt formatCode="General" sourceLinked="1"/>
        <c:majorTickMark val="cross"/>
        <c:minorTickMark val="in"/>
        <c:tickLblPos val="nextTo"/>
        <c:spPr>
          <a:noFill/>
          <a:ln w="9525" cap="flat" cmpd="sng" algn="ctr">
            <a:solidFill>
              <a:sysClr val="windowText" lastClr="000000">
                <a:lumMod val="100000"/>
              </a:sysClr>
            </a:solidFill>
            <a:prstDash val="solid"/>
            <a:round/>
            <a:headEnd type="none" w="med" len="med"/>
            <a:tailEnd type="none" w="med" len="med"/>
          </a:ln>
          <a:effectLst/>
        </c:spPr>
        <c:txPr>
          <a:bodyPr rot="-60000000" spcFirstLastPara="1" vertOverflow="ellipsis" vert="horz" wrap="square" anchor="ctr" anchorCtr="1"/>
          <a:lstStyle/>
          <a:p>
            <a:pPr>
              <a:defRPr sz="900" b="1" i="0" u="none" strike="noStrike" kern="1200" baseline="0">
                <a:solidFill>
                  <a:srgbClr val="000000"/>
                </a:solidFill>
                <a:latin typeface="+mn-lt"/>
                <a:ea typeface="+mn-ea"/>
                <a:cs typeface="+mn-cs"/>
              </a:defRPr>
            </a:pPr>
            <a:endParaRPr lang="es-BO"/>
          </a:p>
        </c:txPr>
        <c:crossAx val="367796896"/>
        <c:crosses val="autoZero"/>
        <c:crossBetween val="midCat"/>
      </c:valAx>
      <c:valAx>
        <c:axId val="367796896"/>
        <c:scaling>
          <c:orientation val="minMax"/>
          <c:max val="6000"/>
        </c:scaling>
        <c:delete val="0"/>
        <c:axPos val="l"/>
        <c:majorGridlines>
          <c:spPr>
            <a:ln w="9525" cap="flat" cmpd="sng" algn="ctr">
              <a:solidFill>
                <a:schemeClr val="bg1">
                  <a:lumMod val="95000"/>
                </a:schemeClr>
              </a:solidFill>
              <a:round/>
            </a:ln>
            <a:effectLst/>
          </c:spPr>
        </c:majorGridlines>
        <c:title>
          <c:tx>
            <c:rich>
              <a:bodyPr rot="-5400000" spcFirstLastPara="1" vertOverflow="ellipsis" vert="horz" wrap="square" anchor="ctr" anchorCtr="1"/>
              <a:lstStyle/>
              <a:p>
                <a:pPr>
                  <a:defRPr sz="1200" b="0" i="0" u="none" strike="noStrike" kern="1200" baseline="0">
                    <a:solidFill>
                      <a:srgbClr val="0000FF"/>
                    </a:solidFill>
                    <a:latin typeface="+mn-lt"/>
                    <a:ea typeface="+mn-ea"/>
                    <a:cs typeface="+mn-cs"/>
                  </a:defRPr>
                </a:pPr>
                <a:r>
                  <a:rPr lang="es-BO" sz="1200">
                    <a:solidFill>
                      <a:srgbClr val="0000FF"/>
                    </a:solidFill>
                  </a:rPr>
                  <a:t>Ye</a:t>
                </a:r>
              </a:p>
            </c:rich>
          </c:tx>
          <c:overlay val="0"/>
          <c:spPr>
            <a:noFill/>
            <a:ln>
              <a:noFill/>
            </a:ln>
            <a:effectLst/>
          </c:spPr>
        </c:title>
        <c:numFmt formatCode="General" sourceLinked="1"/>
        <c:majorTickMark val="cross"/>
        <c:minorTickMark val="in"/>
        <c:tickLblPos val="nextTo"/>
        <c:spPr>
          <a:noFill/>
          <a:ln w="9525" cap="flat" cmpd="sng" algn="ctr">
            <a:solidFill>
              <a:sysClr val="windowText" lastClr="000000">
                <a:lumMod val="100000"/>
              </a:sysClr>
            </a:solidFill>
            <a:prstDash val="solid"/>
            <a:round/>
            <a:headEnd type="none" w="med" len="med"/>
            <a:tailEnd type="none" w="med" len="med"/>
          </a:ln>
          <a:effectLst/>
        </c:spPr>
        <c:txPr>
          <a:bodyPr rot="-60000000" spcFirstLastPara="1" vertOverflow="ellipsis" vert="horz" wrap="square" anchor="ctr" anchorCtr="1"/>
          <a:lstStyle/>
          <a:p>
            <a:pPr>
              <a:defRPr sz="900" b="1" i="0" u="none" strike="noStrike" kern="1200" baseline="0">
                <a:solidFill>
                  <a:srgbClr val="000000"/>
                </a:solidFill>
                <a:latin typeface="+mn-lt"/>
                <a:ea typeface="+mn-ea"/>
                <a:cs typeface="+mn-cs"/>
              </a:defRPr>
            </a:pPr>
            <a:endParaRPr lang="es-BO"/>
          </a:p>
        </c:txPr>
        <c:crossAx val="367796336"/>
        <c:crosses val="autoZero"/>
        <c:crossBetween val="midCat"/>
        <c:minorUnit val="50"/>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BO"/>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solidFill>
                  <a:srgbClr val="0000FF"/>
                </a:solidFill>
              </a:defRPr>
            </a:pPr>
            <a:r>
              <a:rPr lang="es-BO" sz="1200">
                <a:solidFill>
                  <a:srgbClr val="0000FF"/>
                </a:solidFill>
              </a:rPr>
              <a:t>System Sensitivity</a:t>
            </a:r>
          </a:p>
        </c:rich>
      </c:tx>
      <c:layout>
        <c:manualLayout>
          <c:xMode val="edge"/>
          <c:yMode val="edge"/>
          <c:x val="1.5900502063813297E-5"/>
          <c:y val="3.6241651349777247E-3"/>
        </c:manualLayout>
      </c:layout>
      <c:overlay val="0"/>
    </c:title>
    <c:autoTitleDeleted val="0"/>
    <c:plotArea>
      <c:layout>
        <c:manualLayout>
          <c:layoutTarget val="inner"/>
          <c:xMode val="edge"/>
          <c:yMode val="edge"/>
          <c:x val="8.3388440552814719E-2"/>
          <c:y val="7.2368785313939518E-2"/>
          <c:w val="0.72458055786504949"/>
          <c:h val="0.82908543574910265"/>
        </c:manualLayout>
      </c:layout>
      <c:scatterChart>
        <c:scatterStyle val="smoothMarker"/>
        <c:varyColors val="0"/>
        <c:ser>
          <c:idx val="2"/>
          <c:order val="0"/>
          <c:tx>
            <c:v>Inflow (Base)</c:v>
          </c:tx>
          <c:spPr>
            <a:ln w="9525">
              <a:solidFill>
                <a:schemeClr val="bg1">
                  <a:lumMod val="50000"/>
                </a:schemeClr>
              </a:solidFill>
            </a:ln>
            <a:effectLst>
              <a:outerShdw blurRad="50800" dist="38100" dir="2700000" algn="tl" rotWithShape="0">
                <a:prstClr val="black">
                  <a:alpha val="40000"/>
                </a:prstClr>
              </a:outerShdw>
            </a:effectLst>
          </c:spPr>
          <c:marker>
            <c:symbol val="circle"/>
            <c:size val="7"/>
            <c:spPr>
              <a:solidFill>
                <a:srgbClr val="FFC000"/>
              </a:solidFill>
              <a:ln>
                <a:solidFill>
                  <a:srgbClr val="C00000"/>
                </a:solidFill>
              </a:ln>
              <a:effectLst>
                <a:outerShdw blurRad="50800" dist="38100" dir="2700000" algn="tl" rotWithShape="0">
                  <a:prstClr val="black">
                    <a:alpha val="40000"/>
                  </a:prstClr>
                </a:outerShdw>
              </a:effectLst>
            </c:spPr>
          </c:marker>
          <c:xVal>
            <c:numRef>
              <c:f>Inflow!$Y$7:$Y$26</c:f>
              <c:numCache>
                <c:formatCode>0.00;\-0.00;0.00</c:formatCode>
                <c:ptCount val="20"/>
                <c:pt idx="0">
                  <c:v>1.0000000000000001E-5</c:v>
                </c:pt>
                <c:pt idx="1">
                  <c:v>3.7273800000000001</c:v>
                </c:pt>
                <c:pt idx="2">
                  <c:v>7.4547600000000003</c:v>
                </c:pt>
                <c:pt idx="3">
                  <c:v>11.1821</c:v>
                </c:pt>
                <c:pt idx="4">
                  <c:v>14.9095</c:v>
                </c:pt>
                <c:pt idx="5">
                  <c:v>18.636900000000001</c:v>
                </c:pt>
                <c:pt idx="6">
                  <c:v>22.3642</c:v>
                </c:pt>
                <c:pt idx="7">
                  <c:v>26.0916</c:v>
                </c:pt>
                <c:pt idx="8">
                  <c:v>29.818999999999999</c:v>
                </c:pt>
                <c:pt idx="9">
                  <c:v>33.546399999999998</c:v>
                </c:pt>
                <c:pt idx="10">
                  <c:v>37.273699999999998</c:v>
                </c:pt>
                <c:pt idx="11">
                  <c:v>41.001100000000001</c:v>
                </c:pt>
                <c:pt idx="12">
                  <c:v>44.728499999999997</c:v>
                </c:pt>
                <c:pt idx="13">
                  <c:v>48.4559</c:v>
                </c:pt>
                <c:pt idx="14">
                  <c:v>52.183199999999999</c:v>
                </c:pt>
                <c:pt idx="15">
                  <c:v>55.910600000000002</c:v>
                </c:pt>
                <c:pt idx="16">
                  <c:v>59.637999999999998</c:v>
                </c:pt>
                <c:pt idx="17">
                  <c:v>63.365299999999998</c:v>
                </c:pt>
                <c:pt idx="18">
                  <c:v>67.092699999999994</c:v>
                </c:pt>
                <c:pt idx="19">
                  <c:v>70.819999999999993</c:v>
                </c:pt>
              </c:numCache>
            </c:numRef>
          </c:xVal>
          <c:yVal>
            <c:numRef>
              <c:f>Inflow!$Z$7:$Z$26</c:f>
              <c:numCache>
                <c:formatCode>0.00;\-0.00;0.00</c:formatCode>
                <c:ptCount val="20"/>
                <c:pt idx="0">
                  <c:v>4400</c:v>
                </c:pt>
                <c:pt idx="1">
                  <c:v>4289.49</c:v>
                </c:pt>
                <c:pt idx="2">
                  <c:v>4174.83</c:v>
                </c:pt>
                <c:pt idx="3">
                  <c:v>4055.79</c:v>
                </c:pt>
                <c:pt idx="4">
                  <c:v>3931.84</c:v>
                </c:pt>
                <c:pt idx="5">
                  <c:v>3802.9</c:v>
                </c:pt>
                <c:pt idx="6">
                  <c:v>3668.42</c:v>
                </c:pt>
                <c:pt idx="7">
                  <c:v>3527.86</c:v>
                </c:pt>
                <c:pt idx="8">
                  <c:v>3380.56</c:v>
                </c:pt>
                <c:pt idx="9">
                  <c:v>3225.69</c:v>
                </c:pt>
                <c:pt idx="10">
                  <c:v>3062.7</c:v>
                </c:pt>
                <c:pt idx="11">
                  <c:v>2889.45</c:v>
                </c:pt>
                <c:pt idx="12">
                  <c:v>2704.46</c:v>
                </c:pt>
                <c:pt idx="13">
                  <c:v>2505.23</c:v>
                </c:pt>
                <c:pt idx="14">
                  <c:v>2288.12</c:v>
                </c:pt>
                <c:pt idx="15">
                  <c:v>2047.54</c:v>
                </c:pt>
                <c:pt idx="16">
                  <c:v>1773.54</c:v>
                </c:pt>
                <c:pt idx="17">
                  <c:v>1448.59</c:v>
                </c:pt>
                <c:pt idx="18">
                  <c:v>1024.6199999999999</c:v>
                </c:pt>
                <c:pt idx="19">
                  <c:v>0</c:v>
                </c:pt>
              </c:numCache>
            </c:numRef>
          </c:yVal>
          <c:smooth val="0"/>
          <c:extLst>
            <c:ext xmlns:c16="http://schemas.microsoft.com/office/drawing/2014/chart" uri="{C3380CC4-5D6E-409C-BE32-E72D297353CC}">
              <c16:uniqueId val="{00000000-1867-4E20-8AA4-A8CA130FE81B}"/>
            </c:ext>
          </c:extLst>
        </c:ser>
        <c:ser>
          <c:idx val="4"/>
          <c:order val="1"/>
          <c:tx>
            <c:v>VLP 1</c:v>
          </c:tx>
          <c:spPr>
            <a:ln w="3175">
              <a:solidFill>
                <a:srgbClr val="800000"/>
              </a:solidFill>
              <a:prstDash val="sysDash"/>
            </a:ln>
            <a:effectLst/>
          </c:spPr>
          <c:marker>
            <c:symbol val="triangle"/>
            <c:size val="5"/>
            <c:spPr>
              <a:solidFill>
                <a:srgbClr val="FF0000"/>
              </a:solidFill>
              <a:ln>
                <a:solidFill>
                  <a:srgbClr val="800000"/>
                </a:solidFill>
                <a:prstDash val="solid"/>
              </a:ln>
            </c:spPr>
          </c:marker>
          <c:xVal>
            <c:numRef>
              <c:f>System_Sens!$AI$50:$AI$69</c:f>
              <c:numCache>
                <c:formatCode>_-* #,##0.0_-;\-* #,##0.0_-;_-* "-"??_-;_-@_-</c:formatCode>
                <c:ptCount val="20"/>
                <c:pt idx="0">
                  <c:v>0.1</c:v>
                </c:pt>
                <c:pt idx="1">
                  <c:v>0.4</c:v>
                </c:pt>
                <c:pt idx="2">
                  <c:v>0.7</c:v>
                </c:pt>
                <c:pt idx="3">
                  <c:v>1</c:v>
                </c:pt>
                <c:pt idx="4">
                  <c:v>1.3</c:v>
                </c:pt>
                <c:pt idx="5">
                  <c:v>1.6</c:v>
                </c:pt>
                <c:pt idx="6">
                  <c:v>1.9</c:v>
                </c:pt>
                <c:pt idx="7">
                  <c:v>2.2000000000000002</c:v>
                </c:pt>
                <c:pt idx="8">
                  <c:v>2.5</c:v>
                </c:pt>
                <c:pt idx="9">
                  <c:v>2.8</c:v>
                </c:pt>
                <c:pt idx="10">
                  <c:v>2.8</c:v>
                </c:pt>
                <c:pt idx="11">
                  <c:v>2.8</c:v>
                </c:pt>
                <c:pt idx="12">
                  <c:v>3.7</c:v>
                </c:pt>
                <c:pt idx="13">
                  <c:v>11.0238</c:v>
                </c:pt>
                <c:pt idx="14">
                  <c:v>15.8565</c:v>
                </c:pt>
                <c:pt idx="15">
                  <c:v>22.8079</c:v>
                </c:pt>
              </c:numCache>
            </c:numRef>
          </c:xVal>
          <c:yVal>
            <c:numRef>
              <c:f>System_Sens!$AJ$50:$AJ$69</c:f>
              <c:numCache>
                <c:formatCode>_-* #,##0.0_-;\-* #,##0.0_-;_-* "-"??_-;_-@_-</c:formatCode>
                <c:ptCount val="20"/>
                <c:pt idx="0">
                  <c:v>1155.82</c:v>
                </c:pt>
                <c:pt idx="1">
                  <c:v>1183.5899999999999</c:v>
                </c:pt>
                <c:pt idx="2">
                  <c:v>1246.6400000000001</c:v>
                </c:pt>
                <c:pt idx="3">
                  <c:v>1347.38</c:v>
                </c:pt>
                <c:pt idx="4">
                  <c:v>1488.29</c:v>
                </c:pt>
                <c:pt idx="5">
                  <c:v>1672.06</c:v>
                </c:pt>
                <c:pt idx="6">
                  <c:v>1902.11</c:v>
                </c:pt>
                <c:pt idx="7">
                  <c:v>2179.7399999999998</c:v>
                </c:pt>
                <c:pt idx="8">
                  <c:v>2470.83</c:v>
                </c:pt>
                <c:pt idx="9">
                  <c:v>2768.54</c:v>
                </c:pt>
                <c:pt idx="10">
                  <c:v>2768.54</c:v>
                </c:pt>
                <c:pt idx="11">
                  <c:v>2768.54</c:v>
                </c:pt>
                <c:pt idx="12">
                  <c:v>3720.02</c:v>
                </c:pt>
                <c:pt idx="13">
                  <c:v>16057.6</c:v>
                </c:pt>
                <c:pt idx="14">
                  <c:v>28420.7</c:v>
                </c:pt>
                <c:pt idx="15">
                  <c:v>51333.599999999999</c:v>
                </c:pt>
              </c:numCache>
            </c:numRef>
          </c:yVal>
          <c:smooth val="0"/>
          <c:extLst>
            <c:ext xmlns:c16="http://schemas.microsoft.com/office/drawing/2014/chart" uri="{C3380CC4-5D6E-409C-BE32-E72D297353CC}">
              <c16:uniqueId val="{00000012-5D76-492F-BF5E-F2403CC2C46B}"/>
            </c:ext>
          </c:extLst>
        </c:ser>
        <c:ser>
          <c:idx val="5"/>
          <c:order val="2"/>
          <c:tx>
            <c:v>IPR 1</c:v>
          </c:tx>
          <c:spPr>
            <a:ln w="3175">
              <a:solidFill>
                <a:srgbClr val="000000"/>
              </a:solidFill>
              <a:prstDash val="solid"/>
            </a:ln>
            <a:effectLst/>
          </c:spPr>
          <c:marker>
            <c:symbol val="circle"/>
            <c:size val="5"/>
            <c:spPr>
              <a:solidFill>
                <a:srgbClr val="FFCC00"/>
              </a:solidFill>
              <a:ln>
                <a:solidFill>
                  <a:srgbClr val="000000"/>
                </a:solidFill>
                <a:prstDash val="solid"/>
              </a:ln>
            </c:spPr>
          </c:marker>
          <c:xVal>
            <c:numRef>
              <c:f>System_Sens!$AI$50:$AI$69</c:f>
              <c:numCache>
                <c:formatCode>_-* #,##0.0_-;\-* #,##0.0_-;_-* "-"??_-;_-@_-</c:formatCode>
                <c:ptCount val="20"/>
                <c:pt idx="0">
                  <c:v>0.1</c:v>
                </c:pt>
                <c:pt idx="1">
                  <c:v>0.4</c:v>
                </c:pt>
                <c:pt idx="2">
                  <c:v>0.7</c:v>
                </c:pt>
                <c:pt idx="3">
                  <c:v>1</c:v>
                </c:pt>
                <c:pt idx="4">
                  <c:v>1.3</c:v>
                </c:pt>
                <c:pt idx="5">
                  <c:v>1.6</c:v>
                </c:pt>
                <c:pt idx="6">
                  <c:v>1.9</c:v>
                </c:pt>
                <c:pt idx="7">
                  <c:v>2.2000000000000002</c:v>
                </c:pt>
                <c:pt idx="8">
                  <c:v>2.5</c:v>
                </c:pt>
                <c:pt idx="9">
                  <c:v>2.8</c:v>
                </c:pt>
                <c:pt idx="10">
                  <c:v>2.8</c:v>
                </c:pt>
                <c:pt idx="11">
                  <c:v>2.8</c:v>
                </c:pt>
                <c:pt idx="12">
                  <c:v>3.7</c:v>
                </c:pt>
                <c:pt idx="13">
                  <c:v>11.0238</c:v>
                </c:pt>
                <c:pt idx="14">
                  <c:v>15.8565</c:v>
                </c:pt>
                <c:pt idx="15">
                  <c:v>22.8079</c:v>
                </c:pt>
              </c:numCache>
            </c:numRef>
          </c:xVal>
          <c:yVal>
            <c:numRef>
              <c:f>System_Sens!$AK$50:$AK$69</c:f>
              <c:numCache>
                <c:formatCode>_-* #,##0.0_-;\-* #,##0.0_-;_-* "-"??_-;_-@_-</c:formatCode>
                <c:ptCount val="20"/>
                <c:pt idx="0">
                  <c:v>5997.51</c:v>
                </c:pt>
                <c:pt idx="1">
                  <c:v>5989.88</c:v>
                </c:pt>
                <c:pt idx="2">
                  <c:v>5981.98</c:v>
                </c:pt>
                <c:pt idx="3">
                  <c:v>5973.83</c:v>
                </c:pt>
                <c:pt idx="4">
                  <c:v>5965.41</c:v>
                </c:pt>
                <c:pt idx="5">
                  <c:v>5956.73</c:v>
                </c:pt>
                <c:pt idx="6">
                  <c:v>5947.78</c:v>
                </c:pt>
                <c:pt idx="7">
                  <c:v>5938.57</c:v>
                </c:pt>
                <c:pt idx="8">
                  <c:v>5929.1</c:v>
                </c:pt>
                <c:pt idx="9">
                  <c:v>5919.36</c:v>
                </c:pt>
                <c:pt idx="10">
                  <c:v>5919.36</c:v>
                </c:pt>
                <c:pt idx="11">
                  <c:v>5919.36</c:v>
                </c:pt>
                <c:pt idx="12">
                  <c:v>5888.56</c:v>
                </c:pt>
                <c:pt idx="13">
                  <c:v>5547.03</c:v>
                </c:pt>
                <c:pt idx="14">
                  <c:v>5227.7</c:v>
                </c:pt>
                <c:pt idx="15">
                  <c:v>4617.97</c:v>
                </c:pt>
              </c:numCache>
            </c:numRef>
          </c:yVal>
          <c:smooth val="0"/>
          <c:extLst>
            <c:ext xmlns:c16="http://schemas.microsoft.com/office/drawing/2014/chart" uri="{C3380CC4-5D6E-409C-BE32-E72D297353CC}">
              <c16:uniqueId val="{00000013-5D76-492F-BF5E-F2403CC2C46B}"/>
            </c:ext>
          </c:extLst>
        </c:ser>
        <c:ser>
          <c:idx val="6"/>
          <c:order val="3"/>
          <c:tx>
            <c:v>SOL 1</c:v>
          </c:tx>
          <c:spPr>
            <a:ln w="19050" cap="rnd" cmpd="sng" algn="ctr">
              <a:noFill/>
              <a:prstDash val="solid"/>
              <a:round/>
            </a:ln>
            <a:effectLst/>
            <a:extLst>
              <a:ext uri="{91240B29-F687-4F45-9708-019B960494DF}">
                <a14:hiddenLine xmlns:a14="http://schemas.microsoft.com/office/drawing/2010/main" w="19050" cap="rnd" cmpd="sng" algn="ctr">
                  <a:solidFill>
                    <a:srgbClr val="5B9BD5">
                      <a:tint val="77000"/>
                    </a:srgbClr>
                  </a:solidFill>
                  <a:prstDash val="solid"/>
                  <a:round/>
                </a14:hiddenLine>
              </a:ext>
            </a:extLst>
          </c:spPr>
          <c:marker>
            <c:symbol val="circle"/>
            <c:size val="10"/>
            <c:spPr>
              <a:solidFill>
                <a:srgbClr val="FFFF00"/>
              </a:solidFill>
              <a:ln w="3175">
                <a:solidFill>
                  <a:srgbClr val="FF0000"/>
                </a:solidFill>
                <a:prstDash val="solid"/>
              </a:ln>
              <a:effectLst/>
            </c:spPr>
          </c:marker>
          <c:xVal>
            <c:numRef>
              <c:f>System_Sens!$AG$14</c:f>
              <c:numCache>
                <c:formatCode>#,##0.0</c:formatCode>
                <c:ptCount val="1"/>
                <c:pt idx="0">
                  <c:v>4.95261</c:v>
                </c:pt>
              </c:numCache>
            </c:numRef>
          </c:xVal>
          <c:yVal>
            <c:numRef>
              <c:f>System_Sens!$AG$15</c:f>
              <c:numCache>
                <c:formatCode>#,##0.0</c:formatCode>
                <c:ptCount val="1"/>
                <c:pt idx="0">
                  <c:v>5830.14</c:v>
                </c:pt>
              </c:numCache>
            </c:numRef>
          </c:yVal>
          <c:smooth val="1"/>
          <c:extLst>
            <c:ext xmlns:c16="http://schemas.microsoft.com/office/drawing/2014/chart" uri="{C3380CC4-5D6E-409C-BE32-E72D297353CC}">
              <c16:uniqueId val="{00000014-5D76-492F-BF5E-F2403CC2C46B}"/>
            </c:ext>
          </c:extLst>
        </c:ser>
        <c:ser>
          <c:idx val="7"/>
          <c:order val="4"/>
          <c:tx>
            <c:v>VLP 2</c:v>
          </c:tx>
          <c:spPr>
            <a:ln w="3175">
              <a:solidFill>
                <a:srgbClr val="000000"/>
              </a:solidFill>
              <a:prstDash val="lgDashDotDot"/>
            </a:ln>
            <a:effectLst/>
          </c:spPr>
          <c:marker>
            <c:symbol val="diamond"/>
            <c:size val="5"/>
            <c:spPr>
              <a:solidFill>
                <a:srgbClr val="FF6600"/>
              </a:solidFill>
              <a:ln>
                <a:solidFill>
                  <a:srgbClr val="000000"/>
                </a:solidFill>
                <a:prstDash val="solid"/>
              </a:ln>
            </c:spPr>
          </c:marker>
          <c:xVal>
            <c:numRef>
              <c:f>System_Sens!$AL$50:$AL$69</c:f>
              <c:numCache>
                <c:formatCode>_-* #,##0.0_-;\-* #,##0.0_-;_-* "-"??_-;_-@_-</c:formatCode>
                <c:ptCount val="20"/>
                <c:pt idx="0">
                  <c:v>0.1</c:v>
                </c:pt>
                <c:pt idx="1">
                  <c:v>0.4</c:v>
                </c:pt>
                <c:pt idx="2">
                  <c:v>0.7</c:v>
                </c:pt>
                <c:pt idx="3">
                  <c:v>1</c:v>
                </c:pt>
                <c:pt idx="4">
                  <c:v>1.3</c:v>
                </c:pt>
                <c:pt idx="5">
                  <c:v>1.6</c:v>
                </c:pt>
                <c:pt idx="6">
                  <c:v>1.9</c:v>
                </c:pt>
                <c:pt idx="7">
                  <c:v>2.2000000000000002</c:v>
                </c:pt>
                <c:pt idx="8">
                  <c:v>2.5</c:v>
                </c:pt>
                <c:pt idx="9">
                  <c:v>2.8</c:v>
                </c:pt>
                <c:pt idx="10">
                  <c:v>2.8</c:v>
                </c:pt>
                <c:pt idx="11">
                  <c:v>2.8</c:v>
                </c:pt>
                <c:pt idx="12">
                  <c:v>3.7</c:v>
                </c:pt>
                <c:pt idx="13">
                  <c:v>11.0238</c:v>
                </c:pt>
                <c:pt idx="14">
                  <c:v>15.8565</c:v>
                </c:pt>
                <c:pt idx="15">
                  <c:v>22.8079</c:v>
                </c:pt>
              </c:numCache>
            </c:numRef>
          </c:xVal>
          <c:yVal>
            <c:numRef>
              <c:f>System_Sens!$AM$50:$AM$69</c:f>
              <c:numCache>
                <c:formatCode>_-* #,##0.0_-;\-* #,##0.0_-;_-* "-"??_-;_-@_-</c:formatCode>
                <c:ptCount val="20"/>
                <c:pt idx="0">
                  <c:v>1155.1099999999999</c:v>
                </c:pt>
                <c:pt idx="1">
                  <c:v>1171.28</c:v>
                </c:pt>
                <c:pt idx="2">
                  <c:v>1207.99</c:v>
                </c:pt>
                <c:pt idx="3">
                  <c:v>1266.33</c:v>
                </c:pt>
                <c:pt idx="4">
                  <c:v>1347.41</c:v>
                </c:pt>
                <c:pt idx="5">
                  <c:v>1452.52</c:v>
                </c:pt>
                <c:pt idx="6">
                  <c:v>1582.98</c:v>
                </c:pt>
                <c:pt idx="7">
                  <c:v>1740.29</c:v>
                </c:pt>
                <c:pt idx="8">
                  <c:v>1926.37</c:v>
                </c:pt>
                <c:pt idx="9">
                  <c:v>2142.23</c:v>
                </c:pt>
                <c:pt idx="10">
                  <c:v>2142.23</c:v>
                </c:pt>
                <c:pt idx="11">
                  <c:v>2142.23</c:v>
                </c:pt>
                <c:pt idx="12">
                  <c:v>2828.2</c:v>
                </c:pt>
                <c:pt idx="13">
                  <c:v>10869.3</c:v>
                </c:pt>
                <c:pt idx="14">
                  <c:v>18784.099999999999</c:v>
                </c:pt>
                <c:pt idx="15">
                  <c:v>33419.4</c:v>
                </c:pt>
              </c:numCache>
            </c:numRef>
          </c:yVal>
          <c:smooth val="0"/>
          <c:extLst>
            <c:ext xmlns:c16="http://schemas.microsoft.com/office/drawing/2014/chart" uri="{C3380CC4-5D6E-409C-BE32-E72D297353CC}">
              <c16:uniqueId val="{00000015-5D76-492F-BF5E-F2403CC2C46B}"/>
            </c:ext>
          </c:extLst>
        </c:ser>
        <c:ser>
          <c:idx val="8"/>
          <c:order val="5"/>
          <c:tx>
            <c:v>IPR 2</c:v>
          </c:tx>
          <c:spPr>
            <a:ln w="3175">
              <a:solidFill>
                <a:srgbClr val="000000"/>
              </a:solidFill>
              <a:prstDash val="sysDash"/>
            </a:ln>
            <a:effectLst/>
          </c:spPr>
          <c:marker>
            <c:symbol val="triangle"/>
            <c:size val="5"/>
            <c:spPr>
              <a:solidFill>
                <a:srgbClr val="0000FF"/>
              </a:solidFill>
              <a:ln>
                <a:solidFill>
                  <a:srgbClr val="000000"/>
                </a:solidFill>
                <a:prstDash val="solid"/>
              </a:ln>
            </c:spPr>
          </c:marker>
          <c:xVal>
            <c:numRef>
              <c:f>System_Sens!$AL$50:$AL$69</c:f>
              <c:numCache>
                <c:formatCode>_-* #,##0.0_-;\-* #,##0.0_-;_-* "-"??_-;_-@_-</c:formatCode>
                <c:ptCount val="20"/>
                <c:pt idx="0">
                  <c:v>0.1</c:v>
                </c:pt>
                <c:pt idx="1">
                  <c:v>0.4</c:v>
                </c:pt>
                <c:pt idx="2">
                  <c:v>0.7</c:v>
                </c:pt>
                <c:pt idx="3">
                  <c:v>1</c:v>
                </c:pt>
                <c:pt idx="4">
                  <c:v>1.3</c:v>
                </c:pt>
                <c:pt idx="5">
                  <c:v>1.6</c:v>
                </c:pt>
                <c:pt idx="6">
                  <c:v>1.9</c:v>
                </c:pt>
                <c:pt idx="7">
                  <c:v>2.2000000000000002</c:v>
                </c:pt>
                <c:pt idx="8">
                  <c:v>2.5</c:v>
                </c:pt>
                <c:pt idx="9">
                  <c:v>2.8</c:v>
                </c:pt>
                <c:pt idx="10">
                  <c:v>2.8</c:v>
                </c:pt>
                <c:pt idx="11">
                  <c:v>2.8</c:v>
                </c:pt>
                <c:pt idx="12">
                  <c:v>3.7</c:v>
                </c:pt>
                <c:pt idx="13">
                  <c:v>11.0238</c:v>
                </c:pt>
                <c:pt idx="14">
                  <c:v>15.8565</c:v>
                </c:pt>
                <c:pt idx="15">
                  <c:v>22.8079</c:v>
                </c:pt>
              </c:numCache>
            </c:numRef>
          </c:xVal>
          <c:yVal>
            <c:numRef>
              <c:f>System_Sens!$AN$50:$AN$69</c:f>
              <c:numCache>
                <c:formatCode>_-* #,##0.0_-;\-* #,##0.0_-;_-* "-"??_-;_-@_-</c:formatCode>
                <c:ptCount val="20"/>
                <c:pt idx="0">
                  <c:v>5997.51</c:v>
                </c:pt>
                <c:pt idx="1">
                  <c:v>5989.88</c:v>
                </c:pt>
                <c:pt idx="2">
                  <c:v>5981.98</c:v>
                </c:pt>
                <c:pt idx="3">
                  <c:v>5973.83</c:v>
                </c:pt>
                <c:pt idx="4">
                  <c:v>5965.41</c:v>
                </c:pt>
                <c:pt idx="5">
                  <c:v>5956.73</c:v>
                </c:pt>
                <c:pt idx="6">
                  <c:v>5947.78</c:v>
                </c:pt>
                <c:pt idx="7">
                  <c:v>5938.57</c:v>
                </c:pt>
                <c:pt idx="8">
                  <c:v>5929.1</c:v>
                </c:pt>
                <c:pt idx="9">
                  <c:v>5919.36</c:v>
                </c:pt>
                <c:pt idx="10">
                  <c:v>5919.36</c:v>
                </c:pt>
                <c:pt idx="11">
                  <c:v>5919.36</c:v>
                </c:pt>
                <c:pt idx="12">
                  <c:v>5888.56</c:v>
                </c:pt>
                <c:pt idx="13">
                  <c:v>5547.03</c:v>
                </c:pt>
                <c:pt idx="14">
                  <c:v>5227.7</c:v>
                </c:pt>
                <c:pt idx="15">
                  <c:v>4617.97</c:v>
                </c:pt>
              </c:numCache>
            </c:numRef>
          </c:yVal>
          <c:smooth val="0"/>
          <c:extLst>
            <c:ext xmlns:c16="http://schemas.microsoft.com/office/drawing/2014/chart" uri="{C3380CC4-5D6E-409C-BE32-E72D297353CC}">
              <c16:uniqueId val="{00000016-5D76-492F-BF5E-F2403CC2C46B}"/>
            </c:ext>
          </c:extLst>
        </c:ser>
        <c:ser>
          <c:idx val="9"/>
          <c:order val="6"/>
          <c:tx>
            <c:v>SOL 2</c:v>
          </c:tx>
          <c:spPr>
            <a:ln w="19050" cap="rnd" cmpd="sng" algn="ctr">
              <a:noFill/>
              <a:prstDash val="solid"/>
              <a:round/>
            </a:ln>
            <a:effectLst/>
            <a:extLst>
              <a:ext uri="{91240B29-F687-4F45-9708-019B960494DF}">
                <a14:hiddenLine xmlns:a14="http://schemas.microsoft.com/office/drawing/2010/main" w="19050" cap="rnd" cmpd="sng" algn="ctr">
                  <a:solidFill>
                    <a:srgbClr val="FFC000">
                      <a:tint val="77000"/>
                    </a:srgbClr>
                  </a:solidFill>
                  <a:prstDash val="solid"/>
                  <a:round/>
                </a14:hiddenLine>
              </a:ext>
            </a:extLst>
          </c:spPr>
          <c:marker>
            <c:symbol val="circle"/>
            <c:size val="10"/>
            <c:spPr>
              <a:solidFill>
                <a:srgbClr val="FFFF00"/>
              </a:solidFill>
              <a:ln w="3175">
                <a:solidFill>
                  <a:srgbClr val="FF0000"/>
                </a:solidFill>
                <a:prstDash val="solid"/>
              </a:ln>
              <a:effectLst/>
            </c:spPr>
          </c:marker>
          <c:xVal>
            <c:numRef>
              <c:f>System_Sens!$AH$14</c:f>
              <c:numCache>
                <c:formatCode>#,##0.0</c:formatCode>
                <c:ptCount val="1"/>
                <c:pt idx="0">
                  <c:v>6.3738099999999998</c:v>
                </c:pt>
              </c:numCache>
            </c:numRef>
          </c:xVal>
          <c:yVal>
            <c:numRef>
              <c:f>System_Sens!$AH$15</c:f>
              <c:numCache>
                <c:formatCode>#,##0.0</c:formatCode>
                <c:ptCount val="1"/>
                <c:pt idx="0">
                  <c:v>5763.87</c:v>
                </c:pt>
              </c:numCache>
            </c:numRef>
          </c:yVal>
          <c:smooth val="1"/>
          <c:extLst>
            <c:ext xmlns:c16="http://schemas.microsoft.com/office/drawing/2014/chart" uri="{C3380CC4-5D6E-409C-BE32-E72D297353CC}">
              <c16:uniqueId val="{00000017-5D76-492F-BF5E-F2403CC2C46B}"/>
            </c:ext>
          </c:extLst>
        </c:ser>
        <c:ser>
          <c:idx val="10"/>
          <c:order val="7"/>
          <c:tx>
            <c:v>VLP 3</c:v>
          </c:tx>
          <c:spPr>
            <a:ln w="3175">
              <a:solidFill>
                <a:srgbClr val="003300"/>
              </a:solidFill>
              <a:prstDash val="lgDash"/>
            </a:ln>
            <a:effectLst/>
          </c:spPr>
          <c:marker>
            <c:symbol val="square"/>
            <c:size val="5"/>
            <c:spPr>
              <a:solidFill>
                <a:srgbClr val="FF00FF"/>
              </a:solidFill>
              <a:ln>
                <a:solidFill>
                  <a:srgbClr val="003300"/>
                </a:solidFill>
                <a:prstDash val="solid"/>
              </a:ln>
            </c:spPr>
          </c:marker>
          <c:xVal>
            <c:numRef>
              <c:f>System_Sens!$AO$50:$AO$69</c:f>
              <c:numCache>
                <c:formatCode>_-* #,##0.0_-;\-* #,##0.0_-;_-* "-"??_-;_-@_-</c:formatCode>
                <c:ptCount val="20"/>
                <c:pt idx="0">
                  <c:v>0.1</c:v>
                </c:pt>
                <c:pt idx="1">
                  <c:v>0.4</c:v>
                </c:pt>
                <c:pt idx="2">
                  <c:v>0.7</c:v>
                </c:pt>
                <c:pt idx="3">
                  <c:v>1</c:v>
                </c:pt>
                <c:pt idx="4">
                  <c:v>1.3</c:v>
                </c:pt>
                <c:pt idx="5">
                  <c:v>1.6</c:v>
                </c:pt>
                <c:pt idx="6">
                  <c:v>1.9</c:v>
                </c:pt>
                <c:pt idx="7">
                  <c:v>2.2000000000000002</c:v>
                </c:pt>
                <c:pt idx="8">
                  <c:v>2.5</c:v>
                </c:pt>
                <c:pt idx="9">
                  <c:v>2.8</c:v>
                </c:pt>
                <c:pt idx="10">
                  <c:v>2.8</c:v>
                </c:pt>
                <c:pt idx="11">
                  <c:v>2.8</c:v>
                </c:pt>
                <c:pt idx="12">
                  <c:v>3.7</c:v>
                </c:pt>
                <c:pt idx="13">
                  <c:v>11.0238</c:v>
                </c:pt>
                <c:pt idx="14">
                  <c:v>15.8565</c:v>
                </c:pt>
                <c:pt idx="15">
                  <c:v>22.8079</c:v>
                </c:pt>
              </c:numCache>
            </c:numRef>
          </c:xVal>
          <c:yVal>
            <c:numRef>
              <c:f>System_Sens!$AP$50:$AP$69</c:f>
              <c:numCache>
                <c:formatCode>_-* #,##0.0_-;\-* #,##0.0_-;_-* "-"??_-;_-@_-</c:formatCode>
                <c:ptCount val="20"/>
                <c:pt idx="0">
                  <c:v>1154.53</c:v>
                </c:pt>
                <c:pt idx="1">
                  <c:v>1164.7</c:v>
                </c:pt>
                <c:pt idx="2">
                  <c:v>1187.3900000000001</c:v>
                </c:pt>
                <c:pt idx="3">
                  <c:v>1223.71</c:v>
                </c:pt>
                <c:pt idx="4">
                  <c:v>1273.76</c:v>
                </c:pt>
                <c:pt idx="5">
                  <c:v>1338.51</c:v>
                </c:pt>
                <c:pt idx="6">
                  <c:v>1418.37</c:v>
                </c:pt>
                <c:pt idx="7">
                  <c:v>1514.17</c:v>
                </c:pt>
                <c:pt idx="8">
                  <c:v>1626.57</c:v>
                </c:pt>
                <c:pt idx="9">
                  <c:v>1756.65</c:v>
                </c:pt>
                <c:pt idx="10">
                  <c:v>1756.65</c:v>
                </c:pt>
                <c:pt idx="11">
                  <c:v>1756.65</c:v>
                </c:pt>
                <c:pt idx="12">
                  <c:v>2253.0700000000002</c:v>
                </c:pt>
                <c:pt idx="13">
                  <c:v>7871.02</c:v>
                </c:pt>
                <c:pt idx="14">
                  <c:v>13225.1</c:v>
                </c:pt>
                <c:pt idx="15">
                  <c:v>23094.400000000001</c:v>
                </c:pt>
              </c:numCache>
            </c:numRef>
          </c:yVal>
          <c:smooth val="0"/>
          <c:extLst>
            <c:ext xmlns:c16="http://schemas.microsoft.com/office/drawing/2014/chart" uri="{C3380CC4-5D6E-409C-BE32-E72D297353CC}">
              <c16:uniqueId val="{00000018-5D76-492F-BF5E-F2403CC2C46B}"/>
            </c:ext>
          </c:extLst>
        </c:ser>
        <c:ser>
          <c:idx val="11"/>
          <c:order val="8"/>
          <c:tx>
            <c:v>IPR 3</c:v>
          </c:tx>
          <c:spPr>
            <a:ln w="3175">
              <a:solidFill>
                <a:srgbClr val="000000"/>
              </a:solidFill>
              <a:prstDash val="lgDashDotDot"/>
            </a:ln>
            <a:effectLst/>
          </c:spPr>
          <c:marker>
            <c:symbol val="diamond"/>
            <c:size val="5"/>
            <c:spPr>
              <a:solidFill>
                <a:srgbClr val="00FFFF"/>
              </a:solidFill>
              <a:ln>
                <a:solidFill>
                  <a:srgbClr val="000000"/>
                </a:solidFill>
                <a:prstDash val="solid"/>
              </a:ln>
            </c:spPr>
          </c:marker>
          <c:xVal>
            <c:numRef>
              <c:f>System_Sens!$AO$50:$AO$69</c:f>
              <c:numCache>
                <c:formatCode>_-* #,##0.0_-;\-* #,##0.0_-;_-* "-"??_-;_-@_-</c:formatCode>
                <c:ptCount val="20"/>
                <c:pt idx="0">
                  <c:v>0.1</c:v>
                </c:pt>
                <c:pt idx="1">
                  <c:v>0.4</c:v>
                </c:pt>
                <c:pt idx="2">
                  <c:v>0.7</c:v>
                </c:pt>
                <c:pt idx="3">
                  <c:v>1</c:v>
                </c:pt>
                <c:pt idx="4">
                  <c:v>1.3</c:v>
                </c:pt>
                <c:pt idx="5">
                  <c:v>1.6</c:v>
                </c:pt>
                <c:pt idx="6">
                  <c:v>1.9</c:v>
                </c:pt>
                <c:pt idx="7">
                  <c:v>2.2000000000000002</c:v>
                </c:pt>
                <c:pt idx="8">
                  <c:v>2.5</c:v>
                </c:pt>
                <c:pt idx="9">
                  <c:v>2.8</c:v>
                </c:pt>
                <c:pt idx="10">
                  <c:v>2.8</c:v>
                </c:pt>
                <c:pt idx="11">
                  <c:v>2.8</c:v>
                </c:pt>
                <c:pt idx="12">
                  <c:v>3.7</c:v>
                </c:pt>
                <c:pt idx="13">
                  <c:v>11.0238</c:v>
                </c:pt>
                <c:pt idx="14">
                  <c:v>15.8565</c:v>
                </c:pt>
                <c:pt idx="15">
                  <c:v>22.8079</c:v>
                </c:pt>
              </c:numCache>
            </c:numRef>
          </c:xVal>
          <c:yVal>
            <c:numRef>
              <c:f>System_Sens!$AQ$50:$AQ$69</c:f>
              <c:numCache>
                <c:formatCode>_-* #,##0.0_-;\-* #,##0.0_-;_-* "-"??_-;_-@_-</c:formatCode>
                <c:ptCount val="20"/>
                <c:pt idx="0">
                  <c:v>5997.51</c:v>
                </c:pt>
                <c:pt idx="1">
                  <c:v>5989.88</c:v>
                </c:pt>
                <c:pt idx="2">
                  <c:v>5981.98</c:v>
                </c:pt>
                <c:pt idx="3">
                  <c:v>5973.83</c:v>
                </c:pt>
                <c:pt idx="4">
                  <c:v>5965.41</c:v>
                </c:pt>
                <c:pt idx="5">
                  <c:v>5956.73</c:v>
                </c:pt>
                <c:pt idx="6">
                  <c:v>5947.78</c:v>
                </c:pt>
                <c:pt idx="7">
                  <c:v>5938.57</c:v>
                </c:pt>
                <c:pt idx="8">
                  <c:v>5929.1</c:v>
                </c:pt>
                <c:pt idx="9">
                  <c:v>5919.36</c:v>
                </c:pt>
                <c:pt idx="10">
                  <c:v>5919.36</c:v>
                </c:pt>
                <c:pt idx="11">
                  <c:v>5919.36</c:v>
                </c:pt>
                <c:pt idx="12">
                  <c:v>5888.56</c:v>
                </c:pt>
                <c:pt idx="13">
                  <c:v>5547.03</c:v>
                </c:pt>
                <c:pt idx="14">
                  <c:v>5227.7</c:v>
                </c:pt>
                <c:pt idx="15">
                  <c:v>4617.97</c:v>
                </c:pt>
              </c:numCache>
            </c:numRef>
          </c:yVal>
          <c:smooth val="0"/>
          <c:extLst>
            <c:ext xmlns:c16="http://schemas.microsoft.com/office/drawing/2014/chart" uri="{C3380CC4-5D6E-409C-BE32-E72D297353CC}">
              <c16:uniqueId val="{00000019-5D76-492F-BF5E-F2403CC2C46B}"/>
            </c:ext>
          </c:extLst>
        </c:ser>
        <c:ser>
          <c:idx val="12"/>
          <c:order val="9"/>
          <c:tx>
            <c:v>SOL 3</c:v>
          </c:tx>
          <c:spPr>
            <a:ln w="19050" cap="rnd" cmpd="sng" algn="ctr">
              <a:noFill/>
              <a:prstDash val="solid"/>
              <a:round/>
            </a:ln>
            <a:effectLst/>
            <a:extLst>
              <a:ext uri="{91240B29-F687-4F45-9708-019B960494DF}">
                <a14:hiddenLine xmlns:a14="http://schemas.microsoft.com/office/drawing/2010/main" w="19050" cap="rnd" cmpd="sng" algn="ctr">
                  <a:solidFill>
                    <a:srgbClr val="5B9BD5">
                      <a:tint val="65000"/>
                    </a:srgbClr>
                  </a:solidFill>
                  <a:prstDash val="solid"/>
                  <a:round/>
                </a14:hiddenLine>
              </a:ext>
            </a:extLst>
          </c:spPr>
          <c:marker>
            <c:symbol val="circle"/>
            <c:size val="10"/>
            <c:spPr>
              <a:solidFill>
                <a:srgbClr val="FFFF00"/>
              </a:solidFill>
              <a:ln w="3175">
                <a:solidFill>
                  <a:srgbClr val="FF0000"/>
                </a:solidFill>
                <a:prstDash val="solid"/>
              </a:ln>
              <a:effectLst/>
            </c:spPr>
          </c:marker>
          <c:xVal>
            <c:numRef>
              <c:f>System_Sens!$AI$14</c:f>
              <c:numCache>
                <c:formatCode>#,##0.0</c:formatCode>
                <c:ptCount val="1"/>
                <c:pt idx="0">
                  <c:v>8.1677700000000009</c:v>
                </c:pt>
              </c:numCache>
            </c:numRef>
          </c:xVal>
          <c:yVal>
            <c:numRef>
              <c:f>System_Sens!$AI$15</c:f>
              <c:numCache>
                <c:formatCode>#,##0.0</c:formatCode>
                <c:ptCount val="1"/>
                <c:pt idx="0">
                  <c:v>5680.21</c:v>
                </c:pt>
              </c:numCache>
            </c:numRef>
          </c:yVal>
          <c:smooth val="1"/>
          <c:extLst>
            <c:ext xmlns:c16="http://schemas.microsoft.com/office/drawing/2014/chart" uri="{C3380CC4-5D6E-409C-BE32-E72D297353CC}">
              <c16:uniqueId val="{0000001A-5D76-492F-BF5E-F2403CC2C46B}"/>
            </c:ext>
          </c:extLst>
        </c:ser>
        <c:ser>
          <c:idx val="13"/>
          <c:order val="10"/>
          <c:tx>
            <c:v>VLP 4</c:v>
          </c:tx>
          <c:spPr>
            <a:ln w="3175">
              <a:solidFill>
                <a:srgbClr val="000000"/>
              </a:solidFill>
              <a:prstDash val="solid"/>
            </a:ln>
            <a:effectLst/>
          </c:spPr>
          <c:marker>
            <c:symbol val="circle"/>
            <c:size val="5"/>
            <c:spPr>
              <a:solidFill>
                <a:srgbClr val="00FFFF"/>
              </a:solidFill>
              <a:ln>
                <a:solidFill>
                  <a:srgbClr val="000000"/>
                </a:solidFill>
                <a:prstDash val="solid"/>
              </a:ln>
            </c:spPr>
          </c:marker>
          <c:xVal>
            <c:numRef>
              <c:f>System_Sens!$AR$50:$AR$69</c:f>
              <c:numCache>
                <c:formatCode>_-* #,##0.0_-;\-* #,##0.0_-;_-* "-"??_-;_-@_-</c:formatCode>
                <c:ptCount val="20"/>
                <c:pt idx="0">
                  <c:v>0.1</c:v>
                </c:pt>
                <c:pt idx="1">
                  <c:v>0.4</c:v>
                </c:pt>
                <c:pt idx="2">
                  <c:v>0.7</c:v>
                </c:pt>
                <c:pt idx="3">
                  <c:v>1</c:v>
                </c:pt>
                <c:pt idx="4">
                  <c:v>1.3</c:v>
                </c:pt>
                <c:pt idx="5">
                  <c:v>1.6</c:v>
                </c:pt>
                <c:pt idx="6">
                  <c:v>1.9</c:v>
                </c:pt>
                <c:pt idx="7">
                  <c:v>2.2000000000000002</c:v>
                </c:pt>
                <c:pt idx="8">
                  <c:v>2.5</c:v>
                </c:pt>
                <c:pt idx="9">
                  <c:v>2.8</c:v>
                </c:pt>
                <c:pt idx="10">
                  <c:v>2.8</c:v>
                </c:pt>
                <c:pt idx="11">
                  <c:v>2.8</c:v>
                </c:pt>
                <c:pt idx="12">
                  <c:v>3.7</c:v>
                </c:pt>
                <c:pt idx="13">
                  <c:v>11.0238</c:v>
                </c:pt>
                <c:pt idx="14">
                  <c:v>15.8565</c:v>
                </c:pt>
                <c:pt idx="15">
                  <c:v>22.8079</c:v>
                </c:pt>
              </c:numCache>
            </c:numRef>
          </c:xVal>
          <c:yVal>
            <c:numRef>
              <c:f>System_Sens!$AS$50:$AS$69</c:f>
              <c:numCache>
                <c:formatCode>_-* #,##0.0_-;\-* #,##0.0_-;_-* "-"??_-;_-@_-</c:formatCode>
                <c:ptCount val="20"/>
                <c:pt idx="0">
                  <c:v>1154.3900000000001</c:v>
                </c:pt>
                <c:pt idx="1">
                  <c:v>1160.69</c:v>
                </c:pt>
                <c:pt idx="2">
                  <c:v>1175.3800000000001</c:v>
                </c:pt>
                <c:pt idx="3">
                  <c:v>1198.8399999999999</c:v>
                </c:pt>
                <c:pt idx="4">
                  <c:v>1231.2</c:v>
                </c:pt>
                <c:pt idx="5">
                  <c:v>1272.83</c:v>
                </c:pt>
                <c:pt idx="6">
                  <c:v>1323.87</c:v>
                </c:pt>
                <c:pt idx="7">
                  <c:v>1385</c:v>
                </c:pt>
                <c:pt idx="8">
                  <c:v>1456.6</c:v>
                </c:pt>
                <c:pt idx="9">
                  <c:v>1538.81</c:v>
                </c:pt>
                <c:pt idx="10">
                  <c:v>1538.81</c:v>
                </c:pt>
                <c:pt idx="11">
                  <c:v>1538.81</c:v>
                </c:pt>
                <c:pt idx="12">
                  <c:v>1854.79</c:v>
                </c:pt>
                <c:pt idx="13">
                  <c:v>5974.34</c:v>
                </c:pt>
                <c:pt idx="14">
                  <c:v>9725.93</c:v>
                </c:pt>
                <c:pt idx="15">
                  <c:v>16602.3</c:v>
                </c:pt>
              </c:numCache>
            </c:numRef>
          </c:yVal>
          <c:smooth val="0"/>
          <c:extLst>
            <c:ext xmlns:c16="http://schemas.microsoft.com/office/drawing/2014/chart" uri="{C3380CC4-5D6E-409C-BE32-E72D297353CC}">
              <c16:uniqueId val="{0000001B-5D76-492F-BF5E-F2403CC2C46B}"/>
            </c:ext>
          </c:extLst>
        </c:ser>
        <c:ser>
          <c:idx val="14"/>
          <c:order val="11"/>
          <c:tx>
            <c:v>IPR 4</c:v>
          </c:tx>
          <c:spPr>
            <a:ln w="3175">
              <a:solidFill>
                <a:srgbClr val="003300"/>
              </a:solidFill>
              <a:prstDash val="lgDash"/>
            </a:ln>
            <a:effectLst/>
          </c:spPr>
          <c:marker>
            <c:symbol val="square"/>
            <c:size val="5"/>
            <c:spPr>
              <a:solidFill>
                <a:srgbClr val="800000"/>
              </a:solidFill>
              <a:ln>
                <a:solidFill>
                  <a:srgbClr val="003300"/>
                </a:solidFill>
                <a:prstDash val="solid"/>
              </a:ln>
            </c:spPr>
          </c:marker>
          <c:xVal>
            <c:numRef>
              <c:f>System_Sens!$AR$50:$AR$69</c:f>
              <c:numCache>
                <c:formatCode>_-* #,##0.0_-;\-* #,##0.0_-;_-* "-"??_-;_-@_-</c:formatCode>
                <c:ptCount val="20"/>
                <c:pt idx="0">
                  <c:v>0.1</c:v>
                </c:pt>
                <c:pt idx="1">
                  <c:v>0.4</c:v>
                </c:pt>
                <c:pt idx="2">
                  <c:v>0.7</c:v>
                </c:pt>
                <c:pt idx="3">
                  <c:v>1</c:v>
                </c:pt>
                <c:pt idx="4">
                  <c:v>1.3</c:v>
                </c:pt>
                <c:pt idx="5">
                  <c:v>1.6</c:v>
                </c:pt>
                <c:pt idx="6">
                  <c:v>1.9</c:v>
                </c:pt>
                <c:pt idx="7">
                  <c:v>2.2000000000000002</c:v>
                </c:pt>
                <c:pt idx="8">
                  <c:v>2.5</c:v>
                </c:pt>
                <c:pt idx="9">
                  <c:v>2.8</c:v>
                </c:pt>
                <c:pt idx="10">
                  <c:v>2.8</c:v>
                </c:pt>
                <c:pt idx="11">
                  <c:v>2.8</c:v>
                </c:pt>
                <c:pt idx="12">
                  <c:v>3.7</c:v>
                </c:pt>
                <c:pt idx="13">
                  <c:v>11.0238</c:v>
                </c:pt>
                <c:pt idx="14">
                  <c:v>15.8565</c:v>
                </c:pt>
                <c:pt idx="15">
                  <c:v>22.8079</c:v>
                </c:pt>
              </c:numCache>
            </c:numRef>
          </c:xVal>
          <c:yVal>
            <c:numRef>
              <c:f>System_Sens!$AT$50:$AT$69</c:f>
              <c:numCache>
                <c:formatCode>_-* #,##0.0_-;\-* #,##0.0_-;_-* "-"??_-;_-@_-</c:formatCode>
                <c:ptCount val="20"/>
                <c:pt idx="0">
                  <c:v>5997.51</c:v>
                </c:pt>
                <c:pt idx="1">
                  <c:v>5989.88</c:v>
                </c:pt>
                <c:pt idx="2">
                  <c:v>5981.98</c:v>
                </c:pt>
                <c:pt idx="3">
                  <c:v>5973.83</c:v>
                </c:pt>
                <c:pt idx="4">
                  <c:v>5965.41</c:v>
                </c:pt>
                <c:pt idx="5">
                  <c:v>5956.73</c:v>
                </c:pt>
                <c:pt idx="6">
                  <c:v>5947.78</c:v>
                </c:pt>
                <c:pt idx="7">
                  <c:v>5938.57</c:v>
                </c:pt>
                <c:pt idx="8">
                  <c:v>5929.1</c:v>
                </c:pt>
                <c:pt idx="9">
                  <c:v>5919.36</c:v>
                </c:pt>
                <c:pt idx="10">
                  <c:v>5919.36</c:v>
                </c:pt>
                <c:pt idx="11">
                  <c:v>5919.36</c:v>
                </c:pt>
                <c:pt idx="12">
                  <c:v>5888.56</c:v>
                </c:pt>
                <c:pt idx="13">
                  <c:v>5547.03</c:v>
                </c:pt>
                <c:pt idx="14">
                  <c:v>5227.7</c:v>
                </c:pt>
                <c:pt idx="15">
                  <c:v>4617.97</c:v>
                </c:pt>
              </c:numCache>
            </c:numRef>
          </c:yVal>
          <c:smooth val="0"/>
          <c:extLst>
            <c:ext xmlns:c16="http://schemas.microsoft.com/office/drawing/2014/chart" uri="{C3380CC4-5D6E-409C-BE32-E72D297353CC}">
              <c16:uniqueId val="{0000001C-5D76-492F-BF5E-F2403CC2C46B}"/>
            </c:ext>
          </c:extLst>
        </c:ser>
        <c:ser>
          <c:idx val="15"/>
          <c:order val="12"/>
          <c:tx>
            <c:v>SOL 4</c:v>
          </c:tx>
          <c:spPr>
            <a:ln w="19050" cap="rnd" cmpd="sng" algn="ctr">
              <a:noFill/>
              <a:prstDash val="solid"/>
              <a:round/>
            </a:ln>
            <a:effectLst/>
            <a:extLst>
              <a:ext uri="{91240B29-F687-4F45-9708-019B960494DF}">
                <a14:hiddenLine xmlns:a14="http://schemas.microsoft.com/office/drawing/2010/main" w="19050" cap="rnd" cmpd="sng" algn="ctr">
                  <a:solidFill>
                    <a:srgbClr val="FFC000">
                      <a:tint val="65000"/>
                    </a:srgbClr>
                  </a:solidFill>
                  <a:prstDash val="solid"/>
                  <a:round/>
                </a14:hiddenLine>
              </a:ext>
            </a:extLst>
          </c:spPr>
          <c:marker>
            <c:symbol val="circle"/>
            <c:size val="10"/>
            <c:spPr>
              <a:solidFill>
                <a:srgbClr val="FFFF00"/>
              </a:solidFill>
              <a:ln w="3175">
                <a:solidFill>
                  <a:srgbClr val="FF0000"/>
                </a:solidFill>
                <a:prstDash val="solid"/>
              </a:ln>
              <a:effectLst/>
            </c:spPr>
          </c:marker>
          <c:xVal>
            <c:numRef>
              <c:f>System_Sens!$AJ$14</c:f>
              <c:numCache>
                <c:formatCode>#,##0.0</c:formatCode>
                <c:ptCount val="1"/>
                <c:pt idx="0">
                  <c:v>10.3223</c:v>
                </c:pt>
              </c:numCache>
            </c:numRef>
          </c:xVal>
          <c:yVal>
            <c:numRef>
              <c:f>System_Sens!$AJ$15</c:f>
              <c:numCache>
                <c:formatCode>#,##0.0</c:formatCode>
                <c:ptCount val="1"/>
                <c:pt idx="0">
                  <c:v>5579.74</c:v>
                </c:pt>
              </c:numCache>
            </c:numRef>
          </c:yVal>
          <c:smooth val="1"/>
          <c:extLst>
            <c:ext xmlns:c16="http://schemas.microsoft.com/office/drawing/2014/chart" uri="{C3380CC4-5D6E-409C-BE32-E72D297353CC}">
              <c16:uniqueId val="{0000001D-5D76-492F-BF5E-F2403CC2C46B}"/>
            </c:ext>
          </c:extLst>
        </c:ser>
        <c:ser>
          <c:idx val="0"/>
          <c:order val="13"/>
          <c:tx>
            <c:v>VLP 0</c:v>
          </c:tx>
          <c:spPr>
            <a:ln w="3175">
              <a:solidFill>
                <a:srgbClr val="000000"/>
              </a:solidFill>
              <a:prstDash val="solid"/>
            </a:ln>
            <a:effectLst/>
          </c:spPr>
          <c:marker>
            <c:symbol val="circle"/>
            <c:size val="5"/>
            <c:spPr>
              <a:solidFill>
                <a:srgbClr val="00FFFF"/>
              </a:solidFill>
              <a:ln>
                <a:solidFill>
                  <a:srgbClr val="000000"/>
                </a:solidFill>
                <a:prstDash val="solid"/>
              </a:ln>
            </c:spPr>
          </c:marker>
          <c:xVal>
            <c:numRef>
              <c:f>System_Sens!$AF$50:$AF$69</c:f>
              <c:numCache>
                <c:formatCode>#,##0.00</c:formatCode>
                <c:ptCount val="20"/>
                <c:pt idx="0">
                  <c:v>0.1</c:v>
                </c:pt>
                <c:pt idx="1">
                  <c:v>0.4</c:v>
                </c:pt>
                <c:pt idx="2">
                  <c:v>0.7</c:v>
                </c:pt>
                <c:pt idx="3">
                  <c:v>1</c:v>
                </c:pt>
                <c:pt idx="4">
                  <c:v>1.3</c:v>
                </c:pt>
                <c:pt idx="5">
                  <c:v>1.6</c:v>
                </c:pt>
                <c:pt idx="6">
                  <c:v>1.9</c:v>
                </c:pt>
                <c:pt idx="7">
                  <c:v>2.2000000000000002</c:v>
                </c:pt>
                <c:pt idx="8">
                  <c:v>2.5</c:v>
                </c:pt>
                <c:pt idx="9">
                  <c:v>2.8</c:v>
                </c:pt>
                <c:pt idx="10">
                  <c:v>2.8</c:v>
                </c:pt>
                <c:pt idx="11">
                  <c:v>2.8</c:v>
                </c:pt>
                <c:pt idx="12">
                  <c:v>3.7</c:v>
                </c:pt>
                <c:pt idx="13">
                  <c:v>11.0238</c:v>
                </c:pt>
                <c:pt idx="14">
                  <c:v>15.8565</c:v>
                </c:pt>
                <c:pt idx="15">
                  <c:v>22.8079</c:v>
                </c:pt>
              </c:numCache>
            </c:numRef>
          </c:xVal>
          <c:yVal>
            <c:numRef>
              <c:f>System_Sens!$AG$50:$AG$69</c:f>
              <c:numCache>
                <c:formatCode>_-* #,##0.0_-;\-* #,##0.0_-;_-* "-"??_-;_-@_-</c:formatCode>
                <c:ptCount val="20"/>
                <c:pt idx="0">
                  <c:v>1157.4000000000001</c:v>
                </c:pt>
                <c:pt idx="1">
                  <c:v>1209.0899999999999</c:v>
                </c:pt>
                <c:pt idx="2">
                  <c:v>1327.2</c:v>
                </c:pt>
                <c:pt idx="3">
                  <c:v>1517.63</c:v>
                </c:pt>
                <c:pt idx="4">
                  <c:v>1786.63</c:v>
                </c:pt>
                <c:pt idx="5">
                  <c:v>2141.83</c:v>
                </c:pt>
                <c:pt idx="6">
                  <c:v>2533.2399999999998</c:v>
                </c:pt>
                <c:pt idx="7">
                  <c:v>2937.39</c:v>
                </c:pt>
                <c:pt idx="8">
                  <c:v>3359.24</c:v>
                </c:pt>
                <c:pt idx="9">
                  <c:v>3802.37</c:v>
                </c:pt>
                <c:pt idx="10">
                  <c:v>3802.37</c:v>
                </c:pt>
                <c:pt idx="11">
                  <c:v>3802.37</c:v>
                </c:pt>
                <c:pt idx="12">
                  <c:v>5280.79</c:v>
                </c:pt>
                <c:pt idx="13">
                  <c:v>25793.1</c:v>
                </c:pt>
                <c:pt idx="14">
                  <c:v>46522.6</c:v>
                </c:pt>
                <c:pt idx="15">
                  <c:v>85008.8</c:v>
                </c:pt>
              </c:numCache>
            </c:numRef>
          </c:yVal>
          <c:smooth val="0"/>
          <c:extLst>
            <c:ext xmlns:c16="http://schemas.microsoft.com/office/drawing/2014/chart" uri="{C3380CC4-5D6E-409C-BE32-E72D297353CC}">
              <c16:uniqueId val="{0000001E-5D76-492F-BF5E-F2403CC2C46B}"/>
            </c:ext>
          </c:extLst>
        </c:ser>
        <c:ser>
          <c:idx val="1"/>
          <c:order val="14"/>
          <c:tx>
            <c:v>IPR 0</c:v>
          </c:tx>
          <c:spPr>
            <a:ln w="3175">
              <a:solidFill>
                <a:srgbClr val="003300"/>
              </a:solidFill>
              <a:prstDash val="lgDash"/>
            </a:ln>
            <a:effectLst/>
          </c:spPr>
          <c:marker>
            <c:symbol val="square"/>
            <c:size val="5"/>
            <c:spPr>
              <a:solidFill>
                <a:srgbClr val="800000"/>
              </a:solidFill>
              <a:ln>
                <a:solidFill>
                  <a:srgbClr val="003300"/>
                </a:solidFill>
                <a:prstDash val="solid"/>
              </a:ln>
            </c:spPr>
          </c:marker>
          <c:xVal>
            <c:numRef>
              <c:f>System_Sens!$AF$50:$AF$69</c:f>
              <c:numCache>
                <c:formatCode>#,##0.00</c:formatCode>
                <c:ptCount val="20"/>
                <c:pt idx="0">
                  <c:v>0.1</c:v>
                </c:pt>
                <c:pt idx="1">
                  <c:v>0.4</c:v>
                </c:pt>
                <c:pt idx="2">
                  <c:v>0.7</c:v>
                </c:pt>
                <c:pt idx="3">
                  <c:v>1</c:v>
                </c:pt>
                <c:pt idx="4">
                  <c:v>1.3</c:v>
                </c:pt>
                <c:pt idx="5">
                  <c:v>1.6</c:v>
                </c:pt>
                <c:pt idx="6">
                  <c:v>1.9</c:v>
                </c:pt>
                <c:pt idx="7">
                  <c:v>2.2000000000000002</c:v>
                </c:pt>
                <c:pt idx="8">
                  <c:v>2.5</c:v>
                </c:pt>
                <c:pt idx="9">
                  <c:v>2.8</c:v>
                </c:pt>
                <c:pt idx="10">
                  <c:v>2.8</c:v>
                </c:pt>
                <c:pt idx="11">
                  <c:v>2.8</c:v>
                </c:pt>
                <c:pt idx="12">
                  <c:v>3.7</c:v>
                </c:pt>
                <c:pt idx="13">
                  <c:v>11.0238</c:v>
                </c:pt>
                <c:pt idx="14">
                  <c:v>15.8565</c:v>
                </c:pt>
                <c:pt idx="15">
                  <c:v>22.8079</c:v>
                </c:pt>
              </c:numCache>
            </c:numRef>
          </c:xVal>
          <c:yVal>
            <c:numRef>
              <c:f>System_Sens!$AH$50:$AH$69</c:f>
              <c:numCache>
                <c:formatCode>_-* #,##0.0_-;\-* #,##0.0_-;_-* "-"??_-;_-@_-</c:formatCode>
                <c:ptCount val="20"/>
                <c:pt idx="0">
                  <c:v>5997.51</c:v>
                </c:pt>
                <c:pt idx="1">
                  <c:v>5989.88</c:v>
                </c:pt>
                <c:pt idx="2">
                  <c:v>5981.98</c:v>
                </c:pt>
                <c:pt idx="3">
                  <c:v>5973.83</c:v>
                </c:pt>
                <c:pt idx="4">
                  <c:v>5965.41</c:v>
                </c:pt>
                <c:pt idx="5">
                  <c:v>5956.73</c:v>
                </c:pt>
                <c:pt idx="6">
                  <c:v>5947.78</c:v>
                </c:pt>
                <c:pt idx="7">
                  <c:v>5938.57</c:v>
                </c:pt>
                <c:pt idx="8">
                  <c:v>5929.1</c:v>
                </c:pt>
                <c:pt idx="9">
                  <c:v>5919.36</c:v>
                </c:pt>
                <c:pt idx="10">
                  <c:v>5919.36</c:v>
                </c:pt>
                <c:pt idx="11">
                  <c:v>5919.36</c:v>
                </c:pt>
                <c:pt idx="12">
                  <c:v>5888.56</c:v>
                </c:pt>
                <c:pt idx="13">
                  <c:v>5547.03</c:v>
                </c:pt>
                <c:pt idx="14">
                  <c:v>5227.7</c:v>
                </c:pt>
                <c:pt idx="15">
                  <c:v>4617.97</c:v>
                </c:pt>
              </c:numCache>
            </c:numRef>
          </c:yVal>
          <c:smooth val="0"/>
          <c:extLst>
            <c:ext xmlns:c16="http://schemas.microsoft.com/office/drawing/2014/chart" uri="{C3380CC4-5D6E-409C-BE32-E72D297353CC}">
              <c16:uniqueId val="{0000001F-5D76-492F-BF5E-F2403CC2C46B}"/>
            </c:ext>
          </c:extLst>
        </c:ser>
        <c:ser>
          <c:idx val="3"/>
          <c:order val="15"/>
          <c:tx>
            <c:v>SOL 0</c:v>
          </c:tx>
          <c:spPr>
            <a:ln w="19050" cap="rnd" cmpd="sng" algn="ctr">
              <a:noFill/>
              <a:prstDash val="solid"/>
              <a:round/>
            </a:ln>
            <a:effectLst/>
            <a:extLst>
              <a:ext uri="{91240B29-F687-4F45-9708-019B960494DF}">
                <a14:hiddenLine xmlns:a14="http://schemas.microsoft.com/office/drawing/2010/main" w="19050" cap="rnd" cmpd="sng" algn="ctr">
                  <a:solidFill>
                    <a:srgbClr val="FFC000">
                      <a:shade val="65000"/>
                    </a:srgbClr>
                  </a:solidFill>
                  <a:prstDash val="solid"/>
                  <a:round/>
                </a14:hiddenLine>
              </a:ext>
            </a:extLst>
          </c:spPr>
          <c:marker>
            <c:symbol val="circle"/>
            <c:size val="10"/>
            <c:spPr>
              <a:solidFill>
                <a:srgbClr val="FFFF00"/>
              </a:solidFill>
              <a:ln w="3175">
                <a:solidFill>
                  <a:srgbClr val="FF0000"/>
                </a:solidFill>
                <a:prstDash val="solid"/>
              </a:ln>
              <a:effectLst/>
            </c:spPr>
          </c:marker>
          <c:xVal>
            <c:numRef>
              <c:f>System_Sens!$AF$14</c:f>
              <c:numCache>
                <c:formatCode>#,##0.0</c:formatCode>
                <c:ptCount val="1"/>
                <c:pt idx="0">
                  <c:v>3.91344</c:v>
                </c:pt>
              </c:numCache>
            </c:numRef>
          </c:xVal>
          <c:yVal>
            <c:numRef>
              <c:f>System_Sens!$AF$15</c:f>
              <c:numCache>
                <c:formatCode>#,##0.0</c:formatCode>
                <c:ptCount val="1"/>
                <c:pt idx="0">
                  <c:v>5878.6</c:v>
                </c:pt>
              </c:numCache>
            </c:numRef>
          </c:yVal>
          <c:smooth val="1"/>
          <c:extLst>
            <c:ext xmlns:c16="http://schemas.microsoft.com/office/drawing/2014/chart" uri="{C3380CC4-5D6E-409C-BE32-E72D297353CC}">
              <c16:uniqueId val="{00000020-5D76-492F-BF5E-F2403CC2C46B}"/>
            </c:ext>
          </c:extLst>
        </c:ser>
        <c:dLbls>
          <c:showLegendKey val="0"/>
          <c:showVal val="0"/>
          <c:showCatName val="0"/>
          <c:showSerName val="0"/>
          <c:showPercent val="0"/>
          <c:showBubbleSize val="0"/>
        </c:dLbls>
        <c:axId val="54568064"/>
        <c:axId val="54568640"/>
      </c:scatterChart>
      <c:valAx>
        <c:axId val="54568064"/>
        <c:scaling>
          <c:orientation val="minMax"/>
          <c:max val="20"/>
          <c:min val="0"/>
        </c:scaling>
        <c:delete val="0"/>
        <c:axPos val="b"/>
        <c:majorGridlines>
          <c:spPr>
            <a:ln w="3175">
              <a:solidFill>
                <a:schemeClr val="bg1">
                  <a:lumMod val="95000"/>
                </a:schemeClr>
              </a:solidFill>
              <a:prstDash val="sysDash"/>
            </a:ln>
          </c:spPr>
        </c:majorGridlines>
        <c:title>
          <c:tx>
            <c:rich>
              <a:bodyPr/>
              <a:lstStyle/>
              <a:p>
                <a:pPr>
                  <a:defRPr sz="1100"/>
                </a:pPr>
                <a:r>
                  <a:rPr lang="en-US" sz="1100"/>
                  <a:t>Gas Rate, MMscf/day</a:t>
                </a:r>
              </a:p>
            </c:rich>
          </c:tx>
          <c:overlay val="0"/>
        </c:title>
        <c:numFmt formatCode="#,##0" sourceLinked="0"/>
        <c:majorTickMark val="out"/>
        <c:minorTickMark val="in"/>
        <c:tickLblPos val="nextTo"/>
        <c:spPr>
          <a:ln w="12700">
            <a:solidFill>
              <a:srgbClr val="000000"/>
            </a:solidFill>
            <a:prstDash val="solid"/>
          </a:ln>
        </c:spPr>
        <c:txPr>
          <a:bodyPr rot="0" vert="horz"/>
          <a:lstStyle/>
          <a:p>
            <a:pPr>
              <a:defRPr sz="800" b="1"/>
            </a:pPr>
            <a:endParaRPr lang="es-BO"/>
          </a:p>
        </c:txPr>
        <c:crossAx val="54568640"/>
        <c:crossesAt val="0"/>
        <c:crossBetween val="midCat"/>
      </c:valAx>
      <c:valAx>
        <c:axId val="54568640"/>
        <c:scaling>
          <c:orientation val="minMax"/>
          <c:max val="6000"/>
          <c:min val="0"/>
        </c:scaling>
        <c:delete val="0"/>
        <c:axPos val="l"/>
        <c:majorGridlines>
          <c:spPr>
            <a:ln w="3175">
              <a:solidFill>
                <a:schemeClr val="bg1">
                  <a:lumMod val="95000"/>
                </a:schemeClr>
              </a:solidFill>
              <a:prstDash val="sysDash"/>
            </a:ln>
          </c:spPr>
        </c:majorGridlines>
        <c:title>
          <c:tx>
            <c:rich>
              <a:bodyPr/>
              <a:lstStyle/>
              <a:p>
                <a:pPr>
                  <a:defRPr sz="1100"/>
                </a:pPr>
                <a:r>
                  <a:rPr lang="en-US" sz="1100"/>
                  <a:t>Pressure, psig</a:t>
                </a:r>
              </a:p>
            </c:rich>
          </c:tx>
          <c:layout>
            <c:manualLayout>
              <c:xMode val="edge"/>
              <c:yMode val="edge"/>
              <c:x val="1.1307336582927133E-2"/>
              <c:y val="0.39265769198205058"/>
            </c:manualLayout>
          </c:layout>
          <c:overlay val="0"/>
        </c:title>
        <c:numFmt formatCode="#,##0" sourceLinked="0"/>
        <c:majorTickMark val="out"/>
        <c:minorTickMark val="in"/>
        <c:tickLblPos val="nextTo"/>
        <c:spPr>
          <a:ln w="12700">
            <a:solidFill>
              <a:srgbClr val="000000"/>
            </a:solidFill>
            <a:prstDash val="solid"/>
          </a:ln>
        </c:spPr>
        <c:txPr>
          <a:bodyPr rot="0" vert="horz"/>
          <a:lstStyle/>
          <a:p>
            <a:pPr>
              <a:defRPr sz="800" b="1"/>
            </a:pPr>
            <a:endParaRPr lang="es-BO"/>
          </a:p>
        </c:txPr>
        <c:crossAx val="54568064"/>
        <c:crossesAt val="0"/>
        <c:crossBetween val="midCat"/>
      </c:valAx>
      <c:spPr>
        <a:solidFill>
          <a:srgbClr val="FFFFFF"/>
        </a:solidFill>
        <a:ln w="25400">
          <a:noFill/>
        </a:ln>
      </c:spPr>
    </c:plotArea>
    <c:legend>
      <c:legendPos val="r"/>
      <c:layout>
        <c:manualLayout>
          <c:xMode val="edge"/>
          <c:yMode val="edge"/>
          <c:x val="0.83397500312460926"/>
          <c:y val="2.5341046654882422E-2"/>
          <c:w val="0.14256967879015123"/>
          <c:h val="0.95564071628143255"/>
        </c:manualLayout>
      </c:layout>
      <c:overlay val="0"/>
      <c:spPr>
        <a:solidFill>
          <a:schemeClr val="bg1"/>
        </a:solidFill>
        <a:ln w="6350" cap="flat" cmpd="sng" algn="ctr">
          <a:solidFill>
            <a:schemeClr val="bg1">
              <a:lumMod val="85000"/>
            </a:schemeClr>
          </a:solidFill>
          <a:prstDash val="solid"/>
          <a:miter lim="800000"/>
        </a:ln>
        <a:effectLst/>
      </c:spPr>
      <c:txPr>
        <a:bodyPr/>
        <a:lstStyle/>
        <a:p>
          <a:pPr>
            <a:defRPr sz="900">
              <a:solidFill>
                <a:schemeClr val="dk1"/>
              </a:solidFill>
              <a:latin typeface="+mn-lt"/>
              <a:ea typeface="+mn-ea"/>
              <a:cs typeface="+mn-cs"/>
            </a:defRPr>
          </a:pPr>
          <a:endParaRPr lang="es-BO"/>
        </a:p>
      </c:txPr>
    </c:legend>
    <c:plotVisOnly val="1"/>
    <c:dispBlanksAs val="gap"/>
    <c:showDLblsOverMax val="0"/>
  </c:chart>
  <c:spPr>
    <a:solidFill>
      <a:schemeClr val="bg1"/>
    </a:solidFill>
    <a:ln w="9525" cap="flat" cmpd="sng" algn="ctr">
      <a:solidFill>
        <a:schemeClr val="bg1">
          <a:lumMod val="75000"/>
        </a:schemeClr>
      </a:solidFill>
      <a:prstDash val="solid"/>
    </a:ln>
    <a:effectLst/>
  </c:spPr>
  <c:txPr>
    <a:bodyPr/>
    <a:lstStyle/>
    <a:p>
      <a:pPr>
        <a:defRPr>
          <a:solidFill>
            <a:schemeClr val="dk1"/>
          </a:solidFill>
          <a:latin typeface="+mn-lt"/>
          <a:ea typeface="+mn-ea"/>
          <a:cs typeface="+mn-cs"/>
        </a:defRPr>
      </a:pPr>
      <a:endParaRPr lang="es-BO"/>
    </a:p>
  </c:txPr>
  <c:printSettings>
    <c:headerFooter alignWithMargins="0"/>
    <c:pageMargins b="1" l="0.75" r="0.75" t="1" header="0.5" footer="0.5"/>
    <c:pageSetup paperSize="9" orientation="landscape" horizontalDpi="1200" verticalDpi="1200"/>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175427855535336"/>
          <c:y val="0.16387254901960785"/>
          <c:w val="0.86656825564191087"/>
          <c:h val="0.73098772579898097"/>
        </c:manualLayout>
      </c:layout>
      <c:barChart>
        <c:barDir val="col"/>
        <c:grouping val="stacked"/>
        <c:varyColors val="0"/>
        <c:ser>
          <c:idx val="0"/>
          <c:order val="0"/>
          <c:tx>
            <c:v>dP Friction</c:v>
          </c:tx>
          <c:spPr>
            <a:solidFill>
              <a:schemeClr val="accent1"/>
            </a:solidFill>
            <a:ln>
              <a:solidFill>
                <a:schemeClr val="accent1"/>
              </a:solidFill>
            </a:ln>
            <a:effectLst/>
          </c:spPr>
          <c:invertIfNegative val="0"/>
          <c:cat>
            <c:strRef>
              <c:f>System_Sens!$AF$10:$AJ$10</c:f>
              <c:strCache>
                <c:ptCount val="5"/>
                <c:pt idx="0">
                  <c:v>SOL 0</c:v>
                </c:pt>
                <c:pt idx="1">
                  <c:v>SOL 1</c:v>
                </c:pt>
                <c:pt idx="2">
                  <c:v>SOL 2</c:v>
                </c:pt>
                <c:pt idx="3">
                  <c:v>SOL 3</c:v>
                </c:pt>
                <c:pt idx="4">
                  <c:v>SOL 4</c:v>
                </c:pt>
              </c:strCache>
            </c:strRef>
          </c:cat>
          <c:val>
            <c:numRef>
              <c:f>System_Sens!$AF$18:$AJ$18</c:f>
              <c:numCache>
                <c:formatCode>#,##0.00</c:formatCode>
                <c:ptCount val="5"/>
                <c:pt idx="0">
                  <c:v>4.4214700000000002</c:v>
                </c:pt>
                <c:pt idx="1">
                  <c:v>7.9384600000000001</c:v>
                </c:pt>
                <c:pt idx="2">
                  <c:v>13.0717</c:v>
                </c:pt>
                <c:pt idx="3">
                  <c:v>20.106000000000002</c:v>
                </c:pt>
                <c:pt idx="4">
                  <c:v>29.630199999999999</c:v>
                </c:pt>
              </c:numCache>
            </c:numRef>
          </c:val>
          <c:extLst>
            <c:ext xmlns:c16="http://schemas.microsoft.com/office/drawing/2014/chart" uri="{C3380CC4-5D6E-409C-BE32-E72D297353CC}">
              <c16:uniqueId val="{00000000-6ABF-4C35-9AF7-D160FA4A4E57}"/>
            </c:ext>
          </c:extLst>
        </c:ser>
        <c:ser>
          <c:idx val="1"/>
          <c:order val="1"/>
          <c:tx>
            <c:v>dP Gravity</c:v>
          </c:tx>
          <c:spPr>
            <a:solidFill>
              <a:srgbClr val="FFC000"/>
            </a:solidFill>
            <a:ln>
              <a:solidFill>
                <a:schemeClr val="bg1">
                  <a:lumMod val="75000"/>
                </a:schemeClr>
              </a:solidFill>
            </a:ln>
            <a:effectLst/>
          </c:spPr>
          <c:invertIfNegative val="0"/>
          <c:cat>
            <c:strRef>
              <c:f>System_Sens!$AF$10:$AJ$10</c:f>
              <c:strCache>
                <c:ptCount val="5"/>
                <c:pt idx="0">
                  <c:v>SOL 0</c:v>
                </c:pt>
                <c:pt idx="1">
                  <c:v>SOL 1</c:v>
                </c:pt>
                <c:pt idx="2">
                  <c:v>SOL 2</c:v>
                </c:pt>
                <c:pt idx="3">
                  <c:v>SOL 3</c:v>
                </c:pt>
                <c:pt idx="4">
                  <c:v>SOL 4</c:v>
                </c:pt>
              </c:strCache>
            </c:strRef>
          </c:cat>
          <c:val>
            <c:numRef>
              <c:f>System_Sens!$AF$19:$AJ$19</c:f>
              <c:numCache>
                <c:formatCode>#,##0.00</c:formatCode>
                <c:ptCount val="5"/>
                <c:pt idx="0">
                  <c:v>700.21100000000001</c:v>
                </c:pt>
                <c:pt idx="1">
                  <c:v>625.46900000000005</c:v>
                </c:pt>
                <c:pt idx="2">
                  <c:v>607.76599999999996</c:v>
                </c:pt>
                <c:pt idx="3">
                  <c:v>631.54100000000005</c:v>
                </c:pt>
                <c:pt idx="4">
                  <c:v>674.11599999999999</c:v>
                </c:pt>
              </c:numCache>
            </c:numRef>
          </c:val>
          <c:extLst>
            <c:ext xmlns:c16="http://schemas.microsoft.com/office/drawing/2014/chart" uri="{C3380CC4-5D6E-409C-BE32-E72D297353CC}">
              <c16:uniqueId val="{00000002-6ABF-4C35-9AF7-D160FA4A4E57}"/>
            </c:ext>
          </c:extLst>
        </c:ser>
        <c:ser>
          <c:idx val="2"/>
          <c:order val="2"/>
          <c:tx>
            <c:v>dp Total Skin</c:v>
          </c:tx>
          <c:spPr>
            <a:solidFill>
              <a:schemeClr val="accent1">
                <a:lumMod val="40000"/>
                <a:lumOff val="60000"/>
              </a:schemeClr>
            </a:solidFill>
            <a:ln>
              <a:solidFill>
                <a:schemeClr val="bg1">
                  <a:lumMod val="75000"/>
                </a:schemeClr>
              </a:solidFill>
            </a:ln>
            <a:effectLst/>
          </c:spPr>
          <c:invertIfNegative val="0"/>
          <c:cat>
            <c:strRef>
              <c:f>System_Sens!$AF$10:$AJ$10</c:f>
              <c:strCache>
                <c:ptCount val="5"/>
                <c:pt idx="0">
                  <c:v>SOL 0</c:v>
                </c:pt>
                <c:pt idx="1">
                  <c:v>SOL 1</c:v>
                </c:pt>
                <c:pt idx="2">
                  <c:v>SOL 2</c:v>
                </c:pt>
                <c:pt idx="3">
                  <c:v>SOL 3</c:v>
                </c:pt>
                <c:pt idx="4">
                  <c:v>SOL 4</c:v>
                </c:pt>
              </c:strCache>
            </c:strRef>
          </c:cat>
          <c:val>
            <c:numRef>
              <c:f>System_Sens!$AF$20:$AJ$20</c:f>
              <c:numCache>
                <c:formatCode>General</c:formatCode>
                <c:ptCount val="5"/>
                <c:pt idx="0">
                  <c:v>28.611699999999999</c:v>
                </c:pt>
                <c:pt idx="1">
                  <c:v>36.301099999999998</c:v>
                </c:pt>
                <c:pt idx="2">
                  <c:v>46.817599999999999</c:v>
                </c:pt>
                <c:pt idx="3">
                  <c:v>60.092399999999998</c:v>
                </c:pt>
                <c:pt idx="4">
                  <c:v>76.0351</c:v>
                </c:pt>
              </c:numCache>
            </c:numRef>
          </c:val>
          <c:extLst>
            <c:ext xmlns:c16="http://schemas.microsoft.com/office/drawing/2014/chart" uri="{C3380CC4-5D6E-409C-BE32-E72D297353CC}">
              <c16:uniqueId val="{00000000-6CD7-483A-B304-58A044126E22}"/>
            </c:ext>
          </c:extLst>
        </c:ser>
        <c:dLbls>
          <c:showLegendKey val="0"/>
          <c:showVal val="0"/>
          <c:showCatName val="0"/>
          <c:showSerName val="0"/>
          <c:showPercent val="0"/>
          <c:showBubbleSize val="0"/>
        </c:dLbls>
        <c:gapWidth val="150"/>
        <c:overlap val="100"/>
        <c:axId val="1075910975"/>
        <c:axId val="1075914303"/>
      </c:barChart>
      <c:catAx>
        <c:axId val="10759109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solidFill>
                <a:latin typeface="+mn-lt"/>
                <a:ea typeface="+mn-ea"/>
                <a:cs typeface="+mn-cs"/>
              </a:defRPr>
            </a:pPr>
            <a:endParaRPr lang="es-BO"/>
          </a:p>
        </c:txPr>
        <c:crossAx val="1075914303"/>
        <c:crosses val="autoZero"/>
        <c:auto val="1"/>
        <c:lblAlgn val="ctr"/>
        <c:lblOffset val="100"/>
        <c:noMultiLvlLbl val="0"/>
      </c:catAx>
      <c:valAx>
        <c:axId val="1075914303"/>
        <c:scaling>
          <c:orientation val="minMax"/>
        </c:scaling>
        <c:delete val="0"/>
        <c:axPos val="l"/>
        <c:majorGridlines>
          <c:spPr>
            <a:ln w="9525" cap="flat" cmpd="sng" algn="ctr">
              <a:solidFill>
                <a:schemeClr val="bg1">
                  <a:lumMod val="95000"/>
                </a:schemeClr>
              </a:solidFill>
              <a:prstDash val="dash"/>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s-BO"/>
          </a:p>
        </c:txPr>
        <c:crossAx val="1075910975"/>
        <c:crosses val="autoZero"/>
        <c:crossBetween val="between"/>
      </c:valAx>
      <c:spPr>
        <a:noFill/>
        <a:ln>
          <a:solidFill>
            <a:schemeClr val="bg1">
              <a:lumMod val="65000"/>
            </a:schemeClr>
          </a:solidFill>
        </a:ln>
        <a:effectLst/>
      </c:spPr>
    </c:plotArea>
    <c:legend>
      <c:legendPos val="b"/>
      <c:layout>
        <c:manualLayout>
          <c:xMode val="edge"/>
          <c:yMode val="edge"/>
          <c:x val="0.40057045043282641"/>
          <c:y val="3.7008748906386703E-2"/>
          <c:w val="0.38122091260331586"/>
          <c:h val="0.10719816272965878"/>
        </c:manualLayout>
      </c:layout>
      <c:overlay val="0"/>
      <c:spPr>
        <a:noFill/>
        <a:ln>
          <a:noFill/>
        </a:ln>
        <a:effectLst/>
      </c:spPr>
      <c:txPr>
        <a:bodyPr rot="0" spcFirstLastPara="1" vertOverflow="ellipsis" vert="horz" wrap="square" anchor="ctr" anchorCtr="1"/>
        <a:lstStyle/>
        <a:p>
          <a:pPr>
            <a:defRPr sz="1100" b="1" i="0" u="none" strike="noStrike" kern="1200" baseline="0">
              <a:solidFill>
                <a:schemeClr val="tx1"/>
              </a:solidFill>
              <a:latin typeface="+mn-lt"/>
              <a:ea typeface="+mn-ea"/>
              <a:cs typeface="+mn-cs"/>
            </a:defRPr>
          </a:pPr>
          <a:endParaRPr lang="es-BO"/>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BO"/>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solidFill>
                  <a:srgbClr val="0000FF"/>
                </a:solidFill>
              </a:defRPr>
            </a:pPr>
            <a:r>
              <a:rPr lang="es-BO" sz="1200">
                <a:solidFill>
                  <a:srgbClr val="0000FF"/>
                </a:solidFill>
              </a:rPr>
              <a:t>System Sensitivity</a:t>
            </a:r>
          </a:p>
        </c:rich>
      </c:tx>
      <c:layout>
        <c:manualLayout>
          <c:xMode val="edge"/>
          <c:yMode val="edge"/>
          <c:x val="1.5900502063813297E-5"/>
          <c:y val="3.6241651349777247E-3"/>
        </c:manualLayout>
      </c:layout>
      <c:overlay val="0"/>
    </c:title>
    <c:autoTitleDeleted val="0"/>
    <c:plotArea>
      <c:layout>
        <c:manualLayout>
          <c:layoutTarget val="inner"/>
          <c:xMode val="edge"/>
          <c:yMode val="edge"/>
          <c:x val="0.12220653103041305"/>
          <c:y val="0.1153377335186043"/>
          <c:w val="0.83014476403415727"/>
          <c:h val="0.79581230917563883"/>
        </c:manualLayout>
      </c:layout>
      <c:scatterChart>
        <c:scatterStyle val="smoothMarker"/>
        <c:varyColors val="0"/>
        <c:ser>
          <c:idx val="0"/>
          <c:order val="0"/>
          <c:tx>
            <c:v>VLP 0</c:v>
          </c:tx>
          <c:spPr>
            <a:ln w="12700">
              <a:solidFill>
                <a:srgbClr val="FF0000"/>
              </a:solidFill>
            </a:ln>
          </c:spPr>
          <c:marker>
            <c:symbol val="none"/>
          </c:marker>
          <c:xVal>
            <c:numRef>
              <c:f>'Downhole Equipment Sens'!$AD$10:$AD$29</c:f>
              <c:numCache>
                <c:formatCode>#,##0.00</c:formatCode>
                <c:ptCount val="20"/>
                <c:pt idx="0">
                  <c:v>3.9689799999999997E-2</c:v>
                </c:pt>
                <c:pt idx="1">
                  <c:v>5.7089399999999998E-2</c:v>
                </c:pt>
                <c:pt idx="2">
                  <c:v>8.2116700000000001E-2</c:v>
                </c:pt>
                <c:pt idx="3">
                  <c:v>0.118116</c:v>
                </c:pt>
                <c:pt idx="4">
                  <c:v>0.16989699999999999</c:v>
                </c:pt>
                <c:pt idx="5">
                  <c:v>0.24437700000000001</c:v>
                </c:pt>
                <c:pt idx="6">
                  <c:v>0.35150999999999999</c:v>
                </c:pt>
                <c:pt idx="7">
                  <c:v>0.50560799999999995</c:v>
                </c:pt>
                <c:pt idx="8">
                  <c:v>0.72726100000000005</c:v>
                </c:pt>
                <c:pt idx="9">
                  <c:v>1.0460799999999999</c:v>
                </c:pt>
                <c:pt idx="10">
                  <c:v>1.50468</c:v>
                </c:pt>
                <c:pt idx="11">
                  <c:v>2.16431</c:v>
                </c:pt>
                <c:pt idx="12">
                  <c:v>3.1131199999999999</c:v>
                </c:pt>
                <c:pt idx="13">
                  <c:v>4.4778799999999999</c:v>
                </c:pt>
                <c:pt idx="14">
                  <c:v>6.4409299999999998</c:v>
                </c:pt>
                <c:pt idx="15">
                  <c:v>9.2645700000000009</c:v>
                </c:pt>
                <c:pt idx="16">
                  <c:v>13.3261</c:v>
                </c:pt>
                <c:pt idx="17">
                  <c:v>19.168099999999999</c:v>
                </c:pt>
                <c:pt idx="18">
                  <c:v>27.571100000000001</c:v>
                </c:pt>
                <c:pt idx="19">
                  <c:v>39.658000000000001</c:v>
                </c:pt>
              </c:numCache>
            </c:numRef>
          </c:xVal>
          <c:yVal>
            <c:numRef>
              <c:f>'Downhole Equipment Sens'!$AE$10:$AE$29</c:f>
              <c:numCache>
                <c:formatCode>#,##0.00</c:formatCode>
                <c:ptCount val="20"/>
                <c:pt idx="0">
                  <c:v>734.86500000000001</c:v>
                </c:pt>
                <c:pt idx="1">
                  <c:v>753.12300000000005</c:v>
                </c:pt>
                <c:pt idx="2">
                  <c:v>791.61099999999999</c:v>
                </c:pt>
                <c:pt idx="3">
                  <c:v>873.88099999999997</c:v>
                </c:pt>
                <c:pt idx="4">
                  <c:v>1052.68</c:v>
                </c:pt>
                <c:pt idx="5">
                  <c:v>1437.13</c:v>
                </c:pt>
                <c:pt idx="6">
                  <c:v>2041.3</c:v>
                </c:pt>
                <c:pt idx="7">
                  <c:v>2908.1</c:v>
                </c:pt>
                <c:pt idx="8">
                  <c:v>5291.22</c:v>
                </c:pt>
                <c:pt idx="9">
                  <c:v>7508.04</c:v>
                </c:pt>
                <c:pt idx="10">
                  <c:v>11374.7</c:v>
                </c:pt>
              </c:numCache>
            </c:numRef>
          </c:yVal>
          <c:smooth val="1"/>
          <c:extLst>
            <c:ext xmlns:c16="http://schemas.microsoft.com/office/drawing/2014/chart" uri="{C3380CC4-5D6E-409C-BE32-E72D297353CC}">
              <c16:uniqueId val="{000000DF-3287-4E2A-B91D-78A2FCB8ACF2}"/>
            </c:ext>
          </c:extLst>
        </c:ser>
        <c:ser>
          <c:idx val="1"/>
          <c:order val="1"/>
          <c:tx>
            <c:v>Gas Rate 0</c:v>
          </c:tx>
          <c:spPr>
            <a:ln w="12700">
              <a:solidFill>
                <a:srgbClr val="000000"/>
              </a:solidFill>
            </a:ln>
          </c:spPr>
          <c:marker>
            <c:symbol val="none"/>
          </c:marker>
          <c:xVal>
            <c:numRef>
              <c:f>'Downhole Equipment Sens'!$AD$10:$AD$29</c:f>
              <c:numCache>
                <c:formatCode>#,##0.00</c:formatCode>
                <c:ptCount val="20"/>
                <c:pt idx="0">
                  <c:v>3.9689799999999997E-2</c:v>
                </c:pt>
                <c:pt idx="1">
                  <c:v>5.7089399999999998E-2</c:v>
                </c:pt>
                <c:pt idx="2">
                  <c:v>8.2116700000000001E-2</c:v>
                </c:pt>
                <c:pt idx="3">
                  <c:v>0.118116</c:v>
                </c:pt>
                <c:pt idx="4">
                  <c:v>0.16989699999999999</c:v>
                </c:pt>
                <c:pt idx="5">
                  <c:v>0.24437700000000001</c:v>
                </c:pt>
                <c:pt idx="6">
                  <c:v>0.35150999999999999</c:v>
                </c:pt>
                <c:pt idx="7">
                  <c:v>0.50560799999999995</c:v>
                </c:pt>
                <c:pt idx="8">
                  <c:v>0.72726100000000005</c:v>
                </c:pt>
                <c:pt idx="9">
                  <c:v>1.0460799999999999</c:v>
                </c:pt>
                <c:pt idx="10">
                  <c:v>1.50468</c:v>
                </c:pt>
                <c:pt idx="11">
                  <c:v>2.16431</c:v>
                </c:pt>
                <c:pt idx="12">
                  <c:v>3.1131199999999999</c:v>
                </c:pt>
                <c:pt idx="13">
                  <c:v>4.4778799999999999</c:v>
                </c:pt>
                <c:pt idx="14">
                  <c:v>6.4409299999999998</c:v>
                </c:pt>
                <c:pt idx="15">
                  <c:v>9.2645700000000009</c:v>
                </c:pt>
                <c:pt idx="16">
                  <c:v>13.3261</c:v>
                </c:pt>
                <c:pt idx="17">
                  <c:v>19.168099999999999</c:v>
                </c:pt>
                <c:pt idx="18">
                  <c:v>27.571100000000001</c:v>
                </c:pt>
                <c:pt idx="19">
                  <c:v>39.658000000000001</c:v>
                </c:pt>
              </c:numCache>
            </c:numRef>
          </c:xVal>
          <c:yVal>
            <c:numRef>
              <c:f>'Downhole Equipment Sens'!$AF$10:$AF$29</c:f>
              <c:numCache>
                <c:formatCode>#,##0.00</c:formatCode>
                <c:ptCount val="20"/>
                <c:pt idx="0">
                  <c:v>5996.94</c:v>
                </c:pt>
                <c:pt idx="1">
                  <c:v>5995.6</c:v>
                </c:pt>
                <c:pt idx="2">
                  <c:v>5993.66</c:v>
                </c:pt>
                <c:pt idx="3">
                  <c:v>5990.88</c:v>
                </c:pt>
                <c:pt idx="4">
                  <c:v>5986.88</c:v>
                </c:pt>
                <c:pt idx="5">
                  <c:v>5981.11</c:v>
                </c:pt>
                <c:pt idx="6">
                  <c:v>5972.82</c:v>
                </c:pt>
                <c:pt idx="7">
                  <c:v>5960.87</c:v>
                </c:pt>
                <c:pt idx="8">
                  <c:v>5943.63</c:v>
                </c:pt>
                <c:pt idx="9">
                  <c:v>5918.73</c:v>
                </c:pt>
                <c:pt idx="10">
                  <c:v>5882.72</c:v>
                </c:pt>
                <c:pt idx="11">
                  <c:v>5830.52</c:v>
                </c:pt>
                <c:pt idx="12">
                  <c:v>5754.56</c:v>
                </c:pt>
                <c:pt idx="13">
                  <c:v>5643.48</c:v>
                </c:pt>
                <c:pt idx="14">
                  <c:v>5479.48</c:v>
                </c:pt>
                <c:pt idx="15">
                  <c:v>5234.75</c:v>
                </c:pt>
                <c:pt idx="16">
                  <c:v>4861.84</c:v>
                </c:pt>
                <c:pt idx="17">
                  <c:v>4273.33</c:v>
                </c:pt>
                <c:pt idx="18">
                  <c:v>3261.49</c:v>
                </c:pt>
                <c:pt idx="19">
                  <c:v>163.40700000000001</c:v>
                </c:pt>
              </c:numCache>
            </c:numRef>
          </c:yVal>
          <c:smooth val="1"/>
          <c:extLst>
            <c:ext xmlns:c16="http://schemas.microsoft.com/office/drawing/2014/chart" uri="{C3380CC4-5D6E-409C-BE32-E72D297353CC}">
              <c16:uniqueId val="{000000E0-3287-4E2A-B91D-78A2FCB8ACF2}"/>
            </c:ext>
          </c:extLst>
        </c:ser>
        <c:ser>
          <c:idx val="2"/>
          <c:order val="2"/>
          <c:tx>
            <c:v>VLP 1</c:v>
          </c:tx>
          <c:spPr>
            <a:ln w="12700">
              <a:solidFill>
                <a:srgbClr val="FF0000"/>
              </a:solidFill>
            </a:ln>
          </c:spPr>
          <c:marker>
            <c:symbol val="none"/>
          </c:marker>
          <c:xVal>
            <c:numRef>
              <c:f>'Downhole Equipment Sens'!$AG$10:$AG$29</c:f>
              <c:numCache>
                <c:formatCode>#,##0.00</c:formatCode>
                <c:ptCount val="20"/>
                <c:pt idx="0">
                  <c:v>3.9689799999999997E-2</c:v>
                </c:pt>
                <c:pt idx="1">
                  <c:v>5.7089399999999998E-2</c:v>
                </c:pt>
                <c:pt idx="2">
                  <c:v>8.2116700000000001E-2</c:v>
                </c:pt>
                <c:pt idx="3">
                  <c:v>0.118116</c:v>
                </c:pt>
                <c:pt idx="4">
                  <c:v>0.16989699999999999</c:v>
                </c:pt>
                <c:pt idx="5">
                  <c:v>0.24437700000000001</c:v>
                </c:pt>
                <c:pt idx="6">
                  <c:v>0.35150999999999999</c:v>
                </c:pt>
                <c:pt idx="7">
                  <c:v>0.50560799999999995</c:v>
                </c:pt>
                <c:pt idx="8">
                  <c:v>0.72726100000000005</c:v>
                </c:pt>
                <c:pt idx="9">
                  <c:v>1.0460799999999999</c:v>
                </c:pt>
                <c:pt idx="10">
                  <c:v>1.50468</c:v>
                </c:pt>
                <c:pt idx="11">
                  <c:v>2.16431</c:v>
                </c:pt>
                <c:pt idx="12">
                  <c:v>3.1131199999999999</c:v>
                </c:pt>
                <c:pt idx="13">
                  <c:v>4.4778799999999999</c:v>
                </c:pt>
                <c:pt idx="14">
                  <c:v>6.4409299999999998</c:v>
                </c:pt>
                <c:pt idx="15">
                  <c:v>9.2645700000000009</c:v>
                </c:pt>
                <c:pt idx="16">
                  <c:v>13.3261</c:v>
                </c:pt>
                <c:pt idx="17">
                  <c:v>19.168099999999999</c:v>
                </c:pt>
                <c:pt idx="18">
                  <c:v>27.571100000000001</c:v>
                </c:pt>
                <c:pt idx="19">
                  <c:v>39.658000000000001</c:v>
                </c:pt>
              </c:numCache>
            </c:numRef>
          </c:xVal>
          <c:yVal>
            <c:numRef>
              <c:f>'Downhole Equipment Sens'!$AH$10:$AH$29</c:f>
              <c:numCache>
                <c:formatCode>#,##0.00</c:formatCode>
                <c:ptCount val="20"/>
                <c:pt idx="0">
                  <c:v>732.77499999999998</c:v>
                </c:pt>
                <c:pt idx="1">
                  <c:v>748.75099999999998</c:v>
                </c:pt>
                <c:pt idx="2">
                  <c:v>782.36400000000003</c:v>
                </c:pt>
                <c:pt idx="3">
                  <c:v>854.024</c:v>
                </c:pt>
                <c:pt idx="4">
                  <c:v>1009.5</c:v>
                </c:pt>
                <c:pt idx="5">
                  <c:v>1350.71</c:v>
                </c:pt>
                <c:pt idx="6">
                  <c:v>1926.47</c:v>
                </c:pt>
                <c:pt idx="7">
                  <c:v>2763.24</c:v>
                </c:pt>
                <c:pt idx="8">
                  <c:v>4504.62</c:v>
                </c:pt>
                <c:pt idx="9">
                  <c:v>6676.41</c:v>
                </c:pt>
                <c:pt idx="10">
                  <c:v>10498.9</c:v>
                </c:pt>
              </c:numCache>
            </c:numRef>
          </c:yVal>
          <c:smooth val="1"/>
          <c:extLst>
            <c:ext xmlns:c16="http://schemas.microsoft.com/office/drawing/2014/chart" uri="{C3380CC4-5D6E-409C-BE32-E72D297353CC}">
              <c16:uniqueId val="{000000E1-3287-4E2A-B91D-78A2FCB8ACF2}"/>
            </c:ext>
          </c:extLst>
        </c:ser>
        <c:ser>
          <c:idx val="3"/>
          <c:order val="3"/>
          <c:tx>
            <c:v>Gas Rate 1</c:v>
          </c:tx>
          <c:spPr>
            <a:ln w="12700">
              <a:solidFill>
                <a:srgbClr val="000000"/>
              </a:solidFill>
            </a:ln>
          </c:spPr>
          <c:marker>
            <c:symbol val="none"/>
          </c:marker>
          <c:xVal>
            <c:numRef>
              <c:f>'Downhole Equipment Sens'!$AG$10:$AG$29</c:f>
              <c:numCache>
                <c:formatCode>#,##0.00</c:formatCode>
                <c:ptCount val="20"/>
                <c:pt idx="0">
                  <c:v>3.9689799999999997E-2</c:v>
                </c:pt>
                <c:pt idx="1">
                  <c:v>5.7089399999999998E-2</c:v>
                </c:pt>
                <c:pt idx="2">
                  <c:v>8.2116700000000001E-2</c:v>
                </c:pt>
                <c:pt idx="3">
                  <c:v>0.118116</c:v>
                </c:pt>
                <c:pt idx="4">
                  <c:v>0.16989699999999999</c:v>
                </c:pt>
                <c:pt idx="5">
                  <c:v>0.24437700000000001</c:v>
                </c:pt>
                <c:pt idx="6">
                  <c:v>0.35150999999999999</c:v>
                </c:pt>
                <c:pt idx="7">
                  <c:v>0.50560799999999995</c:v>
                </c:pt>
                <c:pt idx="8">
                  <c:v>0.72726100000000005</c:v>
                </c:pt>
                <c:pt idx="9">
                  <c:v>1.0460799999999999</c:v>
                </c:pt>
                <c:pt idx="10">
                  <c:v>1.50468</c:v>
                </c:pt>
                <c:pt idx="11">
                  <c:v>2.16431</c:v>
                </c:pt>
                <c:pt idx="12">
                  <c:v>3.1131199999999999</c:v>
                </c:pt>
                <c:pt idx="13">
                  <c:v>4.4778799999999999</c:v>
                </c:pt>
                <c:pt idx="14">
                  <c:v>6.4409299999999998</c:v>
                </c:pt>
                <c:pt idx="15">
                  <c:v>9.2645700000000009</c:v>
                </c:pt>
                <c:pt idx="16">
                  <c:v>13.3261</c:v>
                </c:pt>
                <c:pt idx="17">
                  <c:v>19.168099999999999</c:v>
                </c:pt>
                <c:pt idx="18">
                  <c:v>27.571100000000001</c:v>
                </c:pt>
                <c:pt idx="19">
                  <c:v>39.658000000000001</c:v>
                </c:pt>
              </c:numCache>
            </c:numRef>
          </c:xVal>
          <c:yVal>
            <c:numRef>
              <c:f>'Downhole Equipment Sens'!$AI$10:$AI$29</c:f>
              <c:numCache>
                <c:formatCode>#,##0.00</c:formatCode>
                <c:ptCount val="20"/>
                <c:pt idx="0">
                  <c:v>5996.94</c:v>
                </c:pt>
                <c:pt idx="1">
                  <c:v>5995.6</c:v>
                </c:pt>
                <c:pt idx="2">
                  <c:v>5993.66</c:v>
                </c:pt>
                <c:pt idx="3">
                  <c:v>5990.88</c:v>
                </c:pt>
                <c:pt idx="4">
                  <c:v>5986.88</c:v>
                </c:pt>
                <c:pt idx="5">
                  <c:v>5981.11</c:v>
                </c:pt>
                <c:pt idx="6">
                  <c:v>5972.82</c:v>
                </c:pt>
                <c:pt idx="7">
                  <c:v>5960.87</c:v>
                </c:pt>
                <c:pt idx="8">
                  <c:v>5943.63</c:v>
                </c:pt>
                <c:pt idx="9">
                  <c:v>5918.73</c:v>
                </c:pt>
                <c:pt idx="10">
                  <c:v>5882.72</c:v>
                </c:pt>
                <c:pt idx="11">
                  <c:v>5830.52</c:v>
                </c:pt>
                <c:pt idx="12">
                  <c:v>5754.56</c:v>
                </c:pt>
                <c:pt idx="13">
                  <c:v>5643.48</c:v>
                </c:pt>
                <c:pt idx="14">
                  <c:v>5479.48</c:v>
                </c:pt>
                <c:pt idx="15">
                  <c:v>5234.75</c:v>
                </c:pt>
                <c:pt idx="16">
                  <c:v>4861.84</c:v>
                </c:pt>
                <c:pt idx="17">
                  <c:v>4273.33</c:v>
                </c:pt>
                <c:pt idx="18">
                  <c:v>3261.49</c:v>
                </c:pt>
                <c:pt idx="19">
                  <c:v>163.40700000000001</c:v>
                </c:pt>
              </c:numCache>
            </c:numRef>
          </c:yVal>
          <c:smooth val="1"/>
          <c:extLst>
            <c:ext xmlns:c16="http://schemas.microsoft.com/office/drawing/2014/chart" uri="{C3380CC4-5D6E-409C-BE32-E72D297353CC}">
              <c16:uniqueId val="{000000E2-3287-4E2A-B91D-78A2FCB8ACF2}"/>
            </c:ext>
          </c:extLst>
        </c:ser>
        <c:ser>
          <c:idx val="4"/>
          <c:order val="4"/>
          <c:tx>
            <c:v>VLP 2</c:v>
          </c:tx>
          <c:spPr>
            <a:ln w="12700">
              <a:solidFill>
                <a:srgbClr val="FF0000"/>
              </a:solidFill>
            </a:ln>
          </c:spPr>
          <c:marker>
            <c:symbol val="none"/>
          </c:marker>
          <c:xVal>
            <c:numRef>
              <c:f>'Downhole Equipment Sens'!$AJ$10:$AJ$29</c:f>
              <c:numCache>
                <c:formatCode>#,##0.00</c:formatCode>
                <c:ptCount val="20"/>
                <c:pt idx="0">
                  <c:v>3.3398900000000002E-2</c:v>
                </c:pt>
                <c:pt idx="1">
                  <c:v>4.8040600000000003E-2</c:v>
                </c:pt>
                <c:pt idx="2">
                  <c:v>6.9101099999999999E-2</c:v>
                </c:pt>
                <c:pt idx="3">
                  <c:v>9.9394300000000005E-2</c:v>
                </c:pt>
                <c:pt idx="4">
                  <c:v>0.14296800000000001</c:v>
                </c:pt>
                <c:pt idx="5">
                  <c:v>0.20564299999999999</c:v>
                </c:pt>
                <c:pt idx="6">
                  <c:v>0.29579499999999997</c:v>
                </c:pt>
                <c:pt idx="7">
                  <c:v>0.42546800000000001</c:v>
                </c:pt>
                <c:pt idx="8">
                  <c:v>0.61198900000000001</c:v>
                </c:pt>
                <c:pt idx="9">
                  <c:v>0.880278</c:v>
                </c:pt>
                <c:pt idx="10">
                  <c:v>1.2661800000000001</c:v>
                </c:pt>
                <c:pt idx="11">
                  <c:v>1.8212600000000001</c:v>
                </c:pt>
                <c:pt idx="12">
                  <c:v>2.6196899999999999</c:v>
                </c:pt>
                <c:pt idx="13">
                  <c:v>3.7681300000000002</c:v>
                </c:pt>
                <c:pt idx="14">
                  <c:v>5.4200400000000002</c:v>
                </c:pt>
                <c:pt idx="15">
                  <c:v>7.7961200000000002</c:v>
                </c:pt>
                <c:pt idx="16">
                  <c:v>11.213900000000001</c:v>
                </c:pt>
                <c:pt idx="17">
                  <c:v>16.129899999999999</c:v>
                </c:pt>
                <c:pt idx="18">
                  <c:v>23.2011</c:v>
                </c:pt>
                <c:pt idx="19">
                  <c:v>33.372199999999999</c:v>
                </c:pt>
              </c:numCache>
            </c:numRef>
          </c:xVal>
          <c:yVal>
            <c:numRef>
              <c:f>'Downhole Equipment Sens'!$AK$10:$AK$29</c:f>
              <c:numCache>
                <c:formatCode>#,##0.00</c:formatCode>
                <c:ptCount val="20"/>
                <c:pt idx="0">
                  <c:v>716.96100000000001</c:v>
                </c:pt>
                <c:pt idx="1">
                  <c:v>717.66399999999999</c:v>
                </c:pt>
                <c:pt idx="2">
                  <c:v>719.13499999999999</c:v>
                </c:pt>
                <c:pt idx="3">
                  <c:v>722.20500000000004</c:v>
                </c:pt>
                <c:pt idx="4">
                  <c:v>728.61099999999999</c:v>
                </c:pt>
                <c:pt idx="5">
                  <c:v>742.00900000000001</c:v>
                </c:pt>
                <c:pt idx="6">
                  <c:v>770.18200000000002</c:v>
                </c:pt>
                <c:pt idx="7">
                  <c:v>830.09900000000005</c:v>
                </c:pt>
                <c:pt idx="8">
                  <c:v>959.69500000000005</c:v>
                </c:pt>
                <c:pt idx="9">
                  <c:v>1244.52</c:v>
                </c:pt>
                <c:pt idx="10">
                  <c:v>1883.27</c:v>
                </c:pt>
                <c:pt idx="11">
                  <c:v>2687.99</c:v>
                </c:pt>
                <c:pt idx="12">
                  <c:v>3910.19</c:v>
                </c:pt>
                <c:pt idx="13">
                  <c:v>5854.98</c:v>
                </c:pt>
                <c:pt idx="14">
                  <c:v>9251.6299999999992</c:v>
                </c:pt>
              </c:numCache>
            </c:numRef>
          </c:yVal>
          <c:smooth val="1"/>
          <c:extLst>
            <c:ext xmlns:c16="http://schemas.microsoft.com/office/drawing/2014/chart" uri="{C3380CC4-5D6E-409C-BE32-E72D297353CC}">
              <c16:uniqueId val="{000000E3-3287-4E2A-B91D-78A2FCB8ACF2}"/>
            </c:ext>
          </c:extLst>
        </c:ser>
        <c:ser>
          <c:idx val="5"/>
          <c:order val="5"/>
          <c:tx>
            <c:v>Gas Rate 2</c:v>
          </c:tx>
          <c:spPr>
            <a:ln w="12700">
              <a:solidFill>
                <a:srgbClr val="000000"/>
              </a:solidFill>
            </a:ln>
          </c:spPr>
          <c:marker>
            <c:symbol val="none"/>
          </c:marker>
          <c:xVal>
            <c:numRef>
              <c:f>'Downhole Equipment Sens'!$AJ$10:$AJ$29</c:f>
              <c:numCache>
                <c:formatCode>#,##0.00</c:formatCode>
                <c:ptCount val="20"/>
                <c:pt idx="0">
                  <c:v>3.3398900000000002E-2</c:v>
                </c:pt>
                <c:pt idx="1">
                  <c:v>4.8040600000000003E-2</c:v>
                </c:pt>
                <c:pt idx="2">
                  <c:v>6.9101099999999999E-2</c:v>
                </c:pt>
                <c:pt idx="3">
                  <c:v>9.9394300000000005E-2</c:v>
                </c:pt>
                <c:pt idx="4">
                  <c:v>0.14296800000000001</c:v>
                </c:pt>
                <c:pt idx="5">
                  <c:v>0.20564299999999999</c:v>
                </c:pt>
                <c:pt idx="6">
                  <c:v>0.29579499999999997</c:v>
                </c:pt>
                <c:pt idx="7">
                  <c:v>0.42546800000000001</c:v>
                </c:pt>
                <c:pt idx="8">
                  <c:v>0.61198900000000001</c:v>
                </c:pt>
                <c:pt idx="9">
                  <c:v>0.880278</c:v>
                </c:pt>
                <c:pt idx="10">
                  <c:v>1.2661800000000001</c:v>
                </c:pt>
                <c:pt idx="11">
                  <c:v>1.8212600000000001</c:v>
                </c:pt>
                <c:pt idx="12">
                  <c:v>2.6196899999999999</c:v>
                </c:pt>
                <c:pt idx="13">
                  <c:v>3.7681300000000002</c:v>
                </c:pt>
                <c:pt idx="14">
                  <c:v>5.4200400000000002</c:v>
                </c:pt>
                <c:pt idx="15">
                  <c:v>7.7961200000000002</c:v>
                </c:pt>
                <c:pt idx="16">
                  <c:v>11.213900000000001</c:v>
                </c:pt>
                <c:pt idx="17">
                  <c:v>16.129899999999999</c:v>
                </c:pt>
                <c:pt idx="18">
                  <c:v>23.2011</c:v>
                </c:pt>
                <c:pt idx="19">
                  <c:v>33.372199999999999</c:v>
                </c:pt>
              </c:numCache>
            </c:numRef>
          </c:xVal>
          <c:yVal>
            <c:numRef>
              <c:f>'Downhole Equipment Sens'!$AL$10:$AL$29</c:f>
              <c:numCache>
                <c:formatCode>#,##0.00</c:formatCode>
                <c:ptCount val="20"/>
                <c:pt idx="0">
                  <c:v>4997.57</c:v>
                </c:pt>
                <c:pt idx="1">
                  <c:v>4996.51</c:v>
                </c:pt>
                <c:pt idx="2">
                  <c:v>4994.97</c:v>
                </c:pt>
                <c:pt idx="3">
                  <c:v>4992.7700000000004</c:v>
                </c:pt>
                <c:pt idx="4">
                  <c:v>4989.59</c:v>
                </c:pt>
                <c:pt idx="5">
                  <c:v>4985.0200000000004</c:v>
                </c:pt>
                <c:pt idx="6">
                  <c:v>4978.4399999999996</c:v>
                </c:pt>
                <c:pt idx="7">
                  <c:v>4968.9399999999996</c:v>
                </c:pt>
                <c:pt idx="8">
                  <c:v>4955.25</c:v>
                </c:pt>
                <c:pt idx="9">
                  <c:v>4935.47</c:v>
                </c:pt>
                <c:pt idx="10">
                  <c:v>4906.84</c:v>
                </c:pt>
                <c:pt idx="11">
                  <c:v>4865.3</c:v>
                </c:pt>
                <c:pt idx="12">
                  <c:v>4804.76</c:v>
                </c:pt>
                <c:pt idx="13">
                  <c:v>4716.04</c:v>
                </c:pt>
                <c:pt idx="14">
                  <c:v>4584.87</c:v>
                </c:pt>
                <c:pt idx="15">
                  <c:v>4387.96</c:v>
                </c:pt>
                <c:pt idx="16">
                  <c:v>4086.31</c:v>
                </c:pt>
                <c:pt idx="17">
                  <c:v>3605.18</c:v>
                </c:pt>
                <c:pt idx="18">
                  <c:v>2768.25</c:v>
                </c:pt>
                <c:pt idx="19">
                  <c:v>140.25</c:v>
                </c:pt>
              </c:numCache>
            </c:numRef>
          </c:yVal>
          <c:smooth val="1"/>
          <c:extLst>
            <c:ext xmlns:c16="http://schemas.microsoft.com/office/drawing/2014/chart" uri="{C3380CC4-5D6E-409C-BE32-E72D297353CC}">
              <c16:uniqueId val="{000000E4-3287-4E2A-B91D-78A2FCB8ACF2}"/>
            </c:ext>
          </c:extLst>
        </c:ser>
        <c:ser>
          <c:idx val="6"/>
          <c:order val="6"/>
          <c:tx>
            <c:v>VLP 3</c:v>
          </c:tx>
          <c:spPr>
            <a:ln w="12700">
              <a:solidFill>
                <a:srgbClr val="FF0000"/>
              </a:solidFill>
            </a:ln>
          </c:spPr>
          <c:marker>
            <c:symbol val="none"/>
          </c:marker>
          <c:xVal>
            <c:numRef>
              <c:f>'Downhole Equipment Sens'!$AM$10:$AM$29</c:f>
              <c:numCache>
                <c:formatCode>#,##0.00</c:formatCode>
                <c:ptCount val="20"/>
                <c:pt idx="0">
                  <c:v>3.9689799999999997E-2</c:v>
                </c:pt>
                <c:pt idx="1">
                  <c:v>5.7089399999999998E-2</c:v>
                </c:pt>
                <c:pt idx="2">
                  <c:v>8.2116700000000001E-2</c:v>
                </c:pt>
                <c:pt idx="3">
                  <c:v>0.118116</c:v>
                </c:pt>
                <c:pt idx="4">
                  <c:v>0.16989699999999999</c:v>
                </c:pt>
                <c:pt idx="5">
                  <c:v>0.24437700000000001</c:v>
                </c:pt>
                <c:pt idx="6">
                  <c:v>0.35150999999999999</c:v>
                </c:pt>
                <c:pt idx="7">
                  <c:v>0.50560799999999995</c:v>
                </c:pt>
                <c:pt idx="8">
                  <c:v>0.72726100000000005</c:v>
                </c:pt>
                <c:pt idx="9">
                  <c:v>1.0460799999999999</c:v>
                </c:pt>
                <c:pt idx="10">
                  <c:v>1.50468</c:v>
                </c:pt>
                <c:pt idx="11">
                  <c:v>2.16431</c:v>
                </c:pt>
                <c:pt idx="12">
                  <c:v>3.1131199999999999</c:v>
                </c:pt>
                <c:pt idx="13">
                  <c:v>4.4778799999999999</c:v>
                </c:pt>
                <c:pt idx="14">
                  <c:v>6.4409299999999998</c:v>
                </c:pt>
                <c:pt idx="15">
                  <c:v>9.2645700000000009</c:v>
                </c:pt>
                <c:pt idx="16">
                  <c:v>13.3261</c:v>
                </c:pt>
                <c:pt idx="17">
                  <c:v>19.168099999999999</c:v>
                </c:pt>
                <c:pt idx="18">
                  <c:v>27.571100000000001</c:v>
                </c:pt>
                <c:pt idx="19">
                  <c:v>39.658000000000001</c:v>
                </c:pt>
              </c:numCache>
            </c:numRef>
          </c:xVal>
          <c:yVal>
            <c:numRef>
              <c:f>'Downhole Equipment Sens'!$AN$10:$AN$29</c:f>
              <c:numCache>
                <c:formatCode>#,##0.00</c:formatCode>
                <c:ptCount val="20"/>
                <c:pt idx="0">
                  <c:v>5445.23</c:v>
                </c:pt>
                <c:pt idx="1">
                  <c:v>5328.53</c:v>
                </c:pt>
                <c:pt idx="2">
                  <c:v>5176.1499999999996</c:v>
                </c:pt>
                <c:pt idx="3">
                  <c:v>4980.37</c:v>
                </c:pt>
                <c:pt idx="4">
                  <c:v>4782.3</c:v>
                </c:pt>
                <c:pt idx="5">
                  <c:v>4635.3999999999996</c:v>
                </c:pt>
                <c:pt idx="6">
                  <c:v>4605.34</c:v>
                </c:pt>
                <c:pt idx="7">
                  <c:v>4835.66</c:v>
                </c:pt>
                <c:pt idx="8">
                  <c:v>5830.09</c:v>
                </c:pt>
                <c:pt idx="9">
                  <c:v>9074.75</c:v>
                </c:pt>
              </c:numCache>
            </c:numRef>
          </c:yVal>
          <c:smooth val="1"/>
          <c:extLst>
            <c:ext xmlns:c16="http://schemas.microsoft.com/office/drawing/2014/chart" uri="{C3380CC4-5D6E-409C-BE32-E72D297353CC}">
              <c16:uniqueId val="{000000E5-3287-4E2A-B91D-78A2FCB8ACF2}"/>
            </c:ext>
          </c:extLst>
        </c:ser>
        <c:ser>
          <c:idx val="7"/>
          <c:order val="7"/>
          <c:tx>
            <c:v>Gas Rate 3</c:v>
          </c:tx>
          <c:spPr>
            <a:ln w="12700">
              <a:solidFill>
                <a:srgbClr val="000000"/>
              </a:solidFill>
            </a:ln>
          </c:spPr>
          <c:marker>
            <c:symbol val="none"/>
          </c:marker>
          <c:xVal>
            <c:numRef>
              <c:f>'Downhole Equipment Sens'!$AM$10:$AM$29</c:f>
              <c:numCache>
                <c:formatCode>#,##0.00</c:formatCode>
                <c:ptCount val="20"/>
                <c:pt idx="0">
                  <c:v>3.9689799999999997E-2</c:v>
                </c:pt>
                <c:pt idx="1">
                  <c:v>5.7089399999999998E-2</c:v>
                </c:pt>
                <c:pt idx="2">
                  <c:v>8.2116700000000001E-2</c:v>
                </c:pt>
                <c:pt idx="3">
                  <c:v>0.118116</c:v>
                </c:pt>
                <c:pt idx="4">
                  <c:v>0.16989699999999999</c:v>
                </c:pt>
                <c:pt idx="5">
                  <c:v>0.24437700000000001</c:v>
                </c:pt>
                <c:pt idx="6">
                  <c:v>0.35150999999999999</c:v>
                </c:pt>
                <c:pt idx="7">
                  <c:v>0.50560799999999995</c:v>
                </c:pt>
                <c:pt idx="8">
                  <c:v>0.72726100000000005</c:v>
                </c:pt>
                <c:pt idx="9">
                  <c:v>1.0460799999999999</c:v>
                </c:pt>
                <c:pt idx="10">
                  <c:v>1.50468</c:v>
                </c:pt>
                <c:pt idx="11">
                  <c:v>2.16431</c:v>
                </c:pt>
                <c:pt idx="12">
                  <c:v>3.1131199999999999</c:v>
                </c:pt>
                <c:pt idx="13">
                  <c:v>4.4778799999999999</c:v>
                </c:pt>
                <c:pt idx="14">
                  <c:v>6.4409299999999998</c:v>
                </c:pt>
                <c:pt idx="15">
                  <c:v>9.2645700000000009</c:v>
                </c:pt>
                <c:pt idx="16">
                  <c:v>13.3261</c:v>
                </c:pt>
                <c:pt idx="17">
                  <c:v>19.168099999999999</c:v>
                </c:pt>
                <c:pt idx="18">
                  <c:v>27.571100000000001</c:v>
                </c:pt>
                <c:pt idx="19">
                  <c:v>39.658000000000001</c:v>
                </c:pt>
              </c:numCache>
            </c:numRef>
          </c:xVal>
          <c:yVal>
            <c:numRef>
              <c:f>'Downhole Equipment Sens'!$AO$10:$AO$29</c:f>
              <c:numCache>
                <c:formatCode>#,##0.00</c:formatCode>
                <c:ptCount val="20"/>
                <c:pt idx="0">
                  <c:v>5996.94</c:v>
                </c:pt>
                <c:pt idx="1">
                  <c:v>5995.6</c:v>
                </c:pt>
                <c:pt idx="2">
                  <c:v>5993.66</c:v>
                </c:pt>
                <c:pt idx="3">
                  <c:v>5990.88</c:v>
                </c:pt>
                <c:pt idx="4">
                  <c:v>5986.88</c:v>
                </c:pt>
                <c:pt idx="5">
                  <c:v>5981.11</c:v>
                </c:pt>
                <c:pt idx="6">
                  <c:v>5972.82</c:v>
                </c:pt>
                <c:pt idx="7">
                  <c:v>5960.87</c:v>
                </c:pt>
                <c:pt idx="8">
                  <c:v>5943.63</c:v>
                </c:pt>
                <c:pt idx="9">
                  <c:v>5918.73</c:v>
                </c:pt>
                <c:pt idx="10">
                  <c:v>5882.72</c:v>
                </c:pt>
                <c:pt idx="11">
                  <c:v>5830.52</c:v>
                </c:pt>
                <c:pt idx="12">
                  <c:v>5754.56</c:v>
                </c:pt>
                <c:pt idx="13">
                  <c:v>5643.48</c:v>
                </c:pt>
                <c:pt idx="14">
                  <c:v>5479.48</c:v>
                </c:pt>
                <c:pt idx="15">
                  <c:v>5234.75</c:v>
                </c:pt>
                <c:pt idx="16">
                  <c:v>4861.84</c:v>
                </c:pt>
                <c:pt idx="17">
                  <c:v>4273.33</c:v>
                </c:pt>
                <c:pt idx="18">
                  <c:v>3261.49</c:v>
                </c:pt>
                <c:pt idx="19">
                  <c:v>163.40700000000001</c:v>
                </c:pt>
              </c:numCache>
            </c:numRef>
          </c:yVal>
          <c:smooth val="1"/>
          <c:extLst>
            <c:ext xmlns:c16="http://schemas.microsoft.com/office/drawing/2014/chart" uri="{C3380CC4-5D6E-409C-BE32-E72D297353CC}">
              <c16:uniqueId val="{000000E6-3287-4E2A-B91D-78A2FCB8ACF2}"/>
            </c:ext>
          </c:extLst>
        </c:ser>
        <c:ser>
          <c:idx val="8"/>
          <c:order val="8"/>
          <c:tx>
            <c:v>SOL 0</c:v>
          </c:tx>
          <c:marker>
            <c:symbol val="circle"/>
            <c:size val="8"/>
            <c:spPr>
              <a:solidFill>
                <a:srgbClr val="FF0000"/>
              </a:solidFill>
              <a:ln>
                <a:solidFill>
                  <a:srgbClr val="000000"/>
                </a:solidFill>
                <a:prstDash val="solid"/>
              </a:ln>
            </c:spPr>
          </c:marker>
          <c:xVal>
            <c:numRef>
              <c:f>'Downhole Equipment Sens'!$D$17</c:f>
              <c:numCache>
                <c:formatCode>#,##0.0</c:formatCode>
                <c:ptCount val="1"/>
                <c:pt idx="0">
                  <c:v>0.82004821299999997</c:v>
                </c:pt>
              </c:numCache>
            </c:numRef>
          </c:xVal>
          <c:yVal>
            <c:numRef>
              <c:f>'Downhole Equipment Sens'!$D$16</c:f>
              <c:numCache>
                <c:formatCode>#,##0.0</c:formatCode>
                <c:ptCount val="1"/>
                <c:pt idx="0">
                  <c:v>5936.380859375</c:v>
                </c:pt>
              </c:numCache>
            </c:numRef>
          </c:yVal>
          <c:smooth val="1"/>
          <c:extLst>
            <c:ext xmlns:c16="http://schemas.microsoft.com/office/drawing/2014/chart" uri="{C3380CC4-5D6E-409C-BE32-E72D297353CC}">
              <c16:uniqueId val="{000000E7-3287-4E2A-B91D-78A2FCB8ACF2}"/>
            </c:ext>
          </c:extLst>
        </c:ser>
        <c:ser>
          <c:idx val="9"/>
          <c:order val="9"/>
          <c:tx>
            <c:v>SOL 1</c:v>
          </c:tx>
          <c:marker>
            <c:symbol val="circle"/>
            <c:size val="8"/>
            <c:spPr>
              <a:solidFill>
                <a:srgbClr val="FFFF00"/>
              </a:solidFill>
              <a:ln>
                <a:solidFill>
                  <a:srgbClr val="000000"/>
                </a:solidFill>
                <a:prstDash val="solid"/>
              </a:ln>
            </c:spPr>
          </c:marker>
          <c:xVal>
            <c:numRef>
              <c:f>'Downhole Equipment Sens'!$E$17</c:f>
              <c:numCache>
                <c:formatCode>#,##0.0</c:formatCode>
                <c:ptCount val="1"/>
                <c:pt idx="0">
                  <c:v>0.93611574200000003</c:v>
                </c:pt>
              </c:numCache>
            </c:numRef>
          </c:xVal>
          <c:yVal>
            <c:numRef>
              <c:f>'Downhole Equipment Sens'!$E$16</c:f>
              <c:numCache>
                <c:formatCode>#,##0.0</c:formatCode>
                <c:ptCount val="1"/>
                <c:pt idx="0">
                  <c:v>5927.3178710940001</c:v>
                </c:pt>
              </c:numCache>
            </c:numRef>
          </c:yVal>
          <c:smooth val="1"/>
          <c:extLst>
            <c:ext xmlns:c16="http://schemas.microsoft.com/office/drawing/2014/chart" uri="{C3380CC4-5D6E-409C-BE32-E72D297353CC}">
              <c16:uniqueId val="{000000E8-3287-4E2A-B91D-78A2FCB8ACF2}"/>
            </c:ext>
          </c:extLst>
        </c:ser>
        <c:ser>
          <c:idx val="10"/>
          <c:order val="10"/>
          <c:tx>
            <c:v>SOL 2</c:v>
          </c:tx>
          <c:marker>
            <c:symbol val="circle"/>
            <c:size val="8"/>
            <c:spPr>
              <a:solidFill>
                <a:srgbClr val="0000FF"/>
              </a:solidFill>
              <a:ln>
                <a:solidFill>
                  <a:srgbClr val="000000"/>
                </a:solidFill>
                <a:prstDash val="solid"/>
              </a:ln>
            </c:spPr>
          </c:marker>
          <c:xVal>
            <c:numRef>
              <c:f>'Downhole Equipment Sens'!$F$17</c:f>
              <c:numCache>
                <c:formatCode>#,##0.0</c:formatCode>
                <c:ptCount val="1"/>
                <c:pt idx="0">
                  <c:v>3.1249055860000001</c:v>
                </c:pt>
              </c:numCache>
            </c:numRef>
          </c:xVal>
          <c:yVal>
            <c:numRef>
              <c:f>'Downhole Equipment Sens'!$F$16</c:f>
              <c:numCache>
                <c:formatCode>#,##0.0</c:formatCode>
                <c:ptCount val="1"/>
                <c:pt idx="0">
                  <c:v>4765.7333984380002</c:v>
                </c:pt>
              </c:numCache>
            </c:numRef>
          </c:yVal>
          <c:smooth val="1"/>
          <c:extLst>
            <c:ext xmlns:c16="http://schemas.microsoft.com/office/drawing/2014/chart" uri="{C3380CC4-5D6E-409C-BE32-E72D297353CC}">
              <c16:uniqueId val="{000000E9-3287-4E2A-B91D-78A2FCB8ACF2}"/>
            </c:ext>
          </c:extLst>
        </c:ser>
        <c:ser>
          <c:idx val="11"/>
          <c:order val="11"/>
          <c:tx>
            <c:v>SOL 3</c:v>
          </c:tx>
          <c:marker>
            <c:symbol val="circle"/>
            <c:size val="8"/>
            <c:spPr>
              <a:solidFill>
                <a:srgbClr val="00CC00"/>
              </a:solidFill>
              <a:ln>
                <a:solidFill>
                  <a:srgbClr val="000000"/>
                </a:solidFill>
                <a:prstDash val="solid"/>
              </a:ln>
            </c:spPr>
          </c:marker>
          <c:xVal>
            <c:numRef>
              <c:f>'Downhole Equipment Sens'!$G$17</c:f>
              <c:numCache>
                <c:formatCode>#,##0.0</c:formatCode>
                <c:ptCount val="1"/>
                <c:pt idx="0">
                  <c:v>0.73833221199999999</c:v>
                </c:pt>
              </c:numCache>
            </c:numRef>
          </c:xVal>
          <c:yVal>
            <c:numRef>
              <c:f>'Downhole Equipment Sens'!$G$16</c:f>
              <c:numCache>
                <c:formatCode>#,##0.0</c:formatCode>
                <c:ptCount val="1"/>
                <c:pt idx="0">
                  <c:v>5942.76171875</c:v>
                </c:pt>
              </c:numCache>
            </c:numRef>
          </c:yVal>
          <c:smooth val="1"/>
          <c:extLst>
            <c:ext xmlns:c16="http://schemas.microsoft.com/office/drawing/2014/chart" uri="{C3380CC4-5D6E-409C-BE32-E72D297353CC}">
              <c16:uniqueId val="{000000EA-3287-4E2A-B91D-78A2FCB8ACF2}"/>
            </c:ext>
          </c:extLst>
        </c:ser>
        <c:dLbls>
          <c:showLegendKey val="0"/>
          <c:showVal val="0"/>
          <c:showCatName val="0"/>
          <c:showSerName val="0"/>
          <c:showPercent val="0"/>
          <c:showBubbleSize val="0"/>
        </c:dLbls>
        <c:axId val="54568064"/>
        <c:axId val="54568640"/>
      </c:scatterChart>
      <c:valAx>
        <c:axId val="54568064"/>
        <c:scaling>
          <c:orientation val="minMax"/>
          <c:max val="10"/>
        </c:scaling>
        <c:delete val="0"/>
        <c:axPos val="b"/>
        <c:majorGridlines>
          <c:spPr>
            <a:ln w="3175">
              <a:solidFill>
                <a:schemeClr val="bg1">
                  <a:lumMod val="95000"/>
                </a:schemeClr>
              </a:solidFill>
              <a:prstDash val="sysDash"/>
            </a:ln>
          </c:spPr>
        </c:majorGridlines>
        <c:title>
          <c:tx>
            <c:rich>
              <a:bodyPr/>
              <a:lstStyle/>
              <a:p>
                <a:pPr>
                  <a:defRPr/>
                </a:pPr>
                <a:r>
                  <a:rPr lang="es-BO"/>
                  <a:t>Gas</a:t>
                </a:r>
                <a:r>
                  <a:rPr lang="es-BO" baseline="0"/>
                  <a:t> Rate, MMscfd</a:t>
                </a:r>
                <a:endParaRPr lang="es-BO"/>
              </a:p>
            </c:rich>
          </c:tx>
          <c:overlay val="0"/>
        </c:title>
        <c:numFmt formatCode="#,##0" sourceLinked="0"/>
        <c:majorTickMark val="out"/>
        <c:minorTickMark val="in"/>
        <c:tickLblPos val="nextTo"/>
        <c:spPr>
          <a:ln w="12700">
            <a:solidFill>
              <a:srgbClr val="000000"/>
            </a:solidFill>
            <a:prstDash val="solid"/>
          </a:ln>
        </c:spPr>
        <c:txPr>
          <a:bodyPr rot="0" vert="horz"/>
          <a:lstStyle/>
          <a:p>
            <a:pPr>
              <a:defRPr sz="800" b="1"/>
            </a:pPr>
            <a:endParaRPr lang="es-BO"/>
          </a:p>
        </c:txPr>
        <c:crossAx val="54568640"/>
        <c:crossesAt val="0"/>
        <c:crossBetween val="midCat"/>
      </c:valAx>
      <c:valAx>
        <c:axId val="54568640"/>
        <c:scaling>
          <c:orientation val="minMax"/>
          <c:min val="0"/>
        </c:scaling>
        <c:delete val="0"/>
        <c:axPos val="l"/>
        <c:majorGridlines>
          <c:spPr>
            <a:ln w="3175">
              <a:solidFill>
                <a:schemeClr val="bg1">
                  <a:lumMod val="95000"/>
                </a:schemeClr>
              </a:solidFill>
              <a:prstDash val="sysDash"/>
            </a:ln>
          </c:spPr>
        </c:majorGridlines>
        <c:title>
          <c:tx>
            <c:rich>
              <a:bodyPr/>
              <a:lstStyle/>
              <a:p>
                <a:pPr>
                  <a:defRPr/>
                </a:pPr>
                <a:r>
                  <a:rPr lang="es-BO"/>
                  <a:t>Pressure, psi</a:t>
                </a:r>
              </a:p>
            </c:rich>
          </c:tx>
          <c:overlay val="0"/>
        </c:title>
        <c:numFmt formatCode="#,##0" sourceLinked="0"/>
        <c:majorTickMark val="out"/>
        <c:minorTickMark val="in"/>
        <c:tickLblPos val="nextTo"/>
        <c:spPr>
          <a:ln w="12700">
            <a:solidFill>
              <a:srgbClr val="000000"/>
            </a:solidFill>
            <a:prstDash val="solid"/>
          </a:ln>
        </c:spPr>
        <c:txPr>
          <a:bodyPr rot="0" vert="horz"/>
          <a:lstStyle/>
          <a:p>
            <a:pPr>
              <a:defRPr sz="800" b="1"/>
            </a:pPr>
            <a:endParaRPr lang="es-BO"/>
          </a:p>
        </c:txPr>
        <c:crossAx val="54568064"/>
        <c:crossesAt val="0"/>
        <c:crossBetween val="midCat"/>
      </c:valAx>
      <c:spPr>
        <a:solidFill>
          <a:srgbClr val="FFFFFF"/>
        </a:solidFill>
        <a:ln w="25400">
          <a:noFill/>
        </a:ln>
      </c:spPr>
    </c:plotArea>
    <c:plotVisOnly val="1"/>
    <c:dispBlanksAs val="gap"/>
    <c:showDLblsOverMax val="0"/>
  </c:chart>
  <c:spPr>
    <a:solidFill>
      <a:schemeClr val="bg1"/>
    </a:solidFill>
    <a:ln w="9525" cap="flat" cmpd="sng" algn="ctr">
      <a:solidFill>
        <a:schemeClr val="bg1">
          <a:lumMod val="75000"/>
        </a:schemeClr>
      </a:solidFill>
      <a:prstDash val="solid"/>
    </a:ln>
    <a:effectLst/>
  </c:spPr>
  <c:txPr>
    <a:bodyPr/>
    <a:lstStyle/>
    <a:p>
      <a:pPr>
        <a:defRPr>
          <a:solidFill>
            <a:schemeClr val="dk1"/>
          </a:solidFill>
          <a:latin typeface="+mn-lt"/>
          <a:ea typeface="+mn-ea"/>
          <a:cs typeface="+mn-cs"/>
        </a:defRPr>
      </a:pPr>
      <a:endParaRPr lang="es-BO"/>
    </a:p>
  </c:txPr>
  <c:printSettings>
    <c:headerFooter alignWithMargins="0"/>
    <c:pageMargins b="1" l="0.75" r="0.75" t="1" header="0.5" footer="0.5"/>
    <c:pageSetup paperSize="9" orientation="landscape" horizontalDpi="1200" verticalDpi="1200"/>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solidFill>
                  <a:srgbClr val="0000FF"/>
                </a:solidFill>
              </a:defRPr>
            </a:pPr>
            <a:r>
              <a:rPr lang="es-BO" sz="1200">
                <a:solidFill>
                  <a:srgbClr val="0000FF"/>
                </a:solidFill>
              </a:rPr>
              <a:t>Well Pressure Profile</a:t>
            </a:r>
          </a:p>
        </c:rich>
      </c:tx>
      <c:layout>
        <c:manualLayout>
          <c:xMode val="edge"/>
          <c:yMode val="edge"/>
          <c:x val="1.5900502063813297E-5"/>
          <c:y val="3.6241651349777247E-3"/>
        </c:manualLayout>
      </c:layout>
      <c:overlay val="0"/>
    </c:title>
    <c:autoTitleDeleted val="0"/>
    <c:plotArea>
      <c:layout>
        <c:manualLayout>
          <c:layoutTarget val="inner"/>
          <c:xMode val="edge"/>
          <c:yMode val="edge"/>
          <c:x val="0.13633082795738866"/>
          <c:y val="0.1153377335186043"/>
          <c:w val="0.81602046710718157"/>
          <c:h val="0.79581230917563883"/>
        </c:manualLayout>
      </c:layout>
      <c:scatterChart>
        <c:scatterStyle val="smoothMarker"/>
        <c:varyColors val="0"/>
        <c:ser>
          <c:idx val="0"/>
          <c:order val="0"/>
          <c:tx>
            <c:v>Case 0</c:v>
          </c:tx>
          <c:spPr>
            <a:ln w="12700">
              <a:solidFill>
                <a:srgbClr val="FF0000"/>
              </a:solidFill>
            </a:ln>
          </c:spPr>
          <c:marker>
            <c:symbol val="none"/>
          </c:marker>
          <c:xVal>
            <c:numRef>
              <c:f>'Downhole Equipment Sens'!$AG$40:$AG$129</c:f>
              <c:numCache>
                <c:formatCode>0.0;\-0.0;"--"</c:formatCode>
                <c:ptCount val="90"/>
                <c:pt idx="0" formatCode="General">
                  <c:v>500</c:v>
                </c:pt>
                <c:pt idx="1">
                  <c:v>500.00400000000002</c:v>
                </c:pt>
                <c:pt idx="2">
                  <c:v>500.00799999999998</c:v>
                </c:pt>
                <c:pt idx="3">
                  <c:v>766.61199999999997</c:v>
                </c:pt>
                <c:pt idx="4">
                  <c:v>766.61199999999997</c:v>
                </c:pt>
                <c:pt idx="5">
                  <c:v>772.93200000000002</c:v>
                </c:pt>
                <c:pt idx="6">
                  <c:v>779.25900000000001</c:v>
                </c:pt>
                <c:pt idx="7">
                  <c:v>785.59299999999996</c:v>
                </c:pt>
                <c:pt idx="8">
                  <c:v>791.93299999999999</c:v>
                </c:pt>
                <c:pt idx="9">
                  <c:v>798.279</c:v>
                </c:pt>
                <c:pt idx="10">
                  <c:v>804.63199999999995</c:v>
                </c:pt>
                <c:pt idx="11">
                  <c:v>810.99099999999999</c:v>
                </c:pt>
                <c:pt idx="16">
                  <c:v>817.35699999999997</c:v>
                </c:pt>
                <c:pt idx="17">
                  <c:v>823.72900000000004</c:v>
                </c:pt>
                <c:pt idx="18">
                  <c:v>830.10699999999997</c:v>
                </c:pt>
                <c:pt idx="19">
                  <c:v>836.49199999999996</c:v>
                </c:pt>
                <c:pt idx="20">
                  <c:v>842.88300000000004</c:v>
                </c:pt>
                <c:pt idx="21">
                  <c:v>849.28099999999995</c:v>
                </c:pt>
                <c:pt idx="22">
                  <c:v>855.68399999999997</c:v>
                </c:pt>
                <c:pt idx="23">
                  <c:v>862.09500000000003</c:v>
                </c:pt>
                <c:pt idx="24">
                  <c:v>862.46100000000001</c:v>
                </c:pt>
                <c:pt idx="25">
                  <c:v>862.827</c:v>
                </c:pt>
                <c:pt idx="26">
                  <c:v>865.49199999999996</c:v>
                </c:pt>
                <c:pt idx="27">
                  <c:v>868.15800000000002</c:v>
                </c:pt>
                <c:pt idx="28">
                  <c:v>868.26199999999994</c:v>
                </c:pt>
                <c:pt idx="29">
                  <c:v>868.36599999999999</c:v>
                </c:pt>
                <c:pt idx="30">
                  <c:v>869.19299999999998</c:v>
                </c:pt>
                <c:pt idx="31">
                  <c:v>870.02099999999996</c:v>
                </c:pt>
                <c:pt idx="32">
                  <c:v>870.25</c:v>
                </c:pt>
                <c:pt idx="33">
                  <c:v>870.47799999999995</c:v>
                </c:pt>
                <c:pt idx="34">
                  <c:v>870.49800000000005</c:v>
                </c:pt>
                <c:pt idx="35">
                  <c:v>870.51700000000005</c:v>
                </c:pt>
                <c:pt idx="36">
                  <c:v>3829.06</c:v>
                </c:pt>
                <c:pt idx="37">
                  <c:v>3831.45</c:v>
                </c:pt>
                <c:pt idx="38">
                  <c:v>3833.84</c:v>
                </c:pt>
                <c:pt idx="39">
                  <c:v>3836.76</c:v>
                </c:pt>
                <c:pt idx="40">
                  <c:v>3839.67</c:v>
                </c:pt>
                <c:pt idx="41">
                  <c:v>3842.28</c:v>
                </c:pt>
                <c:pt idx="42">
                  <c:v>3844.89</c:v>
                </c:pt>
                <c:pt idx="43">
                  <c:v>3848.16</c:v>
                </c:pt>
                <c:pt idx="44">
                  <c:v>3851.44</c:v>
                </c:pt>
                <c:pt idx="45">
                  <c:v>3853.24</c:v>
                </c:pt>
                <c:pt idx="46">
                  <c:v>3855.04</c:v>
                </c:pt>
                <c:pt idx="47">
                  <c:v>3857.86</c:v>
                </c:pt>
                <c:pt idx="48">
                  <c:v>3860.68</c:v>
                </c:pt>
                <c:pt idx="49">
                  <c:v>3863.11</c:v>
                </c:pt>
                <c:pt idx="50">
                  <c:v>3865.54</c:v>
                </c:pt>
                <c:pt idx="51">
                  <c:v>3868</c:v>
                </c:pt>
                <c:pt idx="52">
                  <c:v>3870.45</c:v>
                </c:pt>
                <c:pt idx="53">
                  <c:v>3891.58</c:v>
                </c:pt>
                <c:pt idx="54">
                  <c:v>3912.73</c:v>
                </c:pt>
                <c:pt idx="55">
                  <c:v>3930.43</c:v>
                </c:pt>
                <c:pt idx="56">
                  <c:v>3948.15</c:v>
                </c:pt>
                <c:pt idx="57">
                  <c:v>4007.04</c:v>
                </c:pt>
                <c:pt idx="58">
                  <c:v>4066.03</c:v>
                </c:pt>
                <c:pt idx="59">
                  <c:v>4125.09</c:v>
                </c:pt>
                <c:pt idx="60">
                  <c:v>4184.25</c:v>
                </c:pt>
                <c:pt idx="61">
                  <c:v>4243.4799999999996</c:v>
                </c:pt>
                <c:pt idx="62">
                  <c:v>4302.79</c:v>
                </c:pt>
                <c:pt idx="63">
                  <c:v>4362.18</c:v>
                </c:pt>
                <c:pt idx="64">
                  <c:v>4421.6400000000003</c:v>
                </c:pt>
                <c:pt idx="65">
                  <c:v>4481.18</c:v>
                </c:pt>
                <c:pt idx="66">
                  <c:v>4540.79</c:v>
                </c:pt>
                <c:pt idx="67">
                  <c:v>4600.46</c:v>
                </c:pt>
                <c:pt idx="68">
                  <c:v>4660.2</c:v>
                </c:pt>
                <c:pt idx="69">
                  <c:v>4720</c:v>
                </c:pt>
                <c:pt idx="70">
                  <c:v>4779.8500000000004</c:v>
                </c:pt>
                <c:pt idx="71">
                  <c:v>4839.7299999999996</c:v>
                </c:pt>
                <c:pt idx="72">
                  <c:v>4891.8100000000004</c:v>
                </c:pt>
                <c:pt idx="73">
                  <c:v>4943.92</c:v>
                </c:pt>
                <c:pt idx="74">
                  <c:v>4996.0600000000004</c:v>
                </c:pt>
                <c:pt idx="75">
                  <c:v>5048.22</c:v>
                </c:pt>
                <c:pt idx="76">
                  <c:v>5100.42</c:v>
                </c:pt>
                <c:pt idx="77">
                  <c:v>5152.63</c:v>
                </c:pt>
                <c:pt idx="78">
                  <c:v>5204.88</c:v>
                </c:pt>
                <c:pt idx="79">
                  <c:v>5257.14</c:v>
                </c:pt>
                <c:pt idx="80">
                  <c:v>5309.44</c:v>
                </c:pt>
                <c:pt idx="81">
                  <c:v>5361.75</c:v>
                </c:pt>
                <c:pt idx="82">
                  <c:v>5414.08</c:v>
                </c:pt>
                <c:pt idx="83">
                  <c:v>5466.43</c:v>
                </c:pt>
                <c:pt idx="84">
                  <c:v>5518.77</c:v>
                </c:pt>
                <c:pt idx="85">
                  <c:v>5571.09</c:v>
                </c:pt>
                <c:pt idx="86">
                  <c:v>5620.52</c:v>
                </c:pt>
                <c:pt idx="87">
                  <c:v>5669.96</c:v>
                </c:pt>
                <c:pt idx="88">
                  <c:v>5719.42</c:v>
                </c:pt>
                <c:pt idx="89">
                  <c:v>5768.9</c:v>
                </c:pt>
              </c:numCache>
            </c:numRef>
          </c:xVal>
          <c:yVal>
            <c:numRef>
              <c:f>'Downhole Equipment Sens'!$AF$40:$AF$129</c:f>
              <c:numCache>
                <c:formatCode>0.0;\-0.0;"--"</c:formatCode>
                <c:ptCount val="90"/>
                <c:pt idx="0" formatCode="General">
                  <c:v>0</c:v>
                </c:pt>
                <c:pt idx="5">
                  <c:v>74.748699999999999</c:v>
                </c:pt>
                <c:pt idx="6">
                  <c:v>149.49700000000001</c:v>
                </c:pt>
                <c:pt idx="7">
                  <c:v>224.24600000000001</c:v>
                </c:pt>
                <c:pt idx="8">
                  <c:v>298.995</c:v>
                </c:pt>
                <c:pt idx="9">
                  <c:v>373.74400000000003</c:v>
                </c:pt>
                <c:pt idx="10">
                  <c:v>448.49200000000002</c:v>
                </c:pt>
                <c:pt idx="11">
                  <c:v>523.24099999999999</c:v>
                </c:pt>
                <c:pt idx="16">
                  <c:v>597.99</c:v>
                </c:pt>
                <c:pt idx="17">
                  <c:v>672.73900000000003</c:v>
                </c:pt>
                <c:pt idx="18">
                  <c:v>747.48699999999997</c:v>
                </c:pt>
                <c:pt idx="19">
                  <c:v>822.23599999999999</c:v>
                </c:pt>
                <c:pt idx="20">
                  <c:v>896.98500000000001</c:v>
                </c:pt>
                <c:pt idx="21">
                  <c:v>971.73400000000004</c:v>
                </c:pt>
                <c:pt idx="22">
                  <c:v>1046.48</c:v>
                </c:pt>
                <c:pt idx="23">
                  <c:v>1121.23</c:v>
                </c:pt>
                <c:pt idx="24">
                  <c:v>1125.5</c:v>
                </c:pt>
                <c:pt idx="25">
                  <c:v>1129.76</c:v>
                </c:pt>
                <c:pt idx="26">
                  <c:v>1160.8</c:v>
                </c:pt>
                <c:pt idx="27">
                  <c:v>1191.8399999999999</c:v>
                </c:pt>
                <c:pt idx="28">
                  <c:v>1193.04</c:v>
                </c:pt>
                <c:pt idx="29">
                  <c:v>1194.25</c:v>
                </c:pt>
                <c:pt idx="30">
                  <c:v>1203.8800000000001</c:v>
                </c:pt>
                <c:pt idx="31">
                  <c:v>1213.51</c:v>
                </c:pt>
                <c:pt idx="32">
                  <c:v>1216.17</c:v>
                </c:pt>
                <c:pt idx="33">
                  <c:v>1218.82</c:v>
                </c:pt>
                <c:pt idx="34">
                  <c:v>1219.05</c:v>
                </c:pt>
                <c:pt idx="35">
                  <c:v>1219.28</c:v>
                </c:pt>
                <c:pt idx="36">
                  <c:v>1219.28</c:v>
                </c:pt>
                <c:pt idx="37">
                  <c:v>1221.67</c:v>
                </c:pt>
                <c:pt idx="38">
                  <c:v>1224.06</c:v>
                </c:pt>
                <c:pt idx="39">
                  <c:v>1226.92</c:v>
                </c:pt>
                <c:pt idx="40">
                  <c:v>1229.79</c:v>
                </c:pt>
                <c:pt idx="41">
                  <c:v>1232.32</c:v>
                </c:pt>
                <c:pt idx="42">
                  <c:v>1234.8499999999999</c:v>
                </c:pt>
                <c:pt idx="43">
                  <c:v>1238.02</c:v>
                </c:pt>
                <c:pt idx="44">
                  <c:v>1241.18</c:v>
                </c:pt>
                <c:pt idx="45">
                  <c:v>1242.9000000000001</c:v>
                </c:pt>
                <c:pt idx="46">
                  <c:v>1244.6300000000001</c:v>
                </c:pt>
                <c:pt idx="47">
                  <c:v>1247.33</c:v>
                </c:pt>
                <c:pt idx="48">
                  <c:v>1250.03</c:v>
                </c:pt>
                <c:pt idx="49">
                  <c:v>1252.3599999999999</c:v>
                </c:pt>
                <c:pt idx="50">
                  <c:v>1254.69</c:v>
                </c:pt>
                <c:pt idx="51">
                  <c:v>1257.04</c:v>
                </c:pt>
                <c:pt idx="52">
                  <c:v>1259.3900000000001</c:v>
                </c:pt>
                <c:pt idx="53">
                  <c:v>1279.5899999999999</c:v>
                </c:pt>
                <c:pt idx="54">
                  <c:v>1299.8</c:v>
                </c:pt>
                <c:pt idx="55">
                  <c:v>1316.7</c:v>
                </c:pt>
                <c:pt idx="56">
                  <c:v>1333.6</c:v>
                </c:pt>
                <c:pt idx="57">
                  <c:v>1409.21</c:v>
                </c:pt>
                <c:pt idx="58">
                  <c:v>1484.82</c:v>
                </c:pt>
                <c:pt idx="59">
                  <c:v>1560.43</c:v>
                </c:pt>
                <c:pt idx="60">
                  <c:v>1636.04</c:v>
                </c:pt>
                <c:pt idx="61">
                  <c:v>1711.66</c:v>
                </c:pt>
                <c:pt idx="62">
                  <c:v>1787.27</c:v>
                </c:pt>
                <c:pt idx="63">
                  <c:v>1862.88</c:v>
                </c:pt>
                <c:pt idx="64">
                  <c:v>1938.49</c:v>
                </c:pt>
                <c:pt idx="65">
                  <c:v>2014.1</c:v>
                </c:pt>
                <c:pt idx="66">
                  <c:v>2089.71</c:v>
                </c:pt>
                <c:pt idx="67">
                  <c:v>2165.33</c:v>
                </c:pt>
                <c:pt idx="68">
                  <c:v>2240.94</c:v>
                </c:pt>
                <c:pt idx="69">
                  <c:v>2316.5500000000002</c:v>
                </c:pt>
                <c:pt idx="70">
                  <c:v>2392.16</c:v>
                </c:pt>
                <c:pt idx="71">
                  <c:v>2467.77</c:v>
                </c:pt>
                <c:pt idx="72">
                  <c:v>2539.1999999999998</c:v>
                </c:pt>
                <c:pt idx="73">
                  <c:v>2610.63</c:v>
                </c:pt>
                <c:pt idx="74">
                  <c:v>2682.06</c:v>
                </c:pt>
                <c:pt idx="75">
                  <c:v>2753.49</c:v>
                </c:pt>
                <c:pt idx="76">
                  <c:v>2824.92</c:v>
                </c:pt>
                <c:pt idx="77">
                  <c:v>2896.34</c:v>
                </c:pt>
                <c:pt idx="78">
                  <c:v>2967.77</c:v>
                </c:pt>
                <c:pt idx="79">
                  <c:v>3039.2</c:v>
                </c:pt>
                <c:pt idx="80">
                  <c:v>3110.63</c:v>
                </c:pt>
                <c:pt idx="81">
                  <c:v>3182.06</c:v>
                </c:pt>
                <c:pt idx="82">
                  <c:v>3253.49</c:v>
                </c:pt>
                <c:pt idx="83">
                  <c:v>3324.92</c:v>
                </c:pt>
                <c:pt idx="84">
                  <c:v>3396.34</c:v>
                </c:pt>
                <c:pt idx="85">
                  <c:v>3467.77</c:v>
                </c:pt>
                <c:pt idx="86">
                  <c:v>3542.77</c:v>
                </c:pt>
                <c:pt idx="87">
                  <c:v>3617.77</c:v>
                </c:pt>
                <c:pt idx="88">
                  <c:v>3692.77</c:v>
                </c:pt>
                <c:pt idx="89">
                  <c:v>3767.77</c:v>
                </c:pt>
              </c:numCache>
            </c:numRef>
          </c:yVal>
          <c:smooth val="1"/>
          <c:extLst>
            <c:ext xmlns:c16="http://schemas.microsoft.com/office/drawing/2014/chart" uri="{C3380CC4-5D6E-409C-BE32-E72D297353CC}">
              <c16:uniqueId val="{00000045-75FB-4B9B-8611-8D7716F32BE6}"/>
            </c:ext>
          </c:extLst>
        </c:ser>
        <c:ser>
          <c:idx val="1"/>
          <c:order val="1"/>
          <c:tx>
            <c:v>Case 1</c:v>
          </c:tx>
          <c:spPr>
            <a:ln w="12700">
              <a:solidFill>
                <a:srgbClr val="FF0000"/>
              </a:solidFill>
            </a:ln>
          </c:spPr>
          <c:marker>
            <c:symbol val="none"/>
          </c:marker>
          <c:xVal>
            <c:numRef>
              <c:f>'Downhole Equipment Sens'!$BK$40:$BK$129</c:f>
              <c:numCache>
                <c:formatCode>0.0;\-0.0;"--"</c:formatCode>
                <c:ptCount val="90"/>
                <c:pt idx="0" formatCode="General">
                  <c:v>500</c:v>
                </c:pt>
                <c:pt idx="1">
                  <c:v>500.005</c:v>
                </c:pt>
                <c:pt idx="2">
                  <c:v>500.01</c:v>
                </c:pt>
                <c:pt idx="3">
                  <c:v>855.31700000000001</c:v>
                </c:pt>
                <c:pt idx="4">
                  <c:v>855.31700000000001</c:v>
                </c:pt>
                <c:pt idx="5">
                  <c:v>862.46699999999998</c:v>
                </c:pt>
                <c:pt idx="6">
                  <c:v>869.62300000000005</c:v>
                </c:pt>
                <c:pt idx="7">
                  <c:v>876.78499999999997</c:v>
                </c:pt>
                <c:pt idx="8">
                  <c:v>883.95399999999995</c:v>
                </c:pt>
                <c:pt idx="9">
                  <c:v>891.12900000000002</c:v>
                </c:pt>
                <c:pt idx="10">
                  <c:v>898.31</c:v>
                </c:pt>
                <c:pt idx="11">
                  <c:v>905.49699999999996</c:v>
                </c:pt>
                <c:pt idx="12">
                  <c:v>912.69100000000003</c:v>
                </c:pt>
                <c:pt idx="16">
                  <c:v>919.89</c:v>
                </c:pt>
                <c:pt idx="17">
                  <c:v>927.096</c:v>
                </c:pt>
                <c:pt idx="18">
                  <c:v>934.30799999999999</c:v>
                </c:pt>
                <c:pt idx="19">
                  <c:v>941.52599999999995</c:v>
                </c:pt>
                <c:pt idx="20">
                  <c:v>948.75</c:v>
                </c:pt>
                <c:pt idx="21">
                  <c:v>955.98099999999999</c:v>
                </c:pt>
                <c:pt idx="22">
                  <c:v>963.21900000000005</c:v>
                </c:pt>
                <c:pt idx="23">
                  <c:v>963.63199999999995</c:v>
                </c:pt>
                <c:pt idx="24">
                  <c:v>964.04600000000005</c:v>
                </c:pt>
                <c:pt idx="25">
                  <c:v>967.05399999999997</c:v>
                </c:pt>
                <c:pt idx="26">
                  <c:v>970.06399999999996</c:v>
                </c:pt>
                <c:pt idx="27">
                  <c:v>970.18100000000004</c:v>
                </c:pt>
                <c:pt idx="28">
                  <c:v>970.298</c:v>
                </c:pt>
                <c:pt idx="29">
                  <c:v>971.23299999999995</c:v>
                </c:pt>
                <c:pt idx="30">
                  <c:v>972.16700000000003</c:v>
                </c:pt>
                <c:pt idx="31">
                  <c:v>972.42499999999995</c:v>
                </c:pt>
                <c:pt idx="32">
                  <c:v>972.68299999999999</c:v>
                </c:pt>
                <c:pt idx="33">
                  <c:v>972.93700000000001</c:v>
                </c:pt>
                <c:pt idx="34">
                  <c:v>973.19100000000003</c:v>
                </c:pt>
                <c:pt idx="35">
                  <c:v>973.46900000000005</c:v>
                </c:pt>
                <c:pt idx="36">
                  <c:v>973.74699999999996</c:v>
                </c:pt>
                <c:pt idx="37">
                  <c:v>973.99300000000005</c:v>
                </c:pt>
                <c:pt idx="38">
                  <c:v>974.23900000000003</c:v>
                </c:pt>
                <c:pt idx="39">
                  <c:v>974.54600000000005</c:v>
                </c:pt>
                <c:pt idx="40">
                  <c:v>974.85299999999995</c:v>
                </c:pt>
                <c:pt idx="41">
                  <c:v>975.02099999999996</c:v>
                </c:pt>
                <c:pt idx="42">
                  <c:v>975.18899999999996</c:v>
                </c:pt>
                <c:pt idx="43">
                  <c:v>975.452</c:v>
                </c:pt>
                <c:pt idx="44">
                  <c:v>975.71400000000006</c:v>
                </c:pt>
                <c:pt idx="45">
                  <c:v>975.94</c:v>
                </c:pt>
                <c:pt idx="46">
                  <c:v>976.16700000000003</c:v>
                </c:pt>
                <c:pt idx="47">
                  <c:v>976.39499999999998</c:v>
                </c:pt>
                <c:pt idx="48">
                  <c:v>976.62300000000005</c:v>
                </c:pt>
                <c:pt idx="49">
                  <c:v>978.58699999999999</c:v>
                </c:pt>
                <c:pt idx="50">
                  <c:v>980.55200000000002</c:v>
                </c:pt>
                <c:pt idx="51">
                  <c:v>982.19399999999996</c:v>
                </c:pt>
                <c:pt idx="52">
                  <c:v>983.83699999999999</c:v>
                </c:pt>
                <c:pt idx="53">
                  <c:v>991.18</c:v>
                </c:pt>
                <c:pt idx="54">
                  <c:v>998.53</c:v>
                </c:pt>
                <c:pt idx="55">
                  <c:v>1005.89</c:v>
                </c:pt>
                <c:pt idx="56">
                  <c:v>1013.25</c:v>
                </c:pt>
                <c:pt idx="57">
                  <c:v>1020.62</c:v>
                </c:pt>
                <c:pt idx="58">
                  <c:v>1027.99</c:v>
                </c:pt>
                <c:pt idx="59">
                  <c:v>1035.3699999999999</c:v>
                </c:pt>
                <c:pt idx="60">
                  <c:v>1042.76</c:v>
                </c:pt>
                <c:pt idx="61">
                  <c:v>1050.1500000000001</c:v>
                </c:pt>
                <c:pt idx="62">
                  <c:v>1057.55</c:v>
                </c:pt>
                <c:pt idx="63">
                  <c:v>1064.95</c:v>
                </c:pt>
                <c:pt idx="64">
                  <c:v>1072.3599999999999</c:v>
                </c:pt>
                <c:pt idx="65">
                  <c:v>1079.77</c:v>
                </c:pt>
                <c:pt idx="66">
                  <c:v>1087.19</c:v>
                </c:pt>
                <c:pt idx="67">
                  <c:v>1094.6099999999999</c:v>
                </c:pt>
                <c:pt idx="68">
                  <c:v>4834.25</c:v>
                </c:pt>
                <c:pt idx="69">
                  <c:v>4885.8</c:v>
                </c:pt>
                <c:pt idx="70">
                  <c:v>4937.38</c:v>
                </c:pt>
                <c:pt idx="71">
                  <c:v>4988.99</c:v>
                </c:pt>
                <c:pt idx="72">
                  <c:v>5040.62</c:v>
                </c:pt>
                <c:pt idx="73">
                  <c:v>5092.2700000000004</c:v>
                </c:pt>
                <c:pt idx="74">
                  <c:v>5143.95</c:v>
                </c:pt>
                <c:pt idx="75">
                  <c:v>5195.6499999999996</c:v>
                </c:pt>
                <c:pt idx="76">
                  <c:v>5247.38</c:v>
                </c:pt>
                <c:pt idx="77">
                  <c:v>5299.12</c:v>
                </c:pt>
                <c:pt idx="78">
                  <c:v>5350.89</c:v>
                </c:pt>
                <c:pt idx="79">
                  <c:v>5402.67</c:v>
                </c:pt>
                <c:pt idx="80">
                  <c:v>5454.46</c:v>
                </c:pt>
                <c:pt idx="81">
                  <c:v>5506.24</c:v>
                </c:pt>
                <c:pt idx="82">
                  <c:v>5558</c:v>
                </c:pt>
                <c:pt idx="83">
                  <c:v>5607.02</c:v>
                </c:pt>
                <c:pt idx="84">
                  <c:v>5656.06</c:v>
                </c:pt>
                <c:pt idx="85">
                  <c:v>5705.12</c:v>
                </c:pt>
                <c:pt idx="86">
                  <c:v>5754.21</c:v>
                </c:pt>
                <c:pt idx="87">
                  <c:v>5797.89</c:v>
                </c:pt>
                <c:pt idx="88">
                  <c:v>5841.63</c:v>
                </c:pt>
                <c:pt idx="89">
                  <c:v>5885.48</c:v>
                </c:pt>
              </c:numCache>
            </c:numRef>
          </c:xVal>
          <c:yVal>
            <c:numRef>
              <c:f>'Downhole Equipment Sens'!$BJ$40:$BJ$129</c:f>
              <c:numCache>
                <c:formatCode>0.0;\-0.0;"--"</c:formatCode>
                <c:ptCount val="90"/>
                <c:pt idx="0" formatCode="General">
                  <c:v>0</c:v>
                </c:pt>
                <c:pt idx="5">
                  <c:v>74.748699999999999</c:v>
                </c:pt>
                <c:pt idx="6">
                  <c:v>149.49700000000001</c:v>
                </c:pt>
                <c:pt idx="7">
                  <c:v>224.24600000000001</c:v>
                </c:pt>
                <c:pt idx="8">
                  <c:v>298.995</c:v>
                </c:pt>
                <c:pt idx="9">
                  <c:v>373.74400000000003</c:v>
                </c:pt>
                <c:pt idx="10">
                  <c:v>448.49200000000002</c:v>
                </c:pt>
                <c:pt idx="11">
                  <c:v>523.24099999999999</c:v>
                </c:pt>
                <c:pt idx="12">
                  <c:v>597.99</c:v>
                </c:pt>
                <c:pt idx="16">
                  <c:v>672.73900000000003</c:v>
                </c:pt>
                <c:pt idx="17">
                  <c:v>747.48699999999997</c:v>
                </c:pt>
                <c:pt idx="18">
                  <c:v>822.23599999999999</c:v>
                </c:pt>
                <c:pt idx="19">
                  <c:v>896.98500000000001</c:v>
                </c:pt>
                <c:pt idx="20">
                  <c:v>971.73400000000004</c:v>
                </c:pt>
                <c:pt idx="21">
                  <c:v>1046.48</c:v>
                </c:pt>
                <c:pt idx="22">
                  <c:v>1121.23</c:v>
                </c:pt>
                <c:pt idx="23">
                  <c:v>1125.5</c:v>
                </c:pt>
                <c:pt idx="24">
                  <c:v>1129.76</c:v>
                </c:pt>
                <c:pt idx="25">
                  <c:v>1160.8</c:v>
                </c:pt>
                <c:pt idx="26">
                  <c:v>1191.8399999999999</c:v>
                </c:pt>
                <c:pt idx="27">
                  <c:v>1193.04</c:v>
                </c:pt>
                <c:pt idx="28">
                  <c:v>1194.25</c:v>
                </c:pt>
                <c:pt idx="29">
                  <c:v>1203.8800000000001</c:v>
                </c:pt>
                <c:pt idx="30">
                  <c:v>1213.51</c:v>
                </c:pt>
                <c:pt idx="31">
                  <c:v>1216.17</c:v>
                </c:pt>
                <c:pt idx="32">
                  <c:v>1218.82</c:v>
                </c:pt>
                <c:pt idx="33">
                  <c:v>1221.44</c:v>
                </c:pt>
                <c:pt idx="34">
                  <c:v>1224.06</c:v>
                </c:pt>
                <c:pt idx="35">
                  <c:v>1226.92</c:v>
                </c:pt>
                <c:pt idx="36">
                  <c:v>1229.79</c:v>
                </c:pt>
                <c:pt idx="37">
                  <c:v>1232.32</c:v>
                </c:pt>
                <c:pt idx="38">
                  <c:v>1234.8499999999999</c:v>
                </c:pt>
                <c:pt idx="39">
                  <c:v>1238.02</c:v>
                </c:pt>
                <c:pt idx="40">
                  <c:v>1241.18</c:v>
                </c:pt>
                <c:pt idx="41">
                  <c:v>1242.9000000000001</c:v>
                </c:pt>
                <c:pt idx="42">
                  <c:v>1244.6300000000001</c:v>
                </c:pt>
                <c:pt idx="43">
                  <c:v>1247.33</c:v>
                </c:pt>
                <c:pt idx="44">
                  <c:v>1250.03</c:v>
                </c:pt>
                <c:pt idx="45">
                  <c:v>1252.3599999999999</c:v>
                </c:pt>
                <c:pt idx="46">
                  <c:v>1254.69</c:v>
                </c:pt>
                <c:pt idx="47">
                  <c:v>1257.04</c:v>
                </c:pt>
                <c:pt idx="48">
                  <c:v>1259.3900000000001</c:v>
                </c:pt>
                <c:pt idx="49">
                  <c:v>1279.5899999999999</c:v>
                </c:pt>
                <c:pt idx="50">
                  <c:v>1299.8</c:v>
                </c:pt>
                <c:pt idx="51">
                  <c:v>1316.7</c:v>
                </c:pt>
                <c:pt idx="52">
                  <c:v>1333.6</c:v>
                </c:pt>
                <c:pt idx="53">
                  <c:v>1409.21</c:v>
                </c:pt>
                <c:pt idx="54">
                  <c:v>1484.82</c:v>
                </c:pt>
                <c:pt idx="55">
                  <c:v>1560.43</c:v>
                </c:pt>
                <c:pt idx="56">
                  <c:v>1636.04</c:v>
                </c:pt>
                <c:pt idx="57">
                  <c:v>1711.66</c:v>
                </c:pt>
                <c:pt idx="58">
                  <c:v>1787.27</c:v>
                </c:pt>
                <c:pt idx="59">
                  <c:v>1862.88</c:v>
                </c:pt>
                <c:pt idx="60">
                  <c:v>1938.49</c:v>
                </c:pt>
                <c:pt idx="61">
                  <c:v>2014.1</c:v>
                </c:pt>
                <c:pt idx="62">
                  <c:v>2089.71</c:v>
                </c:pt>
                <c:pt idx="63">
                  <c:v>2165.33</c:v>
                </c:pt>
                <c:pt idx="64">
                  <c:v>2240.94</c:v>
                </c:pt>
                <c:pt idx="65">
                  <c:v>2316.5500000000002</c:v>
                </c:pt>
                <c:pt idx="66">
                  <c:v>2392.16</c:v>
                </c:pt>
                <c:pt idx="67">
                  <c:v>2467.77</c:v>
                </c:pt>
                <c:pt idx="68">
                  <c:v>2467.77</c:v>
                </c:pt>
                <c:pt idx="69">
                  <c:v>2539.1999999999998</c:v>
                </c:pt>
                <c:pt idx="70">
                  <c:v>2610.63</c:v>
                </c:pt>
                <c:pt idx="71">
                  <c:v>2682.06</c:v>
                </c:pt>
                <c:pt idx="72">
                  <c:v>2753.48</c:v>
                </c:pt>
                <c:pt idx="73">
                  <c:v>2824.91</c:v>
                </c:pt>
                <c:pt idx="74">
                  <c:v>2896.34</c:v>
                </c:pt>
                <c:pt idx="75">
                  <c:v>2967.77</c:v>
                </c:pt>
                <c:pt idx="76">
                  <c:v>3039.19</c:v>
                </c:pt>
                <c:pt idx="77">
                  <c:v>3110.62</c:v>
                </c:pt>
                <c:pt idx="78">
                  <c:v>3182.05</c:v>
                </c:pt>
                <c:pt idx="79">
                  <c:v>3253.48</c:v>
                </c:pt>
                <c:pt idx="80">
                  <c:v>3324.9</c:v>
                </c:pt>
                <c:pt idx="81">
                  <c:v>3396.33</c:v>
                </c:pt>
                <c:pt idx="82">
                  <c:v>3467.76</c:v>
                </c:pt>
                <c:pt idx="83">
                  <c:v>3542.76</c:v>
                </c:pt>
                <c:pt idx="84">
                  <c:v>3617.76</c:v>
                </c:pt>
                <c:pt idx="85">
                  <c:v>3692.76</c:v>
                </c:pt>
                <c:pt idx="86">
                  <c:v>3767.76</c:v>
                </c:pt>
                <c:pt idx="87">
                  <c:v>3834.43</c:v>
                </c:pt>
                <c:pt idx="88">
                  <c:v>3901.09</c:v>
                </c:pt>
                <c:pt idx="89">
                  <c:v>3967.76</c:v>
                </c:pt>
              </c:numCache>
            </c:numRef>
          </c:yVal>
          <c:smooth val="1"/>
          <c:extLst>
            <c:ext xmlns:c16="http://schemas.microsoft.com/office/drawing/2014/chart" uri="{C3380CC4-5D6E-409C-BE32-E72D297353CC}">
              <c16:uniqueId val="{00000046-75FB-4B9B-8611-8D7716F32BE6}"/>
            </c:ext>
          </c:extLst>
        </c:ser>
        <c:ser>
          <c:idx val="2"/>
          <c:order val="2"/>
          <c:tx>
            <c:v>Case 2</c:v>
          </c:tx>
          <c:spPr>
            <a:ln w="12700">
              <a:solidFill>
                <a:srgbClr val="FF0000"/>
              </a:solidFill>
            </a:ln>
          </c:spPr>
          <c:marker>
            <c:symbol val="none"/>
          </c:marker>
          <c:xVal>
            <c:numRef>
              <c:f>'Downhole Equipment Sens'!$CO$40:$CO$128</c:f>
              <c:numCache>
                <c:formatCode>General</c:formatCode>
                <c:ptCount val="89"/>
                <c:pt idx="0">
                  <c:v>500</c:v>
                </c:pt>
                <c:pt idx="1">
                  <c:v>500.05200000000002</c:v>
                </c:pt>
                <c:pt idx="2">
                  <c:v>500.10399999999998</c:v>
                </c:pt>
                <c:pt idx="3">
                  <c:v>887.70299999999997</c:v>
                </c:pt>
                <c:pt idx="4">
                  <c:v>887.70299999999997</c:v>
                </c:pt>
                <c:pt idx="5">
                  <c:v>895.00900000000001</c:v>
                </c:pt>
                <c:pt idx="6">
                  <c:v>902.32299999999998</c:v>
                </c:pt>
                <c:pt idx="7">
                  <c:v>909.64499999999998</c:v>
                </c:pt>
                <c:pt idx="8">
                  <c:v>916.97500000000002</c:v>
                </c:pt>
                <c:pt idx="9">
                  <c:v>924.31200000000001</c:v>
                </c:pt>
                <c:pt idx="10">
                  <c:v>931.65700000000004</c:v>
                </c:pt>
                <c:pt idx="11">
                  <c:v>939.01</c:v>
                </c:pt>
                <c:pt idx="12">
                  <c:v>946.37</c:v>
                </c:pt>
                <c:pt idx="15">
                  <c:v>953.73900000000003</c:v>
                </c:pt>
                <c:pt idx="16">
                  <c:v>961.11599999999999</c:v>
                </c:pt>
                <c:pt idx="17">
                  <c:v>968.5</c:v>
                </c:pt>
                <c:pt idx="18">
                  <c:v>975.89300000000003</c:v>
                </c:pt>
                <c:pt idx="19">
                  <c:v>983.29499999999996</c:v>
                </c:pt>
                <c:pt idx="20">
                  <c:v>990.70600000000002</c:v>
                </c:pt>
                <c:pt idx="21">
                  <c:v>998.12699999999995</c:v>
                </c:pt>
                <c:pt idx="22">
                  <c:v>998.55</c:v>
                </c:pt>
                <c:pt idx="23">
                  <c:v>998.97400000000005</c:v>
                </c:pt>
                <c:pt idx="24">
                  <c:v>1002.06</c:v>
                </c:pt>
                <c:pt idx="25">
                  <c:v>1005.15</c:v>
                </c:pt>
                <c:pt idx="26">
                  <c:v>1005.27</c:v>
                </c:pt>
                <c:pt idx="27">
                  <c:v>1005.39</c:v>
                </c:pt>
                <c:pt idx="28">
                  <c:v>1006.34</c:v>
                </c:pt>
                <c:pt idx="29">
                  <c:v>1007.3</c:v>
                </c:pt>
                <c:pt idx="30">
                  <c:v>1007.57</c:v>
                </c:pt>
                <c:pt idx="31">
                  <c:v>1007.83</c:v>
                </c:pt>
                <c:pt idx="32">
                  <c:v>1008.09</c:v>
                </c:pt>
                <c:pt idx="33">
                  <c:v>1008.35</c:v>
                </c:pt>
                <c:pt idx="34">
                  <c:v>1008.64</c:v>
                </c:pt>
                <c:pt idx="35">
                  <c:v>1008.92</c:v>
                </c:pt>
                <c:pt idx="36">
                  <c:v>1009.18</c:v>
                </c:pt>
                <c:pt idx="37">
                  <c:v>1009.43</c:v>
                </c:pt>
                <c:pt idx="38">
                  <c:v>1009.74</c:v>
                </c:pt>
                <c:pt idx="39">
                  <c:v>1010.06</c:v>
                </c:pt>
                <c:pt idx="40">
                  <c:v>1010.23</c:v>
                </c:pt>
                <c:pt idx="41">
                  <c:v>1010.41</c:v>
                </c:pt>
                <c:pt idx="42">
                  <c:v>1010.67</c:v>
                </c:pt>
                <c:pt idx="43">
                  <c:v>1010.94</c:v>
                </c:pt>
                <c:pt idx="44">
                  <c:v>1011.18</c:v>
                </c:pt>
                <c:pt idx="45">
                  <c:v>1011.41</c:v>
                </c:pt>
                <c:pt idx="46">
                  <c:v>1011.65</c:v>
                </c:pt>
                <c:pt idx="47">
                  <c:v>1011.88</c:v>
                </c:pt>
                <c:pt idx="48">
                  <c:v>1013.91</c:v>
                </c:pt>
                <c:pt idx="49">
                  <c:v>1015.93</c:v>
                </c:pt>
                <c:pt idx="50">
                  <c:v>1017.63</c:v>
                </c:pt>
                <c:pt idx="51">
                  <c:v>1019.32</c:v>
                </c:pt>
                <c:pt idx="52">
                  <c:v>1026.8399999999999</c:v>
                </c:pt>
                <c:pt idx="53">
                  <c:v>1034.3800000000001</c:v>
                </c:pt>
                <c:pt idx="54">
                  <c:v>1041.9100000000001</c:v>
                </c:pt>
                <c:pt idx="55">
                  <c:v>1049.46</c:v>
                </c:pt>
                <c:pt idx="56">
                  <c:v>1057.01</c:v>
                </c:pt>
                <c:pt idx="57">
                  <c:v>1064.57</c:v>
                </c:pt>
                <c:pt idx="58">
                  <c:v>1072.1300000000001</c:v>
                </c:pt>
                <c:pt idx="59">
                  <c:v>1079.7</c:v>
                </c:pt>
                <c:pt idx="60">
                  <c:v>1087.28</c:v>
                </c:pt>
                <c:pt idx="61">
                  <c:v>1094.8499999999999</c:v>
                </c:pt>
                <c:pt idx="62">
                  <c:v>1102.44</c:v>
                </c:pt>
                <c:pt idx="63">
                  <c:v>1110.02</c:v>
                </c:pt>
                <c:pt idx="64">
                  <c:v>1117.5999999999999</c:v>
                </c:pt>
                <c:pt idx="65">
                  <c:v>1125.19</c:v>
                </c:pt>
                <c:pt idx="66">
                  <c:v>1132.77</c:v>
                </c:pt>
                <c:pt idx="67">
                  <c:v>1140.4100000000001</c:v>
                </c:pt>
                <c:pt idx="68">
                  <c:v>1148.07</c:v>
                </c:pt>
                <c:pt idx="69">
                  <c:v>1155.73</c:v>
                </c:pt>
                <c:pt idx="70">
                  <c:v>1163.4000000000001</c:v>
                </c:pt>
                <c:pt idx="71">
                  <c:v>1171.08</c:v>
                </c:pt>
                <c:pt idx="72">
                  <c:v>1178.77</c:v>
                </c:pt>
                <c:pt idx="73">
                  <c:v>1186.47</c:v>
                </c:pt>
                <c:pt idx="74">
                  <c:v>1194.18</c:v>
                </c:pt>
                <c:pt idx="75">
                  <c:v>1201.8900000000001</c:v>
                </c:pt>
                <c:pt idx="76">
                  <c:v>1209.6199999999999</c:v>
                </c:pt>
                <c:pt idx="77">
                  <c:v>1217.3499999999999</c:v>
                </c:pt>
                <c:pt idx="78">
                  <c:v>1225.0999999999999</c:v>
                </c:pt>
                <c:pt idx="79">
                  <c:v>1232.8499999999999</c:v>
                </c:pt>
                <c:pt idx="80">
                  <c:v>1240.6199999999999</c:v>
                </c:pt>
                <c:pt idx="81">
                  <c:v>4430.45</c:v>
                </c:pt>
                <c:pt idx="82">
                  <c:v>4475.1099999999997</c:v>
                </c:pt>
                <c:pt idx="83">
                  <c:v>4519.88</c:v>
                </c:pt>
                <c:pt idx="84">
                  <c:v>4564.78</c:v>
                </c:pt>
                <c:pt idx="85">
                  <c:v>4609.8100000000004</c:v>
                </c:pt>
                <c:pt idx="86">
                  <c:v>4649.97</c:v>
                </c:pt>
                <c:pt idx="87">
                  <c:v>4690.26</c:v>
                </c:pt>
                <c:pt idx="88">
                  <c:v>4730.7</c:v>
                </c:pt>
              </c:numCache>
            </c:numRef>
          </c:xVal>
          <c:yVal>
            <c:numRef>
              <c:f>'Downhole Equipment Sens'!$CN$40:$CN$128</c:f>
              <c:numCache>
                <c:formatCode>General</c:formatCode>
                <c:ptCount val="89"/>
                <c:pt idx="0">
                  <c:v>0</c:v>
                </c:pt>
                <c:pt idx="1">
                  <c:v>0</c:v>
                </c:pt>
                <c:pt idx="2">
                  <c:v>0</c:v>
                </c:pt>
                <c:pt idx="3">
                  <c:v>0</c:v>
                </c:pt>
                <c:pt idx="4">
                  <c:v>0</c:v>
                </c:pt>
                <c:pt idx="5">
                  <c:v>74.748699999999999</c:v>
                </c:pt>
                <c:pt idx="6">
                  <c:v>149.49700000000001</c:v>
                </c:pt>
                <c:pt idx="7">
                  <c:v>224.24600000000001</c:v>
                </c:pt>
                <c:pt idx="8">
                  <c:v>298.995</c:v>
                </c:pt>
                <c:pt idx="9">
                  <c:v>373.74400000000003</c:v>
                </c:pt>
                <c:pt idx="10">
                  <c:v>448.49200000000002</c:v>
                </c:pt>
                <c:pt idx="11">
                  <c:v>523.24099999999999</c:v>
                </c:pt>
                <c:pt idx="12">
                  <c:v>597.99</c:v>
                </c:pt>
                <c:pt idx="15">
                  <c:v>672.73900000000003</c:v>
                </c:pt>
                <c:pt idx="16">
                  <c:v>747.48699999999997</c:v>
                </c:pt>
                <c:pt idx="17">
                  <c:v>822.23599999999999</c:v>
                </c:pt>
                <c:pt idx="18">
                  <c:v>896.98500000000001</c:v>
                </c:pt>
                <c:pt idx="19">
                  <c:v>971.73400000000004</c:v>
                </c:pt>
                <c:pt idx="20">
                  <c:v>1046.48</c:v>
                </c:pt>
                <c:pt idx="21">
                  <c:v>1121.23</c:v>
                </c:pt>
                <c:pt idx="22">
                  <c:v>1125.5</c:v>
                </c:pt>
                <c:pt idx="23">
                  <c:v>1129.76</c:v>
                </c:pt>
                <c:pt idx="24">
                  <c:v>1160.8</c:v>
                </c:pt>
                <c:pt idx="25">
                  <c:v>1191.8399999999999</c:v>
                </c:pt>
                <c:pt idx="26">
                  <c:v>1193.04</c:v>
                </c:pt>
                <c:pt idx="27">
                  <c:v>1194.25</c:v>
                </c:pt>
                <c:pt idx="28">
                  <c:v>1203.8800000000001</c:v>
                </c:pt>
                <c:pt idx="29">
                  <c:v>1213.51</c:v>
                </c:pt>
                <c:pt idx="30">
                  <c:v>1216.17</c:v>
                </c:pt>
                <c:pt idx="31">
                  <c:v>1218.82</c:v>
                </c:pt>
                <c:pt idx="32">
                  <c:v>1221.44</c:v>
                </c:pt>
                <c:pt idx="33">
                  <c:v>1224.06</c:v>
                </c:pt>
                <c:pt idx="34">
                  <c:v>1226.92</c:v>
                </c:pt>
                <c:pt idx="35">
                  <c:v>1229.79</c:v>
                </c:pt>
                <c:pt idx="36">
                  <c:v>1232.32</c:v>
                </c:pt>
                <c:pt idx="37">
                  <c:v>1234.8499999999999</c:v>
                </c:pt>
                <c:pt idx="38">
                  <c:v>1238.02</c:v>
                </c:pt>
                <c:pt idx="39">
                  <c:v>1241.18</c:v>
                </c:pt>
                <c:pt idx="40">
                  <c:v>1242.9000000000001</c:v>
                </c:pt>
                <c:pt idx="41">
                  <c:v>1244.6300000000001</c:v>
                </c:pt>
                <c:pt idx="42">
                  <c:v>1247.33</c:v>
                </c:pt>
                <c:pt idx="43">
                  <c:v>1250.03</c:v>
                </c:pt>
                <c:pt idx="44">
                  <c:v>1252.3599999999999</c:v>
                </c:pt>
                <c:pt idx="45">
                  <c:v>1254.69</c:v>
                </c:pt>
                <c:pt idx="46">
                  <c:v>1257.04</c:v>
                </c:pt>
                <c:pt idx="47">
                  <c:v>1259.3900000000001</c:v>
                </c:pt>
                <c:pt idx="48">
                  <c:v>1279.5899999999999</c:v>
                </c:pt>
                <c:pt idx="49">
                  <c:v>1299.8</c:v>
                </c:pt>
                <c:pt idx="50">
                  <c:v>1316.7</c:v>
                </c:pt>
                <c:pt idx="51">
                  <c:v>1333.6</c:v>
                </c:pt>
                <c:pt idx="52">
                  <c:v>1409.21</c:v>
                </c:pt>
                <c:pt idx="53">
                  <c:v>1484.82</c:v>
                </c:pt>
                <c:pt idx="54">
                  <c:v>1560.43</c:v>
                </c:pt>
                <c:pt idx="55">
                  <c:v>1636.04</c:v>
                </c:pt>
                <c:pt idx="56">
                  <c:v>1711.66</c:v>
                </c:pt>
                <c:pt idx="57">
                  <c:v>1787.27</c:v>
                </c:pt>
                <c:pt idx="58">
                  <c:v>1862.88</c:v>
                </c:pt>
                <c:pt idx="59">
                  <c:v>1938.49</c:v>
                </c:pt>
                <c:pt idx="60">
                  <c:v>2014.1</c:v>
                </c:pt>
                <c:pt idx="61">
                  <c:v>2089.71</c:v>
                </c:pt>
                <c:pt idx="62">
                  <c:v>2165.33</c:v>
                </c:pt>
                <c:pt idx="63">
                  <c:v>2240.94</c:v>
                </c:pt>
                <c:pt idx="64">
                  <c:v>2316.5500000000002</c:v>
                </c:pt>
                <c:pt idx="65">
                  <c:v>2392.16</c:v>
                </c:pt>
                <c:pt idx="66">
                  <c:v>2467.77</c:v>
                </c:pt>
                <c:pt idx="67">
                  <c:v>2539.1999999999998</c:v>
                </c:pt>
                <c:pt idx="68">
                  <c:v>2610.63</c:v>
                </c:pt>
                <c:pt idx="69">
                  <c:v>2682.06</c:v>
                </c:pt>
                <c:pt idx="70">
                  <c:v>2753.49</c:v>
                </c:pt>
                <c:pt idx="71">
                  <c:v>2824.92</c:v>
                </c:pt>
                <c:pt idx="72">
                  <c:v>2896.34</c:v>
                </c:pt>
                <c:pt idx="73">
                  <c:v>2967.77</c:v>
                </c:pt>
                <c:pt idx="74">
                  <c:v>3039.2</c:v>
                </c:pt>
                <c:pt idx="75">
                  <c:v>3110.63</c:v>
                </c:pt>
                <c:pt idx="76">
                  <c:v>3182.06</c:v>
                </c:pt>
                <c:pt idx="77">
                  <c:v>3253.49</c:v>
                </c:pt>
                <c:pt idx="78">
                  <c:v>3324.92</c:v>
                </c:pt>
                <c:pt idx="79">
                  <c:v>3396.34</c:v>
                </c:pt>
                <c:pt idx="80">
                  <c:v>3467.77</c:v>
                </c:pt>
                <c:pt idx="81">
                  <c:v>3467.77</c:v>
                </c:pt>
                <c:pt idx="82">
                  <c:v>3542.77</c:v>
                </c:pt>
                <c:pt idx="83">
                  <c:v>3617.77</c:v>
                </c:pt>
                <c:pt idx="84">
                  <c:v>3692.76</c:v>
                </c:pt>
                <c:pt idx="85">
                  <c:v>3767.76</c:v>
                </c:pt>
                <c:pt idx="86">
                  <c:v>3834.42</c:v>
                </c:pt>
                <c:pt idx="87">
                  <c:v>3901.09</c:v>
                </c:pt>
                <c:pt idx="88">
                  <c:v>3967.76</c:v>
                </c:pt>
              </c:numCache>
            </c:numRef>
          </c:yVal>
          <c:smooth val="1"/>
          <c:extLst>
            <c:ext xmlns:c16="http://schemas.microsoft.com/office/drawing/2014/chart" uri="{C3380CC4-5D6E-409C-BE32-E72D297353CC}">
              <c16:uniqueId val="{00000047-75FB-4B9B-8611-8D7716F32BE6}"/>
            </c:ext>
          </c:extLst>
        </c:ser>
        <c:ser>
          <c:idx val="3"/>
          <c:order val="3"/>
          <c:tx>
            <c:v>Case 3</c:v>
          </c:tx>
          <c:spPr>
            <a:ln w="12700">
              <a:solidFill>
                <a:srgbClr val="FF0000"/>
              </a:solidFill>
            </a:ln>
          </c:spPr>
          <c:marker>
            <c:symbol val="none"/>
          </c:marker>
          <c:xVal>
            <c:numRef>
              <c:f>'Downhole Equipment Sens'!$DS$40:$DS$124</c:f>
              <c:numCache>
                <c:formatCode>General</c:formatCode>
                <c:ptCount val="85"/>
                <c:pt idx="0">
                  <c:v>500</c:v>
                </c:pt>
                <c:pt idx="1">
                  <c:v>500.00400000000002</c:v>
                </c:pt>
                <c:pt idx="2">
                  <c:v>500.00900000000001</c:v>
                </c:pt>
                <c:pt idx="3">
                  <c:v>526.58699999999999</c:v>
                </c:pt>
                <c:pt idx="4">
                  <c:v>526.58699999999999</c:v>
                </c:pt>
                <c:pt idx="5">
                  <c:v>562.40300000000002</c:v>
                </c:pt>
                <c:pt idx="6">
                  <c:v>599.57100000000003</c:v>
                </c:pt>
                <c:pt idx="7">
                  <c:v>638.10599999999999</c:v>
                </c:pt>
                <c:pt idx="8">
                  <c:v>678.02200000000005</c:v>
                </c:pt>
                <c:pt idx="9">
                  <c:v>719.33199999999999</c:v>
                </c:pt>
                <c:pt idx="10">
                  <c:v>762.04899999999998</c:v>
                </c:pt>
                <c:pt idx="11">
                  <c:v>806.18299999999999</c:v>
                </c:pt>
                <c:pt idx="12">
                  <c:v>851.74699999999996</c:v>
                </c:pt>
                <c:pt idx="13">
                  <c:v>898.74800000000005</c:v>
                </c:pt>
                <c:pt idx="14">
                  <c:v>947.19500000000005</c:v>
                </c:pt>
                <c:pt idx="15">
                  <c:v>997.09500000000003</c:v>
                </c:pt>
                <c:pt idx="16">
                  <c:v>1048.45</c:v>
                </c:pt>
                <c:pt idx="17">
                  <c:v>1101.27</c:v>
                </c:pt>
                <c:pt idx="18">
                  <c:v>1155.56</c:v>
                </c:pt>
                <c:pt idx="19">
                  <c:v>1211.32</c:v>
                </c:pt>
                <c:pt idx="20">
                  <c:v>1214.67</c:v>
                </c:pt>
                <c:pt idx="21">
                  <c:v>1218.03</c:v>
                </c:pt>
                <c:pt idx="22">
                  <c:v>1243.43</c:v>
                </c:pt>
                <c:pt idx="23">
                  <c:v>1269.1300000000001</c:v>
                </c:pt>
                <c:pt idx="24">
                  <c:v>1270.24</c:v>
                </c:pt>
                <c:pt idx="25">
                  <c:v>1271.3499999999999</c:v>
                </c:pt>
                <c:pt idx="26">
                  <c:v>1280.48</c:v>
                </c:pt>
                <c:pt idx="27">
                  <c:v>1289.6500000000001</c:v>
                </c:pt>
                <c:pt idx="28">
                  <c:v>1292.3699999999999</c:v>
                </c:pt>
                <c:pt idx="29">
                  <c:v>1295.0999999999999</c:v>
                </c:pt>
                <c:pt idx="30">
                  <c:v>1297.8699999999999</c:v>
                </c:pt>
                <c:pt idx="31">
                  <c:v>1300.6400000000001</c:v>
                </c:pt>
                <c:pt idx="32">
                  <c:v>1303.72</c:v>
                </c:pt>
                <c:pt idx="33">
                  <c:v>1306.81</c:v>
                </c:pt>
                <c:pt idx="34">
                  <c:v>1309.58</c:v>
                </c:pt>
                <c:pt idx="35">
                  <c:v>1312.35</c:v>
                </c:pt>
                <c:pt idx="36">
                  <c:v>1315.85</c:v>
                </c:pt>
                <c:pt idx="37">
                  <c:v>1319.35</c:v>
                </c:pt>
                <c:pt idx="38">
                  <c:v>1321.27</c:v>
                </c:pt>
                <c:pt idx="39">
                  <c:v>1323.2</c:v>
                </c:pt>
                <c:pt idx="40">
                  <c:v>1326.22</c:v>
                </c:pt>
                <c:pt idx="41">
                  <c:v>1329.25</c:v>
                </c:pt>
                <c:pt idx="42">
                  <c:v>1331.86</c:v>
                </c:pt>
                <c:pt idx="43">
                  <c:v>1334.48</c:v>
                </c:pt>
                <c:pt idx="44">
                  <c:v>1337.12</c:v>
                </c:pt>
                <c:pt idx="45">
                  <c:v>1339.77</c:v>
                </c:pt>
                <c:pt idx="46">
                  <c:v>1362.64</c:v>
                </c:pt>
                <c:pt idx="47">
                  <c:v>1385.72</c:v>
                </c:pt>
                <c:pt idx="48">
                  <c:v>1405.17</c:v>
                </c:pt>
                <c:pt idx="49">
                  <c:v>1424.77</c:v>
                </c:pt>
                <c:pt idx="50">
                  <c:v>1486.42</c:v>
                </c:pt>
                <c:pt idx="51">
                  <c:v>1549.45</c:v>
                </c:pt>
                <c:pt idx="52">
                  <c:v>1613.86</c:v>
                </c:pt>
                <c:pt idx="53">
                  <c:v>1679.61</c:v>
                </c:pt>
                <c:pt idx="54">
                  <c:v>1746.69</c:v>
                </c:pt>
                <c:pt idx="55">
                  <c:v>1815.09</c:v>
                </c:pt>
                <c:pt idx="56">
                  <c:v>1884.78</c:v>
                </c:pt>
                <c:pt idx="57">
                  <c:v>1955.73</c:v>
                </c:pt>
                <c:pt idx="58">
                  <c:v>2027.91</c:v>
                </c:pt>
                <c:pt idx="59">
                  <c:v>2101.31</c:v>
                </c:pt>
                <c:pt idx="60">
                  <c:v>2175.89</c:v>
                </c:pt>
                <c:pt idx="61">
                  <c:v>2251.62</c:v>
                </c:pt>
                <c:pt idx="62">
                  <c:v>2328.46</c:v>
                </c:pt>
                <c:pt idx="63">
                  <c:v>2406.36</c:v>
                </c:pt>
                <c:pt idx="64">
                  <c:v>2485.2600000000002</c:v>
                </c:pt>
                <c:pt idx="65">
                  <c:v>2551.4299999999998</c:v>
                </c:pt>
                <c:pt idx="66">
                  <c:v>2618.27</c:v>
                </c:pt>
                <c:pt idx="67">
                  <c:v>2685.79</c:v>
                </c:pt>
                <c:pt idx="68">
                  <c:v>2753.96</c:v>
                </c:pt>
                <c:pt idx="69">
                  <c:v>2822.77</c:v>
                </c:pt>
                <c:pt idx="70">
                  <c:v>2892.19</c:v>
                </c:pt>
                <c:pt idx="71">
                  <c:v>2962.22</c:v>
                </c:pt>
                <c:pt idx="72">
                  <c:v>3032.83</c:v>
                </c:pt>
                <c:pt idx="73">
                  <c:v>3104.01</c:v>
                </c:pt>
                <c:pt idx="74">
                  <c:v>3175.74</c:v>
                </c:pt>
                <c:pt idx="75">
                  <c:v>3248</c:v>
                </c:pt>
                <c:pt idx="76">
                  <c:v>3320.76</c:v>
                </c:pt>
                <c:pt idx="77">
                  <c:v>3394.01</c:v>
                </c:pt>
                <c:pt idx="78">
                  <c:v>3467.69</c:v>
                </c:pt>
                <c:pt idx="79">
                  <c:v>3521.3</c:v>
                </c:pt>
                <c:pt idx="80">
                  <c:v>3575.16</c:v>
                </c:pt>
                <c:pt idx="81">
                  <c:v>3629.29</c:v>
                </c:pt>
                <c:pt idx="82">
                  <c:v>5608.83</c:v>
                </c:pt>
                <c:pt idx="83">
                  <c:v>5658.51</c:v>
                </c:pt>
                <c:pt idx="84">
                  <c:v>5708.29</c:v>
                </c:pt>
              </c:numCache>
            </c:numRef>
          </c:xVal>
          <c:yVal>
            <c:numRef>
              <c:f>'Downhole Equipment Sens'!$DR$40:$DR$124</c:f>
              <c:numCache>
                <c:formatCode>General</c:formatCode>
                <c:ptCount val="85"/>
                <c:pt idx="0">
                  <c:v>0</c:v>
                </c:pt>
                <c:pt idx="1">
                  <c:v>0</c:v>
                </c:pt>
                <c:pt idx="2">
                  <c:v>0</c:v>
                </c:pt>
                <c:pt idx="3">
                  <c:v>0</c:v>
                </c:pt>
                <c:pt idx="4">
                  <c:v>0</c:v>
                </c:pt>
                <c:pt idx="5">
                  <c:v>74.748699999999999</c:v>
                </c:pt>
                <c:pt idx="6">
                  <c:v>149.49700000000001</c:v>
                </c:pt>
                <c:pt idx="7">
                  <c:v>224.24600000000001</c:v>
                </c:pt>
                <c:pt idx="8">
                  <c:v>298.995</c:v>
                </c:pt>
                <c:pt idx="9">
                  <c:v>373.74400000000003</c:v>
                </c:pt>
                <c:pt idx="10">
                  <c:v>448.49200000000002</c:v>
                </c:pt>
                <c:pt idx="11">
                  <c:v>523.24099999999999</c:v>
                </c:pt>
                <c:pt idx="12">
                  <c:v>597.99</c:v>
                </c:pt>
                <c:pt idx="13">
                  <c:v>672.73900000000003</c:v>
                </c:pt>
                <c:pt idx="14">
                  <c:v>747.48699999999997</c:v>
                </c:pt>
                <c:pt idx="15">
                  <c:v>822.23599999999999</c:v>
                </c:pt>
                <c:pt idx="16">
                  <c:v>896.98500000000001</c:v>
                </c:pt>
                <c:pt idx="17">
                  <c:v>971.73400000000004</c:v>
                </c:pt>
                <c:pt idx="18">
                  <c:v>1046.48</c:v>
                </c:pt>
                <c:pt idx="19">
                  <c:v>1121.23</c:v>
                </c:pt>
                <c:pt idx="20">
                  <c:v>1125.5</c:v>
                </c:pt>
                <c:pt idx="21">
                  <c:v>1129.76</c:v>
                </c:pt>
                <c:pt idx="22">
                  <c:v>1160.8</c:v>
                </c:pt>
                <c:pt idx="23">
                  <c:v>1191.8399999999999</c:v>
                </c:pt>
                <c:pt idx="24">
                  <c:v>1193.04</c:v>
                </c:pt>
                <c:pt idx="25">
                  <c:v>1194.25</c:v>
                </c:pt>
                <c:pt idx="26">
                  <c:v>1203.8800000000001</c:v>
                </c:pt>
                <c:pt idx="27">
                  <c:v>1213.51</c:v>
                </c:pt>
                <c:pt idx="28">
                  <c:v>1216.17</c:v>
                </c:pt>
                <c:pt idx="29">
                  <c:v>1218.82</c:v>
                </c:pt>
                <c:pt idx="30">
                  <c:v>1221.44</c:v>
                </c:pt>
                <c:pt idx="31">
                  <c:v>1224.06</c:v>
                </c:pt>
                <c:pt idx="32">
                  <c:v>1226.92</c:v>
                </c:pt>
                <c:pt idx="33">
                  <c:v>1229.79</c:v>
                </c:pt>
                <c:pt idx="34">
                  <c:v>1232.32</c:v>
                </c:pt>
                <c:pt idx="35">
                  <c:v>1234.8499999999999</c:v>
                </c:pt>
                <c:pt idx="36">
                  <c:v>1238.02</c:v>
                </c:pt>
                <c:pt idx="37">
                  <c:v>1241.18</c:v>
                </c:pt>
                <c:pt idx="38">
                  <c:v>1242.9000000000001</c:v>
                </c:pt>
                <c:pt idx="39">
                  <c:v>1244.6300000000001</c:v>
                </c:pt>
                <c:pt idx="40">
                  <c:v>1247.33</c:v>
                </c:pt>
                <c:pt idx="41">
                  <c:v>1250.03</c:v>
                </c:pt>
                <c:pt idx="42">
                  <c:v>1252.3599999999999</c:v>
                </c:pt>
                <c:pt idx="43">
                  <c:v>1254.69</c:v>
                </c:pt>
                <c:pt idx="44">
                  <c:v>1257.04</c:v>
                </c:pt>
                <c:pt idx="45">
                  <c:v>1259.3900000000001</c:v>
                </c:pt>
                <c:pt idx="46">
                  <c:v>1279.5899999999999</c:v>
                </c:pt>
                <c:pt idx="47">
                  <c:v>1299.8</c:v>
                </c:pt>
                <c:pt idx="48">
                  <c:v>1316.7</c:v>
                </c:pt>
                <c:pt idx="49">
                  <c:v>1333.6</c:v>
                </c:pt>
                <c:pt idx="50">
                  <c:v>1409.21</c:v>
                </c:pt>
                <c:pt idx="51">
                  <c:v>1484.82</c:v>
                </c:pt>
                <c:pt idx="52">
                  <c:v>1560.43</c:v>
                </c:pt>
                <c:pt idx="53">
                  <c:v>1636.04</c:v>
                </c:pt>
                <c:pt idx="54">
                  <c:v>1711.66</c:v>
                </c:pt>
                <c:pt idx="55">
                  <c:v>1787.27</c:v>
                </c:pt>
                <c:pt idx="56">
                  <c:v>1862.88</c:v>
                </c:pt>
                <c:pt idx="57">
                  <c:v>1938.49</c:v>
                </c:pt>
                <c:pt idx="58">
                  <c:v>2014.1</c:v>
                </c:pt>
                <c:pt idx="59">
                  <c:v>2089.71</c:v>
                </c:pt>
                <c:pt idx="60">
                  <c:v>2165.33</c:v>
                </c:pt>
                <c:pt idx="61">
                  <c:v>2240.94</c:v>
                </c:pt>
                <c:pt idx="62">
                  <c:v>2316.5500000000002</c:v>
                </c:pt>
                <c:pt idx="63">
                  <c:v>2392.16</c:v>
                </c:pt>
                <c:pt idx="64">
                  <c:v>2467.77</c:v>
                </c:pt>
                <c:pt idx="65">
                  <c:v>2539.1999999999998</c:v>
                </c:pt>
                <c:pt idx="66">
                  <c:v>2610.63</c:v>
                </c:pt>
                <c:pt idx="67">
                  <c:v>2682.06</c:v>
                </c:pt>
                <c:pt idx="68">
                  <c:v>2753.49</c:v>
                </c:pt>
                <c:pt idx="69">
                  <c:v>2824.92</c:v>
                </c:pt>
                <c:pt idx="70">
                  <c:v>2896.34</c:v>
                </c:pt>
                <c:pt idx="71">
                  <c:v>2967.77</c:v>
                </c:pt>
                <c:pt idx="72">
                  <c:v>3039.2</c:v>
                </c:pt>
                <c:pt idx="73">
                  <c:v>3110.63</c:v>
                </c:pt>
                <c:pt idx="74">
                  <c:v>3182.06</c:v>
                </c:pt>
                <c:pt idx="75">
                  <c:v>3253.49</c:v>
                </c:pt>
                <c:pt idx="76">
                  <c:v>3324.92</c:v>
                </c:pt>
                <c:pt idx="77">
                  <c:v>3396.34</c:v>
                </c:pt>
                <c:pt idx="78">
                  <c:v>3467.77</c:v>
                </c:pt>
                <c:pt idx="79">
                  <c:v>3534.44</c:v>
                </c:pt>
                <c:pt idx="80">
                  <c:v>3601.11</c:v>
                </c:pt>
                <c:pt idx="81">
                  <c:v>3667.77</c:v>
                </c:pt>
                <c:pt idx="82">
                  <c:v>3667.77</c:v>
                </c:pt>
                <c:pt idx="83">
                  <c:v>3717.77</c:v>
                </c:pt>
                <c:pt idx="84">
                  <c:v>3767.76</c:v>
                </c:pt>
              </c:numCache>
            </c:numRef>
          </c:yVal>
          <c:smooth val="1"/>
          <c:extLst>
            <c:ext xmlns:c16="http://schemas.microsoft.com/office/drawing/2014/chart" uri="{C3380CC4-5D6E-409C-BE32-E72D297353CC}">
              <c16:uniqueId val="{00000048-75FB-4B9B-8611-8D7716F32BE6}"/>
            </c:ext>
          </c:extLst>
        </c:ser>
        <c:ser>
          <c:idx val="4"/>
          <c:order val="4"/>
          <c:tx>
            <c:v>SOL 0</c:v>
          </c:tx>
          <c:marker>
            <c:symbol val="circle"/>
            <c:size val="8"/>
            <c:spPr>
              <a:solidFill>
                <a:srgbClr val="FF0000"/>
              </a:solidFill>
              <a:ln>
                <a:solidFill>
                  <a:srgbClr val="000000"/>
                </a:solidFill>
                <a:prstDash val="solid"/>
              </a:ln>
            </c:spPr>
          </c:marker>
          <c:xVal>
            <c:numRef>
              <c:f>'Downhole Equipment Sens'!$AG$75</c:f>
              <c:numCache>
                <c:formatCode>0.0;\-0.0;"--"</c:formatCode>
                <c:ptCount val="1"/>
                <c:pt idx="0">
                  <c:v>870.51700000000005</c:v>
                </c:pt>
              </c:numCache>
            </c:numRef>
          </c:xVal>
          <c:yVal>
            <c:numRef>
              <c:f>'Downhole Equipment Sens'!$AE$75</c:f>
              <c:numCache>
                <c:formatCode>0.0;\-0.0;"--"</c:formatCode>
                <c:ptCount val="1"/>
                <c:pt idx="0">
                  <c:v>1219.98</c:v>
                </c:pt>
              </c:numCache>
            </c:numRef>
          </c:yVal>
          <c:smooth val="1"/>
          <c:extLst>
            <c:ext xmlns:c16="http://schemas.microsoft.com/office/drawing/2014/chart" uri="{C3380CC4-5D6E-409C-BE32-E72D297353CC}">
              <c16:uniqueId val="{00000049-75FB-4B9B-8611-8D7716F32BE6}"/>
            </c:ext>
          </c:extLst>
        </c:ser>
        <c:ser>
          <c:idx val="5"/>
          <c:order val="5"/>
          <c:tx>
            <c:v>SOL 1</c:v>
          </c:tx>
          <c:marker>
            <c:symbol val="circle"/>
            <c:size val="8"/>
            <c:spPr>
              <a:solidFill>
                <a:srgbClr val="FFFF00"/>
              </a:solidFill>
              <a:ln>
                <a:solidFill>
                  <a:srgbClr val="000000"/>
                </a:solidFill>
                <a:prstDash val="solid"/>
              </a:ln>
            </c:spPr>
          </c:marker>
          <c:xVal>
            <c:numRef>
              <c:f>'Downhole Equipment Sens'!$BK$107</c:f>
              <c:numCache>
                <c:formatCode>0.0;\-0.0;"--"</c:formatCode>
                <c:ptCount val="1"/>
                <c:pt idx="0">
                  <c:v>1094.6099999999999</c:v>
                </c:pt>
              </c:numCache>
            </c:numRef>
          </c:xVal>
          <c:yVal>
            <c:numRef>
              <c:f>'Downhole Equipment Sens'!$BI$107</c:f>
              <c:numCache>
                <c:formatCode>0.0;\-0.0;"--"</c:formatCode>
                <c:ptCount val="1"/>
                <c:pt idx="0">
                  <c:v>2499.98</c:v>
                </c:pt>
              </c:numCache>
            </c:numRef>
          </c:yVal>
          <c:smooth val="1"/>
          <c:extLst>
            <c:ext xmlns:c16="http://schemas.microsoft.com/office/drawing/2014/chart" uri="{C3380CC4-5D6E-409C-BE32-E72D297353CC}">
              <c16:uniqueId val="{0000004A-75FB-4B9B-8611-8D7716F32BE6}"/>
            </c:ext>
          </c:extLst>
        </c:ser>
        <c:ser>
          <c:idx val="6"/>
          <c:order val="6"/>
          <c:tx>
            <c:v>SOL 2</c:v>
          </c:tx>
          <c:marker>
            <c:symbol val="circle"/>
            <c:size val="8"/>
            <c:spPr>
              <a:solidFill>
                <a:srgbClr val="0000FF"/>
              </a:solidFill>
              <a:ln>
                <a:solidFill>
                  <a:srgbClr val="000000"/>
                </a:solidFill>
                <a:prstDash val="solid"/>
              </a:ln>
            </c:spPr>
          </c:marker>
          <c:xVal>
            <c:numRef>
              <c:f>'Downhole Equipment Sens'!$CO$120</c:f>
              <c:numCache>
                <c:formatCode>General</c:formatCode>
                <c:ptCount val="1"/>
                <c:pt idx="0">
                  <c:v>1240.6199999999999</c:v>
                </c:pt>
              </c:numCache>
            </c:numRef>
          </c:xVal>
          <c:yVal>
            <c:numRef>
              <c:f>'Downhole Equipment Sens'!$CM$120</c:f>
              <c:numCache>
                <c:formatCode>General</c:formatCode>
                <c:ptCount val="1"/>
                <c:pt idx="0">
                  <c:v>3499.98</c:v>
                </c:pt>
              </c:numCache>
            </c:numRef>
          </c:yVal>
          <c:smooth val="1"/>
          <c:extLst>
            <c:ext xmlns:c16="http://schemas.microsoft.com/office/drawing/2014/chart" uri="{C3380CC4-5D6E-409C-BE32-E72D297353CC}">
              <c16:uniqueId val="{0000004B-75FB-4B9B-8611-8D7716F32BE6}"/>
            </c:ext>
          </c:extLst>
        </c:ser>
        <c:ser>
          <c:idx val="7"/>
          <c:order val="7"/>
          <c:tx>
            <c:v>SOL 3</c:v>
          </c:tx>
          <c:marker>
            <c:symbol val="circle"/>
            <c:size val="8"/>
            <c:spPr>
              <a:solidFill>
                <a:srgbClr val="00CC00"/>
              </a:solidFill>
              <a:ln>
                <a:solidFill>
                  <a:srgbClr val="000000"/>
                </a:solidFill>
                <a:prstDash val="solid"/>
              </a:ln>
            </c:spPr>
          </c:marker>
          <c:xVal>
            <c:numRef>
              <c:f>'Downhole Equipment Sens'!$DS$121</c:f>
              <c:numCache>
                <c:formatCode>General</c:formatCode>
                <c:ptCount val="1"/>
                <c:pt idx="0">
                  <c:v>3629.29</c:v>
                </c:pt>
              </c:numCache>
            </c:numRef>
          </c:xVal>
          <c:yVal>
            <c:numRef>
              <c:f>'Downhole Equipment Sens'!$DQ$121</c:f>
              <c:numCache>
                <c:formatCode>General</c:formatCode>
                <c:ptCount val="1"/>
                <c:pt idx="0">
                  <c:v>3699.98</c:v>
                </c:pt>
              </c:numCache>
            </c:numRef>
          </c:yVal>
          <c:smooth val="1"/>
          <c:extLst>
            <c:ext xmlns:c16="http://schemas.microsoft.com/office/drawing/2014/chart" uri="{C3380CC4-5D6E-409C-BE32-E72D297353CC}">
              <c16:uniqueId val="{0000004C-75FB-4B9B-8611-8D7716F32BE6}"/>
            </c:ext>
          </c:extLst>
        </c:ser>
        <c:dLbls>
          <c:showLegendKey val="0"/>
          <c:showVal val="0"/>
          <c:showCatName val="0"/>
          <c:showSerName val="0"/>
          <c:showPercent val="0"/>
          <c:showBubbleSize val="0"/>
        </c:dLbls>
        <c:axId val="54568064"/>
        <c:axId val="54568640"/>
      </c:scatterChart>
      <c:valAx>
        <c:axId val="54568064"/>
        <c:scaling>
          <c:orientation val="minMax"/>
        </c:scaling>
        <c:delete val="0"/>
        <c:axPos val="t"/>
        <c:majorGridlines>
          <c:spPr>
            <a:ln w="3175">
              <a:solidFill>
                <a:schemeClr val="bg1">
                  <a:lumMod val="95000"/>
                </a:schemeClr>
              </a:solidFill>
              <a:prstDash val="sysDash"/>
            </a:ln>
          </c:spPr>
        </c:majorGridlines>
        <c:title>
          <c:tx>
            <c:rich>
              <a:bodyPr/>
              <a:lstStyle/>
              <a:p>
                <a:pPr>
                  <a:defRPr/>
                </a:pPr>
                <a:r>
                  <a:rPr lang="es-BO"/>
                  <a:t>Pressure, psi</a:t>
                </a:r>
              </a:p>
            </c:rich>
          </c:tx>
          <c:overlay val="0"/>
        </c:title>
        <c:numFmt formatCode="#,##0" sourceLinked="0"/>
        <c:majorTickMark val="out"/>
        <c:minorTickMark val="in"/>
        <c:tickLblPos val="nextTo"/>
        <c:spPr>
          <a:ln w="12700">
            <a:solidFill>
              <a:srgbClr val="000000"/>
            </a:solidFill>
            <a:prstDash val="solid"/>
          </a:ln>
        </c:spPr>
        <c:txPr>
          <a:bodyPr rot="0" vert="horz"/>
          <a:lstStyle/>
          <a:p>
            <a:pPr>
              <a:defRPr sz="800" b="1"/>
            </a:pPr>
            <a:endParaRPr lang="es-BO"/>
          </a:p>
        </c:txPr>
        <c:crossAx val="54568640"/>
        <c:crossesAt val="0"/>
        <c:crossBetween val="midCat"/>
      </c:valAx>
      <c:valAx>
        <c:axId val="54568640"/>
        <c:scaling>
          <c:orientation val="maxMin"/>
          <c:min val="0"/>
        </c:scaling>
        <c:delete val="0"/>
        <c:axPos val="l"/>
        <c:majorGridlines>
          <c:spPr>
            <a:ln w="3175">
              <a:solidFill>
                <a:schemeClr val="bg1">
                  <a:lumMod val="95000"/>
                </a:schemeClr>
              </a:solidFill>
              <a:prstDash val="sysDash"/>
            </a:ln>
          </c:spPr>
        </c:majorGridlines>
        <c:title>
          <c:tx>
            <c:rich>
              <a:bodyPr/>
              <a:lstStyle/>
              <a:p>
                <a:pPr>
                  <a:defRPr/>
                </a:pPr>
                <a:r>
                  <a:rPr lang="es-BO"/>
                  <a:t>Depth</a:t>
                </a:r>
              </a:p>
            </c:rich>
          </c:tx>
          <c:overlay val="0"/>
        </c:title>
        <c:numFmt formatCode="#,##0" sourceLinked="0"/>
        <c:majorTickMark val="out"/>
        <c:minorTickMark val="in"/>
        <c:tickLblPos val="nextTo"/>
        <c:spPr>
          <a:ln w="12700">
            <a:solidFill>
              <a:srgbClr val="000000"/>
            </a:solidFill>
            <a:prstDash val="solid"/>
          </a:ln>
        </c:spPr>
        <c:txPr>
          <a:bodyPr rot="0" vert="horz"/>
          <a:lstStyle/>
          <a:p>
            <a:pPr>
              <a:defRPr sz="800" b="1"/>
            </a:pPr>
            <a:endParaRPr lang="es-BO"/>
          </a:p>
        </c:txPr>
        <c:crossAx val="54568064"/>
        <c:crossesAt val="0"/>
        <c:crossBetween val="midCat"/>
      </c:valAx>
      <c:spPr>
        <a:solidFill>
          <a:srgbClr val="FFFFFF"/>
        </a:solidFill>
        <a:ln w="25400">
          <a:noFill/>
        </a:ln>
      </c:spPr>
    </c:plotArea>
    <c:plotVisOnly val="1"/>
    <c:dispBlanksAs val="gap"/>
    <c:showDLblsOverMax val="0"/>
  </c:chart>
  <c:spPr>
    <a:solidFill>
      <a:schemeClr val="bg1"/>
    </a:solidFill>
    <a:ln w="9525" cap="flat" cmpd="sng" algn="ctr">
      <a:solidFill>
        <a:schemeClr val="bg1">
          <a:lumMod val="75000"/>
        </a:schemeClr>
      </a:solidFill>
      <a:prstDash val="solid"/>
    </a:ln>
    <a:effectLst/>
  </c:spPr>
  <c:txPr>
    <a:bodyPr/>
    <a:lstStyle/>
    <a:p>
      <a:pPr>
        <a:defRPr>
          <a:solidFill>
            <a:schemeClr val="dk1"/>
          </a:solidFill>
          <a:latin typeface="+mn-lt"/>
          <a:ea typeface="+mn-ea"/>
          <a:cs typeface="+mn-cs"/>
        </a:defRPr>
      </a:pPr>
      <a:endParaRPr lang="es-BO"/>
    </a:p>
  </c:txPr>
  <c:printSettings>
    <c:headerFooter alignWithMargins="0"/>
    <c:pageMargins b="1" l="0.75" r="0.75" t="1" header="0.5" footer="0.5"/>
    <c:pageSetup paperSize="9" orientation="landscape" horizontalDpi="1200" verticalDpi="1200"/>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u="none">
                <a:solidFill>
                  <a:srgbClr val="002060"/>
                </a:solidFill>
              </a:defRPr>
            </a:pPr>
            <a:r>
              <a:rPr lang="en-US" sz="900" u="none"/>
              <a:t>*Completion: PNW-01:X     Reservoir: PIRAY-SARA</a:t>
            </a:r>
          </a:p>
        </c:rich>
      </c:tx>
      <c:layout>
        <c:manualLayout>
          <c:xMode val="edge"/>
          <c:yMode val="edge"/>
          <c:x val="8.4889583333333324E-2"/>
          <c:y val="5.8054839919203648E-2"/>
        </c:manualLayout>
      </c:layout>
      <c:overlay val="0"/>
      <c:spPr>
        <a:noFill/>
        <a:ln w="25400">
          <a:noFill/>
        </a:ln>
      </c:spPr>
    </c:title>
    <c:autoTitleDeleted val="0"/>
    <c:plotArea>
      <c:layout>
        <c:manualLayout>
          <c:layoutTarget val="inner"/>
          <c:xMode val="edge"/>
          <c:yMode val="edge"/>
          <c:x val="7.7270666948563452E-2"/>
          <c:y val="0.15677253521604373"/>
          <c:w val="0.85739685136760524"/>
          <c:h val="0.74220458876748929"/>
        </c:manualLayout>
      </c:layout>
      <c:scatterChart>
        <c:scatterStyle val="smoothMarker"/>
        <c:varyColors val="0"/>
        <c:ser>
          <c:idx val="0"/>
          <c:order val="0"/>
          <c:tx>
            <c:strRef>
              <c:f>Chromatography!$BH$8:$BH$9</c:f>
              <c:strCache>
                <c:ptCount val="2"/>
                <c:pt idx="0">
                  <c:v>SG</c:v>
                </c:pt>
              </c:strCache>
            </c:strRef>
          </c:tx>
          <c:spPr>
            <a:ln w="3175" cap="rnd" cmpd="sng" algn="ctr">
              <a:noFill/>
              <a:prstDash val="sysDash"/>
              <a:round/>
            </a:ln>
            <a:effectLst/>
            <a:extLst>
              <a:ext uri="{91240B29-F687-4F45-9708-019B960494DF}">
                <a14:hiddenLine xmlns:a14="http://schemas.microsoft.com/office/drawing/2010/main" w="3175" cap="rnd" cmpd="sng" algn="ctr">
                  <a:solidFill>
                    <a:srgbClr val="000000"/>
                  </a:solidFill>
                  <a:prstDash val="sysDash"/>
                  <a:round/>
                </a14:hiddenLine>
              </a:ext>
            </a:extLst>
          </c:spPr>
          <c:marker>
            <c:symbol val="none"/>
          </c:marker>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E2AD-4437-89A8-27D815F211C4}"/>
                </c:ext>
              </c:extLst>
            </c:dLbl>
            <c:spPr>
              <a:noFill/>
              <a:ln w="9525" cap="flat" cmpd="sng" algn="ctr">
                <a:noFill/>
                <a:prstDash val="solid"/>
              </a:ln>
              <a:effectLst>
                <a:outerShdw blurRad="40000" dist="20000" dir="5400000" rotWithShape="0">
                  <a:srgbClr val="000000">
                    <a:alpha val="38000"/>
                  </a:srgbClr>
                </a:outerShdw>
              </a:effectLst>
            </c:spPr>
            <c:txPr>
              <a:bodyPr/>
              <a:lstStyle/>
              <a:p>
                <a:pPr>
                  <a:defRPr sz="1400" b="1">
                    <a:solidFill>
                      <a:schemeClr val="dk1"/>
                    </a:solidFill>
                    <a:latin typeface="+mn-lt"/>
                    <a:ea typeface="+mn-ea"/>
                    <a:cs typeface="+mn-cs"/>
                  </a:defRPr>
                </a:pPr>
                <a:endParaRPr lang="es-BO"/>
              </a:p>
            </c:txPr>
            <c:showLegendKey val="0"/>
            <c:showVal val="0"/>
            <c:showCatName val="0"/>
            <c:showSerName val="0"/>
            <c:showPercent val="0"/>
            <c:showBubbleSize val="0"/>
            <c:extLst>
              <c:ext xmlns:c15="http://schemas.microsoft.com/office/drawing/2012/chart" uri="{CE6537A1-D6FC-4f65-9D91-7224C49458BB}">
                <c15:showLeaderLines val="0"/>
              </c:ext>
            </c:extLst>
          </c:dLbls>
          <c:xVal>
            <c:strRef>
              <c:f>Chromatography!$BG$9:$BG$10</c:f>
              <c:strCache>
                <c:ptCount val="1"/>
                <c:pt idx="0">
                  <c:v>mmm - yyyy</c:v>
                </c:pt>
              </c:strCache>
            </c:strRef>
          </c:xVal>
          <c:yVal>
            <c:numRef>
              <c:f>Chromatography!$BH$9:$BH$10</c:f>
              <c:numCache>
                <c:formatCode>0.000;\-0.0;"--"</c:formatCode>
                <c:ptCount val="2"/>
              </c:numCache>
            </c:numRef>
          </c:yVal>
          <c:smooth val="1"/>
          <c:extLst>
            <c:ext xmlns:c16="http://schemas.microsoft.com/office/drawing/2014/chart" uri="{C3380CC4-5D6E-409C-BE32-E72D297353CC}">
              <c16:uniqueId val="{00000001-E2AD-4437-89A8-27D815F211C4}"/>
            </c:ext>
          </c:extLst>
        </c:ser>
        <c:dLbls>
          <c:showLegendKey val="0"/>
          <c:showVal val="0"/>
          <c:showCatName val="0"/>
          <c:showSerName val="0"/>
          <c:showPercent val="0"/>
          <c:showBubbleSize val="0"/>
        </c:dLbls>
        <c:axId val="343233600"/>
        <c:axId val="343234176"/>
      </c:scatterChart>
      <c:scatterChart>
        <c:scatterStyle val="smoothMarker"/>
        <c:varyColors val="0"/>
        <c:ser>
          <c:idx val="3"/>
          <c:order val="1"/>
          <c:tx>
            <c:strRef>
              <c:f>Chromatography!$BH$8:$BH$9</c:f>
              <c:strCache>
                <c:ptCount val="2"/>
                <c:pt idx="0">
                  <c:v>SG</c:v>
                </c:pt>
              </c:strCache>
            </c:strRef>
          </c:tx>
          <c:spPr>
            <a:ln w="28575">
              <a:noFill/>
            </a:ln>
          </c:spPr>
          <c:marker>
            <c:symbol val="circle"/>
            <c:size val="8"/>
            <c:spPr>
              <a:solidFill>
                <a:srgbClr val="FF0000">
                  <a:alpha val="42000"/>
                </a:srgbClr>
              </a:solidFill>
              <a:ln>
                <a:solidFill>
                  <a:srgbClr val="C00000">
                    <a:alpha val="48000"/>
                  </a:srgbClr>
                </a:solidFill>
              </a:ln>
            </c:spPr>
          </c:marker>
          <c:xVal>
            <c:strRef>
              <c:f>Chromatography!$BG$9:$BG$10</c:f>
              <c:strCache>
                <c:ptCount val="1"/>
                <c:pt idx="0">
                  <c:v>mmm - yyyy</c:v>
                </c:pt>
              </c:strCache>
            </c:strRef>
          </c:xVal>
          <c:yVal>
            <c:numRef>
              <c:f>Chromatography!$BH$9:$BH$10</c:f>
              <c:numCache>
                <c:formatCode>0.000;\-0.0;"--"</c:formatCode>
                <c:ptCount val="2"/>
              </c:numCache>
            </c:numRef>
          </c:yVal>
          <c:smooth val="1"/>
          <c:extLst>
            <c:ext xmlns:c16="http://schemas.microsoft.com/office/drawing/2014/chart" uri="{C3380CC4-5D6E-409C-BE32-E72D297353CC}">
              <c16:uniqueId val="{00000002-E2AD-4437-89A8-27D815F211C4}"/>
            </c:ext>
          </c:extLst>
        </c:ser>
        <c:dLbls>
          <c:showLegendKey val="0"/>
          <c:showVal val="0"/>
          <c:showCatName val="0"/>
          <c:showSerName val="0"/>
          <c:showPercent val="0"/>
          <c:showBubbleSize val="0"/>
        </c:dLbls>
        <c:axId val="343235328"/>
        <c:axId val="343234752"/>
      </c:scatterChart>
      <c:valAx>
        <c:axId val="343233600"/>
        <c:scaling>
          <c:orientation val="minMax"/>
          <c:min val="0"/>
        </c:scaling>
        <c:delete val="0"/>
        <c:axPos val="b"/>
        <c:majorGridlines>
          <c:spPr>
            <a:ln w="3175">
              <a:solidFill>
                <a:schemeClr val="bg1">
                  <a:lumMod val="95000"/>
                </a:schemeClr>
              </a:solidFill>
              <a:prstDash val="sysDash"/>
            </a:ln>
          </c:spPr>
        </c:majorGridlines>
        <c:numFmt formatCode="dd\ mmm" sourceLinked="0"/>
        <c:majorTickMark val="out"/>
        <c:minorTickMark val="in"/>
        <c:tickLblPos val="nextTo"/>
        <c:spPr>
          <a:ln w="12700">
            <a:solidFill>
              <a:srgbClr val="000000"/>
            </a:solidFill>
            <a:prstDash val="solid"/>
          </a:ln>
        </c:spPr>
        <c:txPr>
          <a:bodyPr rot="0" vert="horz"/>
          <a:lstStyle/>
          <a:p>
            <a:pPr>
              <a:defRPr sz="800"/>
            </a:pPr>
            <a:endParaRPr lang="es-BO"/>
          </a:p>
        </c:txPr>
        <c:crossAx val="343234176"/>
        <c:crossesAt val="0"/>
        <c:crossBetween val="midCat"/>
      </c:valAx>
      <c:valAx>
        <c:axId val="343234176"/>
        <c:scaling>
          <c:orientation val="minMax"/>
        </c:scaling>
        <c:delete val="0"/>
        <c:axPos val="l"/>
        <c:majorGridlines>
          <c:spPr>
            <a:ln w="3175">
              <a:solidFill>
                <a:schemeClr val="bg1">
                  <a:lumMod val="95000"/>
                </a:schemeClr>
              </a:solidFill>
              <a:prstDash val="sysDash"/>
            </a:ln>
          </c:spPr>
        </c:majorGridlines>
        <c:numFmt formatCode="#,##0.00" sourceLinked="0"/>
        <c:majorTickMark val="out"/>
        <c:minorTickMark val="in"/>
        <c:tickLblPos val="nextTo"/>
        <c:spPr>
          <a:ln w="12700">
            <a:solidFill>
              <a:srgbClr val="000000"/>
            </a:solidFill>
            <a:prstDash val="solid"/>
          </a:ln>
        </c:spPr>
        <c:txPr>
          <a:bodyPr rot="0" vert="horz"/>
          <a:lstStyle/>
          <a:p>
            <a:pPr>
              <a:defRPr sz="900"/>
            </a:pPr>
            <a:endParaRPr lang="es-BO"/>
          </a:p>
        </c:txPr>
        <c:crossAx val="343233600"/>
        <c:crossesAt val="0"/>
        <c:crossBetween val="midCat"/>
      </c:valAx>
      <c:valAx>
        <c:axId val="343234752"/>
        <c:scaling>
          <c:orientation val="minMax"/>
        </c:scaling>
        <c:delete val="0"/>
        <c:axPos val="r"/>
        <c:numFmt formatCode="#,##0.00" sourceLinked="0"/>
        <c:majorTickMark val="out"/>
        <c:minorTickMark val="in"/>
        <c:tickLblPos val="nextTo"/>
        <c:spPr>
          <a:ln w="12700">
            <a:solidFill>
              <a:schemeClr val="tx1"/>
            </a:solidFill>
          </a:ln>
        </c:spPr>
        <c:txPr>
          <a:bodyPr/>
          <a:lstStyle/>
          <a:p>
            <a:pPr>
              <a:defRPr sz="900"/>
            </a:pPr>
            <a:endParaRPr lang="es-BO"/>
          </a:p>
        </c:txPr>
        <c:crossAx val="343235328"/>
        <c:crosses val="max"/>
        <c:crossBetween val="midCat"/>
      </c:valAx>
      <c:valAx>
        <c:axId val="343235328"/>
        <c:scaling>
          <c:orientation val="minMax"/>
          <c:max val="1.2"/>
          <c:min val="0"/>
        </c:scaling>
        <c:delete val="0"/>
        <c:axPos val="b"/>
        <c:numFmt formatCode="yyyy" sourceLinked="0"/>
        <c:majorTickMark val="out"/>
        <c:minorTickMark val="none"/>
        <c:tickLblPos val="nextTo"/>
        <c:txPr>
          <a:bodyPr/>
          <a:lstStyle/>
          <a:p>
            <a:pPr>
              <a:defRPr sz="900"/>
            </a:pPr>
            <a:endParaRPr lang="es-BO"/>
          </a:p>
        </c:txPr>
        <c:crossAx val="343234752"/>
        <c:crosses val="autoZero"/>
        <c:crossBetween val="midCat"/>
      </c:valAx>
      <c:spPr>
        <a:solidFill>
          <a:srgbClr val="FFFFFF"/>
        </a:solidFill>
        <a:ln w="25400">
          <a:noFill/>
        </a:ln>
      </c:spPr>
    </c:plotArea>
    <c:legend>
      <c:legendPos val="b"/>
      <c:legendEntry>
        <c:idx val="1"/>
        <c:delete val="1"/>
      </c:legendEntry>
      <c:layout>
        <c:manualLayout>
          <c:xMode val="edge"/>
          <c:yMode val="edge"/>
          <c:x val="8.8106111111111149E-2"/>
          <c:y val="0.14353979946055132"/>
          <c:w val="8.4478611111111129E-2"/>
          <c:h val="0.14964016594699855"/>
        </c:manualLayout>
      </c:layout>
      <c:overlay val="0"/>
      <c:spPr>
        <a:solidFill>
          <a:schemeClr val="bg1"/>
        </a:solidFill>
        <a:ln w="9525" cap="flat" cmpd="sng" algn="ctr">
          <a:noFill/>
          <a:prstDash val="solid"/>
        </a:ln>
        <a:effectLst/>
      </c:spPr>
      <c:txPr>
        <a:bodyPr/>
        <a:lstStyle/>
        <a:p>
          <a:pPr>
            <a:defRPr sz="1600" b="1"/>
          </a:pPr>
          <a:endParaRPr lang="es-BO"/>
        </a:p>
      </c:txPr>
    </c:legend>
    <c:plotVisOnly val="1"/>
    <c:dispBlanksAs val="gap"/>
    <c:showDLblsOverMax val="0"/>
  </c:chart>
  <c:spPr>
    <a:solidFill>
      <a:schemeClr val="bg1"/>
    </a:solidFill>
    <a:ln w="9525" cap="flat" cmpd="sng" algn="ctr">
      <a:solidFill>
        <a:schemeClr val="bg1">
          <a:lumMod val="85000"/>
        </a:schemeClr>
      </a:solidFill>
      <a:prstDash val="solid"/>
    </a:ln>
    <a:effectLst/>
  </c:spPr>
  <c:txPr>
    <a:bodyPr/>
    <a:lstStyle/>
    <a:p>
      <a:pPr>
        <a:defRPr>
          <a:solidFill>
            <a:schemeClr val="dk1"/>
          </a:solidFill>
          <a:latin typeface="+mn-lt"/>
          <a:ea typeface="+mn-ea"/>
          <a:cs typeface="+mn-cs"/>
        </a:defRPr>
      </a:pPr>
      <a:endParaRPr lang="es-BO"/>
    </a:p>
  </c:txPr>
  <c:printSettings>
    <c:headerFooter alignWithMargins="0"/>
    <c:pageMargins b="1" l="0.75" r="0.75" t="1" header="0.5" footer="0.5"/>
    <c:pageSetup paperSize="9" orientation="landscape" horizontalDpi="1200" verticalDpi="1200"/>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a:solidFill>
                  <a:schemeClr val="tx2">
                    <a:lumMod val="75000"/>
                  </a:schemeClr>
                </a:solidFill>
                <a:latin typeface="+mn-lt"/>
              </a:defRPr>
            </a:pPr>
            <a:r>
              <a:rPr lang="en-US" sz="900" b="1">
                <a:solidFill>
                  <a:schemeClr val="tx2">
                    <a:lumMod val="75000"/>
                  </a:schemeClr>
                </a:solidFill>
                <a:latin typeface="+mn-lt"/>
              </a:rPr>
              <a:t>*Completion: PNW-01:X     Reservoir: PIRAY-SARA</a:t>
            </a:r>
          </a:p>
        </c:rich>
      </c:tx>
      <c:layout>
        <c:manualLayout>
          <c:xMode val="edge"/>
          <c:yMode val="edge"/>
          <c:x val="1.1753082056888749E-2"/>
          <c:y val="0"/>
        </c:manualLayout>
      </c:layout>
      <c:overlay val="1"/>
    </c:title>
    <c:autoTitleDeleted val="0"/>
    <c:plotArea>
      <c:layout>
        <c:manualLayout>
          <c:layoutTarget val="inner"/>
          <c:xMode val="edge"/>
          <c:yMode val="edge"/>
          <c:x val="7.2844842501279206E-2"/>
          <c:y val="0.124055706756972"/>
          <c:w val="0.85291088263335946"/>
          <c:h val="0.73833364496984055"/>
        </c:manualLayout>
      </c:layout>
      <c:scatterChart>
        <c:scatterStyle val="smoothMarker"/>
        <c:varyColors val="0"/>
        <c:ser>
          <c:idx val="0"/>
          <c:order val="0"/>
          <c:tx>
            <c:strRef>
              <c:f>Chromatography!$BQ$8:$BQ$9</c:f>
              <c:strCache>
                <c:ptCount val="2"/>
                <c:pt idx="0">
                  <c:v>N2</c:v>
                </c:pt>
                <c:pt idx="1">
                  <c:v>%</c:v>
                </c:pt>
              </c:strCache>
            </c:strRef>
          </c:tx>
          <c:spPr>
            <a:ln w="3175" cap="rnd" cmpd="sng" algn="ctr">
              <a:noFill/>
              <a:prstDash val="sysDash"/>
              <a:round/>
            </a:ln>
            <a:effectLst>
              <a:outerShdw blurRad="50800" dist="38100" dir="5400000" algn="t" rotWithShape="0">
                <a:prstClr val="black">
                  <a:alpha val="17000"/>
                </a:prstClr>
              </a:outerShdw>
            </a:effectLst>
            <a:extLst>
              <a:ext uri="{91240B29-F687-4F45-9708-019B960494DF}">
                <a14:hiddenLine xmlns:a14="http://schemas.microsoft.com/office/drawing/2010/main" w="3175" cap="rnd" cmpd="sng" algn="ctr">
                  <a:solidFill>
                    <a:srgbClr val="000000"/>
                  </a:solidFill>
                  <a:prstDash val="sysDash"/>
                  <a:round/>
                </a14:hiddenLine>
              </a:ext>
            </a:extLst>
          </c:spPr>
          <c:marker>
            <c:symbol val="circle"/>
            <c:size val="8"/>
            <c:spPr>
              <a:solidFill>
                <a:srgbClr val="FFFF00"/>
              </a:solidFill>
              <a:ln w="3175">
                <a:solidFill>
                  <a:srgbClr val="FF0000"/>
                </a:solidFill>
                <a:prstDash val="solid"/>
              </a:ln>
              <a:effectLst>
                <a:outerShdw blurRad="50800" dist="38100" dir="5400000" algn="t" rotWithShape="0">
                  <a:prstClr val="black">
                    <a:alpha val="17000"/>
                  </a:prstClr>
                </a:outerShdw>
              </a:effectLst>
            </c:spPr>
          </c:marker>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AB83-49F0-9EBE-4BD580835D73}"/>
                </c:ext>
              </c:extLst>
            </c:dLbl>
            <c:spPr>
              <a:gradFill rotWithShape="1">
                <a:gsLst>
                  <a:gs pos="0">
                    <a:schemeClr val="dk1">
                      <a:tint val="50000"/>
                      <a:satMod val="300000"/>
                    </a:schemeClr>
                  </a:gs>
                  <a:gs pos="35000">
                    <a:schemeClr val="dk1">
                      <a:tint val="37000"/>
                      <a:satMod val="300000"/>
                    </a:schemeClr>
                  </a:gs>
                  <a:gs pos="100000">
                    <a:schemeClr val="dk1">
                      <a:tint val="15000"/>
                      <a:satMod val="350000"/>
                    </a:schemeClr>
                  </a:gs>
                </a:gsLst>
                <a:lin ang="16200000" scaled="1"/>
              </a:gradFill>
              <a:ln w="9525" cap="flat" cmpd="sng" algn="ctr">
                <a:solidFill>
                  <a:schemeClr val="dk1">
                    <a:shade val="95000"/>
                    <a:satMod val="105000"/>
                  </a:schemeClr>
                </a:solidFill>
                <a:prstDash val="solid"/>
              </a:ln>
              <a:effectLst>
                <a:outerShdw blurRad="40000" dist="20000" dir="5400000" rotWithShape="0">
                  <a:srgbClr val="000000">
                    <a:alpha val="38000"/>
                  </a:srgbClr>
                </a:outerShdw>
              </a:effectLst>
            </c:spPr>
            <c:txPr>
              <a:bodyPr/>
              <a:lstStyle/>
              <a:p>
                <a:pPr>
                  <a:defRPr>
                    <a:solidFill>
                      <a:schemeClr val="dk1"/>
                    </a:solidFill>
                    <a:latin typeface="+mn-lt"/>
                    <a:ea typeface="+mn-ea"/>
                    <a:cs typeface="+mn-cs"/>
                  </a:defRPr>
                </a:pPr>
                <a:endParaRPr lang="es-BO"/>
              </a:p>
            </c:txPr>
            <c:showLegendKey val="0"/>
            <c:showVal val="0"/>
            <c:showCatName val="0"/>
            <c:showSerName val="0"/>
            <c:showPercent val="0"/>
            <c:showBubbleSize val="0"/>
            <c:extLst>
              <c:ext xmlns:c15="http://schemas.microsoft.com/office/drawing/2012/chart" uri="{CE6537A1-D6FC-4f65-9D91-7224C49458BB}">
                <c15:showLeaderLines val="0"/>
              </c:ext>
            </c:extLst>
          </c:dLbls>
          <c:xVal>
            <c:strRef>
              <c:f>Chromatography!$BG$9:$BG$10</c:f>
              <c:strCache>
                <c:ptCount val="1"/>
                <c:pt idx="0">
                  <c:v>mmm - yyyy</c:v>
                </c:pt>
              </c:strCache>
            </c:strRef>
          </c:xVal>
          <c:yVal>
            <c:numRef>
              <c:f>Chromatography!$BQ$9:$BQ$10</c:f>
              <c:numCache>
                <c:formatCode>0.000;\-0.0;"--"</c:formatCode>
                <c:ptCount val="2"/>
                <c:pt idx="0" formatCode="General">
                  <c:v>0</c:v>
                </c:pt>
              </c:numCache>
            </c:numRef>
          </c:yVal>
          <c:smooth val="1"/>
          <c:extLst>
            <c:ext xmlns:c16="http://schemas.microsoft.com/office/drawing/2014/chart" uri="{C3380CC4-5D6E-409C-BE32-E72D297353CC}">
              <c16:uniqueId val="{00000001-AB83-49F0-9EBE-4BD580835D73}"/>
            </c:ext>
          </c:extLst>
        </c:ser>
        <c:ser>
          <c:idx val="1"/>
          <c:order val="2"/>
          <c:tx>
            <c:strRef>
              <c:f>Chromatography!$BR$8:$BR$9</c:f>
              <c:strCache>
                <c:ptCount val="2"/>
                <c:pt idx="0">
                  <c:v>CO2</c:v>
                </c:pt>
                <c:pt idx="1">
                  <c:v>%</c:v>
                </c:pt>
              </c:strCache>
            </c:strRef>
          </c:tx>
          <c:spPr>
            <a:ln w="3175" cap="rnd" cmpd="sng" algn="ctr">
              <a:noFill/>
              <a:prstDash val="sysDash"/>
              <a:round/>
            </a:ln>
            <a:effectLst/>
          </c:spPr>
          <c:marker>
            <c:symbol val="diamond"/>
            <c:size val="8"/>
            <c:spPr>
              <a:solidFill>
                <a:srgbClr val="FFC000"/>
              </a:solidFill>
              <a:ln w="9525">
                <a:solidFill>
                  <a:schemeClr val="tx1"/>
                </a:solidFill>
                <a:prstDash val="solid"/>
              </a:ln>
              <a:effectLst/>
            </c:spPr>
          </c:marker>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B83-49F0-9EBE-4BD580835D73}"/>
                </c:ext>
              </c:extLst>
            </c:dLbl>
            <c:spPr>
              <a:gradFill rotWithShape="1">
                <a:gsLst>
                  <a:gs pos="0">
                    <a:schemeClr val="dk1">
                      <a:tint val="50000"/>
                      <a:satMod val="300000"/>
                    </a:schemeClr>
                  </a:gs>
                  <a:gs pos="35000">
                    <a:schemeClr val="dk1">
                      <a:tint val="37000"/>
                      <a:satMod val="300000"/>
                    </a:schemeClr>
                  </a:gs>
                  <a:gs pos="100000">
                    <a:schemeClr val="dk1">
                      <a:tint val="15000"/>
                      <a:satMod val="350000"/>
                    </a:schemeClr>
                  </a:gs>
                </a:gsLst>
                <a:lin ang="16200000" scaled="1"/>
              </a:gradFill>
              <a:ln w="9525" cap="flat" cmpd="sng" algn="ctr">
                <a:solidFill>
                  <a:schemeClr val="dk1">
                    <a:shade val="95000"/>
                    <a:satMod val="105000"/>
                  </a:schemeClr>
                </a:solidFill>
                <a:prstDash val="solid"/>
              </a:ln>
              <a:effectLst>
                <a:outerShdw blurRad="40000" dist="20000" dir="5400000" rotWithShape="0">
                  <a:srgbClr val="000000">
                    <a:alpha val="38000"/>
                  </a:srgbClr>
                </a:outerShdw>
              </a:effectLst>
            </c:spPr>
            <c:txPr>
              <a:bodyPr/>
              <a:lstStyle/>
              <a:p>
                <a:pPr>
                  <a:defRPr>
                    <a:solidFill>
                      <a:schemeClr val="dk1"/>
                    </a:solidFill>
                    <a:latin typeface="+mn-lt"/>
                    <a:ea typeface="+mn-ea"/>
                    <a:cs typeface="+mn-cs"/>
                  </a:defRPr>
                </a:pPr>
                <a:endParaRPr lang="es-BO"/>
              </a:p>
            </c:txPr>
            <c:showLegendKey val="0"/>
            <c:showVal val="0"/>
            <c:showCatName val="0"/>
            <c:showSerName val="0"/>
            <c:showPercent val="0"/>
            <c:showBubbleSize val="0"/>
            <c:extLst>
              <c:ext xmlns:c15="http://schemas.microsoft.com/office/drawing/2012/chart" uri="{CE6537A1-D6FC-4f65-9D91-7224C49458BB}">
                <c15:showLeaderLines val="0"/>
              </c:ext>
            </c:extLst>
          </c:dLbls>
          <c:xVal>
            <c:strRef>
              <c:f>Chromatography!$BG$9:$BG$10</c:f>
              <c:strCache>
                <c:ptCount val="1"/>
                <c:pt idx="0">
                  <c:v>mmm - yyyy</c:v>
                </c:pt>
              </c:strCache>
            </c:strRef>
          </c:xVal>
          <c:yVal>
            <c:numRef>
              <c:f>Chromatography!$BR$9:$BR$10</c:f>
              <c:numCache>
                <c:formatCode>0.000;\-0.0;"--"</c:formatCode>
                <c:ptCount val="2"/>
                <c:pt idx="0" formatCode="General">
                  <c:v>0</c:v>
                </c:pt>
              </c:numCache>
            </c:numRef>
          </c:yVal>
          <c:smooth val="0"/>
          <c:extLst>
            <c:ext xmlns:c16="http://schemas.microsoft.com/office/drawing/2014/chart" uri="{C3380CC4-5D6E-409C-BE32-E72D297353CC}">
              <c16:uniqueId val="{00000003-AB83-49F0-9EBE-4BD580835D73}"/>
            </c:ext>
          </c:extLst>
        </c:ser>
        <c:dLbls>
          <c:showLegendKey val="0"/>
          <c:showVal val="0"/>
          <c:showCatName val="0"/>
          <c:showSerName val="0"/>
          <c:showPercent val="0"/>
          <c:showBubbleSize val="0"/>
        </c:dLbls>
        <c:axId val="349734016"/>
        <c:axId val="349734592"/>
      </c:scatterChart>
      <c:scatterChart>
        <c:scatterStyle val="smoothMarker"/>
        <c:varyColors val="0"/>
        <c:ser>
          <c:idx val="2"/>
          <c:order val="1"/>
          <c:tx>
            <c:strRef>
              <c:f>Chromatography!$BQ$8:$BQ$9</c:f>
              <c:strCache>
                <c:ptCount val="2"/>
                <c:pt idx="0">
                  <c:v>N2</c:v>
                </c:pt>
                <c:pt idx="1">
                  <c:v>%</c:v>
                </c:pt>
              </c:strCache>
            </c:strRef>
          </c:tx>
          <c:spPr>
            <a:ln w="3175" cap="rnd" cmpd="sng" algn="ctr">
              <a:noFill/>
              <a:prstDash val="sysDash"/>
              <a:round/>
            </a:ln>
            <a:effectLst/>
          </c:spPr>
          <c:marker>
            <c:symbol val="none"/>
          </c:marker>
          <c:xVal>
            <c:strRef>
              <c:f>Chromatography!$BG$9:$BG$10</c:f>
              <c:strCache>
                <c:ptCount val="1"/>
                <c:pt idx="0">
                  <c:v>mmm - yyyy</c:v>
                </c:pt>
              </c:strCache>
            </c:strRef>
          </c:xVal>
          <c:yVal>
            <c:numRef>
              <c:f>Chromatography!$BQ$9:$BQ$10</c:f>
              <c:numCache>
                <c:formatCode>0.000;\-0.0;"--"</c:formatCode>
                <c:ptCount val="2"/>
                <c:pt idx="0" formatCode="General">
                  <c:v>0</c:v>
                </c:pt>
              </c:numCache>
            </c:numRef>
          </c:yVal>
          <c:smooth val="0"/>
          <c:extLst>
            <c:ext xmlns:c16="http://schemas.microsoft.com/office/drawing/2014/chart" uri="{C3380CC4-5D6E-409C-BE32-E72D297353CC}">
              <c16:uniqueId val="{00000004-AB83-49F0-9EBE-4BD580835D73}"/>
            </c:ext>
          </c:extLst>
        </c:ser>
        <c:dLbls>
          <c:showLegendKey val="0"/>
          <c:showVal val="0"/>
          <c:showCatName val="0"/>
          <c:showSerName val="0"/>
          <c:showPercent val="0"/>
          <c:showBubbleSize val="0"/>
        </c:dLbls>
        <c:axId val="349735744"/>
        <c:axId val="349735168"/>
      </c:scatterChart>
      <c:valAx>
        <c:axId val="349734016"/>
        <c:scaling>
          <c:orientation val="minMax"/>
          <c:min val="0"/>
        </c:scaling>
        <c:delete val="0"/>
        <c:axPos val="b"/>
        <c:majorGridlines>
          <c:spPr>
            <a:ln w="3175">
              <a:solidFill>
                <a:schemeClr val="bg1">
                  <a:lumMod val="95000"/>
                </a:schemeClr>
              </a:solidFill>
              <a:prstDash val="sysDash"/>
            </a:ln>
          </c:spPr>
        </c:majorGridlines>
        <c:numFmt formatCode="dd\ mmm" sourceLinked="0"/>
        <c:majorTickMark val="out"/>
        <c:minorTickMark val="none"/>
        <c:tickLblPos val="nextTo"/>
        <c:spPr>
          <a:ln w="12700">
            <a:solidFill>
              <a:srgbClr val="000000"/>
            </a:solidFill>
            <a:prstDash val="solid"/>
          </a:ln>
        </c:spPr>
        <c:txPr>
          <a:bodyPr rot="0" vert="horz"/>
          <a:lstStyle/>
          <a:p>
            <a:pPr>
              <a:defRPr sz="800" b="0" i="0" u="none" strike="noStrike" baseline="0">
                <a:solidFill>
                  <a:srgbClr val="000000"/>
                </a:solidFill>
                <a:latin typeface="+mn-lt"/>
                <a:ea typeface="Arial"/>
                <a:cs typeface="Arial"/>
              </a:defRPr>
            </a:pPr>
            <a:endParaRPr lang="es-BO"/>
          </a:p>
        </c:txPr>
        <c:crossAx val="349734592"/>
        <c:crosses val="autoZero"/>
        <c:crossBetween val="midCat"/>
      </c:valAx>
      <c:valAx>
        <c:axId val="349734592"/>
        <c:scaling>
          <c:orientation val="minMax"/>
          <c:min val="0"/>
        </c:scaling>
        <c:delete val="0"/>
        <c:axPos val="l"/>
        <c:majorGridlines>
          <c:spPr>
            <a:ln w="3175">
              <a:solidFill>
                <a:schemeClr val="bg1">
                  <a:lumMod val="95000"/>
                </a:schemeClr>
              </a:solidFill>
              <a:prstDash val="sysDash"/>
            </a:ln>
          </c:spPr>
        </c:majorGridlines>
        <c:numFmt formatCode="0.0;\-0.0;&quot;--&quot;" sourceLinked="0"/>
        <c:majorTickMark val="out"/>
        <c:minorTickMark val="none"/>
        <c:tickLblPos val="nextTo"/>
        <c:spPr>
          <a:ln w="12700">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s-BO"/>
          </a:p>
        </c:txPr>
        <c:crossAx val="349734016"/>
        <c:crosses val="autoZero"/>
        <c:crossBetween val="midCat"/>
      </c:valAx>
      <c:valAx>
        <c:axId val="349735168"/>
        <c:scaling>
          <c:orientation val="minMax"/>
          <c:min val="0"/>
        </c:scaling>
        <c:delete val="0"/>
        <c:axPos val="r"/>
        <c:numFmt formatCode="0.0;\-0.0;&quot;--&quot;" sourceLinked="0"/>
        <c:majorTickMark val="out"/>
        <c:minorTickMark val="none"/>
        <c:tickLblPos val="nextTo"/>
        <c:spPr>
          <a:ln>
            <a:solidFill>
              <a:schemeClr val="tx1"/>
            </a:solidFill>
          </a:ln>
        </c:spPr>
        <c:txPr>
          <a:bodyPr/>
          <a:lstStyle/>
          <a:p>
            <a:pPr>
              <a:defRPr sz="800"/>
            </a:pPr>
            <a:endParaRPr lang="es-BO"/>
          </a:p>
        </c:txPr>
        <c:crossAx val="349735744"/>
        <c:crosses val="max"/>
        <c:crossBetween val="midCat"/>
      </c:valAx>
      <c:valAx>
        <c:axId val="349735744"/>
        <c:scaling>
          <c:orientation val="minMax"/>
          <c:max val="1.2"/>
          <c:min val="0"/>
        </c:scaling>
        <c:delete val="0"/>
        <c:axPos val="b"/>
        <c:numFmt formatCode="yyyy" sourceLinked="0"/>
        <c:majorTickMark val="out"/>
        <c:minorTickMark val="none"/>
        <c:tickLblPos val="nextTo"/>
        <c:txPr>
          <a:bodyPr/>
          <a:lstStyle/>
          <a:p>
            <a:pPr>
              <a:defRPr sz="800"/>
            </a:pPr>
            <a:endParaRPr lang="es-BO"/>
          </a:p>
        </c:txPr>
        <c:crossAx val="349735168"/>
        <c:crosses val="autoZero"/>
        <c:crossBetween val="midCat"/>
      </c:valAx>
      <c:spPr>
        <a:solidFill>
          <a:schemeClr val="bg1"/>
        </a:solidFill>
        <a:ln w="25400">
          <a:noFill/>
        </a:ln>
      </c:spPr>
    </c:plotArea>
    <c:legend>
      <c:legendPos val="t"/>
      <c:legendEntry>
        <c:idx val="2"/>
        <c:delete val="1"/>
      </c:legendEntry>
      <c:layout>
        <c:manualLayout>
          <c:xMode val="edge"/>
          <c:yMode val="edge"/>
          <c:x val="0.49403534065284094"/>
          <c:y val="2.9325720249881043E-2"/>
          <c:w val="0.42806981873744659"/>
          <c:h val="8.3959417353532559E-2"/>
        </c:manualLayout>
      </c:layout>
      <c:overlay val="0"/>
      <c:spPr>
        <a:solidFill>
          <a:schemeClr val="bg1"/>
        </a:solidFill>
        <a:ln w="9525" cap="flat" cmpd="sng" algn="ctr">
          <a:noFill/>
          <a:prstDash val="solid"/>
        </a:ln>
        <a:effectLst/>
      </c:spPr>
      <c:txPr>
        <a:bodyPr/>
        <a:lstStyle/>
        <a:p>
          <a:pPr>
            <a:defRPr sz="1400" b="1">
              <a:solidFill>
                <a:schemeClr val="dk1"/>
              </a:solidFill>
              <a:latin typeface="+mn-lt"/>
              <a:ea typeface="+mn-ea"/>
              <a:cs typeface="+mn-cs"/>
            </a:defRPr>
          </a:pPr>
          <a:endParaRPr lang="es-BO"/>
        </a:p>
      </c:txPr>
    </c:legend>
    <c:plotVisOnly val="1"/>
    <c:dispBlanksAs val="gap"/>
    <c:showDLblsOverMax val="0"/>
  </c:chart>
  <c:spPr>
    <a:solidFill>
      <a:schemeClr val="bg1"/>
    </a:solidFill>
    <a:ln w="3175">
      <a:solidFill>
        <a:schemeClr val="bg1">
          <a:lumMod val="85000"/>
        </a:schemeClr>
      </a:solidFill>
      <a:prstDash val="solid"/>
    </a:ln>
    <a:effectLst/>
  </c:spPr>
  <c:txPr>
    <a:bodyPr/>
    <a:lstStyle/>
    <a:p>
      <a:pPr>
        <a:defRPr sz="875" b="0" i="0" u="none" strike="noStrike" baseline="0">
          <a:solidFill>
            <a:srgbClr val="000000"/>
          </a:solidFill>
          <a:latin typeface="Arial"/>
          <a:ea typeface="Arial"/>
          <a:cs typeface="Arial"/>
        </a:defRPr>
      </a:pPr>
      <a:endParaRPr lang="es-BO"/>
    </a:p>
  </c:txPr>
  <c:printSettings>
    <c:headerFooter alignWithMargins="0"/>
    <c:pageMargins b="1" l="0.75" r="0.75" t="1"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a:pPr>
            <a:r>
              <a:rPr lang="en-US" sz="900"/>
              <a:t>*Completion: PNW-01:X     Reservoir: PIRAY-SARA</a:t>
            </a:r>
          </a:p>
        </c:rich>
      </c:tx>
      <c:layout>
        <c:manualLayout>
          <c:xMode val="edge"/>
          <c:yMode val="edge"/>
          <c:x val="5.2248238707003711E-3"/>
          <c:y val="0"/>
        </c:manualLayout>
      </c:layout>
      <c:overlay val="1"/>
    </c:title>
    <c:autoTitleDeleted val="0"/>
    <c:plotArea>
      <c:layout>
        <c:manualLayout>
          <c:layoutTarget val="inner"/>
          <c:xMode val="edge"/>
          <c:yMode val="edge"/>
          <c:x val="7.8447374310769299E-2"/>
          <c:y val="0.14233242774477753"/>
          <c:w val="0.85739685136760524"/>
          <c:h val="0.69837914997467421"/>
        </c:manualLayout>
      </c:layout>
      <c:scatterChart>
        <c:scatterStyle val="smoothMarker"/>
        <c:varyColors val="0"/>
        <c:ser>
          <c:idx val="1"/>
          <c:order val="0"/>
          <c:tx>
            <c:strRef>
              <c:f>Chromatography!$BS$8:$BS$9</c:f>
              <c:strCache>
                <c:ptCount val="2"/>
                <c:pt idx="0">
                  <c:v>C1</c:v>
                </c:pt>
                <c:pt idx="1">
                  <c:v>%</c:v>
                </c:pt>
              </c:strCache>
            </c:strRef>
          </c:tx>
          <c:spPr>
            <a:ln w="3175" cap="rnd" cmpd="sng" algn="ctr">
              <a:noFill/>
              <a:prstDash val="sysDash"/>
              <a:round/>
            </a:ln>
            <a:effectLst/>
            <a:extLst>
              <a:ext uri="{91240B29-F687-4F45-9708-019B960494DF}">
                <a14:hiddenLine xmlns:a14="http://schemas.microsoft.com/office/drawing/2010/main" w="3175" cap="rnd" cmpd="sng" algn="ctr">
                  <a:solidFill>
                    <a:srgbClr val="000000"/>
                  </a:solidFill>
                  <a:prstDash val="sysDash"/>
                  <a:round/>
                </a14:hiddenLine>
              </a:ext>
            </a:extLst>
          </c:spPr>
          <c:marker>
            <c:symbol val="square"/>
            <c:size val="6"/>
            <c:spPr>
              <a:solidFill>
                <a:schemeClr val="accent1">
                  <a:lumMod val="40000"/>
                  <a:lumOff val="60000"/>
                </a:schemeClr>
              </a:solidFill>
              <a:ln w="3175" cap="flat" cmpd="sng" algn="ctr">
                <a:solidFill>
                  <a:schemeClr val="tx1"/>
                </a:solidFill>
                <a:prstDash val="solid"/>
                <a:round/>
              </a:ln>
              <a:effectLst/>
            </c:spPr>
          </c:marker>
          <c:dLbls>
            <c:dLbl>
              <c:idx val="0"/>
              <c:layout>
                <c:manualLayout>
                  <c:x val="8.1230555555554269E-3"/>
                  <c:y val="-7.1474158080112246E-1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B2BE-408C-A553-BAC320E5D4A7}"/>
                </c:ext>
              </c:extLst>
            </c:dLbl>
            <c:spPr>
              <a:gradFill rotWithShape="1">
                <a:gsLst>
                  <a:gs pos="0">
                    <a:schemeClr val="dk1">
                      <a:tint val="50000"/>
                      <a:satMod val="300000"/>
                    </a:schemeClr>
                  </a:gs>
                  <a:gs pos="35000">
                    <a:schemeClr val="dk1">
                      <a:tint val="37000"/>
                      <a:satMod val="300000"/>
                    </a:schemeClr>
                  </a:gs>
                  <a:gs pos="100000">
                    <a:schemeClr val="dk1">
                      <a:tint val="15000"/>
                      <a:satMod val="350000"/>
                    </a:schemeClr>
                  </a:gs>
                </a:gsLst>
                <a:lin ang="16200000" scaled="1"/>
              </a:gradFill>
              <a:ln w="9525" cap="flat" cmpd="sng" algn="ctr">
                <a:solidFill>
                  <a:schemeClr val="dk1">
                    <a:shade val="95000"/>
                    <a:satMod val="105000"/>
                  </a:schemeClr>
                </a:solidFill>
                <a:prstDash val="solid"/>
              </a:ln>
              <a:effectLst>
                <a:outerShdw blurRad="40000" dist="20000" dir="5400000" rotWithShape="0">
                  <a:srgbClr val="000000">
                    <a:alpha val="38000"/>
                  </a:srgbClr>
                </a:outerShdw>
              </a:effectLst>
            </c:spPr>
            <c:txPr>
              <a:bodyPr/>
              <a:lstStyle/>
              <a:p>
                <a:pPr>
                  <a:defRPr>
                    <a:solidFill>
                      <a:schemeClr val="dk1"/>
                    </a:solidFill>
                    <a:latin typeface="+mn-lt"/>
                    <a:ea typeface="+mn-ea"/>
                    <a:cs typeface="+mn-cs"/>
                  </a:defRPr>
                </a:pPr>
                <a:endParaRPr lang="es-BO"/>
              </a:p>
            </c:txPr>
            <c:showLegendKey val="0"/>
            <c:showVal val="0"/>
            <c:showCatName val="0"/>
            <c:showSerName val="0"/>
            <c:showPercent val="0"/>
            <c:showBubbleSize val="0"/>
            <c:extLst>
              <c:ext xmlns:c15="http://schemas.microsoft.com/office/drawing/2012/chart" uri="{CE6537A1-D6FC-4f65-9D91-7224C49458BB}">
                <c15:showLeaderLines val="1"/>
              </c:ext>
            </c:extLst>
          </c:dLbls>
          <c:xVal>
            <c:strRef>
              <c:f>Chromatography!$BG$9:$BG$10</c:f>
              <c:strCache>
                <c:ptCount val="1"/>
                <c:pt idx="0">
                  <c:v>mmm - yyyy</c:v>
                </c:pt>
              </c:strCache>
            </c:strRef>
          </c:xVal>
          <c:yVal>
            <c:numRef>
              <c:f>Chromatography!$BS$9:$BS$10</c:f>
              <c:numCache>
                <c:formatCode>0.000;\-0.0;"--"</c:formatCode>
                <c:ptCount val="2"/>
                <c:pt idx="0" formatCode="General">
                  <c:v>0</c:v>
                </c:pt>
              </c:numCache>
            </c:numRef>
          </c:yVal>
          <c:smooth val="1"/>
          <c:extLst>
            <c:ext xmlns:c16="http://schemas.microsoft.com/office/drawing/2014/chart" uri="{C3380CC4-5D6E-409C-BE32-E72D297353CC}">
              <c16:uniqueId val="{00000001-B2BE-408C-A553-BAC320E5D4A7}"/>
            </c:ext>
          </c:extLst>
        </c:ser>
        <c:dLbls>
          <c:showLegendKey val="0"/>
          <c:showVal val="0"/>
          <c:showCatName val="0"/>
          <c:showSerName val="0"/>
          <c:showPercent val="0"/>
          <c:showBubbleSize val="0"/>
        </c:dLbls>
        <c:axId val="349738048"/>
        <c:axId val="349738624"/>
      </c:scatterChart>
      <c:scatterChart>
        <c:scatterStyle val="smoothMarker"/>
        <c:varyColors val="0"/>
        <c:ser>
          <c:idx val="0"/>
          <c:order val="1"/>
          <c:tx>
            <c:strRef>
              <c:f>Chromatography!$BS$8:$BS$9</c:f>
              <c:strCache>
                <c:ptCount val="2"/>
                <c:pt idx="0">
                  <c:v>C1</c:v>
                </c:pt>
                <c:pt idx="1">
                  <c:v>%</c:v>
                </c:pt>
              </c:strCache>
            </c:strRef>
          </c:tx>
          <c:spPr>
            <a:ln w="28575">
              <a:noFill/>
            </a:ln>
          </c:spPr>
          <c:marker>
            <c:symbol val="none"/>
          </c:marker>
          <c:xVal>
            <c:strRef>
              <c:f>Chromatography!$BG$9:$BG$10</c:f>
              <c:strCache>
                <c:ptCount val="1"/>
                <c:pt idx="0">
                  <c:v>mmm - yyyy</c:v>
                </c:pt>
              </c:strCache>
            </c:strRef>
          </c:xVal>
          <c:yVal>
            <c:numRef>
              <c:f>Chromatography!$BS$9:$BS$10</c:f>
              <c:numCache>
                <c:formatCode>0.000;\-0.0;"--"</c:formatCode>
                <c:ptCount val="2"/>
                <c:pt idx="0" formatCode="General">
                  <c:v>0</c:v>
                </c:pt>
              </c:numCache>
            </c:numRef>
          </c:yVal>
          <c:smooth val="1"/>
          <c:extLst>
            <c:ext xmlns:c16="http://schemas.microsoft.com/office/drawing/2014/chart" uri="{C3380CC4-5D6E-409C-BE32-E72D297353CC}">
              <c16:uniqueId val="{00000002-B2BE-408C-A553-BAC320E5D4A7}"/>
            </c:ext>
          </c:extLst>
        </c:ser>
        <c:ser>
          <c:idx val="2"/>
          <c:order val="2"/>
          <c:tx>
            <c:strRef>
              <c:f>Chromatography!$BT$8:$BT$9</c:f>
              <c:strCache>
                <c:ptCount val="2"/>
                <c:pt idx="0">
                  <c:v>C2</c:v>
                </c:pt>
                <c:pt idx="1">
                  <c:v>%</c:v>
                </c:pt>
              </c:strCache>
            </c:strRef>
          </c:tx>
          <c:spPr>
            <a:ln w="28575">
              <a:noFill/>
            </a:ln>
          </c:spPr>
          <c:marker>
            <c:symbol val="triangle"/>
            <c:size val="5"/>
            <c:spPr>
              <a:ln>
                <a:solidFill>
                  <a:schemeClr val="tx1"/>
                </a:solidFill>
              </a:ln>
            </c:spPr>
          </c:marker>
          <c:xVal>
            <c:strRef>
              <c:f>Chromatography!$BG$9:$BG$10</c:f>
              <c:strCache>
                <c:ptCount val="1"/>
                <c:pt idx="0">
                  <c:v>mmm - yyyy</c:v>
                </c:pt>
              </c:strCache>
            </c:strRef>
          </c:xVal>
          <c:yVal>
            <c:numRef>
              <c:f>Chromatography!$BT$9:$BT$10</c:f>
              <c:numCache>
                <c:formatCode>0.000;\-0.0;"--"</c:formatCode>
                <c:ptCount val="2"/>
                <c:pt idx="0" formatCode="General">
                  <c:v>0</c:v>
                </c:pt>
              </c:numCache>
            </c:numRef>
          </c:yVal>
          <c:smooth val="1"/>
          <c:extLst>
            <c:ext xmlns:c16="http://schemas.microsoft.com/office/drawing/2014/chart" uri="{C3380CC4-5D6E-409C-BE32-E72D297353CC}">
              <c16:uniqueId val="{00000003-B2BE-408C-A553-BAC320E5D4A7}"/>
            </c:ext>
          </c:extLst>
        </c:ser>
        <c:ser>
          <c:idx val="3"/>
          <c:order val="3"/>
          <c:tx>
            <c:strRef>
              <c:f>Chromatography!$BU$8:$BU$9</c:f>
              <c:strCache>
                <c:ptCount val="2"/>
                <c:pt idx="0">
                  <c:v>C3</c:v>
                </c:pt>
                <c:pt idx="1">
                  <c:v>%</c:v>
                </c:pt>
              </c:strCache>
            </c:strRef>
          </c:tx>
          <c:spPr>
            <a:ln w="28575">
              <a:noFill/>
            </a:ln>
          </c:spPr>
          <c:marker>
            <c:symbol val="square"/>
            <c:size val="5"/>
            <c:spPr>
              <a:solidFill>
                <a:srgbClr val="99CCFF"/>
              </a:solidFill>
              <a:ln>
                <a:solidFill>
                  <a:srgbClr val="3609F5"/>
                </a:solidFill>
              </a:ln>
            </c:spPr>
          </c:marker>
          <c:xVal>
            <c:strRef>
              <c:f>Chromatography!$BG$9:$BG$10</c:f>
              <c:strCache>
                <c:ptCount val="1"/>
                <c:pt idx="0">
                  <c:v>mmm - yyyy</c:v>
                </c:pt>
              </c:strCache>
            </c:strRef>
          </c:xVal>
          <c:yVal>
            <c:numRef>
              <c:f>Chromatography!$BU$9:$BU$10</c:f>
              <c:numCache>
                <c:formatCode>0.000;\-0.0;"--"</c:formatCode>
                <c:ptCount val="2"/>
                <c:pt idx="0" formatCode="General">
                  <c:v>0</c:v>
                </c:pt>
              </c:numCache>
            </c:numRef>
          </c:yVal>
          <c:smooth val="1"/>
          <c:extLst>
            <c:ext xmlns:c16="http://schemas.microsoft.com/office/drawing/2014/chart" uri="{C3380CC4-5D6E-409C-BE32-E72D297353CC}">
              <c16:uniqueId val="{00000004-B2BE-408C-A553-BAC320E5D4A7}"/>
            </c:ext>
          </c:extLst>
        </c:ser>
        <c:ser>
          <c:idx val="4"/>
          <c:order val="4"/>
          <c:tx>
            <c:strRef>
              <c:f>Chromatography!$BV$8:$BV$9</c:f>
              <c:strCache>
                <c:ptCount val="2"/>
                <c:pt idx="0">
                  <c:v>i_C4</c:v>
                </c:pt>
                <c:pt idx="1">
                  <c:v>%</c:v>
                </c:pt>
              </c:strCache>
            </c:strRef>
          </c:tx>
          <c:spPr>
            <a:ln w="28575">
              <a:noFill/>
            </a:ln>
          </c:spPr>
          <c:marker>
            <c:symbol val="diamond"/>
            <c:size val="5"/>
            <c:spPr>
              <a:solidFill>
                <a:srgbClr val="FFFF00"/>
              </a:solidFill>
              <a:ln>
                <a:solidFill>
                  <a:srgbClr val="3609F5"/>
                </a:solidFill>
              </a:ln>
            </c:spPr>
          </c:marker>
          <c:xVal>
            <c:strRef>
              <c:f>Chromatography!$BG$9:$BG$10</c:f>
              <c:strCache>
                <c:ptCount val="1"/>
                <c:pt idx="0">
                  <c:v>mmm - yyyy</c:v>
                </c:pt>
              </c:strCache>
            </c:strRef>
          </c:xVal>
          <c:yVal>
            <c:numRef>
              <c:f>Chromatography!$BV$9:$BV$10</c:f>
              <c:numCache>
                <c:formatCode>0.000;\-0.0;"--"</c:formatCode>
                <c:ptCount val="2"/>
                <c:pt idx="0" formatCode="General">
                  <c:v>0</c:v>
                </c:pt>
              </c:numCache>
            </c:numRef>
          </c:yVal>
          <c:smooth val="1"/>
          <c:extLst>
            <c:ext xmlns:c16="http://schemas.microsoft.com/office/drawing/2014/chart" uri="{C3380CC4-5D6E-409C-BE32-E72D297353CC}">
              <c16:uniqueId val="{00000005-B2BE-408C-A553-BAC320E5D4A7}"/>
            </c:ext>
          </c:extLst>
        </c:ser>
        <c:ser>
          <c:idx val="5"/>
          <c:order val="5"/>
          <c:tx>
            <c:strRef>
              <c:f>Chromatography!$BW$8:$BW$9</c:f>
              <c:strCache>
                <c:ptCount val="2"/>
                <c:pt idx="0">
                  <c:v>n_C4</c:v>
                </c:pt>
                <c:pt idx="1">
                  <c:v>%</c:v>
                </c:pt>
              </c:strCache>
            </c:strRef>
          </c:tx>
          <c:spPr>
            <a:ln w="28575">
              <a:noFill/>
            </a:ln>
          </c:spPr>
          <c:marker>
            <c:symbol val="circle"/>
            <c:size val="5"/>
            <c:spPr>
              <a:solidFill>
                <a:srgbClr val="FFC000"/>
              </a:solidFill>
              <a:ln>
                <a:solidFill>
                  <a:schemeClr val="tx1"/>
                </a:solidFill>
              </a:ln>
            </c:spPr>
          </c:marker>
          <c:xVal>
            <c:strRef>
              <c:f>Chromatography!$BG$9:$BG$10</c:f>
              <c:strCache>
                <c:ptCount val="1"/>
                <c:pt idx="0">
                  <c:v>mmm - yyyy</c:v>
                </c:pt>
              </c:strCache>
            </c:strRef>
          </c:xVal>
          <c:yVal>
            <c:numRef>
              <c:f>Chromatography!$BW$9:$BW$10</c:f>
              <c:numCache>
                <c:formatCode>0.000;\-0.0;"--"</c:formatCode>
                <c:ptCount val="2"/>
                <c:pt idx="0" formatCode="General">
                  <c:v>0</c:v>
                </c:pt>
              </c:numCache>
            </c:numRef>
          </c:yVal>
          <c:smooth val="1"/>
          <c:extLst>
            <c:ext xmlns:c16="http://schemas.microsoft.com/office/drawing/2014/chart" uri="{C3380CC4-5D6E-409C-BE32-E72D297353CC}">
              <c16:uniqueId val="{00000006-B2BE-408C-A553-BAC320E5D4A7}"/>
            </c:ext>
          </c:extLst>
        </c:ser>
        <c:dLbls>
          <c:showLegendKey val="0"/>
          <c:showVal val="0"/>
          <c:showCatName val="0"/>
          <c:showSerName val="0"/>
          <c:showPercent val="0"/>
          <c:showBubbleSize val="0"/>
        </c:dLbls>
        <c:axId val="349739776"/>
        <c:axId val="349739200"/>
      </c:scatterChart>
      <c:valAx>
        <c:axId val="349738048"/>
        <c:scaling>
          <c:orientation val="minMax"/>
          <c:min val="0"/>
        </c:scaling>
        <c:delete val="0"/>
        <c:axPos val="b"/>
        <c:majorGridlines>
          <c:spPr>
            <a:ln w="3175">
              <a:solidFill>
                <a:schemeClr val="bg1">
                  <a:lumMod val="95000"/>
                </a:schemeClr>
              </a:solidFill>
              <a:prstDash val="sysDash"/>
            </a:ln>
          </c:spPr>
        </c:majorGridlines>
        <c:numFmt formatCode="dd\ mmm" sourceLinked="0"/>
        <c:majorTickMark val="out"/>
        <c:minorTickMark val="in"/>
        <c:tickLblPos val="nextTo"/>
        <c:spPr>
          <a:ln w="12700">
            <a:solidFill>
              <a:srgbClr val="000000"/>
            </a:solidFill>
            <a:prstDash val="solid"/>
          </a:ln>
        </c:spPr>
        <c:txPr>
          <a:bodyPr rot="0" vert="horz"/>
          <a:lstStyle/>
          <a:p>
            <a:pPr>
              <a:defRPr sz="800"/>
            </a:pPr>
            <a:endParaRPr lang="es-BO"/>
          </a:p>
        </c:txPr>
        <c:crossAx val="349738624"/>
        <c:crossesAt val="1.0000000000000002E-2"/>
        <c:crossBetween val="midCat"/>
      </c:valAx>
      <c:valAx>
        <c:axId val="349738624"/>
        <c:scaling>
          <c:logBase val="10"/>
          <c:orientation val="minMax"/>
          <c:max val="100"/>
          <c:min val="1.0000000000000002E-2"/>
        </c:scaling>
        <c:delete val="0"/>
        <c:axPos val="l"/>
        <c:majorGridlines>
          <c:spPr>
            <a:ln w="3175">
              <a:solidFill>
                <a:schemeClr val="bg1">
                  <a:lumMod val="95000"/>
                </a:schemeClr>
              </a:solidFill>
              <a:prstDash val="sysDash"/>
            </a:ln>
          </c:spPr>
        </c:majorGridlines>
        <c:numFmt formatCode="General" sourceLinked="0"/>
        <c:majorTickMark val="out"/>
        <c:minorTickMark val="in"/>
        <c:tickLblPos val="nextTo"/>
        <c:spPr>
          <a:ln w="12700">
            <a:solidFill>
              <a:srgbClr val="000000"/>
            </a:solidFill>
            <a:prstDash val="solid"/>
          </a:ln>
        </c:spPr>
        <c:txPr>
          <a:bodyPr rot="0" vert="horz"/>
          <a:lstStyle/>
          <a:p>
            <a:pPr>
              <a:defRPr sz="900"/>
            </a:pPr>
            <a:endParaRPr lang="es-BO"/>
          </a:p>
        </c:txPr>
        <c:crossAx val="349738048"/>
        <c:crossesAt val="0"/>
        <c:crossBetween val="midCat"/>
        <c:majorUnit val="10"/>
      </c:valAx>
      <c:valAx>
        <c:axId val="349739200"/>
        <c:scaling>
          <c:logBase val="10"/>
          <c:orientation val="minMax"/>
          <c:max val="100"/>
          <c:min val="1.0000000000000002E-2"/>
        </c:scaling>
        <c:delete val="0"/>
        <c:axPos val="r"/>
        <c:numFmt formatCode="General" sourceLinked="0"/>
        <c:majorTickMark val="out"/>
        <c:minorTickMark val="in"/>
        <c:tickLblPos val="nextTo"/>
        <c:spPr>
          <a:ln w="12700">
            <a:solidFill>
              <a:schemeClr val="tx1"/>
            </a:solidFill>
          </a:ln>
        </c:spPr>
        <c:txPr>
          <a:bodyPr/>
          <a:lstStyle/>
          <a:p>
            <a:pPr>
              <a:defRPr sz="900"/>
            </a:pPr>
            <a:endParaRPr lang="es-BO"/>
          </a:p>
        </c:txPr>
        <c:crossAx val="349739776"/>
        <c:crosses val="max"/>
        <c:crossBetween val="midCat"/>
        <c:majorUnit val="10"/>
      </c:valAx>
      <c:valAx>
        <c:axId val="349739776"/>
        <c:scaling>
          <c:orientation val="minMax"/>
          <c:max val="1.2"/>
          <c:min val="0"/>
        </c:scaling>
        <c:delete val="0"/>
        <c:axPos val="b"/>
        <c:numFmt formatCode="yyyy" sourceLinked="0"/>
        <c:majorTickMark val="out"/>
        <c:minorTickMark val="none"/>
        <c:tickLblPos val="nextTo"/>
        <c:txPr>
          <a:bodyPr/>
          <a:lstStyle/>
          <a:p>
            <a:pPr>
              <a:defRPr sz="900"/>
            </a:pPr>
            <a:endParaRPr lang="es-BO"/>
          </a:p>
        </c:txPr>
        <c:crossAx val="349739200"/>
        <c:crossesAt val="1.0000000000000002E-2"/>
        <c:crossBetween val="midCat"/>
      </c:valAx>
      <c:spPr>
        <a:solidFill>
          <a:srgbClr val="FFFFFF"/>
        </a:solidFill>
        <a:ln w="25400">
          <a:noFill/>
        </a:ln>
      </c:spPr>
    </c:plotArea>
    <c:legend>
      <c:legendPos val="b"/>
      <c:legendEntry>
        <c:idx val="1"/>
        <c:delete val="1"/>
      </c:legendEntry>
      <c:layout>
        <c:manualLayout>
          <c:xMode val="edge"/>
          <c:yMode val="edge"/>
          <c:x val="0.32681478195507252"/>
          <c:y val="1.4167702721370355E-2"/>
          <c:w val="0.60827535642551711"/>
          <c:h val="0.10211508649138155"/>
        </c:manualLayout>
      </c:layout>
      <c:overlay val="0"/>
      <c:spPr>
        <a:solidFill>
          <a:schemeClr val="bg1"/>
        </a:solidFill>
        <a:ln w="9525" cap="flat" cmpd="sng" algn="ctr">
          <a:noFill/>
          <a:prstDash val="solid"/>
        </a:ln>
        <a:effectLst/>
      </c:spPr>
      <c:txPr>
        <a:bodyPr/>
        <a:lstStyle/>
        <a:p>
          <a:pPr>
            <a:defRPr sz="1400" b="1"/>
          </a:pPr>
          <a:endParaRPr lang="es-BO"/>
        </a:p>
      </c:txPr>
    </c:legend>
    <c:plotVisOnly val="1"/>
    <c:dispBlanksAs val="gap"/>
    <c:showDLblsOverMax val="0"/>
  </c:chart>
  <c:spPr>
    <a:solidFill>
      <a:schemeClr val="bg1"/>
    </a:solidFill>
    <a:ln w="9525" cap="flat" cmpd="sng" algn="ctr">
      <a:solidFill>
        <a:schemeClr val="bg1">
          <a:lumMod val="85000"/>
        </a:schemeClr>
      </a:solidFill>
      <a:prstDash val="solid"/>
    </a:ln>
    <a:effectLst/>
  </c:spPr>
  <c:txPr>
    <a:bodyPr/>
    <a:lstStyle/>
    <a:p>
      <a:pPr>
        <a:defRPr>
          <a:solidFill>
            <a:schemeClr val="dk1"/>
          </a:solidFill>
          <a:latin typeface="+mn-lt"/>
          <a:ea typeface="+mn-ea"/>
          <a:cs typeface="+mn-cs"/>
        </a:defRPr>
      </a:pPr>
      <a:endParaRPr lang="es-BO"/>
    </a:p>
  </c:txPr>
  <c:printSettings>
    <c:headerFooter alignWithMargins="0"/>
    <c:pageMargins b="1" l="0.75" r="0.75" t="1" header="0.5" footer="0.5"/>
    <c:pageSetup paperSize="9" orientation="landscape" horizontalDpi="1200" verticalDpi="1200"/>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a:pPr>
            <a:r>
              <a:rPr lang="en-US" sz="1000"/>
              <a:t>*Completion: PNW-01:X     Reservoir: PIRAY-SARA</a:t>
            </a:r>
          </a:p>
        </c:rich>
      </c:tx>
      <c:layout>
        <c:manualLayout>
          <c:xMode val="edge"/>
          <c:yMode val="edge"/>
          <c:x val="2.6888871900721122E-3"/>
          <c:y val="3.4410992743554128E-4"/>
        </c:manualLayout>
      </c:layout>
      <c:overlay val="1"/>
    </c:title>
    <c:autoTitleDeleted val="0"/>
    <c:plotArea>
      <c:layout>
        <c:manualLayout>
          <c:layoutTarget val="inner"/>
          <c:xMode val="edge"/>
          <c:yMode val="edge"/>
          <c:x val="7.7270666948563452E-2"/>
          <c:y val="0.15740571902196435"/>
          <c:w val="0.85739685136760524"/>
          <c:h val="0.69903057975741201"/>
        </c:manualLayout>
      </c:layout>
      <c:scatterChart>
        <c:scatterStyle val="smoothMarker"/>
        <c:varyColors val="0"/>
        <c:ser>
          <c:idx val="0"/>
          <c:order val="0"/>
          <c:tx>
            <c:strRef>
              <c:f>Chromatography!$BK$8:$BK$9</c:f>
              <c:strCache>
                <c:ptCount val="2"/>
                <c:pt idx="0">
                  <c:v>Brute HV</c:v>
                </c:pt>
                <c:pt idx="1">
                  <c:v>Wet</c:v>
                </c:pt>
              </c:strCache>
            </c:strRef>
          </c:tx>
          <c:spPr>
            <a:ln w="3175" cap="rnd" cmpd="sng" algn="ctr">
              <a:noFill/>
              <a:prstDash val="sysDash"/>
              <a:round/>
            </a:ln>
            <a:effectLst/>
            <a:extLst>
              <a:ext uri="{91240B29-F687-4F45-9708-019B960494DF}">
                <a14:hiddenLine xmlns:a14="http://schemas.microsoft.com/office/drawing/2010/main" w="3175" cap="rnd" cmpd="sng" algn="ctr">
                  <a:solidFill>
                    <a:srgbClr val="000000"/>
                  </a:solidFill>
                  <a:prstDash val="sysDash"/>
                  <a:round/>
                </a14:hiddenLine>
              </a:ext>
            </a:extLst>
          </c:spPr>
          <c:marker>
            <c:symbol val="triangle"/>
            <c:size val="6"/>
            <c:spPr>
              <a:solidFill>
                <a:srgbClr val="00B0F0"/>
              </a:solidFill>
              <a:ln w="3175">
                <a:solidFill>
                  <a:srgbClr val="3609F5"/>
                </a:solidFill>
                <a:prstDash val="solid"/>
              </a:ln>
              <a:effectLst>
                <a:outerShdw blurRad="50800" dist="38100" dir="2700000" algn="tl" rotWithShape="0">
                  <a:prstClr val="black">
                    <a:alpha val="40000"/>
                  </a:prstClr>
                </a:outerShdw>
              </a:effectLst>
            </c:spPr>
          </c:marker>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F5A-413C-B0B4-D214A9FA4AF2}"/>
                </c:ext>
              </c:extLst>
            </c:dLbl>
            <c:spPr>
              <a:gradFill rotWithShape="1">
                <a:gsLst>
                  <a:gs pos="0">
                    <a:schemeClr val="dk1">
                      <a:tint val="50000"/>
                      <a:satMod val="300000"/>
                    </a:schemeClr>
                  </a:gs>
                  <a:gs pos="35000">
                    <a:schemeClr val="dk1">
                      <a:tint val="37000"/>
                      <a:satMod val="300000"/>
                    </a:schemeClr>
                  </a:gs>
                  <a:gs pos="100000">
                    <a:schemeClr val="dk1">
                      <a:tint val="15000"/>
                      <a:satMod val="350000"/>
                    </a:schemeClr>
                  </a:gs>
                </a:gsLst>
                <a:lin ang="16200000" scaled="1"/>
              </a:gradFill>
              <a:ln w="9525" cap="flat" cmpd="sng" algn="ctr">
                <a:solidFill>
                  <a:schemeClr val="dk1">
                    <a:shade val="95000"/>
                    <a:satMod val="105000"/>
                  </a:schemeClr>
                </a:solidFill>
                <a:prstDash val="solid"/>
              </a:ln>
              <a:effectLst>
                <a:outerShdw blurRad="40000" dist="20000" dir="5400000" rotWithShape="0">
                  <a:srgbClr val="000000">
                    <a:alpha val="38000"/>
                  </a:srgbClr>
                </a:outerShdw>
              </a:effectLst>
            </c:spPr>
            <c:txPr>
              <a:bodyPr/>
              <a:lstStyle/>
              <a:p>
                <a:pPr>
                  <a:defRPr sz="800">
                    <a:solidFill>
                      <a:schemeClr val="dk1"/>
                    </a:solidFill>
                    <a:latin typeface="+mn-lt"/>
                    <a:ea typeface="+mn-ea"/>
                    <a:cs typeface="+mn-cs"/>
                  </a:defRPr>
                </a:pPr>
                <a:endParaRPr lang="es-BO"/>
              </a:p>
            </c:txPr>
            <c:showLegendKey val="0"/>
            <c:showVal val="0"/>
            <c:showCatName val="0"/>
            <c:showSerName val="0"/>
            <c:showPercent val="0"/>
            <c:showBubbleSize val="0"/>
            <c:extLst>
              <c:ext xmlns:c15="http://schemas.microsoft.com/office/drawing/2012/chart" uri="{CE6537A1-D6FC-4f65-9D91-7224C49458BB}">
                <c15:showLeaderLines val="0"/>
              </c:ext>
            </c:extLst>
          </c:dLbls>
          <c:xVal>
            <c:strRef>
              <c:f>Chromatography!$BG$9:$BG$10</c:f>
              <c:strCache>
                <c:ptCount val="1"/>
                <c:pt idx="0">
                  <c:v>mmm - yyyy</c:v>
                </c:pt>
              </c:strCache>
            </c:strRef>
          </c:xVal>
          <c:yVal>
            <c:numRef>
              <c:f>Chromatography!$BK$9:$BK$10</c:f>
              <c:numCache>
                <c:formatCode>0.000;\-0.0;"--"</c:formatCode>
                <c:ptCount val="2"/>
                <c:pt idx="0" formatCode="General">
                  <c:v>0</c:v>
                </c:pt>
              </c:numCache>
            </c:numRef>
          </c:yVal>
          <c:smooth val="1"/>
          <c:extLst>
            <c:ext xmlns:c16="http://schemas.microsoft.com/office/drawing/2014/chart" uri="{C3380CC4-5D6E-409C-BE32-E72D297353CC}">
              <c16:uniqueId val="{00000001-6F5A-413C-B0B4-D214A9FA4AF2}"/>
            </c:ext>
          </c:extLst>
        </c:ser>
        <c:ser>
          <c:idx val="2"/>
          <c:order val="2"/>
          <c:tx>
            <c:strRef>
              <c:f>Chromatography!$BL$8:$BL$9</c:f>
              <c:strCache>
                <c:ptCount val="2"/>
                <c:pt idx="0">
                  <c:v>Brute HV</c:v>
                </c:pt>
                <c:pt idx="1">
                  <c:v>Dry</c:v>
                </c:pt>
              </c:strCache>
            </c:strRef>
          </c:tx>
          <c:spPr>
            <a:ln w="3175" cap="rnd" cmpd="sng" algn="ctr">
              <a:noFill/>
              <a:prstDash val="sysDash"/>
              <a:round/>
            </a:ln>
            <a:effectLst/>
            <a:extLst>
              <a:ext uri="{91240B29-F687-4F45-9708-019B960494DF}">
                <a14:hiddenLine xmlns:a14="http://schemas.microsoft.com/office/drawing/2010/main" w="3175" cap="rnd" cmpd="sng" algn="ctr">
                  <a:solidFill>
                    <a:srgbClr val="000000"/>
                  </a:solidFill>
                  <a:prstDash val="sysDash"/>
                  <a:round/>
                </a14:hiddenLine>
              </a:ext>
            </a:extLst>
          </c:spPr>
          <c:marker>
            <c:symbol val="circle"/>
            <c:size val="6"/>
            <c:spPr>
              <a:solidFill>
                <a:schemeClr val="bg2">
                  <a:lumMod val="75000"/>
                </a:schemeClr>
              </a:solidFill>
              <a:ln w="9525" cap="flat" cmpd="sng" algn="ctr">
                <a:solidFill>
                  <a:srgbClr val="FF0000"/>
                </a:solidFill>
                <a:prstDash val="solid"/>
                <a:round/>
              </a:ln>
              <a:effectLst/>
            </c:spPr>
          </c:marker>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6F5A-413C-B0B4-D214A9FA4AF2}"/>
                </c:ext>
              </c:extLst>
            </c:dLbl>
            <c:spPr>
              <a:gradFill rotWithShape="1">
                <a:gsLst>
                  <a:gs pos="0">
                    <a:schemeClr val="dk1">
                      <a:tint val="50000"/>
                      <a:satMod val="300000"/>
                    </a:schemeClr>
                  </a:gs>
                  <a:gs pos="35000">
                    <a:schemeClr val="dk1">
                      <a:tint val="37000"/>
                      <a:satMod val="300000"/>
                    </a:schemeClr>
                  </a:gs>
                  <a:gs pos="100000">
                    <a:schemeClr val="dk1">
                      <a:tint val="15000"/>
                      <a:satMod val="350000"/>
                    </a:schemeClr>
                  </a:gs>
                </a:gsLst>
                <a:lin ang="16200000" scaled="1"/>
              </a:gradFill>
              <a:ln w="9525" cap="flat" cmpd="sng" algn="ctr">
                <a:solidFill>
                  <a:schemeClr val="dk1">
                    <a:shade val="95000"/>
                    <a:satMod val="105000"/>
                  </a:schemeClr>
                </a:solidFill>
                <a:prstDash val="solid"/>
              </a:ln>
              <a:effectLst>
                <a:outerShdw blurRad="40000" dist="20000" dir="5400000" rotWithShape="0">
                  <a:srgbClr val="000000">
                    <a:alpha val="38000"/>
                  </a:srgbClr>
                </a:outerShdw>
              </a:effectLst>
            </c:spPr>
            <c:txPr>
              <a:bodyPr/>
              <a:lstStyle/>
              <a:p>
                <a:pPr>
                  <a:defRPr sz="800">
                    <a:solidFill>
                      <a:schemeClr val="dk1"/>
                    </a:solidFill>
                    <a:latin typeface="+mn-lt"/>
                    <a:ea typeface="+mn-ea"/>
                    <a:cs typeface="+mn-cs"/>
                  </a:defRPr>
                </a:pPr>
                <a:endParaRPr lang="es-BO"/>
              </a:p>
            </c:txPr>
            <c:showLegendKey val="0"/>
            <c:showVal val="0"/>
            <c:showCatName val="0"/>
            <c:showSerName val="0"/>
            <c:showPercent val="0"/>
            <c:showBubbleSize val="0"/>
            <c:extLst>
              <c:ext xmlns:c15="http://schemas.microsoft.com/office/drawing/2012/chart" uri="{CE6537A1-D6FC-4f65-9D91-7224C49458BB}">
                <c15:showLeaderLines val="0"/>
              </c:ext>
            </c:extLst>
          </c:dLbls>
          <c:xVal>
            <c:strRef>
              <c:f>Chromatography!$BG$9:$BG$10</c:f>
              <c:strCache>
                <c:ptCount val="1"/>
                <c:pt idx="0">
                  <c:v>mmm - yyyy</c:v>
                </c:pt>
              </c:strCache>
            </c:strRef>
          </c:xVal>
          <c:yVal>
            <c:numRef>
              <c:f>Chromatography!$BL$9:$BL$10</c:f>
              <c:numCache>
                <c:formatCode>0.000;\-0.0;"--"</c:formatCode>
                <c:ptCount val="2"/>
                <c:pt idx="0" formatCode="General">
                  <c:v>0</c:v>
                </c:pt>
              </c:numCache>
            </c:numRef>
          </c:yVal>
          <c:smooth val="1"/>
          <c:extLst>
            <c:ext xmlns:c16="http://schemas.microsoft.com/office/drawing/2014/chart" uri="{C3380CC4-5D6E-409C-BE32-E72D297353CC}">
              <c16:uniqueId val="{00000003-6F5A-413C-B0B4-D214A9FA4AF2}"/>
            </c:ext>
          </c:extLst>
        </c:ser>
        <c:ser>
          <c:idx val="4"/>
          <c:order val="4"/>
          <c:tx>
            <c:strRef>
              <c:f>Chromatography!$BN$8:$BN$9</c:f>
              <c:strCache>
                <c:ptCount val="2"/>
                <c:pt idx="0">
                  <c:v>Net HV</c:v>
                </c:pt>
                <c:pt idx="1">
                  <c:v>wet</c:v>
                </c:pt>
              </c:strCache>
            </c:strRef>
          </c:tx>
          <c:spPr>
            <a:ln w="28575">
              <a:noFill/>
            </a:ln>
          </c:spPr>
          <c:marker>
            <c:symbol val="diamond"/>
            <c:size val="5"/>
            <c:spPr>
              <a:solidFill>
                <a:srgbClr val="99CCFF"/>
              </a:solidFill>
              <a:ln>
                <a:solidFill>
                  <a:srgbClr val="3609F5"/>
                </a:solidFill>
              </a:ln>
            </c:spPr>
          </c:marker>
          <c:dPt>
            <c:idx val="0"/>
            <c:bubble3D val="0"/>
            <c:spPr>
              <a:ln w="28575">
                <a:solidFill>
                  <a:srgbClr val="3609F5"/>
                </a:solidFill>
              </a:ln>
            </c:spPr>
            <c:extLst>
              <c:ext xmlns:c16="http://schemas.microsoft.com/office/drawing/2014/chart" uri="{C3380CC4-5D6E-409C-BE32-E72D297353CC}">
                <c16:uniqueId val="{00000005-6F5A-413C-B0B4-D214A9FA4AF2}"/>
              </c:ext>
            </c:extLst>
          </c:dPt>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6F5A-413C-B0B4-D214A9FA4AF2}"/>
                </c:ext>
              </c:extLst>
            </c:dLbl>
            <c:spPr>
              <a:gradFill rotWithShape="1">
                <a:gsLst>
                  <a:gs pos="0">
                    <a:schemeClr val="dk1">
                      <a:tint val="50000"/>
                      <a:satMod val="300000"/>
                    </a:schemeClr>
                  </a:gs>
                  <a:gs pos="35000">
                    <a:schemeClr val="dk1">
                      <a:tint val="37000"/>
                      <a:satMod val="300000"/>
                    </a:schemeClr>
                  </a:gs>
                  <a:gs pos="100000">
                    <a:schemeClr val="dk1">
                      <a:tint val="15000"/>
                      <a:satMod val="350000"/>
                    </a:schemeClr>
                  </a:gs>
                </a:gsLst>
                <a:lin ang="16200000" scaled="1"/>
              </a:gradFill>
              <a:ln w="9525" cap="flat" cmpd="sng" algn="ctr">
                <a:solidFill>
                  <a:schemeClr val="dk1">
                    <a:shade val="95000"/>
                    <a:satMod val="105000"/>
                  </a:schemeClr>
                </a:solidFill>
                <a:prstDash val="solid"/>
              </a:ln>
              <a:effectLst>
                <a:outerShdw blurRad="40000" dist="20000" dir="5400000" rotWithShape="0">
                  <a:srgbClr val="000000">
                    <a:alpha val="38000"/>
                  </a:srgbClr>
                </a:outerShdw>
              </a:effectLst>
            </c:spPr>
            <c:txPr>
              <a:bodyPr/>
              <a:lstStyle/>
              <a:p>
                <a:pPr>
                  <a:defRPr sz="800">
                    <a:solidFill>
                      <a:schemeClr val="dk1"/>
                    </a:solidFill>
                    <a:latin typeface="+mn-lt"/>
                    <a:ea typeface="+mn-ea"/>
                    <a:cs typeface="+mn-cs"/>
                  </a:defRPr>
                </a:pPr>
                <a:endParaRPr lang="es-BO"/>
              </a:p>
            </c:txPr>
            <c:showLegendKey val="0"/>
            <c:showVal val="0"/>
            <c:showCatName val="0"/>
            <c:showSerName val="0"/>
            <c:showPercent val="0"/>
            <c:showBubbleSize val="0"/>
            <c:extLst>
              <c:ext xmlns:c15="http://schemas.microsoft.com/office/drawing/2012/chart" uri="{CE6537A1-D6FC-4f65-9D91-7224C49458BB}">
                <c15:showLeaderLines val="0"/>
              </c:ext>
            </c:extLst>
          </c:dLbls>
          <c:xVal>
            <c:strRef>
              <c:f>Chromatography!$BG$9:$BG$10</c:f>
              <c:strCache>
                <c:ptCount val="1"/>
                <c:pt idx="0">
                  <c:v>mmm - yyyy</c:v>
                </c:pt>
              </c:strCache>
            </c:strRef>
          </c:xVal>
          <c:yVal>
            <c:numRef>
              <c:f>Chromatography!$BN$9:$BN$10</c:f>
              <c:numCache>
                <c:formatCode>0.000;\-0.0;"--"</c:formatCode>
                <c:ptCount val="2"/>
                <c:pt idx="0" formatCode="General">
                  <c:v>0</c:v>
                </c:pt>
              </c:numCache>
            </c:numRef>
          </c:yVal>
          <c:smooth val="1"/>
          <c:extLst>
            <c:ext xmlns:c16="http://schemas.microsoft.com/office/drawing/2014/chart" uri="{C3380CC4-5D6E-409C-BE32-E72D297353CC}">
              <c16:uniqueId val="{00000006-6F5A-413C-B0B4-D214A9FA4AF2}"/>
            </c:ext>
          </c:extLst>
        </c:ser>
        <c:dLbls>
          <c:showLegendKey val="0"/>
          <c:showVal val="0"/>
          <c:showCatName val="0"/>
          <c:showSerName val="0"/>
          <c:showPercent val="0"/>
          <c:showBubbleSize val="0"/>
        </c:dLbls>
        <c:axId val="50119808"/>
        <c:axId val="50120384"/>
      </c:scatterChart>
      <c:scatterChart>
        <c:scatterStyle val="smoothMarker"/>
        <c:varyColors val="0"/>
        <c:ser>
          <c:idx val="3"/>
          <c:order val="1"/>
          <c:tx>
            <c:strRef>
              <c:f>Chromatography!$BK$8:$BK$9</c:f>
              <c:strCache>
                <c:ptCount val="2"/>
                <c:pt idx="0">
                  <c:v>Brute HV</c:v>
                </c:pt>
                <c:pt idx="1">
                  <c:v>Wet</c:v>
                </c:pt>
              </c:strCache>
            </c:strRef>
          </c:tx>
          <c:spPr>
            <a:ln w="28575">
              <a:noFill/>
            </a:ln>
          </c:spPr>
          <c:marker>
            <c:symbol val="none"/>
          </c:marker>
          <c:xVal>
            <c:strRef>
              <c:f>Chromatography!$BG$9:$BG$10</c:f>
              <c:strCache>
                <c:ptCount val="1"/>
                <c:pt idx="0">
                  <c:v>mmm - yyyy</c:v>
                </c:pt>
              </c:strCache>
            </c:strRef>
          </c:xVal>
          <c:yVal>
            <c:numRef>
              <c:f>Chromatography!$BK$9:$BK$10</c:f>
              <c:numCache>
                <c:formatCode>0.000;\-0.0;"--"</c:formatCode>
                <c:ptCount val="2"/>
                <c:pt idx="0" formatCode="General">
                  <c:v>0</c:v>
                </c:pt>
              </c:numCache>
            </c:numRef>
          </c:yVal>
          <c:smooth val="1"/>
          <c:extLst>
            <c:ext xmlns:c16="http://schemas.microsoft.com/office/drawing/2014/chart" uri="{C3380CC4-5D6E-409C-BE32-E72D297353CC}">
              <c16:uniqueId val="{00000007-6F5A-413C-B0B4-D214A9FA4AF2}"/>
            </c:ext>
          </c:extLst>
        </c:ser>
        <c:ser>
          <c:idx val="1"/>
          <c:order val="3"/>
          <c:tx>
            <c:strRef>
              <c:f>Chromatography!$BM$8:$BM$9</c:f>
              <c:strCache>
                <c:ptCount val="2"/>
                <c:pt idx="0">
                  <c:v>Heating Value</c:v>
                </c:pt>
                <c:pt idx="1">
                  <c:v>Ideal</c:v>
                </c:pt>
              </c:strCache>
            </c:strRef>
          </c:tx>
          <c:spPr>
            <a:ln w="28575">
              <a:noFill/>
            </a:ln>
          </c:spPr>
          <c:marker>
            <c:symbol val="circle"/>
            <c:size val="5"/>
            <c:spPr>
              <a:solidFill>
                <a:srgbClr val="FFFF00"/>
              </a:solidFill>
              <a:ln>
                <a:solidFill>
                  <a:srgbClr val="FF0000"/>
                </a:solidFill>
              </a:ln>
            </c:spPr>
          </c:marker>
          <c:xVal>
            <c:strRef>
              <c:f>Chromatography!$BG$9:$BG$10</c:f>
              <c:strCache>
                <c:ptCount val="1"/>
                <c:pt idx="0">
                  <c:v>mmm - yyyy</c:v>
                </c:pt>
              </c:strCache>
            </c:strRef>
          </c:xVal>
          <c:yVal>
            <c:numRef>
              <c:f>Chromatography!$BM$9:$BM$10</c:f>
              <c:numCache>
                <c:formatCode>0.000;\-0.0;"--"</c:formatCode>
                <c:ptCount val="2"/>
                <c:pt idx="0" formatCode="General">
                  <c:v>0</c:v>
                </c:pt>
              </c:numCache>
            </c:numRef>
          </c:yVal>
          <c:smooth val="1"/>
          <c:extLst>
            <c:ext xmlns:c16="http://schemas.microsoft.com/office/drawing/2014/chart" uri="{C3380CC4-5D6E-409C-BE32-E72D297353CC}">
              <c16:uniqueId val="{00000008-6F5A-413C-B0B4-D214A9FA4AF2}"/>
            </c:ext>
          </c:extLst>
        </c:ser>
        <c:ser>
          <c:idx val="5"/>
          <c:order val="5"/>
          <c:tx>
            <c:strRef>
              <c:f>Chromatography!$BO$8:$BO$9</c:f>
              <c:strCache>
                <c:ptCount val="2"/>
                <c:pt idx="0">
                  <c:v>Net HV</c:v>
                </c:pt>
                <c:pt idx="1">
                  <c:v>dry</c:v>
                </c:pt>
              </c:strCache>
            </c:strRef>
          </c:tx>
          <c:spPr>
            <a:ln w="22225">
              <a:noFill/>
            </a:ln>
          </c:spPr>
          <c:marker>
            <c:symbol val="square"/>
            <c:size val="5"/>
            <c:spPr>
              <a:ln>
                <a:solidFill>
                  <a:schemeClr val="tx1"/>
                </a:solidFill>
              </a:ln>
            </c:spPr>
          </c:marker>
          <c:xVal>
            <c:strRef>
              <c:f>Chromatography!$BG$9:$BG$10</c:f>
              <c:strCache>
                <c:ptCount val="1"/>
                <c:pt idx="0">
                  <c:v>mmm - yyyy</c:v>
                </c:pt>
              </c:strCache>
            </c:strRef>
          </c:xVal>
          <c:yVal>
            <c:numRef>
              <c:f>Chromatography!$BO$9:$BO$10</c:f>
              <c:numCache>
                <c:formatCode>0.000;\-0.0;"--"</c:formatCode>
                <c:ptCount val="2"/>
                <c:pt idx="0" formatCode="General">
                  <c:v>0</c:v>
                </c:pt>
              </c:numCache>
            </c:numRef>
          </c:yVal>
          <c:smooth val="0"/>
          <c:extLst>
            <c:ext xmlns:c16="http://schemas.microsoft.com/office/drawing/2014/chart" uri="{C3380CC4-5D6E-409C-BE32-E72D297353CC}">
              <c16:uniqueId val="{00000009-6F5A-413C-B0B4-D214A9FA4AF2}"/>
            </c:ext>
          </c:extLst>
        </c:ser>
        <c:dLbls>
          <c:showLegendKey val="0"/>
          <c:showVal val="0"/>
          <c:showCatName val="0"/>
          <c:showSerName val="0"/>
          <c:showPercent val="0"/>
          <c:showBubbleSize val="0"/>
        </c:dLbls>
        <c:axId val="50121536"/>
        <c:axId val="50120960"/>
      </c:scatterChart>
      <c:valAx>
        <c:axId val="50119808"/>
        <c:scaling>
          <c:orientation val="minMax"/>
          <c:min val="0"/>
        </c:scaling>
        <c:delete val="0"/>
        <c:axPos val="b"/>
        <c:majorGridlines>
          <c:spPr>
            <a:ln w="3175">
              <a:solidFill>
                <a:schemeClr val="bg1">
                  <a:lumMod val="95000"/>
                </a:schemeClr>
              </a:solidFill>
              <a:prstDash val="sysDash"/>
            </a:ln>
          </c:spPr>
        </c:majorGridlines>
        <c:numFmt formatCode="dd\ mmm" sourceLinked="0"/>
        <c:majorTickMark val="out"/>
        <c:minorTickMark val="in"/>
        <c:tickLblPos val="nextTo"/>
        <c:spPr>
          <a:ln w="12700">
            <a:solidFill>
              <a:srgbClr val="000000"/>
            </a:solidFill>
            <a:prstDash val="solid"/>
          </a:ln>
        </c:spPr>
        <c:txPr>
          <a:bodyPr rot="0" vert="horz"/>
          <a:lstStyle/>
          <a:p>
            <a:pPr>
              <a:defRPr sz="800"/>
            </a:pPr>
            <a:endParaRPr lang="es-BO"/>
          </a:p>
        </c:txPr>
        <c:crossAx val="50120384"/>
        <c:crossesAt val="0"/>
        <c:crossBetween val="midCat"/>
      </c:valAx>
      <c:valAx>
        <c:axId val="50120384"/>
        <c:scaling>
          <c:orientation val="minMax"/>
          <c:min val="0.85000000000000009"/>
        </c:scaling>
        <c:delete val="0"/>
        <c:axPos val="l"/>
        <c:numFmt formatCode="0.00" sourceLinked="0"/>
        <c:majorTickMark val="out"/>
        <c:minorTickMark val="in"/>
        <c:tickLblPos val="nextTo"/>
        <c:spPr>
          <a:ln w="12700">
            <a:solidFill>
              <a:srgbClr val="000000"/>
            </a:solidFill>
            <a:prstDash val="solid"/>
          </a:ln>
        </c:spPr>
        <c:txPr>
          <a:bodyPr rot="0" vert="horz"/>
          <a:lstStyle/>
          <a:p>
            <a:pPr>
              <a:defRPr sz="800"/>
            </a:pPr>
            <a:endParaRPr lang="es-BO"/>
          </a:p>
        </c:txPr>
        <c:crossAx val="50119808"/>
        <c:crossesAt val="0"/>
        <c:crossBetween val="midCat"/>
      </c:valAx>
      <c:valAx>
        <c:axId val="50120960"/>
        <c:scaling>
          <c:orientation val="minMax"/>
          <c:max val="1.2000000000000002"/>
          <c:min val="0.85000000000000009"/>
        </c:scaling>
        <c:delete val="0"/>
        <c:axPos val="r"/>
        <c:numFmt formatCode="0.00" sourceLinked="0"/>
        <c:majorTickMark val="out"/>
        <c:minorTickMark val="in"/>
        <c:tickLblPos val="nextTo"/>
        <c:spPr>
          <a:ln w="12700">
            <a:solidFill>
              <a:schemeClr val="tx1"/>
            </a:solidFill>
          </a:ln>
        </c:spPr>
        <c:txPr>
          <a:bodyPr/>
          <a:lstStyle/>
          <a:p>
            <a:pPr>
              <a:defRPr sz="800"/>
            </a:pPr>
            <a:endParaRPr lang="es-BO"/>
          </a:p>
        </c:txPr>
        <c:crossAx val="50121536"/>
        <c:crosses val="max"/>
        <c:crossBetween val="midCat"/>
      </c:valAx>
      <c:valAx>
        <c:axId val="50121536"/>
        <c:scaling>
          <c:orientation val="minMax"/>
          <c:max val="1.2"/>
          <c:min val="0"/>
        </c:scaling>
        <c:delete val="0"/>
        <c:axPos val="b"/>
        <c:numFmt formatCode="yyyy" sourceLinked="0"/>
        <c:majorTickMark val="out"/>
        <c:minorTickMark val="none"/>
        <c:tickLblPos val="nextTo"/>
        <c:crossAx val="50120960"/>
        <c:crosses val="autoZero"/>
        <c:crossBetween val="midCat"/>
      </c:valAx>
      <c:spPr>
        <a:solidFill>
          <a:srgbClr val="FFFFFF"/>
        </a:solidFill>
        <a:ln w="25400">
          <a:noFill/>
        </a:ln>
      </c:spPr>
    </c:plotArea>
    <c:legend>
      <c:legendPos val="b"/>
      <c:legendEntry>
        <c:idx val="3"/>
        <c:delete val="1"/>
      </c:legendEntry>
      <c:layout>
        <c:manualLayout>
          <c:xMode val="edge"/>
          <c:yMode val="edge"/>
          <c:x val="1.7118301671024329E-2"/>
          <c:y val="6.5930387944326804E-2"/>
          <c:w val="0.96483705371761352"/>
          <c:h val="6.2951830760058392E-2"/>
        </c:manualLayout>
      </c:layout>
      <c:overlay val="0"/>
      <c:spPr>
        <a:solidFill>
          <a:schemeClr val="bg1"/>
        </a:solidFill>
        <a:ln w="9525" cap="flat" cmpd="sng" algn="ctr">
          <a:solidFill>
            <a:schemeClr val="bg1">
              <a:lumMod val="85000"/>
            </a:schemeClr>
          </a:solidFill>
          <a:prstDash val="solid"/>
        </a:ln>
        <a:effectLst/>
      </c:spPr>
    </c:legend>
    <c:plotVisOnly val="1"/>
    <c:dispBlanksAs val="gap"/>
    <c:showDLblsOverMax val="0"/>
  </c:chart>
  <c:spPr>
    <a:solidFill>
      <a:schemeClr val="bg1"/>
    </a:solidFill>
    <a:ln w="9525" cap="flat" cmpd="sng" algn="ctr">
      <a:solidFill>
        <a:schemeClr val="bg1">
          <a:lumMod val="85000"/>
        </a:schemeClr>
      </a:solidFill>
      <a:prstDash val="solid"/>
    </a:ln>
    <a:effectLst/>
  </c:spPr>
  <c:txPr>
    <a:bodyPr/>
    <a:lstStyle/>
    <a:p>
      <a:pPr>
        <a:defRPr>
          <a:solidFill>
            <a:schemeClr val="dk1"/>
          </a:solidFill>
          <a:effectLst/>
          <a:latin typeface="+mn-lt"/>
          <a:ea typeface="+mn-ea"/>
          <a:cs typeface="+mn-cs"/>
        </a:defRPr>
      </a:pPr>
      <a:endParaRPr lang="es-BO"/>
    </a:p>
  </c:txPr>
  <c:printSettings>
    <c:headerFooter alignWithMargins="0"/>
    <c:pageMargins b="1" l="0.75" r="0.75" t="1" header="0.5" footer="0.5"/>
    <c:pageSetup paperSize="9" orientation="landscape" horizontalDpi="1200" verticalDpi="1200"/>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081714785651792"/>
          <c:y val="0.10205299995395313"/>
          <c:w val="0.77018132108486426"/>
          <c:h val="0.85817838559653725"/>
        </c:manualLayout>
      </c:layout>
      <c:scatterChart>
        <c:scatterStyle val="lineMarker"/>
        <c:varyColors val="0"/>
        <c:ser>
          <c:idx val="0"/>
          <c:order val="0"/>
          <c:tx>
            <c:v>Well Survey</c:v>
          </c:tx>
          <c:spPr>
            <a:ln w="12700" cap="rnd">
              <a:solidFill>
                <a:schemeClr val="tx1"/>
              </a:solidFill>
              <a:round/>
            </a:ln>
            <a:effectLst/>
          </c:spPr>
          <c:marker>
            <c:symbol val="circle"/>
            <c:size val="4"/>
            <c:spPr>
              <a:solidFill>
                <a:schemeClr val="bg1">
                  <a:lumMod val="75000"/>
                </a:schemeClr>
              </a:solidFill>
              <a:ln>
                <a:solidFill>
                  <a:schemeClr val="bg1">
                    <a:lumMod val="50000"/>
                  </a:schemeClr>
                </a:solidFill>
              </a:ln>
            </c:spPr>
          </c:marker>
          <c:xVal>
            <c:numRef>
              <c:f>Well_Survey!$G$10:$G$109</c:f>
              <c:numCache>
                <c:formatCode>0.00;\-0.0</c:formatCode>
                <c:ptCount val="100"/>
                <c:pt idx="0">
                  <c:v>0</c:v>
                </c:pt>
                <c:pt idx="1">
                  <c:v>30.48</c:v>
                </c:pt>
                <c:pt idx="2">
                  <c:v>60.96</c:v>
                </c:pt>
                <c:pt idx="3">
                  <c:v>91.44</c:v>
                </c:pt>
                <c:pt idx="4">
                  <c:v>121.92</c:v>
                </c:pt>
                <c:pt idx="5">
                  <c:v>152.399</c:v>
                </c:pt>
                <c:pt idx="6">
                  <c:v>182.87899999999999</c:v>
                </c:pt>
                <c:pt idx="7">
                  <c:v>213.35900000000001</c:v>
                </c:pt>
                <c:pt idx="8">
                  <c:v>243.839</c:v>
                </c:pt>
                <c:pt idx="9">
                  <c:v>274.31900000000002</c:v>
                </c:pt>
                <c:pt idx="10">
                  <c:v>304.79899999999998</c:v>
                </c:pt>
                <c:pt idx="11">
                  <c:v>335.279</c:v>
                </c:pt>
                <c:pt idx="12">
                  <c:v>365.75900000000001</c:v>
                </c:pt>
                <c:pt idx="13">
                  <c:v>396.238</c:v>
                </c:pt>
                <c:pt idx="14">
                  <c:v>426.71800000000002</c:v>
                </c:pt>
                <c:pt idx="15">
                  <c:v>457.19799999999998</c:v>
                </c:pt>
                <c:pt idx="16">
                  <c:v>487.67700000000002</c:v>
                </c:pt>
                <c:pt idx="17">
                  <c:v>518.15700000000004</c:v>
                </c:pt>
                <c:pt idx="18">
                  <c:v>548.63699999999994</c:v>
                </c:pt>
                <c:pt idx="19">
                  <c:v>579.11599999999999</c:v>
                </c:pt>
                <c:pt idx="20">
                  <c:v>609.59500000000003</c:v>
                </c:pt>
                <c:pt idx="21">
                  <c:v>640.07500000000005</c:v>
                </c:pt>
                <c:pt idx="22">
                  <c:v>670.55399999999997</c:v>
                </c:pt>
                <c:pt idx="23">
                  <c:v>701.03300000000002</c:v>
                </c:pt>
                <c:pt idx="24">
                  <c:v>731.51199999999994</c:v>
                </c:pt>
                <c:pt idx="25">
                  <c:v>761.99099999999999</c:v>
                </c:pt>
                <c:pt idx="26">
                  <c:v>792.47</c:v>
                </c:pt>
                <c:pt idx="27">
                  <c:v>822.94899999999996</c:v>
                </c:pt>
                <c:pt idx="28">
                  <c:v>853.42600000000004</c:v>
                </c:pt>
                <c:pt idx="29">
                  <c:v>883.87599999999998</c:v>
                </c:pt>
                <c:pt idx="30">
                  <c:v>914.24900000000002</c:v>
                </c:pt>
                <c:pt idx="31">
                  <c:v>944.49599999999998</c:v>
                </c:pt>
                <c:pt idx="32">
                  <c:v>974.58100000000002</c:v>
                </c:pt>
                <c:pt idx="33">
                  <c:v>1004.5</c:v>
                </c:pt>
                <c:pt idx="34">
                  <c:v>1034.21</c:v>
                </c:pt>
                <c:pt idx="35">
                  <c:v>1063.6400000000001</c:v>
                </c:pt>
                <c:pt idx="36">
                  <c:v>1092.79</c:v>
                </c:pt>
                <c:pt idx="37">
                  <c:v>1121.55</c:v>
                </c:pt>
                <c:pt idx="38">
                  <c:v>1149.8599999999999</c:v>
                </c:pt>
                <c:pt idx="39">
                  <c:v>1177.72</c:v>
                </c:pt>
                <c:pt idx="40">
                  <c:v>1205.0899999999999</c:v>
                </c:pt>
                <c:pt idx="41">
                  <c:v>1232.2</c:v>
                </c:pt>
                <c:pt idx="42">
                  <c:v>1259.28</c:v>
                </c:pt>
                <c:pt idx="43">
                  <c:v>1286.31</c:v>
                </c:pt>
                <c:pt idx="44">
                  <c:v>1313.41</c:v>
                </c:pt>
                <c:pt idx="45">
                  <c:v>1340.54</c:v>
                </c:pt>
                <c:pt idx="46">
                  <c:v>1367.65</c:v>
                </c:pt>
                <c:pt idx="47">
                  <c:v>1394.69</c:v>
                </c:pt>
                <c:pt idx="48">
                  <c:v>1421.67</c:v>
                </c:pt>
                <c:pt idx="49">
                  <c:v>1448.67</c:v>
                </c:pt>
                <c:pt idx="50">
                  <c:v>1475.7</c:v>
                </c:pt>
                <c:pt idx="51">
                  <c:v>1502.8</c:v>
                </c:pt>
                <c:pt idx="52">
                  <c:v>1529.89</c:v>
                </c:pt>
                <c:pt idx="53">
                  <c:v>1556.91</c:v>
                </c:pt>
                <c:pt idx="54">
                  <c:v>1583.96</c:v>
                </c:pt>
                <c:pt idx="55">
                  <c:v>1611.01</c:v>
                </c:pt>
                <c:pt idx="56">
                  <c:v>1638.09</c:v>
                </c:pt>
                <c:pt idx="57">
                  <c:v>1665.25</c:v>
                </c:pt>
                <c:pt idx="58">
                  <c:v>1692.49</c:v>
                </c:pt>
                <c:pt idx="59">
                  <c:v>1719.82</c:v>
                </c:pt>
                <c:pt idx="60">
                  <c:v>1747.2</c:v>
                </c:pt>
                <c:pt idx="61">
                  <c:v>1774.47</c:v>
                </c:pt>
                <c:pt idx="62">
                  <c:v>1801.59</c:v>
                </c:pt>
                <c:pt idx="63">
                  <c:v>1828.67</c:v>
                </c:pt>
                <c:pt idx="64">
                  <c:v>1855.7</c:v>
                </c:pt>
                <c:pt idx="65">
                  <c:v>1882.61</c:v>
                </c:pt>
                <c:pt idx="66">
                  <c:v>1909.46</c:v>
                </c:pt>
                <c:pt idx="67">
                  <c:v>1936.28</c:v>
                </c:pt>
                <c:pt idx="68">
                  <c:v>1963.09</c:v>
                </c:pt>
                <c:pt idx="69">
                  <c:v>1989.99</c:v>
                </c:pt>
                <c:pt idx="70">
                  <c:v>2017.05</c:v>
                </c:pt>
                <c:pt idx="71">
                  <c:v>2044.27</c:v>
                </c:pt>
                <c:pt idx="72">
                  <c:v>2071.52</c:v>
                </c:pt>
                <c:pt idx="73">
                  <c:v>2098.6799999999998</c:v>
                </c:pt>
                <c:pt idx="74">
                  <c:v>2125.73</c:v>
                </c:pt>
                <c:pt idx="75">
                  <c:v>2152.71</c:v>
                </c:pt>
                <c:pt idx="76">
                  <c:v>2179.61</c:v>
                </c:pt>
                <c:pt idx="77">
                  <c:v>2206.44</c:v>
                </c:pt>
                <c:pt idx="78">
                  <c:v>2233.1999999999998</c:v>
                </c:pt>
                <c:pt idx="79">
                  <c:v>2259.87</c:v>
                </c:pt>
                <c:pt idx="80">
                  <c:v>2286.4299999999998</c:v>
                </c:pt>
                <c:pt idx="81">
                  <c:v>2312.85</c:v>
                </c:pt>
                <c:pt idx="82">
                  <c:v>2339.16</c:v>
                </c:pt>
                <c:pt idx="83">
                  <c:v>2365.35</c:v>
                </c:pt>
                <c:pt idx="84">
                  <c:v>2391.52</c:v>
                </c:pt>
                <c:pt idx="85">
                  <c:v>2417.77</c:v>
                </c:pt>
                <c:pt idx="86">
                  <c:v>2444.0700000000002</c:v>
                </c:pt>
                <c:pt idx="87">
                  <c:v>2470.35</c:v>
                </c:pt>
                <c:pt idx="88">
                  <c:v>2496.54</c:v>
                </c:pt>
                <c:pt idx="89">
                  <c:v>2522.6999999999998</c:v>
                </c:pt>
                <c:pt idx="90">
                  <c:v>2548.96</c:v>
                </c:pt>
                <c:pt idx="91">
                  <c:v>2575.17</c:v>
                </c:pt>
                <c:pt idx="92">
                  <c:v>2601.2399999999998</c:v>
                </c:pt>
                <c:pt idx="93">
                  <c:v>2627.21</c:v>
                </c:pt>
                <c:pt idx="94">
                  <c:v>2653.08</c:v>
                </c:pt>
                <c:pt idx="95">
                  <c:v>2679.03</c:v>
                </c:pt>
                <c:pt idx="96">
                  <c:v>2705.2</c:v>
                </c:pt>
                <c:pt idx="97">
                  <c:v>2731.45</c:v>
                </c:pt>
                <c:pt idx="98">
                  <c:v>2757.76</c:v>
                </c:pt>
                <c:pt idx="99">
                  <c:v>2760.32</c:v>
                </c:pt>
              </c:numCache>
            </c:numRef>
          </c:xVal>
          <c:yVal>
            <c:numRef>
              <c:f>Well_Survey!$F$10:$F$109</c:f>
              <c:numCache>
                <c:formatCode>0.00;\-0.0</c:formatCode>
                <c:ptCount val="100"/>
                <c:pt idx="0">
                  <c:v>0</c:v>
                </c:pt>
                <c:pt idx="1">
                  <c:v>30.48</c:v>
                </c:pt>
                <c:pt idx="2">
                  <c:v>60.96</c:v>
                </c:pt>
                <c:pt idx="3">
                  <c:v>91.44</c:v>
                </c:pt>
                <c:pt idx="4">
                  <c:v>121.92</c:v>
                </c:pt>
                <c:pt idx="5">
                  <c:v>152.4</c:v>
                </c:pt>
                <c:pt idx="6">
                  <c:v>182.88</c:v>
                </c:pt>
                <c:pt idx="7">
                  <c:v>213.36</c:v>
                </c:pt>
                <c:pt idx="8">
                  <c:v>243.84</c:v>
                </c:pt>
                <c:pt idx="9">
                  <c:v>274.32</c:v>
                </c:pt>
                <c:pt idx="10">
                  <c:v>304.8</c:v>
                </c:pt>
                <c:pt idx="11">
                  <c:v>335.28</c:v>
                </c:pt>
                <c:pt idx="12">
                  <c:v>365.76</c:v>
                </c:pt>
                <c:pt idx="13">
                  <c:v>396.24</c:v>
                </c:pt>
                <c:pt idx="14">
                  <c:v>426.72</c:v>
                </c:pt>
                <c:pt idx="15">
                  <c:v>457.2</c:v>
                </c:pt>
                <c:pt idx="16">
                  <c:v>487.68</c:v>
                </c:pt>
                <c:pt idx="17">
                  <c:v>518.16</c:v>
                </c:pt>
                <c:pt idx="18">
                  <c:v>548.64</c:v>
                </c:pt>
                <c:pt idx="19">
                  <c:v>579.12</c:v>
                </c:pt>
                <c:pt idx="20">
                  <c:v>609.6</c:v>
                </c:pt>
                <c:pt idx="21">
                  <c:v>640.08000000000004</c:v>
                </c:pt>
                <c:pt idx="22">
                  <c:v>670.56</c:v>
                </c:pt>
                <c:pt idx="23">
                  <c:v>701.04</c:v>
                </c:pt>
                <c:pt idx="24">
                  <c:v>731.52</c:v>
                </c:pt>
                <c:pt idx="25">
                  <c:v>762</c:v>
                </c:pt>
                <c:pt idx="26">
                  <c:v>792.48</c:v>
                </c:pt>
                <c:pt idx="27">
                  <c:v>822.96</c:v>
                </c:pt>
                <c:pt idx="28">
                  <c:v>853.44</c:v>
                </c:pt>
                <c:pt idx="29">
                  <c:v>883.92</c:v>
                </c:pt>
                <c:pt idx="30">
                  <c:v>914.4</c:v>
                </c:pt>
                <c:pt idx="31">
                  <c:v>944.88</c:v>
                </c:pt>
                <c:pt idx="32">
                  <c:v>975.36</c:v>
                </c:pt>
                <c:pt idx="33">
                  <c:v>1005.84</c:v>
                </c:pt>
                <c:pt idx="34">
                  <c:v>1036.31</c:v>
                </c:pt>
                <c:pt idx="35">
                  <c:v>1066.8</c:v>
                </c:pt>
                <c:pt idx="36">
                  <c:v>1097.28</c:v>
                </c:pt>
                <c:pt idx="37">
                  <c:v>1127.76</c:v>
                </c:pt>
                <c:pt idx="38">
                  <c:v>1158.24</c:v>
                </c:pt>
                <c:pt idx="39">
                  <c:v>1188.72</c:v>
                </c:pt>
                <c:pt idx="40">
                  <c:v>1219.2</c:v>
                </c:pt>
                <c:pt idx="41">
                  <c:v>1249.68</c:v>
                </c:pt>
                <c:pt idx="42">
                  <c:v>1280.1600000000001</c:v>
                </c:pt>
                <c:pt idx="43">
                  <c:v>1310.6400000000001</c:v>
                </c:pt>
                <c:pt idx="44">
                  <c:v>1341.12</c:v>
                </c:pt>
                <c:pt idx="45">
                  <c:v>1371.6</c:v>
                </c:pt>
                <c:pt idx="46">
                  <c:v>1402.08</c:v>
                </c:pt>
                <c:pt idx="47">
                  <c:v>1432.56</c:v>
                </c:pt>
                <c:pt idx="48">
                  <c:v>1463.04</c:v>
                </c:pt>
                <c:pt idx="49">
                  <c:v>1493.52</c:v>
                </c:pt>
                <c:pt idx="50">
                  <c:v>1524</c:v>
                </c:pt>
                <c:pt idx="51">
                  <c:v>1554.48</c:v>
                </c:pt>
                <c:pt idx="52">
                  <c:v>1584.96</c:v>
                </c:pt>
                <c:pt idx="53">
                  <c:v>1615.43</c:v>
                </c:pt>
                <c:pt idx="54">
                  <c:v>1645.92</c:v>
                </c:pt>
                <c:pt idx="55">
                  <c:v>1676.4</c:v>
                </c:pt>
                <c:pt idx="56">
                  <c:v>1706.88</c:v>
                </c:pt>
                <c:pt idx="57">
                  <c:v>1737.36</c:v>
                </c:pt>
                <c:pt idx="58">
                  <c:v>1767.84</c:v>
                </c:pt>
                <c:pt idx="59">
                  <c:v>1798.31</c:v>
                </c:pt>
                <c:pt idx="60">
                  <c:v>1828.8</c:v>
                </c:pt>
                <c:pt idx="61">
                  <c:v>1859.28</c:v>
                </c:pt>
                <c:pt idx="62">
                  <c:v>1889.76</c:v>
                </c:pt>
                <c:pt idx="63">
                  <c:v>1920.24</c:v>
                </c:pt>
                <c:pt idx="64">
                  <c:v>1950.72</c:v>
                </c:pt>
                <c:pt idx="65">
                  <c:v>1981.2</c:v>
                </c:pt>
                <c:pt idx="66">
                  <c:v>2011.68</c:v>
                </c:pt>
                <c:pt idx="67">
                  <c:v>2042.16</c:v>
                </c:pt>
                <c:pt idx="68">
                  <c:v>2072.63</c:v>
                </c:pt>
                <c:pt idx="69">
                  <c:v>2103.12</c:v>
                </c:pt>
                <c:pt idx="70">
                  <c:v>2133.6</c:v>
                </c:pt>
                <c:pt idx="71">
                  <c:v>2164.08</c:v>
                </c:pt>
                <c:pt idx="72">
                  <c:v>2194.56</c:v>
                </c:pt>
                <c:pt idx="73">
                  <c:v>2225.04</c:v>
                </c:pt>
                <c:pt idx="74">
                  <c:v>2255.52</c:v>
                </c:pt>
                <c:pt idx="75">
                  <c:v>2286</c:v>
                </c:pt>
                <c:pt idx="76">
                  <c:v>2316.48</c:v>
                </c:pt>
                <c:pt idx="77">
                  <c:v>2346.96</c:v>
                </c:pt>
                <c:pt idx="78">
                  <c:v>2377.4299999999998</c:v>
                </c:pt>
                <c:pt idx="79">
                  <c:v>2407.91</c:v>
                </c:pt>
                <c:pt idx="80">
                  <c:v>2438.39</c:v>
                </c:pt>
                <c:pt idx="81">
                  <c:v>2468.87</c:v>
                </c:pt>
                <c:pt idx="82">
                  <c:v>2499.36</c:v>
                </c:pt>
                <c:pt idx="83">
                  <c:v>2529.84</c:v>
                </c:pt>
                <c:pt idx="84">
                  <c:v>2560.3200000000002</c:v>
                </c:pt>
                <c:pt idx="85">
                  <c:v>2590.8000000000002</c:v>
                </c:pt>
                <c:pt idx="86">
                  <c:v>2621.2800000000002</c:v>
                </c:pt>
                <c:pt idx="87">
                  <c:v>2651.76</c:v>
                </c:pt>
                <c:pt idx="88">
                  <c:v>2682.24</c:v>
                </c:pt>
                <c:pt idx="89">
                  <c:v>2712.72</c:v>
                </c:pt>
                <c:pt idx="90">
                  <c:v>2743.2</c:v>
                </c:pt>
                <c:pt idx="91">
                  <c:v>2773.67</c:v>
                </c:pt>
                <c:pt idx="92">
                  <c:v>2804.15</c:v>
                </c:pt>
                <c:pt idx="93">
                  <c:v>2834.63</c:v>
                </c:pt>
                <c:pt idx="94">
                  <c:v>2865.12</c:v>
                </c:pt>
                <c:pt idx="95">
                  <c:v>2895.6</c:v>
                </c:pt>
                <c:pt idx="96">
                  <c:v>2926.08</c:v>
                </c:pt>
                <c:pt idx="97">
                  <c:v>2956.56</c:v>
                </c:pt>
                <c:pt idx="98">
                  <c:v>2987.04</c:v>
                </c:pt>
                <c:pt idx="99">
                  <c:v>2990</c:v>
                </c:pt>
              </c:numCache>
            </c:numRef>
          </c:yVal>
          <c:smooth val="1"/>
          <c:extLst>
            <c:ext xmlns:c16="http://schemas.microsoft.com/office/drawing/2014/chart" uri="{C3380CC4-5D6E-409C-BE32-E72D297353CC}">
              <c16:uniqueId val="{00000000-9301-4A11-B3C5-EFA734CE191A}"/>
            </c:ext>
          </c:extLst>
        </c:ser>
        <c:ser>
          <c:idx val="1"/>
          <c:order val="1"/>
          <c:tx>
            <c:strRef>
              <c:f>Well_Survey!$L$6</c:f>
              <c:strCache>
                <c:ptCount val="1"/>
                <c:pt idx="0">
                  <c:v>PROSPER Survey Data</c:v>
                </c:pt>
              </c:strCache>
            </c:strRef>
          </c:tx>
          <c:spPr>
            <a:ln w="19050" cap="rnd">
              <a:noFill/>
              <a:round/>
            </a:ln>
            <a:effectLst/>
          </c:spPr>
          <c:marker>
            <c:symbol val="circle"/>
            <c:size val="9"/>
            <c:spPr>
              <a:solidFill>
                <a:schemeClr val="accent1">
                  <a:lumMod val="20000"/>
                  <a:lumOff val="80000"/>
                  <a:alpha val="59000"/>
                </a:schemeClr>
              </a:solidFill>
              <a:ln w="9525">
                <a:solidFill>
                  <a:srgbClr val="0000FF"/>
                </a:solidFill>
              </a:ln>
              <a:effectLst/>
            </c:spPr>
          </c:marker>
          <c:xVal>
            <c:numRef>
              <c:f>Well_Survey!$M$10:$M$29</c:f>
              <c:numCache>
                <c:formatCode>0.00</c:formatCode>
                <c:ptCount val="20"/>
                <c:pt idx="0">
                  <c:v>0</c:v>
                </c:pt>
                <c:pt idx="1">
                  <c:v>2899.86</c:v>
                </c:pt>
                <c:pt idx="2">
                  <c:v>2999.5</c:v>
                </c:pt>
                <c:pt idx="3">
                  <c:v>3098.74</c:v>
                </c:pt>
                <c:pt idx="4">
                  <c:v>3197.44</c:v>
                </c:pt>
                <c:pt idx="5">
                  <c:v>3295.6</c:v>
                </c:pt>
                <c:pt idx="6">
                  <c:v>3393.08</c:v>
                </c:pt>
                <c:pt idx="7">
                  <c:v>3489.63</c:v>
                </c:pt>
                <c:pt idx="8">
                  <c:v>3585.27</c:v>
                </c:pt>
                <c:pt idx="9">
                  <c:v>3679.63</c:v>
                </c:pt>
                <c:pt idx="10">
                  <c:v>3772.51</c:v>
                </c:pt>
                <c:pt idx="11">
                  <c:v>3863.91</c:v>
                </c:pt>
                <c:pt idx="12">
                  <c:v>3953.71</c:v>
                </c:pt>
                <c:pt idx="13">
                  <c:v>6176.54</c:v>
                </c:pt>
                <c:pt idx="14">
                  <c:v>7588.09</c:v>
                </c:pt>
                <c:pt idx="15">
                  <c:v>8704.33</c:v>
                </c:pt>
                <c:pt idx="16">
                  <c:v>9047.77</c:v>
                </c:pt>
                <c:pt idx="17">
                  <c:v>9056.17</c:v>
                </c:pt>
              </c:numCache>
            </c:numRef>
          </c:xVal>
          <c:yVal>
            <c:numRef>
              <c:f>Well_Survey!$L$10:$L$29</c:f>
              <c:numCache>
                <c:formatCode>0.00</c:formatCode>
                <c:ptCount val="20"/>
                <c:pt idx="0">
                  <c:v>0</c:v>
                </c:pt>
                <c:pt idx="1">
                  <c:v>2900</c:v>
                </c:pt>
                <c:pt idx="2">
                  <c:v>3000</c:v>
                </c:pt>
                <c:pt idx="3">
                  <c:v>3100</c:v>
                </c:pt>
                <c:pt idx="4">
                  <c:v>3200</c:v>
                </c:pt>
                <c:pt idx="5">
                  <c:v>3300</c:v>
                </c:pt>
                <c:pt idx="6">
                  <c:v>3399.97</c:v>
                </c:pt>
                <c:pt idx="7">
                  <c:v>3500</c:v>
                </c:pt>
                <c:pt idx="8">
                  <c:v>3600</c:v>
                </c:pt>
                <c:pt idx="9">
                  <c:v>3700</c:v>
                </c:pt>
                <c:pt idx="10">
                  <c:v>3800</c:v>
                </c:pt>
                <c:pt idx="11">
                  <c:v>3900</c:v>
                </c:pt>
                <c:pt idx="12">
                  <c:v>4000</c:v>
                </c:pt>
                <c:pt idx="13">
                  <c:v>6500</c:v>
                </c:pt>
                <c:pt idx="14">
                  <c:v>8099.97</c:v>
                </c:pt>
                <c:pt idx="15">
                  <c:v>9400</c:v>
                </c:pt>
                <c:pt idx="16">
                  <c:v>9800</c:v>
                </c:pt>
                <c:pt idx="17">
                  <c:v>9809.7099999999991</c:v>
                </c:pt>
              </c:numCache>
            </c:numRef>
          </c:yVal>
          <c:smooth val="0"/>
          <c:extLst>
            <c:ext xmlns:c16="http://schemas.microsoft.com/office/drawing/2014/chart" uri="{C3380CC4-5D6E-409C-BE32-E72D297353CC}">
              <c16:uniqueId val="{00000001-9301-4A11-B3C5-EFA734CE191A}"/>
            </c:ext>
          </c:extLst>
        </c:ser>
        <c:dLbls>
          <c:showLegendKey val="0"/>
          <c:showVal val="0"/>
          <c:showCatName val="0"/>
          <c:showSerName val="0"/>
          <c:showPercent val="0"/>
          <c:showBubbleSize val="0"/>
        </c:dLbls>
        <c:axId val="364944128"/>
        <c:axId val="364944704"/>
      </c:scatterChart>
      <c:valAx>
        <c:axId val="364944128"/>
        <c:scaling>
          <c:orientation val="minMax"/>
        </c:scaling>
        <c:delete val="0"/>
        <c:axPos val="t"/>
        <c:majorGridlines>
          <c:spPr>
            <a:ln w="9525" cap="flat" cmpd="sng" algn="ctr">
              <a:solidFill>
                <a:schemeClr val="bg1">
                  <a:lumMod val="95000"/>
                </a:schemeClr>
              </a:solidFill>
              <a:round/>
            </a:ln>
            <a:effectLst/>
          </c:spPr>
        </c:majorGridlines>
        <c:title>
          <c:tx>
            <c:rich>
              <a:bodyPr rot="0" spcFirstLastPara="1" vertOverflow="ellipsis" vert="horz" wrap="square" anchor="ctr" anchorCtr="1"/>
              <a:lstStyle/>
              <a:p>
                <a:pPr>
                  <a:defRPr sz="1100" b="1" i="0" u="none" strike="noStrike" kern="1200" baseline="0">
                    <a:solidFill>
                      <a:schemeClr val="tx1"/>
                    </a:solidFill>
                    <a:latin typeface="+mn-lt"/>
                    <a:ea typeface="+mn-ea"/>
                    <a:cs typeface="+mn-cs"/>
                  </a:defRPr>
                </a:pPr>
                <a:r>
                  <a:rPr lang="es-BO" sz="1100" b="1">
                    <a:solidFill>
                      <a:schemeClr val="tx1"/>
                    </a:solidFill>
                  </a:rPr>
                  <a:t>TVD, m</a:t>
                </a:r>
              </a:p>
            </c:rich>
          </c:tx>
          <c:overlay val="0"/>
          <c:spPr>
            <a:noFill/>
            <a:ln>
              <a:noFill/>
            </a:ln>
            <a:effectLst/>
          </c:spPr>
        </c:title>
        <c:numFmt formatCode="0" sourceLinked="0"/>
        <c:majorTickMark val="cross"/>
        <c:minorTickMark val="in"/>
        <c:tickLblPos val="nextTo"/>
        <c:spPr>
          <a:noFill/>
          <a:ln w="9525" cap="flat" cmpd="sng" algn="ctr">
            <a:solidFill>
              <a:sysClr val="windowText" lastClr="000000">
                <a:lumMod val="100000"/>
              </a:sysClr>
            </a:solidFill>
            <a:prstDash val="solid"/>
            <a:round/>
            <a:headEnd type="none" w="med" len="med"/>
            <a:tailEnd type="none" w="med" len="med"/>
          </a:ln>
          <a:effectLst/>
        </c:spPr>
        <c:txPr>
          <a:bodyPr rot="-60000000" spcFirstLastPara="1" vertOverflow="ellipsis" vert="horz" wrap="square" anchor="ctr" anchorCtr="1"/>
          <a:lstStyle/>
          <a:p>
            <a:pPr>
              <a:defRPr sz="900" b="1" i="0" u="none" strike="noStrike" kern="1200" baseline="0">
                <a:solidFill>
                  <a:srgbClr val="000000"/>
                </a:solidFill>
                <a:latin typeface="+mn-lt"/>
                <a:ea typeface="+mn-ea"/>
                <a:cs typeface="+mn-cs"/>
              </a:defRPr>
            </a:pPr>
            <a:endParaRPr lang="es-BO"/>
          </a:p>
        </c:txPr>
        <c:crossAx val="364944704"/>
        <c:crosses val="autoZero"/>
        <c:crossBetween val="midCat"/>
      </c:valAx>
      <c:valAx>
        <c:axId val="364944704"/>
        <c:scaling>
          <c:orientation val="maxMin"/>
        </c:scaling>
        <c:delete val="0"/>
        <c:axPos val="l"/>
        <c:majorGridlines>
          <c:spPr>
            <a:ln w="9525" cap="flat" cmpd="sng" algn="ctr">
              <a:solidFill>
                <a:schemeClr val="bg1">
                  <a:lumMod val="9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solidFill>
                    <a:latin typeface="+mn-lt"/>
                    <a:ea typeface="+mn-ea"/>
                    <a:cs typeface="+mn-cs"/>
                  </a:defRPr>
                </a:pPr>
                <a:r>
                  <a:rPr lang="es-BO" sz="1100" b="1">
                    <a:solidFill>
                      <a:schemeClr val="tx1"/>
                    </a:solidFill>
                  </a:rPr>
                  <a:t>MD, m</a:t>
                </a:r>
              </a:p>
            </c:rich>
          </c:tx>
          <c:layout>
            <c:manualLayout>
              <c:xMode val="edge"/>
              <c:yMode val="edge"/>
              <c:x val="1.9444444444444445E-2"/>
              <c:y val="0.51648913677456987"/>
            </c:manualLayout>
          </c:layout>
          <c:overlay val="0"/>
          <c:spPr>
            <a:noFill/>
            <a:ln>
              <a:noFill/>
            </a:ln>
            <a:effectLst/>
          </c:spPr>
        </c:title>
        <c:numFmt formatCode="0" sourceLinked="0"/>
        <c:majorTickMark val="cross"/>
        <c:minorTickMark val="in"/>
        <c:tickLblPos val="nextTo"/>
        <c:spPr>
          <a:noFill/>
          <a:ln w="9525" cap="flat" cmpd="sng" algn="ctr">
            <a:solidFill>
              <a:sysClr val="windowText" lastClr="000000">
                <a:lumMod val="100000"/>
              </a:sysClr>
            </a:solidFill>
            <a:prstDash val="solid"/>
            <a:round/>
            <a:headEnd type="none" w="med" len="med"/>
            <a:tailEnd type="none" w="med" len="med"/>
          </a:ln>
          <a:effectLst/>
        </c:spPr>
        <c:txPr>
          <a:bodyPr rot="-60000000" spcFirstLastPara="1" vertOverflow="ellipsis" vert="horz" wrap="square" anchor="ctr" anchorCtr="1"/>
          <a:lstStyle/>
          <a:p>
            <a:pPr>
              <a:defRPr sz="900" b="1" i="0" u="none" strike="noStrike" kern="1200" baseline="0">
                <a:solidFill>
                  <a:srgbClr val="000000"/>
                </a:solidFill>
                <a:latin typeface="+mn-lt"/>
                <a:ea typeface="+mn-ea"/>
                <a:cs typeface="+mn-cs"/>
              </a:defRPr>
            </a:pPr>
            <a:endParaRPr lang="es-BO"/>
          </a:p>
        </c:txPr>
        <c:crossAx val="364944128"/>
        <c:crosses val="autoZero"/>
        <c:crossBetween val="midCat"/>
      </c:valAx>
      <c:spPr>
        <a:noFill/>
        <a:ln>
          <a:noFill/>
        </a:ln>
        <a:effectLst/>
      </c:spPr>
    </c:plotArea>
    <c:legend>
      <c:legendPos val="r"/>
      <c:layout>
        <c:manualLayout>
          <c:xMode val="edge"/>
          <c:yMode val="edge"/>
          <c:x val="0.53663322498313015"/>
          <c:y val="0.13664157111939954"/>
          <c:w val="0.35781111302693008"/>
          <c:h val="0.11280928866942481"/>
        </c:manualLayout>
      </c:layout>
      <c:overlay val="0"/>
      <c:spPr>
        <a:solidFill>
          <a:schemeClr val="bg1"/>
        </a:solidFill>
        <a:ln>
          <a:solidFill>
            <a:schemeClr val="bg1">
              <a:lumMod val="95000"/>
            </a:schemeClr>
          </a:solidFill>
        </a:ln>
        <a:effectLst/>
      </c:spPr>
      <c:txPr>
        <a:bodyPr rot="0" spcFirstLastPara="1" vertOverflow="ellipsis" vert="horz" wrap="square" anchor="ctr" anchorCtr="1"/>
        <a:lstStyle/>
        <a:p>
          <a:pPr>
            <a:defRPr sz="1050" b="0" i="0" u="none" strike="noStrike" kern="1200" baseline="0">
              <a:solidFill>
                <a:schemeClr val="tx1"/>
              </a:solidFill>
              <a:latin typeface="+mn-lt"/>
              <a:ea typeface="+mn-ea"/>
              <a:cs typeface="+mn-cs"/>
            </a:defRPr>
          </a:pPr>
          <a:endParaRPr lang="es-BO"/>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BO"/>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081714785651792"/>
          <c:y val="0.10205299995395313"/>
          <c:w val="0.77018132108486426"/>
          <c:h val="0.85817838559653725"/>
        </c:manualLayout>
      </c:layout>
      <c:scatterChart>
        <c:scatterStyle val="lineMarker"/>
        <c:varyColors val="0"/>
        <c:ser>
          <c:idx val="0"/>
          <c:order val="0"/>
          <c:tx>
            <c:v>BHA</c:v>
          </c:tx>
          <c:spPr>
            <a:ln w="19050" cap="rnd">
              <a:solidFill>
                <a:schemeClr val="tx1"/>
              </a:solidFill>
              <a:round/>
            </a:ln>
            <a:effectLst/>
          </c:spPr>
          <c:marker>
            <c:symbol val="square"/>
            <c:size val="5"/>
            <c:spPr>
              <a:solidFill>
                <a:srgbClr val="00B0F0"/>
              </a:solidFill>
              <a:ln w="9525">
                <a:solidFill>
                  <a:srgbClr val="002060"/>
                </a:solidFill>
              </a:ln>
              <a:effectLst/>
            </c:spPr>
          </c:marker>
          <c:dLbls>
            <c:dLbl>
              <c:idx val="0"/>
              <c:tx>
                <c:rich>
                  <a:bodyPr/>
                  <a:lstStyle/>
                  <a:p>
                    <a:r>
                      <a:rPr lang="en-US"/>
                      <a:t>2.992 in</a:t>
                    </a:r>
                  </a:p>
                </c:rich>
              </c:tx>
              <c:dLblPos val="l"/>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C8ED-4278-AE22-8717C1E1887B}"/>
                </c:ext>
              </c:extLst>
            </c:dLbl>
            <c:dLbl>
              <c:idx val="2"/>
              <c:tx>
                <c:rich>
                  <a:bodyPr/>
                  <a:lstStyle/>
                  <a:p>
                    <a:r>
                      <a:rPr lang="en-US"/>
                      <a:t>2.992 in</a:t>
                    </a:r>
                  </a:p>
                </c:rich>
              </c:tx>
              <c:dLblPos val="l"/>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C8ED-4278-AE22-8717C1E1887B}"/>
                </c:ext>
              </c:extLst>
            </c:dLbl>
            <c:dLbl>
              <c:idx val="4"/>
              <c:tx>
                <c:rich>
                  <a:bodyPr/>
                  <a:lstStyle/>
                  <a:p>
                    <a:r>
                      <a:rPr lang="en-US"/>
                      <a:t>2.992 in</a:t>
                    </a:r>
                  </a:p>
                </c:rich>
              </c:tx>
              <c:dLblPos val="l"/>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C8ED-4278-AE22-8717C1E1887B}"/>
                </c:ext>
              </c:extLst>
            </c:dLbl>
            <c:dLbl>
              <c:idx val="6"/>
              <c:tx>
                <c:rich>
                  <a:bodyPr/>
                  <a:lstStyle/>
                  <a:p>
                    <a:r>
                      <a:rPr lang="en-US"/>
                      <a:t>2.992 in</a:t>
                    </a:r>
                  </a:p>
                </c:rich>
              </c:tx>
              <c:dLblPos val="l"/>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C8ED-4278-AE22-8717C1E1887B}"/>
                </c:ext>
              </c:extLst>
            </c:dLbl>
            <c:dLbl>
              <c:idx val="8"/>
              <c:tx>
                <c:rich>
                  <a:bodyPr/>
                  <a:lstStyle/>
                  <a:p>
                    <a:r>
                      <a:rPr lang="en-US"/>
                      <a:t>2.992 in</a:t>
                    </a:r>
                  </a:p>
                </c:rich>
              </c:tx>
              <c:dLblPos val="l"/>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A77F-4823-88D8-3DB9B73631C3}"/>
                </c:ext>
              </c:extLst>
            </c:dLbl>
            <c:dLbl>
              <c:idx val="10"/>
              <c:tx>
                <c:rich>
                  <a:bodyPr/>
                  <a:lstStyle/>
                  <a:p>
                    <a:r>
                      <a:rPr lang="en-US"/>
                      <a:t>2.992 in</a:t>
                    </a:r>
                  </a:p>
                </c:rich>
              </c:tx>
              <c:dLblPos val="l"/>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A77F-4823-88D8-3DB9B73631C3}"/>
                </c:ext>
              </c:extLst>
            </c:dLbl>
            <c:dLbl>
              <c:idx val="12"/>
              <c:tx>
                <c:rich>
                  <a:bodyPr/>
                  <a:lstStyle/>
                  <a:p>
                    <a:r>
                      <a:rPr lang="en-US"/>
                      <a:t>2.92 in</a:t>
                    </a:r>
                  </a:p>
                </c:rich>
              </c:tx>
              <c:dLblPos val="l"/>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A77F-4823-88D8-3DB9B73631C3}"/>
                </c:ext>
              </c:extLst>
            </c:dLbl>
            <c:dLbl>
              <c:idx val="14"/>
              <c:tx>
                <c:rich>
                  <a:bodyPr/>
                  <a:lstStyle/>
                  <a:p>
                    <a:r>
                      <a:rPr lang="en-US"/>
                      <a:t>2.562 in</a:t>
                    </a:r>
                  </a:p>
                </c:rich>
              </c:tx>
              <c:dLblPos val="l"/>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A77F-4823-88D8-3DB9B73631C3}"/>
                </c:ext>
              </c:extLst>
            </c:dLbl>
            <c:dLbl>
              <c:idx val="16"/>
              <c:tx>
                <c:rich>
                  <a:bodyPr/>
                  <a:lstStyle/>
                  <a:p>
                    <a:r>
                      <a:rPr lang="en-US"/>
                      <a:t>2.92 in</a:t>
                    </a:r>
                  </a:p>
                </c:rich>
              </c:tx>
              <c:dLblPos val="l"/>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A77F-4823-88D8-3DB9B73631C3}"/>
                </c:ext>
              </c:extLst>
            </c:dLbl>
            <c:dLbl>
              <c:idx val="18"/>
              <c:tx>
                <c:rich>
                  <a:bodyPr/>
                  <a:lstStyle/>
                  <a:p>
                    <a:r>
                      <a:rPr lang="en-US"/>
                      <a:t>2.992 in</a:t>
                    </a:r>
                  </a:p>
                </c:rich>
              </c:tx>
              <c:dLblPos val="l"/>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A77F-4823-88D8-3DB9B73631C3}"/>
                </c:ext>
              </c:extLst>
            </c:dLbl>
            <c:dLbl>
              <c:idx val="20"/>
              <c:tx>
                <c:rich>
                  <a:bodyPr/>
                  <a:lstStyle/>
                  <a:p>
                    <a:r>
                      <a:rPr lang="en-US"/>
                      <a:t>2.562 in</a:t>
                    </a:r>
                  </a:p>
                </c:rich>
              </c:tx>
              <c:dLblPos val="l"/>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A77F-4823-88D8-3DB9B73631C3}"/>
                </c:ext>
              </c:extLst>
            </c:dLbl>
            <c:dLbl>
              <c:idx val="22"/>
              <c:tx>
                <c:rich>
                  <a:bodyPr/>
                  <a:lstStyle/>
                  <a:p>
                    <a:r>
                      <a:rPr lang="en-US"/>
                      <a:t>2.992 in</a:t>
                    </a:r>
                  </a:p>
                </c:rich>
              </c:tx>
              <c:dLblPos val="l"/>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A77F-4823-88D8-3DB9B73631C3}"/>
                </c:ext>
              </c:extLst>
            </c:dLbl>
            <c:dLbl>
              <c:idx val="24"/>
              <c:tx>
                <c:rich>
                  <a:bodyPr/>
                  <a:lstStyle/>
                  <a:p>
                    <a:r>
                      <a:rPr lang="en-US"/>
                      <a:t>2.329 in</a:t>
                    </a:r>
                  </a:p>
                </c:rich>
              </c:tx>
              <c:dLblPos val="l"/>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A77F-4823-88D8-3DB9B73631C3}"/>
                </c:ext>
              </c:extLst>
            </c:dLbl>
            <c:spPr>
              <a:gradFill rotWithShape="1">
                <a:gsLst>
                  <a:gs pos="0">
                    <a:schemeClr val="accent6">
                      <a:lumMod val="110000"/>
                      <a:satMod val="105000"/>
                      <a:tint val="67000"/>
                    </a:schemeClr>
                  </a:gs>
                  <a:gs pos="50000">
                    <a:schemeClr val="accent6">
                      <a:lumMod val="105000"/>
                      <a:satMod val="103000"/>
                      <a:tint val="73000"/>
                    </a:schemeClr>
                  </a:gs>
                  <a:gs pos="100000">
                    <a:schemeClr val="accent6">
                      <a:lumMod val="105000"/>
                      <a:satMod val="109000"/>
                      <a:tint val="81000"/>
                    </a:schemeClr>
                  </a:gs>
                </a:gsLst>
                <a:lin ang="5400000" scaled="0"/>
              </a:gradFill>
              <a:ln w="6350" cap="flat" cmpd="sng" algn="ctr">
                <a:solidFill>
                  <a:schemeClr val="accent6"/>
                </a:solidFill>
                <a:prstDash val="solid"/>
                <a:miter lim="800000"/>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s-BO"/>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Lit>
              <c:formatCode>General</c:formatCode>
              <c:ptCount val="26"/>
              <c:pt idx="0">
                <c:v>1.496</c:v>
              </c:pt>
              <c:pt idx="1">
                <c:v>1.496</c:v>
              </c:pt>
              <c:pt idx="2">
                <c:v>1.496</c:v>
              </c:pt>
              <c:pt idx="3">
                <c:v>1.496</c:v>
              </c:pt>
              <c:pt idx="4">
                <c:v>1.496</c:v>
              </c:pt>
              <c:pt idx="5">
                <c:v>1.496</c:v>
              </c:pt>
              <c:pt idx="6">
                <c:v>1.496</c:v>
              </c:pt>
              <c:pt idx="7">
                <c:v>1.496</c:v>
              </c:pt>
              <c:pt idx="8">
                <c:v>1.496</c:v>
              </c:pt>
              <c:pt idx="9">
                <c:v>1.496</c:v>
              </c:pt>
              <c:pt idx="10">
                <c:v>1.496</c:v>
              </c:pt>
              <c:pt idx="11">
                <c:v>1.496</c:v>
              </c:pt>
              <c:pt idx="12">
                <c:v>1.46</c:v>
              </c:pt>
              <c:pt idx="13">
                <c:v>1.46</c:v>
              </c:pt>
              <c:pt idx="14">
                <c:v>1.2809999999999999</c:v>
              </c:pt>
              <c:pt idx="15">
                <c:v>1.2809999999999999</c:v>
              </c:pt>
              <c:pt idx="16">
                <c:v>1.46</c:v>
              </c:pt>
              <c:pt idx="17">
                <c:v>1.46</c:v>
              </c:pt>
              <c:pt idx="18">
                <c:v>1.496</c:v>
              </c:pt>
              <c:pt idx="19">
                <c:v>1.496</c:v>
              </c:pt>
              <c:pt idx="20">
                <c:v>1.2809999999999999</c:v>
              </c:pt>
              <c:pt idx="21">
                <c:v>1.2809999999999999</c:v>
              </c:pt>
              <c:pt idx="22">
                <c:v>1.496</c:v>
              </c:pt>
              <c:pt idx="23">
                <c:v>1.496</c:v>
              </c:pt>
              <c:pt idx="24">
                <c:v>1.1645000000000001</c:v>
              </c:pt>
              <c:pt idx="25">
                <c:v>1.1645000000000001</c:v>
              </c:pt>
            </c:numLit>
          </c:xVal>
          <c:yVal>
            <c:numLit>
              <c:formatCode>General</c:formatCode>
              <c:ptCount val="26"/>
              <c:pt idx="0">
                <c:v>0</c:v>
              </c:pt>
              <c:pt idx="1">
                <c:v>3.69</c:v>
              </c:pt>
              <c:pt idx="2">
                <c:v>3.69</c:v>
              </c:pt>
              <c:pt idx="3">
                <c:v>4.87</c:v>
              </c:pt>
              <c:pt idx="4">
                <c:v>4.87</c:v>
              </c:pt>
              <c:pt idx="5">
                <c:v>14.12</c:v>
              </c:pt>
              <c:pt idx="6">
                <c:v>14.12</c:v>
              </c:pt>
              <c:pt idx="7">
                <c:v>14.57</c:v>
              </c:pt>
              <c:pt idx="8">
                <c:v>14.57</c:v>
              </c:pt>
              <c:pt idx="9">
                <c:v>18.72</c:v>
              </c:pt>
              <c:pt idx="10">
                <c:v>18.72</c:v>
              </c:pt>
              <c:pt idx="11">
                <c:v>84.75</c:v>
              </c:pt>
              <c:pt idx="12">
                <c:v>84.75</c:v>
              </c:pt>
              <c:pt idx="13">
                <c:v>84.97</c:v>
              </c:pt>
              <c:pt idx="14">
                <c:v>84.97</c:v>
              </c:pt>
              <c:pt idx="15">
                <c:v>86.87</c:v>
              </c:pt>
              <c:pt idx="16">
                <c:v>86.87</c:v>
              </c:pt>
              <c:pt idx="17">
                <c:v>87.19</c:v>
              </c:pt>
              <c:pt idx="18">
                <c:v>87.19</c:v>
              </c:pt>
              <c:pt idx="19">
                <c:v>1000</c:v>
              </c:pt>
              <c:pt idx="20">
                <c:v>1000</c:v>
              </c:pt>
              <c:pt idx="21">
                <c:v>1500</c:v>
              </c:pt>
              <c:pt idx="22">
                <c:v>1500</c:v>
              </c:pt>
              <c:pt idx="23">
                <c:v>2000</c:v>
              </c:pt>
              <c:pt idx="24">
                <c:v>2000</c:v>
              </c:pt>
              <c:pt idx="25">
                <c:v>2700</c:v>
              </c:pt>
            </c:numLit>
          </c:yVal>
          <c:smooth val="0"/>
          <c:extLst>
            <c:ext xmlns:c16="http://schemas.microsoft.com/office/drawing/2014/chart" uri="{C3380CC4-5D6E-409C-BE32-E72D297353CC}">
              <c16:uniqueId val="{00000004-C8ED-4278-AE22-8717C1E1887B}"/>
            </c:ext>
          </c:extLst>
        </c:ser>
        <c:ser>
          <c:idx val="1"/>
          <c:order val="1"/>
          <c:tx>
            <c:v>BHA</c:v>
          </c:tx>
          <c:spPr>
            <a:ln w="19050" cap="rnd">
              <a:solidFill>
                <a:schemeClr val="tx1"/>
              </a:solidFill>
              <a:round/>
            </a:ln>
            <a:effectLst/>
          </c:spPr>
          <c:marker>
            <c:symbol val="square"/>
            <c:size val="5"/>
            <c:spPr>
              <a:solidFill>
                <a:srgbClr val="00B0F0"/>
              </a:solidFill>
              <a:ln w="9525">
                <a:solidFill>
                  <a:srgbClr val="002060"/>
                </a:solidFill>
              </a:ln>
              <a:effectLst/>
            </c:spPr>
          </c:marker>
          <c:xVal>
            <c:numLit>
              <c:formatCode>General</c:formatCode>
              <c:ptCount val="26"/>
              <c:pt idx="0">
                <c:v>-1.496</c:v>
              </c:pt>
              <c:pt idx="1">
                <c:v>-1.496</c:v>
              </c:pt>
              <c:pt idx="2">
                <c:v>-1.496</c:v>
              </c:pt>
              <c:pt idx="3">
                <c:v>-1.496</c:v>
              </c:pt>
              <c:pt idx="4">
                <c:v>-1.496</c:v>
              </c:pt>
              <c:pt idx="5">
                <c:v>-1.496</c:v>
              </c:pt>
              <c:pt idx="6">
                <c:v>-1.496</c:v>
              </c:pt>
              <c:pt idx="7">
                <c:v>-1.496</c:v>
              </c:pt>
              <c:pt idx="8">
                <c:v>-1.496</c:v>
              </c:pt>
              <c:pt idx="9">
                <c:v>-1.496</c:v>
              </c:pt>
              <c:pt idx="10">
                <c:v>-1.496</c:v>
              </c:pt>
              <c:pt idx="11">
                <c:v>-1.496</c:v>
              </c:pt>
              <c:pt idx="12">
                <c:v>-1.46</c:v>
              </c:pt>
              <c:pt idx="13">
                <c:v>-1.46</c:v>
              </c:pt>
              <c:pt idx="14">
                <c:v>-1.2809999999999999</c:v>
              </c:pt>
              <c:pt idx="15">
                <c:v>-1.2809999999999999</c:v>
              </c:pt>
              <c:pt idx="16">
                <c:v>-1.46</c:v>
              </c:pt>
              <c:pt idx="17">
                <c:v>-1.46</c:v>
              </c:pt>
              <c:pt idx="18">
                <c:v>-1.496</c:v>
              </c:pt>
              <c:pt idx="19">
                <c:v>-1.496</c:v>
              </c:pt>
              <c:pt idx="20">
                <c:v>-1.2809999999999999</c:v>
              </c:pt>
              <c:pt idx="21">
                <c:v>-1.2809999999999999</c:v>
              </c:pt>
              <c:pt idx="22">
                <c:v>-1.496</c:v>
              </c:pt>
              <c:pt idx="23">
                <c:v>-1.496</c:v>
              </c:pt>
              <c:pt idx="24">
                <c:v>-1.1645000000000001</c:v>
              </c:pt>
              <c:pt idx="25">
                <c:v>-1.1645000000000001</c:v>
              </c:pt>
            </c:numLit>
          </c:xVal>
          <c:yVal>
            <c:numLit>
              <c:formatCode>General</c:formatCode>
              <c:ptCount val="26"/>
              <c:pt idx="0">
                <c:v>0</c:v>
              </c:pt>
              <c:pt idx="1">
                <c:v>3.69</c:v>
              </c:pt>
              <c:pt idx="2">
                <c:v>3.69</c:v>
              </c:pt>
              <c:pt idx="3">
                <c:v>4.87</c:v>
              </c:pt>
              <c:pt idx="4">
                <c:v>4.87</c:v>
              </c:pt>
              <c:pt idx="5">
                <c:v>14.12</c:v>
              </c:pt>
              <c:pt idx="6">
                <c:v>14.12</c:v>
              </c:pt>
              <c:pt idx="7">
                <c:v>14.57</c:v>
              </c:pt>
              <c:pt idx="8">
                <c:v>14.57</c:v>
              </c:pt>
              <c:pt idx="9">
                <c:v>18.72</c:v>
              </c:pt>
              <c:pt idx="10">
                <c:v>18.72</c:v>
              </c:pt>
              <c:pt idx="11">
                <c:v>84.75</c:v>
              </c:pt>
              <c:pt idx="12">
                <c:v>84.75</c:v>
              </c:pt>
              <c:pt idx="13">
                <c:v>84.97</c:v>
              </c:pt>
              <c:pt idx="14">
                <c:v>84.97</c:v>
              </c:pt>
              <c:pt idx="15">
                <c:v>86.87</c:v>
              </c:pt>
              <c:pt idx="16">
                <c:v>86.87</c:v>
              </c:pt>
              <c:pt idx="17">
                <c:v>87.19</c:v>
              </c:pt>
              <c:pt idx="18">
                <c:v>87.19</c:v>
              </c:pt>
              <c:pt idx="19">
                <c:v>1000</c:v>
              </c:pt>
              <c:pt idx="20">
                <c:v>1000</c:v>
              </c:pt>
              <c:pt idx="21">
                <c:v>1500</c:v>
              </c:pt>
              <c:pt idx="22">
                <c:v>1500</c:v>
              </c:pt>
              <c:pt idx="23">
                <c:v>2000</c:v>
              </c:pt>
              <c:pt idx="24">
                <c:v>2000</c:v>
              </c:pt>
              <c:pt idx="25">
                <c:v>2700</c:v>
              </c:pt>
            </c:numLit>
          </c:yVal>
          <c:smooth val="0"/>
          <c:extLst>
            <c:ext xmlns:c16="http://schemas.microsoft.com/office/drawing/2014/chart" uri="{C3380CC4-5D6E-409C-BE32-E72D297353CC}">
              <c16:uniqueId val="{00000005-C8ED-4278-AE22-8717C1E1887B}"/>
            </c:ext>
          </c:extLst>
        </c:ser>
        <c:dLbls>
          <c:showLegendKey val="0"/>
          <c:showVal val="0"/>
          <c:showCatName val="0"/>
          <c:showSerName val="0"/>
          <c:showPercent val="0"/>
          <c:showBubbleSize val="0"/>
        </c:dLbls>
        <c:axId val="564645824"/>
        <c:axId val="564646400"/>
      </c:scatterChart>
      <c:valAx>
        <c:axId val="564645824"/>
        <c:scaling>
          <c:orientation val="minMax"/>
          <c:max val="2.992"/>
          <c:min val="-2.992"/>
        </c:scaling>
        <c:delete val="0"/>
        <c:axPos val="t"/>
        <c:majorGridlines>
          <c:spPr>
            <a:ln w="9525" cap="flat" cmpd="sng" algn="ctr">
              <a:solidFill>
                <a:schemeClr val="bg1">
                  <a:lumMod val="9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BO"/>
                  <a:t>ID</a:t>
                </a:r>
              </a:p>
            </c:rich>
          </c:tx>
          <c:overlay val="0"/>
          <c:spPr>
            <a:noFill/>
            <a:ln>
              <a:noFill/>
            </a:ln>
            <a:effectLst/>
          </c:spPr>
        </c:title>
        <c:numFmt formatCode="0.00" sourceLinked="0"/>
        <c:majorTickMark val="cross"/>
        <c:minorTickMark val="in"/>
        <c:tickLblPos val="nextTo"/>
        <c:spPr>
          <a:noFill/>
          <a:ln w="9525" cap="flat" cmpd="sng" algn="ctr">
            <a:solidFill>
              <a:sysClr val="windowText" lastClr="000000">
                <a:lumMod val="100000"/>
              </a:sysClr>
            </a:solidFill>
            <a:prstDash val="solid"/>
            <a:round/>
            <a:headEnd type="none" w="med" len="med"/>
            <a:tailEnd type="none" w="med" len="med"/>
          </a:ln>
          <a:effectLst/>
        </c:spPr>
        <c:txPr>
          <a:bodyPr rot="-60000000" spcFirstLastPara="1" vertOverflow="ellipsis" vert="horz" wrap="square" anchor="ctr" anchorCtr="1"/>
          <a:lstStyle/>
          <a:p>
            <a:pPr>
              <a:defRPr sz="800" b="1" i="0" u="none" strike="noStrike" kern="1200" baseline="0">
                <a:solidFill>
                  <a:schemeClr val="tx1"/>
                </a:solidFill>
                <a:latin typeface="+mn-lt"/>
                <a:ea typeface="+mn-ea"/>
                <a:cs typeface="+mn-cs"/>
              </a:defRPr>
            </a:pPr>
            <a:endParaRPr lang="es-BO"/>
          </a:p>
        </c:txPr>
        <c:crossAx val="564646400"/>
        <c:crosses val="autoZero"/>
        <c:crossBetween val="midCat"/>
      </c:valAx>
      <c:valAx>
        <c:axId val="564646400"/>
        <c:scaling>
          <c:orientation val="maxMin"/>
        </c:scaling>
        <c:delete val="0"/>
        <c:axPos val="l"/>
        <c:majorGridlines>
          <c:spPr>
            <a:ln w="9525" cap="flat" cmpd="sng" algn="ctr">
              <a:solidFill>
                <a:schemeClr val="bg1">
                  <a:lumMod val="9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BO"/>
                  <a:t>MD, m</a:t>
                </a:r>
              </a:p>
            </c:rich>
          </c:tx>
          <c:layout>
            <c:manualLayout>
              <c:xMode val="edge"/>
              <c:yMode val="edge"/>
              <c:x val="1.9444444444444445E-2"/>
              <c:y val="0.51648913677456987"/>
            </c:manualLayout>
          </c:layout>
          <c:overlay val="0"/>
          <c:spPr>
            <a:noFill/>
            <a:ln>
              <a:noFill/>
            </a:ln>
            <a:effectLst/>
          </c:spPr>
        </c:title>
        <c:numFmt formatCode="0" sourceLinked="0"/>
        <c:majorTickMark val="cross"/>
        <c:minorTickMark val="in"/>
        <c:tickLblPos val="nextTo"/>
        <c:spPr>
          <a:noFill/>
          <a:ln w="9525" cap="flat" cmpd="sng" algn="ctr">
            <a:solidFill>
              <a:sysClr val="windowText" lastClr="000000">
                <a:lumMod val="100000"/>
              </a:sysClr>
            </a:solidFill>
            <a:prstDash val="solid"/>
            <a:round/>
            <a:headEnd type="none" w="med" len="med"/>
            <a:tailEnd type="none" w="med" len="med"/>
          </a:ln>
          <a:effectLst/>
        </c:spPr>
        <c:txPr>
          <a:bodyPr rot="-60000000" spcFirstLastPara="1" vertOverflow="ellipsis" vert="horz" wrap="square" anchor="ctr" anchorCtr="1"/>
          <a:lstStyle/>
          <a:p>
            <a:pPr>
              <a:defRPr sz="900" b="1" i="0" u="none" strike="noStrike" kern="1200" baseline="0">
                <a:solidFill>
                  <a:srgbClr val="000000"/>
                </a:solidFill>
                <a:latin typeface="+mn-lt"/>
                <a:ea typeface="+mn-ea"/>
                <a:cs typeface="+mn-cs"/>
              </a:defRPr>
            </a:pPr>
            <a:endParaRPr lang="es-BO"/>
          </a:p>
        </c:txPr>
        <c:crossAx val="564645824"/>
        <c:crossesAt val="-2.992"/>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BO"/>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081714785651792"/>
          <c:y val="0.10205299995395313"/>
          <c:w val="0.77018132108486426"/>
          <c:h val="0.85817838559653725"/>
        </c:manualLayout>
      </c:layout>
      <c:scatterChart>
        <c:scatterStyle val="lineMarker"/>
        <c:varyColors val="0"/>
        <c:ser>
          <c:idx val="1"/>
          <c:order val="0"/>
          <c:tx>
            <c:strRef>
              <c:f>Geothermal_Gradient!$E$7:$E$8</c:f>
              <c:strCache>
                <c:ptCount val="2"/>
                <c:pt idx="0">
                  <c:v>Formation</c:v>
                </c:pt>
                <c:pt idx="1">
                  <c:v>Temperature</c:v>
                </c:pt>
              </c:strCache>
            </c:strRef>
          </c:tx>
          <c:spPr>
            <a:ln w="19050" cap="rnd">
              <a:noFill/>
              <a:round/>
            </a:ln>
            <a:effectLst/>
          </c:spPr>
          <c:marker>
            <c:symbol val="circle"/>
            <c:size val="9"/>
            <c:spPr>
              <a:solidFill>
                <a:srgbClr val="FFC000"/>
              </a:solidFill>
              <a:ln w="9525">
                <a:solidFill>
                  <a:srgbClr val="C00000"/>
                </a:solidFill>
              </a:ln>
              <a:effectLst/>
            </c:spPr>
          </c:marker>
          <c:xVal>
            <c:numRef>
              <c:f>Geothermal_Gradient!$E$10:$E$100</c:f>
              <c:numCache>
                <c:formatCode>0.00;\-0.0</c:formatCode>
                <c:ptCount val="91"/>
                <c:pt idx="0">
                  <c:v>80</c:v>
                </c:pt>
                <c:pt idx="1">
                  <c:v>150</c:v>
                </c:pt>
              </c:numCache>
            </c:numRef>
          </c:xVal>
          <c:yVal>
            <c:numRef>
              <c:f>Geothermal_Gradient!$C$10:$C$100</c:f>
              <c:numCache>
                <c:formatCode>0.00;\-0.0</c:formatCode>
                <c:ptCount val="91"/>
                <c:pt idx="0">
                  <c:v>0</c:v>
                </c:pt>
                <c:pt idx="1">
                  <c:v>2760.32</c:v>
                </c:pt>
              </c:numCache>
            </c:numRef>
          </c:yVal>
          <c:smooth val="0"/>
          <c:extLst>
            <c:ext xmlns:c16="http://schemas.microsoft.com/office/drawing/2014/chart" uri="{C3380CC4-5D6E-409C-BE32-E72D297353CC}">
              <c16:uniqueId val="{00000000-0680-422A-8984-E3D92DB03E03}"/>
            </c:ext>
          </c:extLst>
        </c:ser>
        <c:dLbls>
          <c:showLegendKey val="0"/>
          <c:showVal val="0"/>
          <c:showCatName val="0"/>
          <c:showSerName val="0"/>
          <c:showPercent val="0"/>
          <c:showBubbleSize val="0"/>
        </c:dLbls>
        <c:axId val="564646976"/>
        <c:axId val="564647552"/>
      </c:scatterChart>
      <c:valAx>
        <c:axId val="564646976"/>
        <c:scaling>
          <c:orientation val="minMax"/>
        </c:scaling>
        <c:delete val="0"/>
        <c:axPos val="t"/>
        <c:majorGridlines>
          <c:spPr>
            <a:ln w="9525" cap="flat" cmpd="sng" algn="ctr">
              <a:solidFill>
                <a:schemeClr val="bg1">
                  <a:lumMod val="9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BO"/>
                  <a:t>Temperature</a:t>
                </a:r>
              </a:p>
            </c:rich>
          </c:tx>
          <c:overlay val="0"/>
          <c:spPr>
            <a:noFill/>
            <a:ln>
              <a:noFill/>
            </a:ln>
            <a:effectLst/>
          </c:spPr>
        </c:title>
        <c:numFmt formatCode="0" sourceLinked="0"/>
        <c:majorTickMark val="cross"/>
        <c:minorTickMark val="in"/>
        <c:tickLblPos val="nextTo"/>
        <c:spPr>
          <a:noFill/>
          <a:ln w="9525" cap="flat" cmpd="sng" algn="ctr">
            <a:solidFill>
              <a:sysClr val="windowText" lastClr="000000">
                <a:lumMod val="100000"/>
              </a:sysClr>
            </a:solidFill>
            <a:prstDash val="solid"/>
            <a:round/>
            <a:headEnd type="none" w="med" len="med"/>
            <a:tailEnd type="none" w="med" len="med"/>
          </a:ln>
          <a:effectLst/>
        </c:spPr>
        <c:txPr>
          <a:bodyPr rot="-60000000" spcFirstLastPara="1" vertOverflow="ellipsis" vert="horz" wrap="square" anchor="ctr" anchorCtr="1"/>
          <a:lstStyle/>
          <a:p>
            <a:pPr>
              <a:defRPr sz="900" b="1" i="0" u="none" strike="noStrike" kern="1200" baseline="0">
                <a:solidFill>
                  <a:srgbClr val="000000"/>
                </a:solidFill>
                <a:latin typeface="+mn-lt"/>
                <a:ea typeface="+mn-ea"/>
                <a:cs typeface="+mn-cs"/>
              </a:defRPr>
            </a:pPr>
            <a:endParaRPr lang="es-BO"/>
          </a:p>
        </c:txPr>
        <c:crossAx val="564647552"/>
        <c:crosses val="autoZero"/>
        <c:crossBetween val="midCat"/>
      </c:valAx>
      <c:valAx>
        <c:axId val="564647552"/>
        <c:scaling>
          <c:orientation val="maxMin"/>
        </c:scaling>
        <c:delete val="0"/>
        <c:axPos val="l"/>
        <c:majorGridlines>
          <c:spPr>
            <a:ln w="9525" cap="flat" cmpd="sng" algn="ctr">
              <a:solidFill>
                <a:schemeClr val="bg1">
                  <a:lumMod val="9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s-BO"/>
                  <a:t>TVD, m</a:t>
                </a:r>
              </a:p>
            </c:rich>
          </c:tx>
          <c:layout>
            <c:manualLayout>
              <c:xMode val="edge"/>
              <c:yMode val="edge"/>
              <c:x val="1.9444444444444445E-2"/>
              <c:y val="0.51648913677456987"/>
            </c:manualLayout>
          </c:layout>
          <c:overlay val="0"/>
          <c:spPr>
            <a:noFill/>
            <a:ln>
              <a:noFill/>
            </a:ln>
            <a:effectLst/>
          </c:spPr>
        </c:title>
        <c:numFmt formatCode="0" sourceLinked="0"/>
        <c:majorTickMark val="cross"/>
        <c:minorTickMark val="in"/>
        <c:tickLblPos val="nextTo"/>
        <c:spPr>
          <a:noFill/>
          <a:ln w="9525" cap="flat" cmpd="sng" algn="ctr">
            <a:solidFill>
              <a:sysClr val="windowText" lastClr="000000">
                <a:lumMod val="100000"/>
              </a:sysClr>
            </a:solidFill>
            <a:prstDash val="solid"/>
            <a:round/>
            <a:headEnd type="none" w="med" len="med"/>
            <a:tailEnd type="none" w="med" len="med"/>
          </a:ln>
          <a:effectLst/>
        </c:spPr>
        <c:txPr>
          <a:bodyPr rot="-60000000" spcFirstLastPara="1" vertOverflow="ellipsis" vert="horz" wrap="square" anchor="ctr" anchorCtr="1"/>
          <a:lstStyle/>
          <a:p>
            <a:pPr>
              <a:defRPr sz="900" b="1" i="0" u="none" strike="noStrike" kern="1200" baseline="0">
                <a:solidFill>
                  <a:srgbClr val="000000"/>
                </a:solidFill>
                <a:latin typeface="+mn-lt"/>
                <a:ea typeface="+mn-ea"/>
                <a:cs typeface="+mn-cs"/>
              </a:defRPr>
            </a:pPr>
            <a:endParaRPr lang="es-BO"/>
          </a:p>
        </c:txPr>
        <c:crossAx val="564646976"/>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BO"/>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081714785651792"/>
          <c:y val="0.10205299995395313"/>
          <c:w val="0.54083239595050614"/>
          <c:h val="0.85817838559653725"/>
        </c:manualLayout>
      </c:layout>
      <c:scatterChart>
        <c:scatterStyle val="lineMarker"/>
        <c:varyColors val="0"/>
        <c:ser>
          <c:idx val="0"/>
          <c:order val="0"/>
          <c:tx>
            <c:v>Duns and Ross Modified</c:v>
          </c:tx>
          <c:spPr>
            <a:ln w="25400" cap="rnd">
              <a:noFill/>
              <a:round/>
            </a:ln>
            <a:effectLst/>
          </c:spPr>
          <c:marker>
            <c:symbol val="diamond"/>
            <c:size val="5"/>
            <c:spPr>
              <a:solidFill>
                <a:schemeClr val="bg1">
                  <a:lumMod val="85000"/>
                </a:schemeClr>
              </a:solidFill>
              <a:ln w="9525">
                <a:solidFill>
                  <a:schemeClr val="tx1"/>
                </a:solidFill>
              </a:ln>
              <a:effectLst/>
            </c:spPr>
          </c:marker>
          <c:xVal>
            <c:numRef>
              <c:f>'Grad Match Results'!$D$13:$D$105</c:f>
              <c:numCache>
                <c:formatCode>General</c:formatCode>
                <c:ptCount val="93"/>
                <c:pt idx="0">
                  <c:v>1800</c:v>
                </c:pt>
                <c:pt idx="1">
                  <c:v>1834.21</c:v>
                </c:pt>
                <c:pt idx="2">
                  <c:v>1868.56</c:v>
                </c:pt>
                <c:pt idx="3">
                  <c:v>1903.06</c:v>
                </c:pt>
                <c:pt idx="4">
                  <c:v>1937.69</c:v>
                </c:pt>
                <c:pt idx="5">
                  <c:v>1972.46</c:v>
                </c:pt>
                <c:pt idx="6">
                  <c:v>2007.36</c:v>
                </c:pt>
                <c:pt idx="7">
                  <c:v>2042.37</c:v>
                </c:pt>
                <c:pt idx="8">
                  <c:v>2075.16</c:v>
                </c:pt>
                <c:pt idx="9">
                  <c:v>2108.04</c:v>
                </c:pt>
                <c:pt idx="10">
                  <c:v>2141.02</c:v>
                </c:pt>
                <c:pt idx="11">
                  <c:v>2174.09</c:v>
                </c:pt>
                <c:pt idx="12">
                  <c:v>2207.25</c:v>
                </c:pt>
                <c:pt idx="13">
                  <c:v>2240.4899999999998</c:v>
                </c:pt>
                <c:pt idx="14">
                  <c:v>2265.4699999999998</c:v>
                </c:pt>
                <c:pt idx="15">
                  <c:v>2290.5</c:v>
                </c:pt>
                <c:pt idx="16">
                  <c:v>2323.94</c:v>
                </c:pt>
                <c:pt idx="17">
                  <c:v>2357.4499999999998</c:v>
                </c:pt>
                <c:pt idx="18">
                  <c:v>2391.0300000000002</c:v>
                </c:pt>
                <c:pt idx="19">
                  <c:v>2393.0500000000002</c:v>
                </c:pt>
                <c:pt idx="20">
                  <c:v>2395.0700000000002</c:v>
                </c:pt>
                <c:pt idx="21">
                  <c:v>2427.6799999999998</c:v>
                </c:pt>
                <c:pt idx="22">
                  <c:v>2460.36</c:v>
                </c:pt>
                <c:pt idx="23">
                  <c:v>2493.11</c:v>
                </c:pt>
                <c:pt idx="24">
                  <c:v>2493.12</c:v>
                </c:pt>
                <c:pt idx="25">
                  <c:v>2493.14</c:v>
                </c:pt>
                <c:pt idx="26" formatCode="_(* #,##0.00_);_(* \(#,##0.00\);_(* &quot;-&quot;??_);_(@_)">
                  <c:v>2530.16</c:v>
                </c:pt>
                <c:pt idx="27" formatCode="_(* #,##0.00_);_(* \(#,##0.00\);_(* &quot;-&quot;??_);_(@_)">
                  <c:v>2567.27</c:v>
                </c:pt>
                <c:pt idx="28" formatCode="_(* #,##0.00_);_(* \(#,##0.00\);_(* &quot;-&quot;??_);_(@_)">
                  <c:v>2604.44</c:v>
                </c:pt>
                <c:pt idx="29" formatCode="_(* #,##0.00_);_(* \(#,##0.00\);_(* &quot;-&quot;??_);_(@_)">
                  <c:v>2641.67</c:v>
                </c:pt>
                <c:pt idx="30" formatCode="_(* #,##0.00_);_(* \(#,##0.00\);_(* &quot;-&quot;??_);_(@_)">
                  <c:v>2679.33</c:v>
                </c:pt>
                <c:pt idx="31" formatCode="_(* #,##0.00_);_(* \(#,##0.00\);_(* &quot;-&quot;??_);_(@_)">
                  <c:v>2717.05</c:v>
                </c:pt>
                <c:pt idx="32" formatCode="_(* #,##0.00_);_(* \(#,##0.00\);_(* &quot;-&quot;??_);_(@_)">
                  <c:v>2754.84</c:v>
                </c:pt>
                <c:pt idx="33" formatCode="_(* #,##0.00_);_(* \(#,##0.00\);_(* &quot;-&quot;??_);_(@_)">
                  <c:v>2792.69</c:v>
                </c:pt>
                <c:pt idx="34" formatCode="_(* #,##0.00_);_(* \(#,##0.00\);_(* &quot;-&quot;??_);_(@_)">
                  <c:v>2830.6</c:v>
                </c:pt>
                <c:pt idx="35" formatCode="_(* #,##0.00_);_(* \(#,##0.00\);_(* &quot;-&quot;??_);_(@_)">
                  <c:v>2868.59</c:v>
                </c:pt>
                <c:pt idx="36" formatCode="_(* #,##0.00_);_(* \(#,##0.00\);_(* &quot;-&quot;??_);_(@_)">
                  <c:v>2906.64</c:v>
                </c:pt>
                <c:pt idx="37" formatCode="_(* #,##0.00_);_(* \(#,##0.00\);_(* &quot;-&quot;??_);_(@_)">
                  <c:v>2944.77</c:v>
                </c:pt>
                <c:pt idx="38" formatCode="_(* #,##0.00_);_(* \(#,##0.00\);_(* &quot;-&quot;??_);_(@_)">
                  <c:v>2982.97</c:v>
                </c:pt>
                <c:pt idx="39" formatCode="_(* #,##0.00_);_(* \(#,##0.00\);_(* &quot;-&quot;??_);_(@_)">
                  <c:v>3021.27</c:v>
                </c:pt>
                <c:pt idx="40" formatCode="_(* #,##0.00_);_(* \(#,##0.00\);_(* &quot;-&quot;??_);_(@_)">
                  <c:v>3059.66</c:v>
                </c:pt>
                <c:pt idx="41" formatCode="_(* #,##0.00_);_(* \(#,##0.00\);_(* &quot;-&quot;??_);_(@_)">
                  <c:v>3098.16</c:v>
                </c:pt>
                <c:pt idx="42" formatCode="_(* #,##0.00_);_(* \(#,##0.00\);_(* &quot;-&quot;??_);_(@_)">
                  <c:v>3108.77</c:v>
                </c:pt>
                <c:pt idx="43" formatCode="_(* #,##0.00_);_(* \(#,##0.00\);_(* &quot;-&quot;??_);_(@_)">
                  <c:v>3119.39</c:v>
                </c:pt>
                <c:pt idx="44" formatCode="_(* #,##0.00_);_(* \(#,##0.00\);_(* &quot;-&quot;??_);_(@_)">
                  <c:v>3120.44</c:v>
                </c:pt>
                <c:pt idx="45" formatCode="_(* #,##0.00_);_(* \(#,##0.00\);_(* &quot;-&quot;??_);_(@_)">
                  <c:v>3121.49</c:v>
                </c:pt>
                <c:pt idx="46" formatCode="_(* #,##0.00_);_(* \(#,##0.00\);_(* &quot;-&quot;??_);_(@_)">
                  <c:v>3134.54</c:v>
                </c:pt>
                <c:pt idx="47" formatCode="_(* #,##0.00_);_(* \(#,##0.00\);_(* &quot;-&quot;??_);_(@_)">
                  <c:v>3147.61</c:v>
                </c:pt>
                <c:pt idx="48" formatCode="_(* #,##0.00_);_(* \(#,##0.00\);_(* &quot;-&quot;??_);_(@_)">
                  <c:v>3154.82</c:v>
                </c:pt>
                <c:pt idx="49" formatCode="_(* #,##0.00_);_(* \(#,##0.00\);_(* &quot;-&quot;??_);_(@_)">
                  <c:v>3162.04</c:v>
                </c:pt>
                <c:pt idx="50" formatCode="_(* #,##0.00_);_(* \(#,##0.00\);_(* &quot;-&quot;??_);_(@_)">
                  <c:v>3174.34</c:v>
                </c:pt>
                <c:pt idx="51" formatCode="_(* #,##0.00_);_(* \(#,##0.00\);_(* &quot;-&quot;??_);_(@_)">
                  <c:v>3186.65</c:v>
                </c:pt>
                <c:pt idx="52" formatCode="_(* #,##0.00_);_(* \(#,##0.00\);_(* &quot;-&quot;??_);_(@_)">
                  <c:v>3193.85</c:v>
                </c:pt>
                <c:pt idx="53" formatCode="_(* #,##0.00_);_(* \(#,##0.00\);_(* &quot;-&quot;??_);_(@_)">
                  <c:v>3201.06</c:v>
                </c:pt>
                <c:pt idx="54" formatCode="_(* #,##0.00_);_(* \(#,##0.00\);_(* &quot;-&quot;??_);_(@_)">
                  <c:v>3205.62</c:v>
                </c:pt>
                <c:pt idx="55" formatCode="_(* #,##0.00_);_(* \(#,##0.00\);_(* &quot;-&quot;??_);_(@_)">
                  <c:v>3210.18</c:v>
                </c:pt>
                <c:pt idx="56" formatCode="_(* #,##0.00_);_(* \(#,##0.00\);_(* &quot;-&quot;??_);_(@_)">
                  <c:v>3213.95</c:v>
                </c:pt>
                <c:pt idx="57" formatCode="_(* #,##0.00_);_(* \(#,##0.00\);_(* &quot;-&quot;??_);_(@_)">
                  <c:v>3217.73</c:v>
                </c:pt>
                <c:pt idx="58" formatCode="_(* #,##0.00_);_(* \(#,##0.00\);_(* &quot;-&quot;??_);_(@_)">
                  <c:v>3221.18</c:v>
                </c:pt>
                <c:pt idx="59" formatCode="_(* #,##0.00_);_(* \(#,##0.00\);_(* &quot;-&quot;??_);_(@_)">
                  <c:v>3224.64</c:v>
                </c:pt>
                <c:pt idx="60" formatCode="_(* #,##0.00_);_(* \(#,##0.00\);_(* &quot;-&quot;??_);_(@_)">
                  <c:v>3228.67</c:v>
                </c:pt>
                <c:pt idx="61" formatCode="_(* #,##0.00_);_(* \(#,##0.00\);_(* &quot;-&quot;??_);_(@_)">
                  <c:v>3232.71</c:v>
                </c:pt>
                <c:pt idx="62" formatCode="_(* #,##0.00_);_(* \(#,##0.00\);_(* &quot;-&quot;??_);_(@_)">
                  <c:v>3240.96</c:v>
                </c:pt>
                <c:pt idx="63" formatCode="_(* #,##0.00_);_(* \(#,##0.00\);_(* &quot;-&quot;??_);_(@_)">
                  <c:v>3249.23</c:v>
                </c:pt>
                <c:pt idx="64" formatCode="_(* #,##0.00_);_(* \(#,##0.00\);_(* &quot;-&quot;??_);_(@_)">
                  <c:v>3255.97</c:v>
                </c:pt>
                <c:pt idx="65" formatCode="_(* #,##0.00_);_(* \(#,##0.00\);_(* &quot;-&quot;??_);_(@_)">
                  <c:v>3262.72</c:v>
                </c:pt>
              </c:numCache>
            </c:numRef>
          </c:xVal>
          <c:yVal>
            <c:numRef>
              <c:f>'Grad Match Results'!$C$13:$C$105</c:f>
              <c:numCache>
                <c:formatCode>General</c:formatCode>
                <c:ptCount val="93"/>
                <c:pt idx="0">
                  <c:v>0</c:v>
                </c:pt>
                <c:pt idx="1">
                  <c:v>71.427999999999997</c:v>
                </c:pt>
                <c:pt idx="2">
                  <c:v>142.85599999999999</c:v>
                </c:pt>
                <c:pt idx="3">
                  <c:v>214.28399999999999</c:v>
                </c:pt>
                <c:pt idx="4">
                  <c:v>285.71199999999999</c:v>
                </c:pt>
                <c:pt idx="5">
                  <c:v>357.14</c:v>
                </c:pt>
                <c:pt idx="6">
                  <c:v>428.56799999999998</c:v>
                </c:pt>
                <c:pt idx="7">
                  <c:v>499.99599999999998</c:v>
                </c:pt>
                <c:pt idx="8">
                  <c:v>566.66200000000003</c:v>
                </c:pt>
                <c:pt idx="9">
                  <c:v>633.32799999999997</c:v>
                </c:pt>
                <c:pt idx="10">
                  <c:v>699.99400000000003</c:v>
                </c:pt>
                <c:pt idx="11">
                  <c:v>766.66</c:v>
                </c:pt>
                <c:pt idx="12">
                  <c:v>833.32600000000002</c:v>
                </c:pt>
                <c:pt idx="13">
                  <c:v>899.99300000000005</c:v>
                </c:pt>
                <c:pt idx="14">
                  <c:v>949.99199999999996</c:v>
                </c:pt>
                <c:pt idx="15">
                  <c:v>999.99199999999996</c:v>
                </c:pt>
                <c:pt idx="16">
                  <c:v>1066.6600000000001</c:v>
                </c:pt>
                <c:pt idx="17">
                  <c:v>1133.32</c:v>
                </c:pt>
                <c:pt idx="18">
                  <c:v>1199.99</c:v>
                </c:pt>
                <c:pt idx="19">
                  <c:v>1203.99</c:v>
                </c:pt>
                <c:pt idx="20">
                  <c:v>1207.99</c:v>
                </c:pt>
                <c:pt idx="21">
                  <c:v>1271.94</c:v>
                </c:pt>
                <c:pt idx="22">
                  <c:v>1335.88</c:v>
                </c:pt>
                <c:pt idx="23">
                  <c:v>1399.83</c:v>
                </c:pt>
                <c:pt idx="24">
                  <c:v>1399.86</c:v>
                </c:pt>
                <c:pt idx="25">
                  <c:v>1399.89</c:v>
                </c:pt>
                <c:pt idx="26" formatCode="_(* #,##0.00_);_(* \(#,##0.00\);_(* &quot;-&quot;??_);_(@_)">
                  <c:v>1472.37</c:v>
                </c:pt>
                <c:pt idx="27" formatCode="_(* #,##0.00_);_(* \(#,##0.00\);_(* &quot;-&quot;??_);_(@_)">
                  <c:v>1544.86</c:v>
                </c:pt>
                <c:pt idx="28" formatCode="_(* #,##0.00_);_(* \(#,##0.00\);_(* &quot;-&quot;??_);_(@_)">
                  <c:v>1617.35</c:v>
                </c:pt>
                <c:pt idx="29" formatCode="_(* #,##0.00_);_(* \(#,##0.00\);_(* &quot;-&quot;??_);_(@_)">
                  <c:v>1689.83</c:v>
                </c:pt>
                <c:pt idx="30" formatCode="_(* #,##0.00_);_(* \(#,##0.00\);_(* &quot;-&quot;??_);_(@_)">
                  <c:v>1762.89</c:v>
                </c:pt>
                <c:pt idx="31" formatCode="_(* #,##0.00_);_(* \(#,##0.00\);_(* &quot;-&quot;??_);_(@_)">
                  <c:v>1835.95</c:v>
                </c:pt>
                <c:pt idx="32" formatCode="_(* #,##0.00_);_(* \(#,##0.00\);_(* &quot;-&quot;??_);_(@_)">
                  <c:v>1909.01</c:v>
                </c:pt>
                <c:pt idx="33" formatCode="_(* #,##0.00_);_(* \(#,##0.00\);_(* &quot;-&quot;??_);_(@_)">
                  <c:v>1982.08</c:v>
                </c:pt>
                <c:pt idx="34" formatCode="_(* #,##0.00_);_(* \(#,##0.00\);_(* &quot;-&quot;??_);_(@_)">
                  <c:v>2055.14</c:v>
                </c:pt>
                <c:pt idx="35" formatCode="_(* #,##0.00_);_(* \(#,##0.00\);_(* &quot;-&quot;??_);_(@_)">
                  <c:v>2128.1999999999998</c:v>
                </c:pt>
                <c:pt idx="36" formatCode="_(* #,##0.00_);_(* \(#,##0.00\);_(* &quot;-&quot;??_);_(@_)">
                  <c:v>2201.2600000000002</c:v>
                </c:pt>
                <c:pt idx="37" formatCode="_(* #,##0.00_);_(* \(#,##0.00\);_(* &quot;-&quot;??_);_(@_)">
                  <c:v>2274.3200000000002</c:v>
                </c:pt>
                <c:pt idx="38" formatCode="_(* #,##0.00_);_(* \(#,##0.00\);_(* &quot;-&quot;??_);_(@_)">
                  <c:v>2347.38</c:v>
                </c:pt>
                <c:pt idx="39" formatCode="_(* #,##0.00_);_(* \(#,##0.00\);_(* &quot;-&quot;??_);_(@_)">
                  <c:v>2420.4499999999998</c:v>
                </c:pt>
                <c:pt idx="40" formatCode="_(* #,##0.00_);_(* \(#,##0.00\);_(* &quot;-&quot;??_);_(@_)">
                  <c:v>2493.5100000000002</c:v>
                </c:pt>
                <c:pt idx="41" formatCode="_(* #,##0.00_);_(* \(#,##0.00\);_(* &quot;-&quot;??_);_(@_)">
                  <c:v>2566.5700000000002</c:v>
                </c:pt>
                <c:pt idx="42" formatCode="_(* #,##0.00_);_(* \(#,##0.00\);_(* &quot;-&quot;??_);_(@_)">
                  <c:v>2586.5500000000002</c:v>
                </c:pt>
                <c:pt idx="43" formatCode="_(* #,##0.00_);_(* \(#,##0.00\);_(* &quot;-&quot;??_);_(@_)">
                  <c:v>2606.54</c:v>
                </c:pt>
                <c:pt idx="44" formatCode="_(* #,##0.00_);_(* \(#,##0.00\);_(* &quot;-&quot;??_);_(@_)">
                  <c:v>2608.54</c:v>
                </c:pt>
                <c:pt idx="45" formatCode="_(* #,##0.00_);_(* \(#,##0.00\);_(* &quot;-&quot;??_);_(@_)">
                  <c:v>2610.54</c:v>
                </c:pt>
                <c:pt idx="46" formatCode="_(* #,##0.00_);_(* \(#,##0.00\);_(* &quot;-&quot;??_);_(@_)">
                  <c:v>2635.02</c:v>
                </c:pt>
                <c:pt idx="47" formatCode="_(* #,##0.00_);_(* \(#,##0.00\);_(* &quot;-&quot;??_);_(@_)">
                  <c:v>2659.49</c:v>
                </c:pt>
                <c:pt idx="48" formatCode="_(* #,##0.00_);_(* \(#,##0.00\);_(* &quot;-&quot;??_);_(@_)">
                  <c:v>2672.97</c:v>
                </c:pt>
                <c:pt idx="49" formatCode="_(* #,##0.00_);_(* \(#,##0.00\);_(* &quot;-&quot;??_);_(@_)">
                  <c:v>2686.46</c:v>
                </c:pt>
                <c:pt idx="50" formatCode="_(* #,##0.00_);_(* \(#,##0.00\);_(* &quot;-&quot;??_);_(@_)">
                  <c:v>2709.44</c:v>
                </c:pt>
                <c:pt idx="51" formatCode="_(* #,##0.00_);_(* \(#,##0.00\);_(* &quot;-&quot;??_);_(@_)">
                  <c:v>2732.42</c:v>
                </c:pt>
                <c:pt idx="52" formatCode="_(* #,##0.00_);_(* \(#,##0.00\);_(* &quot;-&quot;??_);_(@_)">
                  <c:v>2745.91</c:v>
                </c:pt>
                <c:pt idx="53" formatCode="_(* #,##0.00_);_(* \(#,##0.00\);_(* &quot;-&quot;??_);_(@_)">
                  <c:v>2759.41</c:v>
                </c:pt>
                <c:pt idx="54" formatCode="_(* #,##0.00_);_(* \(#,##0.00\);_(* &quot;-&quot;??_);_(@_)">
                  <c:v>2767.9</c:v>
                </c:pt>
                <c:pt idx="55" formatCode="_(* #,##0.00_);_(* \(#,##0.00\);_(* &quot;-&quot;??_);_(@_)">
                  <c:v>2776.4</c:v>
                </c:pt>
                <c:pt idx="56" formatCode="_(* #,##0.00_);_(* \(#,##0.00\);_(* &quot;-&quot;??_);_(@_)">
                  <c:v>2783.39</c:v>
                </c:pt>
                <c:pt idx="57" formatCode="_(* #,##0.00_);_(* \(#,##0.00\);_(* &quot;-&quot;??_);_(@_)">
                  <c:v>2790.38</c:v>
                </c:pt>
                <c:pt idx="58" formatCode="_(* #,##0.00_);_(* \(#,##0.00\);_(* &quot;-&quot;??_);_(@_)">
                  <c:v>2796.88</c:v>
                </c:pt>
                <c:pt idx="59" formatCode="_(* #,##0.00_);_(* \(#,##0.00\);_(* &quot;-&quot;??_);_(@_)">
                  <c:v>2803.38</c:v>
                </c:pt>
                <c:pt idx="60" formatCode="_(* #,##0.00_);_(* \(#,##0.00\);_(* &quot;-&quot;??_);_(@_)">
                  <c:v>2810.88</c:v>
                </c:pt>
                <c:pt idx="61" formatCode="_(* #,##0.00_);_(* \(#,##0.00\);_(* &quot;-&quot;??_);_(@_)">
                  <c:v>2818.37</c:v>
                </c:pt>
                <c:pt idx="62" formatCode="_(* #,##0.00_);_(* \(#,##0.00\);_(* &quot;-&quot;??_);_(@_)">
                  <c:v>2833.87</c:v>
                </c:pt>
                <c:pt idx="63" formatCode="_(* #,##0.00_);_(* \(#,##0.00\);_(* &quot;-&quot;??_);_(@_)">
                  <c:v>2849.37</c:v>
                </c:pt>
                <c:pt idx="64" formatCode="_(* #,##0.00_);_(* \(#,##0.00\);_(* &quot;-&quot;??_);_(@_)">
                  <c:v>2861.86</c:v>
                </c:pt>
                <c:pt idx="65" formatCode="_(* #,##0.00_);_(* \(#,##0.00\);_(* &quot;-&quot;??_);_(@_)">
                  <c:v>2874.36</c:v>
                </c:pt>
              </c:numCache>
            </c:numRef>
          </c:yVal>
          <c:smooth val="0"/>
          <c:extLst>
            <c:ext xmlns:c16="http://schemas.microsoft.com/office/drawing/2014/chart" uri="{C3380CC4-5D6E-409C-BE32-E72D297353CC}">
              <c16:uniqueId val="{00000002-CD0A-4D45-8A8F-B9DBCB73C9BA}"/>
            </c:ext>
          </c:extLst>
        </c:ser>
        <c:ser>
          <c:idx val="2"/>
          <c:order val="1"/>
          <c:tx>
            <c:v>Hagedorn and Brown</c:v>
          </c:tx>
          <c:spPr>
            <a:ln w="25400" cap="rnd">
              <a:noFill/>
              <a:round/>
            </a:ln>
            <a:effectLst/>
          </c:spPr>
          <c:marker>
            <c:symbol val="circle"/>
            <c:size val="5"/>
            <c:spPr>
              <a:solidFill>
                <a:schemeClr val="accent3"/>
              </a:solidFill>
              <a:ln w="9525">
                <a:solidFill>
                  <a:schemeClr val="accent3"/>
                </a:solidFill>
              </a:ln>
              <a:effectLst/>
            </c:spPr>
          </c:marker>
          <c:xVal>
            <c:numRef>
              <c:f>'Grad Match Results'!$M$13:$M$105</c:f>
              <c:numCache>
                <c:formatCode>General</c:formatCode>
                <c:ptCount val="93"/>
                <c:pt idx="0">
                  <c:v>1800</c:v>
                </c:pt>
                <c:pt idx="1">
                  <c:v>1837.33</c:v>
                </c:pt>
                <c:pt idx="2">
                  <c:v>1874.82</c:v>
                </c:pt>
                <c:pt idx="3">
                  <c:v>1912.48</c:v>
                </c:pt>
                <c:pt idx="4">
                  <c:v>1950.29</c:v>
                </c:pt>
                <c:pt idx="5">
                  <c:v>1988.25</c:v>
                </c:pt>
                <c:pt idx="6">
                  <c:v>2026.36</c:v>
                </c:pt>
                <c:pt idx="7">
                  <c:v>2064.62</c:v>
                </c:pt>
                <c:pt idx="8">
                  <c:v>2100.44</c:v>
                </c:pt>
                <c:pt idx="9">
                  <c:v>2136.38</c:v>
                </c:pt>
                <c:pt idx="10">
                  <c:v>2172.4299999999998</c:v>
                </c:pt>
                <c:pt idx="11">
                  <c:v>2208.59</c:v>
                </c:pt>
                <c:pt idx="12">
                  <c:v>2244.86</c:v>
                </c:pt>
                <c:pt idx="13">
                  <c:v>2281.23</c:v>
                </c:pt>
                <c:pt idx="14">
                  <c:v>2308.5700000000002</c:v>
                </c:pt>
                <c:pt idx="15">
                  <c:v>2335.9699999999998</c:v>
                </c:pt>
                <c:pt idx="16">
                  <c:v>2372.58</c:v>
                </c:pt>
                <c:pt idx="17">
                  <c:v>2409.29</c:v>
                </c:pt>
                <c:pt idx="18">
                  <c:v>2446.08</c:v>
                </c:pt>
                <c:pt idx="19">
                  <c:v>2448.29</c:v>
                </c:pt>
                <c:pt idx="20">
                  <c:v>2450.5</c:v>
                </c:pt>
                <c:pt idx="21">
                  <c:v>2485.89</c:v>
                </c:pt>
                <c:pt idx="22">
                  <c:v>2521.35</c:v>
                </c:pt>
                <c:pt idx="23">
                  <c:v>2556.89</c:v>
                </c:pt>
                <c:pt idx="24">
                  <c:v>2556.91</c:v>
                </c:pt>
                <c:pt idx="25">
                  <c:v>2556.92</c:v>
                </c:pt>
                <c:pt idx="26" formatCode="_(* #,##0.00_);_(* \(#,##0.00\);_(* &quot;-&quot;??_);_(@_)">
                  <c:v>2597.3000000000002</c:v>
                </c:pt>
                <c:pt idx="27" formatCode="_(* #,##0.00_);_(* \(#,##0.00\);_(* &quot;-&quot;??_);_(@_)">
                  <c:v>2637.77</c:v>
                </c:pt>
                <c:pt idx="28" formatCode="_(* #,##0.00_);_(* \(#,##0.00\);_(* &quot;-&quot;??_);_(@_)">
                  <c:v>2678.33</c:v>
                </c:pt>
                <c:pt idx="29" formatCode="_(* #,##0.00_);_(* \(#,##0.00\);_(* &quot;-&quot;??_);_(@_)">
                  <c:v>2718.97</c:v>
                </c:pt>
                <c:pt idx="30" formatCode="_(* #,##0.00_);_(* \(#,##0.00\);_(* &quot;-&quot;??_);_(@_)">
                  <c:v>2760.03</c:v>
                </c:pt>
                <c:pt idx="31" formatCode="_(* #,##0.00_);_(* \(#,##0.00\);_(* &quot;-&quot;??_);_(@_)">
                  <c:v>2801.18</c:v>
                </c:pt>
                <c:pt idx="32" formatCode="_(* #,##0.00_);_(* \(#,##0.00\);_(* &quot;-&quot;??_);_(@_)">
                  <c:v>2842.41</c:v>
                </c:pt>
                <c:pt idx="33" formatCode="_(* #,##0.00_);_(* \(#,##0.00\);_(* &quot;-&quot;??_);_(@_)">
                  <c:v>2883.73</c:v>
                </c:pt>
                <c:pt idx="34" formatCode="_(* #,##0.00_);_(* \(#,##0.00\);_(* &quot;-&quot;??_);_(@_)">
                  <c:v>2925.13</c:v>
                </c:pt>
                <c:pt idx="35" formatCode="_(* #,##0.00_);_(* \(#,##0.00\);_(* &quot;-&quot;??_);_(@_)">
                  <c:v>2966.63</c:v>
                </c:pt>
                <c:pt idx="36" formatCode="_(* #,##0.00_);_(* \(#,##0.00\);_(* &quot;-&quot;??_);_(@_)">
                  <c:v>3008.21</c:v>
                </c:pt>
                <c:pt idx="37" formatCode="_(* #,##0.00_);_(* \(#,##0.00\);_(* &quot;-&quot;??_);_(@_)">
                  <c:v>3049.89</c:v>
                </c:pt>
                <c:pt idx="38" formatCode="_(* #,##0.00_);_(* \(#,##0.00\);_(* &quot;-&quot;??_);_(@_)">
                  <c:v>3091.67</c:v>
                </c:pt>
                <c:pt idx="39" formatCode="_(* #,##0.00_);_(* \(#,##0.00\);_(* &quot;-&quot;??_);_(@_)">
                  <c:v>3133.56</c:v>
                </c:pt>
                <c:pt idx="40" formatCode="_(* #,##0.00_);_(* \(#,##0.00\);_(* &quot;-&quot;??_);_(@_)">
                  <c:v>3175.57</c:v>
                </c:pt>
                <c:pt idx="41" formatCode="_(* #,##0.00_);_(* \(#,##0.00\);_(* &quot;-&quot;??_);_(@_)">
                  <c:v>3217.71</c:v>
                </c:pt>
                <c:pt idx="42" formatCode="_(* #,##0.00_);_(* \(#,##0.00\);_(* &quot;-&quot;??_);_(@_)">
                  <c:v>3229.26</c:v>
                </c:pt>
                <c:pt idx="43" formatCode="_(* #,##0.00_);_(* \(#,##0.00\);_(* &quot;-&quot;??_);_(@_)">
                  <c:v>3240.83</c:v>
                </c:pt>
                <c:pt idx="44" formatCode="_(* #,##0.00_);_(* \(#,##0.00\);_(* &quot;-&quot;??_);_(@_)">
                  <c:v>3241.98</c:v>
                </c:pt>
                <c:pt idx="45" formatCode="_(* #,##0.00_);_(* \(#,##0.00\);_(* &quot;-&quot;??_);_(@_)">
                  <c:v>3243.14</c:v>
                </c:pt>
                <c:pt idx="46" formatCode="_(* #,##0.00_);_(* \(#,##0.00\);_(* &quot;-&quot;??_);_(@_)">
                  <c:v>3257.32</c:v>
                </c:pt>
                <c:pt idx="47" formatCode="_(* #,##0.00_);_(* \(#,##0.00\);_(* &quot;-&quot;??_);_(@_)">
                  <c:v>3271.53</c:v>
                </c:pt>
                <c:pt idx="48" formatCode="_(* #,##0.00_);_(* \(#,##0.00\);_(* &quot;-&quot;??_);_(@_)">
                  <c:v>3279.36</c:v>
                </c:pt>
                <c:pt idx="49" formatCode="_(* #,##0.00_);_(* \(#,##0.00\);_(* &quot;-&quot;??_);_(@_)">
                  <c:v>3287.2</c:v>
                </c:pt>
                <c:pt idx="50" formatCode="_(* #,##0.00_);_(* \(#,##0.00\);_(* &quot;-&quot;??_);_(@_)">
                  <c:v>3300.58</c:v>
                </c:pt>
                <c:pt idx="51" formatCode="_(* #,##0.00_);_(* \(#,##0.00\);_(* &quot;-&quot;??_);_(@_)">
                  <c:v>3313.98</c:v>
                </c:pt>
                <c:pt idx="52" formatCode="_(* #,##0.00_);_(* \(#,##0.00\);_(* &quot;-&quot;??_);_(@_)">
                  <c:v>3321.86</c:v>
                </c:pt>
                <c:pt idx="53" formatCode="_(* #,##0.00_);_(* \(#,##0.00\);_(* &quot;-&quot;??_);_(@_)">
                  <c:v>3329.75</c:v>
                </c:pt>
                <c:pt idx="54" formatCode="_(* #,##0.00_);_(* \(#,##0.00\);_(* &quot;-&quot;??_);_(@_)">
                  <c:v>3334.71</c:v>
                </c:pt>
                <c:pt idx="55" formatCode="_(* #,##0.00_);_(* \(#,##0.00\);_(* &quot;-&quot;??_);_(@_)">
                  <c:v>3339.69</c:v>
                </c:pt>
                <c:pt idx="56" formatCode="_(* #,##0.00_);_(* \(#,##0.00\);_(* &quot;-&quot;??_);_(@_)">
                  <c:v>3343.78</c:v>
                </c:pt>
                <c:pt idx="57" formatCode="_(* #,##0.00_);_(* \(#,##0.00\);_(* &quot;-&quot;??_);_(@_)">
                  <c:v>3347.88</c:v>
                </c:pt>
                <c:pt idx="58" formatCode="_(* #,##0.00_);_(* \(#,##0.00\);_(* &quot;-&quot;??_);_(@_)">
                  <c:v>3351.69</c:v>
                </c:pt>
                <c:pt idx="59" formatCode="_(* #,##0.00_);_(* \(#,##0.00\);_(* &quot;-&quot;??_);_(@_)">
                  <c:v>3355.5</c:v>
                </c:pt>
                <c:pt idx="60" formatCode="_(* #,##0.00_);_(* \(#,##0.00\);_(* &quot;-&quot;??_);_(@_)">
                  <c:v>3359.9</c:v>
                </c:pt>
                <c:pt idx="61" formatCode="_(* #,##0.00_);_(* \(#,##0.00\);_(* &quot;-&quot;??_);_(@_)">
                  <c:v>3364.3</c:v>
                </c:pt>
                <c:pt idx="62" formatCode="_(* #,##0.00_);_(* \(#,##0.00\);_(* &quot;-&quot;??_);_(@_)">
                  <c:v>3373.42</c:v>
                </c:pt>
                <c:pt idx="63" formatCode="_(* #,##0.00_);_(* \(#,##0.00\);_(* &quot;-&quot;??_);_(@_)">
                  <c:v>3382.54</c:v>
                </c:pt>
                <c:pt idx="64" formatCode="_(* #,##0.00_);_(* \(#,##0.00\);_(* &quot;-&quot;??_);_(@_)">
                  <c:v>3389.91</c:v>
                </c:pt>
                <c:pt idx="65" formatCode="_(* #,##0.00_);_(* \(#,##0.00\);_(* &quot;-&quot;??_);_(@_)">
                  <c:v>3397.29</c:v>
                </c:pt>
              </c:numCache>
            </c:numRef>
          </c:xVal>
          <c:yVal>
            <c:numRef>
              <c:f>'Grad Match Results'!$L$13:$L$105</c:f>
              <c:numCache>
                <c:formatCode>General</c:formatCode>
                <c:ptCount val="93"/>
                <c:pt idx="0">
                  <c:v>0</c:v>
                </c:pt>
                <c:pt idx="1">
                  <c:v>71.427999999999997</c:v>
                </c:pt>
                <c:pt idx="2">
                  <c:v>142.85599999999999</c:v>
                </c:pt>
                <c:pt idx="3">
                  <c:v>214.28399999999999</c:v>
                </c:pt>
                <c:pt idx="4">
                  <c:v>285.71199999999999</c:v>
                </c:pt>
                <c:pt idx="5">
                  <c:v>357.14</c:v>
                </c:pt>
                <c:pt idx="6">
                  <c:v>428.56799999999998</c:v>
                </c:pt>
                <c:pt idx="7">
                  <c:v>499.99599999999998</c:v>
                </c:pt>
                <c:pt idx="8">
                  <c:v>566.66200000000003</c:v>
                </c:pt>
                <c:pt idx="9">
                  <c:v>633.32799999999997</c:v>
                </c:pt>
                <c:pt idx="10">
                  <c:v>699.99400000000003</c:v>
                </c:pt>
                <c:pt idx="11">
                  <c:v>766.66</c:v>
                </c:pt>
                <c:pt idx="12">
                  <c:v>833.32600000000002</c:v>
                </c:pt>
                <c:pt idx="13">
                  <c:v>899.99300000000005</c:v>
                </c:pt>
                <c:pt idx="14">
                  <c:v>949.99199999999996</c:v>
                </c:pt>
                <c:pt idx="15">
                  <c:v>999.99199999999996</c:v>
                </c:pt>
                <c:pt idx="16">
                  <c:v>1066.6600000000001</c:v>
                </c:pt>
                <c:pt idx="17">
                  <c:v>1133.32</c:v>
                </c:pt>
                <c:pt idx="18">
                  <c:v>1199.99</c:v>
                </c:pt>
                <c:pt idx="19">
                  <c:v>1203.99</c:v>
                </c:pt>
                <c:pt idx="20">
                  <c:v>1207.99</c:v>
                </c:pt>
                <c:pt idx="21">
                  <c:v>1271.94</c:v>
                </c:pt>
                <c:pt idx="22">
                  <c:v>1335.88</c:v>
                </c:pt>
                <c:pt idx="23">
                  <c:v>1399.83</c:v>
                </c:pt>
                <c:pt idx="24">
                  <c:v>1399.86</c:v>
                </c:pt>
                <c:pt idx="25">
                  <c:v>1399.89</c:v>
                </c:pt>
                <c:pt idx="26" formatCode="_(* #,##0.00_);_(* \(#,##0.00\);_(* &quot;-&quot;??_);_(@_)">
                  <c:v>1472.37</c:v>
                </c:pt>
                <c:pt idx="27" formatCode="_(* #,##0.00_);_(* \(#,##0.00\);_(* &quot;-&quot;??_);_(@_)">
                  <c:v>1544.86</c:v>
                </c:pt>
                <c:pt idx="28" formatCode="_(* #,##0.00_);_(* \(#,##0.00\);_(* &quot;-&quot;??_);_(@_)">
                  <c:v>1617.35</c:v>
                </c:pt>
                <c:pt idx="29" formatCode="_(* #,##0.00_);_(* \(#,##0.00\);_(* &quot;-&quot;??_);_(@_)">
                  <c:v>1689.83</c:v>
                </c:pt>
                <c:pt idx="30" formatCode="_(* #,##0.00_);_(* \(#,##0.00\);_(* &quot;-&quot;??_);_(@_)">
                  <c:v>1762.89</c:v>
                </c:pt>
                <c:pt idx="31" formatCode="_(* #,##0.00_);_(* \(#,##0.00\);_(* &quot;-&quot;??_);_(@_)">
                  <c:v>1835.95</c:v>
                </c:pt>
                <c:pt idx="32" formatCode="_(* #,##0.00_);_(* \(#,##0.00\);_(* &quot;-&quot;??_);_(@_)">
                  <c:v>1909.01</c:v>
                </c:pt>
                <c:pt idx="33" formatCode="_(* #,##0.00_);_(* \(#,##0.00\);_(* &quot;-&quot;??_);_(@_)">
                  <c:v>1982.08</c:v>
                </c:pt>
                <c:pt idx="34" formatCode="_(* #,##0.00_);_(* \(#,##0.00\);_(* &quot;-&quot;??_);_(@_)">
                  <c:v>2055.14</c:v>
                </c:pt>
                <c:pt idx="35" formatCode="_(* #,##0.00_);_(* \(#,##0.00\);_(* &quot;-&quot;??_);_(@_)">
                  <c:v>2128.1999999999998</c:v>
                </c:pt>
                <c:pt idx="36" formatCode="_(* #,##0.00_);_(* \(#,##0.00\);_(* &quot;-&quot;??_);_(@_)">
                  <c:v>2201.2600000000002</c:v>
                </c:pt>
                <c:pt idx="37" formatCode="_(* #,##0.00_);_(* \(#,##0.00\);_(* &quot;-&quot;??_);_(@_)">
                  <c:v>2274.3200000000002</c:v>
                </c:pt>
                <c:pt idx="38" formatCode="_(* #,##0.00_);_(* \(#,##0.00\);_(* &quot;-&quot;??_);_(@_)">
                  <c:v>2347.38</c:v>
                </c:pt>
                <c:pt idx="39" formatCode="_(* #,##0.00_);_(* \(#,##0.00\);_(* &quot;-&quot;??_);_(@_)">
                  <c:v>2420.4499999999998</c:v>
                </c:pt>
                <c:pt idx="40" formatCode="_(* #,##0.00_);_(* \(#,##0.00\);_(* &quot;-&quot;??_);_(@_)">
                  <c:v>2493.5100000000002</c:v>
                </c:pt>
                <c:pt idx="41" formatCode="_(* #,##0.00_);_(* \(#,##0.00\);_(* &quot;-&quot;??_);_(@_)">
                  <c:v>2566.5700000000002</c:v>
                </c:pt>
                <c:pt idx="42" formatCode="_(* #,##0.00_);_(* \(#,##0.00\);_(* &quot;-&quot;??_);_(@_)">
                  <c:v>2586.5500000000002</c:v>
                </c:pt>
                <c:pt idx="43" formatCode="_(* #,##0.00_);_(* \(#,##0.00\);_(* &quot;-&quot;??_);_(@_)">
                  <c:v>2606.54</c:v>
                </c:pt>
                <c:pt idx="44" formatCode="_(* #,##0.00_);_(* \(#,##0.00\);_(* &quot;-&quot;??_);_(@_)">
                  <c:v>2608.54</c:v>
                </c:pt>
                <c:pt idx="45" formatCode="_(* #,##0.00_);_(* \(#,##0.00\);_(* &quot;-&quot;??_);_(@_)">
                  <c:v>2610.54</c:v>
                </c:pt>
                <c:pt idx="46" formatCode="_(* #,##0.00_);_(* \(#,##0.00\);_(* &quot;-&quot;??_);_(@_)">
                  <c:v>2635.02</c:v>
                </c:pt>
                <c:pt idx="47" formatCode="_(* #,##0.00_);_(* \(#,##0.00\);_(* &quot;-&quot;??_);_(@_)">
                  <c:v>2659.49</c:v>
                </c:pt>
                <c:pt idx="48" formatCode="_(* #,##0.00_);_(* \(#,##0.00\);_(* &quot;-&quot;??_);_(@_)">
                  <c:v>2672.97</c:v>
                </c:pt>
                <c:pt idx="49" formatCode="_(* #,##0.00_);_(* \(#,##0.00\);_(* &quot;-&quot;??_);_(@_)">
                  <c:v>2686.46</c:v>
                </c:pt>
                <c:pt idx="50" formatCode="_(* #,##0.00_);_(* \(#,##0.00\);_(* &quot;-&quot;??_);_(@_)">
                  <c:v>2709.44</c:v>
                </c:pt>
                <c:pt idx="51" formatCode="_(* #,##0.00_);_(* \(#,##0.00\);_(* &quot;-&quot;??_);_(@_)">
                  <c:v>2732.42</c:v>
                </c:pt>
                <c:pt idx="52" formatCode="_(* #,##0.00_);_(* \(#,##0.00\);_(* &quot;-&quot;??_);_(@_)">
                  <c:v>2745.91</c:v>
                </c:pt>
                <c:pt idx="53" formatCode="_(* #,##0.00_);_(* \(#,##0.00\);_(* &quot;-&quot;??_);_(@_)">
                  <c:v>2759.41</c:v>
                </c:pt>
                <c:pt idx="54" formatCode="_(* #,##0.00_);_(* \(#,##0.00\);_(* &quot;-&quot;??_);_(@_)">
                  <c:v>2767.9</c:v>
                </c:pt>
                <c:pt idx="55" formatCode="_(* #,##0.00_);_(* \(#,##0.00\);_(* &quot;-&quot;??_);_(@_)">
                  <c:v>2776.4</c:v>
                </c:pt>
                <c:pt idx="56" formatCode="_(* #,##0.00_);_(* \(#,##0.00\);_(* &quot;-&quot;??_);_(@_)">
                  <c:v>2783.39</c:v>
                </c:pt>
                <c:pt idx="57" formatCode="_(* #,##0.00_);_(* \(#,##0.00\);_(* &quot;-&quot;??_);_(@_)">
                  <c:v>2790.38</c:v>
                </c:pt>
                <c:pt idx="58" formatCode="_(* #,##0.00_);_(* \(#,##0.00\);_(* &quot;-&quot;??_);_(@_)">
                  <c:v>2796.88</c:v>
                </c:pt>
                <c:pt idx="59" formatCode="_(* #,##0.00_);_(* \(#,##0.00\);_(* &quot;-&quot;??_);_(@_)">
                  <c:v>2803.38</c:v>
                </c:pt>
                <c:pt idx="60" formatCode="_(* #,##0.00_);_(* \(#,##0.00\);_(* &quot;-&quot;??_);_(@_)">
                  <c:v>2810.88</c:v>
                </c:pt>
                <c:pt idx="61" formatCode="_(* #,##0.00_);_(* \(#,##0.00\);_(* &quot;-&quot;??_);_(@_)">
                  <c:v>2818.37</c:v>
                </c:pt>
                <c:pt idx="62" formatCode="_(* #,##0.00_);_(* \(#,##0.00\);_(* &quot;-&quot;??_);_(@_)">
                  <c:v>2833.87</c:v>
                </c:pt>
                <c:pt idx="63" formatCode="_(* #,##0.00_);_(* \(#,##0.00\);_(* &quot;-&quot;??_);_(@_)">
                  <c:v>2849.37</c:v>
                </c:pt>
                <c:pt idx="64" formatCode="_(* #,##0.00_);_(* \(#,##0.00\);_(* &quot;-&quot;??_);_(@_)">
                  <c:v>2861.86</c:v>
                </c:pt>
                <c:pt idx="65" formatCode="_(* #,##0.00_);_(* \(#,##0.00\);_(* &quot;-&quot;??_);_(@_)">
                  <c:v>2874.36</c:v>
                </c:pt>
              </c:numCache>
            </c:numRef>
          </c:yVal>
          <c:smooth val="0"/>
          <c:extLst>
            <c:ext xmlns:c16="http://schemas.microsoft.com/office/drawing/2014/chart" uri="{C3380CC4-5D6E-409C-BE32-E72D297353CC}">
              <c16:uniqueId val="{00000003-CD0A-4D45-8A8F-B9DBCB73C9BA}"/>
            </c:ext>
          </c:extLst>
        </c:ser>
        <c:ser>
          <c:idx val="3"/>
          <c:order val="2"/>
          <c:tx>
            <c:v>Gray</c:v>
          </c:tx>
          <c:spPr>
            <a:ln w="25400" cap="rnd">
              <a:noFill/>
              <a:round/>
            </a:ln>
            <a:effectLst/>
          </c:spPr>
          <c:marker>
            <c:symbol val="circle"/>
            <c:size val="5"/>
            <c:spPr>
              <a:solidFill>
                <a:schemeClr val="accent4"/>
              </a:solidFill>
              <a:ln w="9525">
                <a:solidFill>
                  <a:schemeClr val="accent4"/>
                </a:solidFill>
              </a:ln>
              <a:effectLst/>
            </c:spPr>
          </c:marker>
          <c:xVal>
            <c:numRef>
              <c:f>'Grad Match Results'!$A$1</c:f>
              <c:numCache>
                <c:formatCode>General</c:formatCode>
                <c:ptCount val="1"/>
              </c:numCache>
            </c:numRef>
          </c:xVal>
          <c:yVal>
            <c:numRef>
              <c:f>'Grad Match Results'!$A$1</c:f>
              <c:numCache>
                <c:formatCode>General</c:formatCode>
                <c:ptCount val="1"/>
              </c:numCache>
            </c:numRef>
          </c:yVal>
          <c:smooth val="0"/>
          <c:extLst>
            <c:ext xmlns:c16="http://schemas.microsoft.com/office/drawing/2014/chart" uri="{C3380CC4-5D6E-409C-BE32-E72D297353CC}">
              <c16:uniqueId val="{00000004-CD0A-4D45-8A8F-B9DBCB73C9BA}"/>
            </c:ext>
          </c:extLst>
        </c:ser>
        <c:ser>
          <c:idx val="4"/>
          <c:order val="3"/>
          <c:tx>
            <c:v>Mukerjee Brill</c:v>
          </c:tx>
          <c:spPr>
            <a:ln w="25400" cap="rnd">
              <a:noFill/>
              <a:round/>
            </a:ln>
            <a:effectLst/>
          </c:spPr>
          <c:marker>
            <c:symbol val="circle"/>
            <c:size val="5"/>
            <c:spPr>
              <a:solidFill>
                <a:schemeClr val="accent5"/>
              </a:solidFill>
              <a:ln w="9525">
                <a:solidFill>
                  <a:schemeClr val="accent5"/>
                </a:solidFill>
              </a:ln>
              <a:effectLst/>
            </c:spPr>
          </c:marker>
          <c:xVal>
            <c:numRef>
              <c:f>'Grad Match Results'!$A$1</c:f>
              <c:numCache>
                <c:formatCode>General</c:formatCode>
                <c:ptCount val="1"/>
              </c:numCache>
            </c:numRef>
          </c:xVal>
          <c:yVal>
            <c:numRef>
              <c:f>'Grad Match Results'!$A$1</c:f>
              <c:numCache>
                <c:formatCode>General</c:formatCode>
                <c:ptCount val="1"/>
              </c:numCache>
            </c:numRef>
          </c:yVal>
          <c:smooth val="0"/>
          <c:extLst>
            <c:ext xmlns:c16="http://schemas.microsoft.com/office/drawing/2014/chart" uri="{C3380CC4-5D6E-409C-BE32-E72D297353CC}">
              <c16:uniqueId val="{00000005-CD0A-4D45-8A8F-B9DBCB73C9BA}"/>
            </c:ext>
          </c:extLst>
        </c:ser>
        <c:ser>
          <c:idx val="5"/>
          <c:order val="4"/>
          <c:tx>
            <c:v>Beggs and Brill</c:v>
          </c:tx>
          <c:spPr>
            <a:ln w="25400" cap="rnd">
              <a:noFill/>
              <a:round/>
            </a:ln>
            <a:effectLst/>
          </c:spPr>
          <c:marker>
            <c:symbol val="circle"/>
            <c:size val="5"/>
            <c:spPr>
              <a:solidFill>
                <a:schemeClr val="accent6"/>
              </a:solidFill>
              <a:ln w="9525">
                <a:solidFill>
                  <a:schemeClr val="accent6"/>
                </a:solidFill>
              </a:ln>
              <a:effectLst/>
            </c:spPr>
          </c:marker>
          <c:xVal>
            <c:numRef>
              <c:f>'Grad Match Results'!$AN$13:$AN$105</c:f>
              <c:numCache>
                <c:formatCode>General</c:formatCode>
                <c:ptCount val="93"/>
              </c:numCache>
            </c:numRef>
          </c:xVal>
          <c:yVal>
            <c:numRef>
              <c:f>'Grad Match Results'!$AM$13:$AM$105</c:f>
              <c:numCache>
                <c:formatCode>General</c:formatCode>
                <c:ptCount val="93"/>
              </c:numCache>
            </c:numRef>
          </c:yVal>
          <c:smooth val="0"/>
          <c:extLst>
            <c:ext xmlns:c16="http://schemas.microsoft.com/office/drawing/2014/chart" uri="{C3380CC4-5D6E-409C-BE32-E72D297353CC}">
              <c16:uniqueId val="{00000006-CD0A-4D45-8A8F-B9DBCB73C9BA}"/>
            </c:ext>
          </c:extLst>
        </c:ser>
        <c:ser>
          <c:idx val="6"/>
          <c:order val="5"/>
          <c:tx>
            <c:v>Petroleum Experts</c:v>
          </c:tx>
          <c:spPr>
            <a:ln w="25400" cap="rnd">
              <a:noFill/>
              <a:round/>
            </a:ln>
            <a:effectLst/>
          </c:spPr>
          <c:marker>
            <c:symbol val="circle"/>
            <c:size val="5"/>
            <c:spPr>
              <a:solidFill>
                <a:schemeClr val="accent1">
                  <a:lumMod val="60000"/>
                </a:schemeClr>
              </a:solidFill>
              <a:ln w="9525">
                <a:solidFill>
                  <a:schemeClr val="accent1">
                    <a:lumMod val="60000"/>
                  </a:schemeClr>
                </a:solidFill>
              </a:ln>
              <a:effectLst/>
            </c:spPr>
          </c:marker>
          <c:xVal>
            <c:numRef>
              <c:f>'Grad Match Results'!$A$1</c:f>
              <c:numCache>
                <c:formatCode>General</c:formatCode>
                <c:ptCount val="1"/>
              </c:numCache>
            </c:numRef>
          </c:xVal>
          <c:yVal>
            <c:numRef>
              <c:f>'Grad Match Results'!$A$1</c:f>
              <c:numCache>
                <c:formatCode>General</c:formatCode>
                <c:ptCount val="1"/>
              </c:numCache>
            </c:numRef>
          </c:yVal>
          <c:smooth val="0"/>
          <c:extLst>
            <c:ext xmlns:c16="http://schemas.microsoft.com/office/drawing/2014/chart" uri="{C3380CC4-5D6E-409C-BE32-E72D297353CC}">
              <c16:uniqueId val="{00000007-CD0A-4D45-8A8F-B9DBCB73C9BA}"/>
            </c:ext>
          </c:extLst>
        </c:ser>
        <c:ser>
          <c:idx val="7"/>
          <c:order val="6"/>
          <c:tx>
            <c:v>Orkiszewski</c:v>
          </c:tx>
          <c:spPr>
            <a:ln w="25400" cap="rnd">
              <a:noFill/>
              <a:round/>
            </a:ln>
            <a:effectLst/>
          </c:spPr>
          <c:marker>
            <c:symbol val="circle"/>
            <c:size val="5"/>
            <c:spPr>
              <a:solidFill>
                <a:schemeClr val="accent2">
                  <a:lumMod val="60000"/>
                </a:schemeClr>
              </a:solidFill>
              <a:ln w="9525">
                <a:solidFill>
                  <a:schemeClr val="accent2">
                    <a:lumMod val="60000"/>
                  </a:schemeClr>
                </a:solidFill>
              </a:ln>
              <a:effectLst/>
            </c:spPr>
          </c:marker>
          <c:xVal>
            <c:numRef>
              <c:f>'Grad Match Results'!$BF$13:$BF$105</c:f>
              <c:numCache>
                <c:formatCode>General</c:formatCode>
                <c:ptCount val="93"/>
              </c:numCache>
            </c:numRef>
          </c:xVal>
          <c:yVal>
            <c:numRef>
              <c:f>'Grad Match Results'!$BE$13:$BE$105</c:f>
              <c:numCache>
                <c:formatCode>General</c:formatCode>
                <c:ptCount val="93"/>
              </c:numCache>
            </c:numRef>
          </c:yVal>
          <c:smooth val="0"/>
          <c:extLst>
            <c:ext xmlns:c16="http://schemas.microsoft.com/office/drawing/2014/chart" uri="{C3380CC4-5D6E-409C-BE32-E72D297353CC}">
              <c16:uniqueId val="{00000008-CD0A-4D45-8A8F-B9DBCB73C9BA}"/>
            </c:ext>
          </c:extLst>
        </c:ser>
        <c:ser>
          <c:idx val="8"/>
          <c:order val="7"/>
          <c:tx>
            <c:v>Petroleum Experts 2</c:v>
          </c:tx>
          <c:spPr>
            <a:ln w="25400" cap="rnd">
              <a:noFill/>
              <a:round/>
            </a:ln>
            <a:effectLst/>
          </c:spPr>
          <c:marker>
            <c:symbol val="circle"/>
            <c:size val="5"/>
            <c:spPr>
              <a:solidFill>
                <a:schemeClr val="accent3">
                  <a:lumMod val="60000"/>
                </a:schemeClr>
              </a:solidFill>
              <a:ln w="9525">
                <a:solidFill>
                  <a:schemeClr val="accent3">
                    <a:lumMod val="60000"/>
                  </a:schemeClr>
                </a:solidFill>
              </a:ln>
              <a:effectLst/>
            </c:spPr>
          </c:marker>
          <c:xVal>
            <c:numRef>
              <c:f>'Grad Match Results'!$BO$13:$BO$105</c:f>
              <c:numCache>
                <c:formatCode>General</c:formatCode>
                <c:ptCount val="93"/>
              </c:numCache>
            </c:numRef>
          </c:xVal>
          <c:yVal>
            <c:numRef>
              <c:f>'Grad Match Results'!$BN$13:$BN$105</c:f>
              <c:numCache>
                <c:formatCode>General</c:formatCode>
                <c:ptCount val="93"/>
              </c:numCache>
            </c:numRef>
          </c:yVal>
          <c:smooth val="0"/>
          <c:extLst>
            <c:ext xmlns:c16="http://schemas.microsoft.com/office/drawing/2014/chart" uri="{C3380CC4-5D6E-409C-BE32-E72D297353CC}">
              <c16:uniqueId val="{00000009-CD0A-4D45-8A8F-B9DBCB73C9BA}"/>
            </c:ext>
          </c:extLst>
        </c:ser>
        <c:ser>
          <c:idx val="9"/>
          <c:order val="8"/>
          <c:tx>
            <c:v>Duns and Ros Original</c:v>
          </c:tx>
          <c:spPr>
            <a:ln w="25400" cap="rnd">
              <a:noFill/>
              <a:round/>
            </a:ln>
            <a:effectLst/>
          </c:spPr>
          <c:marker>
            <c:symbol val="circle"/>
            <c:size val="5"/>
            <c:spPr>
              <a:solidFill>
                <a:schemeClr val="accent4">
                  <a:lumMod val="60000"/>
                </a:schemeClr>
              </a:solidFill>
              <a:ln w="9525">
                <a:solidFill>
                  <a:schemeClr val="accent4">
                    <a:lumMod val="60000"/>
                  </a:schemeClr>
                </a:solidFill>
              </a:ln>
              <a:effectLst/>
            </c:spPr>
          </c:marker>
          <c:xVal>
            <c:numRef>
              <c:f>'Grad Match Results'!$A$1</c:f>
              <c:numCache>
                <c:formatCode>General</c:formatCode>
                <c:ptCount val="1"/>
              </c:numCache>
            </c:numRef>
          </c:xVal>
          <c:yVal>
            <c:numRef>
              <c:f>'Grad Match Results'!$A$1</c:f>
              <c:numCache>
                <c:formatCode>General</c:formatCode>
                <c:ptCount val="1"/>
              </c:numCache>
            </c:numRef>
          </c:yVal>
          <c:smooth val="0"/>
          <c:extLst>
            <c:ext xmlns:c16="http://schemas.microsoft.com/office/drawing/2014/chart" uri="{C3380CC4-5D6E-409C-BE32-E72D297353CC}">
              <c16:uniqueId val="{0000000A-CD0A-4D45-8A8F-B9DBCB73C9BA}"/>
            </c:ext>
          </c:extLst>
        </c:ser>
        <c:ser>
          <c:idx val="10"/>
          <c:order val="9"/>
          <c:tx>
            <c:v>Petroleum Experts 3</c:v>
          </c:tx>
          <c:spPr>
            <a:ln w="25400" cap="rnd">
              <a:noFill/>
              <a:round/>
            </a:ln>
            <a:effectLst/>
          </c:spPr>
          <c:marker>
            <c:symbol val="circle"/>
            <c:size val="5"/>
            <c:spPr>
              <a:solidFill>
                <a:schemeClr val="accent5">
                  <a:lumMod val="60000"/>
                </a:schemeClr>
              </a:solidFill>
              <a:ln w="9525">
                <a:solidFill>
                  <a:schemeClr val="accent5">
                    <a:lumMod val="60000"/>
                  </a:schemeClr>
                </a:solidFill>
              </a:ln>
              <a:effectLst/>
            </c:spPr>
          </c:marker>
          <c:xVal>
            <c:numRef>
              <c:f>'Grad Match Results'!$A$1</c:f>
              <c:numCache>
                <c:formatCode>General</c:formatCode>
                <c:ptCount val="1"/>
              </c:numCache>
            </c:numRef>
          </c:xVal>
          <c:yVal>
            <c:numRef>
              <c:f>'Grad Match Results'!$A$1</c:f>
              <c:numCache>
                <c:formatCode>General</c:formatCode>
                <c:ptCount val="1"/>
              </c:numCache>
            </c:numRef>
          </c:yVal>
          <c:smooth val="0"/>
          <c:extLst>
            <c:ext xmlns:c16="http://schemas.microsoft.com/office/drawing/2014/chart" uri="{C3380CC4-5D6E-409C-BE32-E72D297353CC}">
              <c16:uniqueId val="{0000000B-CD0A-4D45-8A8F-B9DBCB73C9BA}"/>
            </c:ext>
          </c:extLst>
        </c:ser>
        <c:ser>
          <c:idx val="11"/>
          <c:order val="10"/>
          <c:tx>
            <c:v>GRE (modified by PE)</c:v>
          </c:tx>
          <c:spPr>
            <a:ln w="25400" cap="rnd">
              <a:noFill/>
              <a:round/>
            </a:ln>
            <a:effectLst/>
          </c:spPr>
          <c:marker>
            <c:symbol val="circle"/>
            <c:size val="5"/>
            <c:spPr>
              <a:solidFill>
                <a:schemeClr val="accent6">
                  <a:lumMod val="60000"/>
                </a:schemeClr>
              </a:solidFill>
              <a:ln w="9525">
                <a:solidFill>
                  <a:schemeClr val="accent6">
                    <a:lumMod val="60000"/>
                  </a:schemeClr>
                </a:solidFill>
              </a:ln>
              <a:effectLst/>
            </c:spPr>
          </c:marker>
          <c:xVal>
            <c:numRef>
              <c:f>'Grad Match Results'!$A$1</c:f>
              <c:numCache>
                <c:formatCode>General</c:formatCode>
                <c:ptCount val="1"/>
              </c:numCache>
            </c:numRef>
          </c:xVal>
          <c:yVal>
            <c:numRef>
              <c:f>'Grad Match Results'!$A$1</c:f>
              <c:numCache>
                <c:formatCode>General</c:formatCode>
                <c:ptCount val="1"/>
              </c:numCache>
            </c:numRef>
          </c:yVal>
          <c:smooth val="0"/>
          <c:extLst>
            <c:ext xmlns:c16="http://schemas.microsoft.com/office/drawing/2014/chart" uri="{C3380CC4-5D6E-409C-BE32-E72D297353CC}">
              <c16:uniqueId val="{0000000C-CD0A-4D45-8A8F-B9DBCB73C9BA}"/>
            </c:ext>
          </c:extLst>
        </c:ser>
        <c:ser>
          <c:idx val="12"/>
          <c:order val="11"/>
          <c:tx>
            <c:v>Petroleum Experts 4</c:v>
          </c:tx>
          <c:spPr>
            <a:ln w="25400" cap="rnd">
              <a:no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xVal>
            <c:numRef>
              <c:f>'Grad Match Results'!$A$1</c:f>
              <c:numCache>
                <c:formatCode>General</c:formatCode>
                <c:ptCount val="1"/>
              </c:numCache>
            </c:numRef>
          </c:xVal>
          <c:yVal>
            <c:numRef>
              <c:f>'Grad Match Results'!$A$1</c:f>
              <c:numCache>
                <c:formatCode>General</c:formatCode>
                <c:ptCount val="1"/>
              </c:numCache>
            </c:numRef>
          </c:yVal>
          <c:smooth val="0"/>
          <c:extLst>
            <c:ext xmlns:c16="http://schemas.microsoft.com/office/drawing/2014/chart" uri="{C3380CC4-5D6E-409C-BE32-E72D297353CC}">
              <c16:uniqueId val="{0000000D-CD0A-4D45-8A8F-B9DBCB73C9BA}"/>
            </c:ext>
          </c:extLst>
        </c:ser>
        <c:ser>
          <c:idx val="13"/>
          <c:order val="12"/>
          <c:tx>
            <c:v>Hydro-3P</c:v>
          </c:tx>
          <c:spPr>
            <a:ln w="25400" cap="rnd">
              <a:no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xVal>
            <c:numRef>
              <c:f>'Grad Match Results'!$A$1</c:f>
              <c:numCache>
                <c:formatCode>General</c:formatCode>
                <c:ptCount val="1"/>
              </c:numCache>
            </c:numRef>
          </c:xVal>
          <c:yVal>
            <c:numRef>
              <c:f>'Grad Match Results'!$A$1</c:f>
              <c:numCache>
                <c:formatCode>General</c:formatCode>
                <c:ptCount val="1"/>
              </c:numCache>
            </c:numRef>
          </c:yVal>
          <c:smooth val="0"/>
          <c:extLst>
            <c:ext xmlns:c16="http://schemas.microsoft.com/office/drawing/2014/chart" uri="{C3380CC4-5D6E-409C-BE32-E72D297353CC}">
              <c16:uniqueId val="{0000000E-CD0A-4D45-8A8F-B9DBCB73C9BA}"/>
            </c:ext>
          </c:extLst>
        </c:ser>
        <c:ser>
          <c:idx val="14"/>
          <c:order val="13"/>
          <c:tx>
            <c:v>Petroleum Experts 5</c:v>
          </c:tx>
          <c:spPr>
            <a:ln w="25400" cap="rnd">
              <a:noFill/>
              <a:round/>
            </a:ln>
            <a:effectLst/>
          </c:spPr>
          <c:marker>
            <c:symbol val="circle"/>
            <c:size val="5"/>
            <c:spPr>
              <a:solidFill>
                <a:schemeClr val="accent3">
                  <a:lumMod val="80000"/>
                  <a:lumOff val="20000"/>
                </a:schemeClr>
              </a:solidFill>
              <a:ln w="9525">
                <a:solidFill>
                  <a:schemeClr val="accent3">
                    <a:lumMod val="80000"/>
                    <a:lumOff val="20000"/>
                  </a:schemeClr>
                </a:solidFill>
              </a:ln>
              <a:effectLst/>
            </c:spPr>
          </c:marker>
          <c:xVal>
            <c:numRef>
              <c:f>'Grad Match Results'!$A$1</c:f>
              <c:numCache>
                <c:formatCode>General</c:formatCode>
                <c:ptCount val="1"/>
              </c:numCache>
            </c:numRef>
          </c:xVal>
          <c:yVal>
            <c:numRef>
              <c:f>'Grad Match Results'!$A$1</c:f>
              <c:numCache>
                <c:formatCode>General</c:formatCode>
                <c:ptCount val="1"/>
              </c:numCache>
            </c:numRef>
          </c:yVal>
          <c:smooth val="0"/>
          <c:extLst>
            <c:ext xmlns:c16="http://schemas.microsoft.com/office/drawing/2014/chart" uri="{C3380CC4-5D6E-409C-BE32-E72D297353CC}">
              <c16:uniqueId val="{0000000F-CD0A-4D45-8A8F-B9DBCB73C9BA}"/>
            </c:ext>
          </c:extLst>
        </c:ser>
        <c:ser>
          <c:idx val="15"/>
          <c:order val="14"/>
          <c:tx>
            <c:v>Hydro-2P</c:v>
          </c:tx>
          <c:spPr>
            <a:ln w="25400" cap="rnd">
              <a:noFill/>
              <a:round/>
            </a:ln>
            <a:effectLst/>
          </c:spPr>
          <c:marker>
            <c:symbol val="circle"/>
            <c:size val="5"/>
            <c:spPr>
              <a:solidFill>
                <a:schemeClr val="accent4">
                  <a:lumMod val="80000"/>
                  <a:lumOff val="20000"/>
                </a:schemeClr>
              </a:solidFill>
              <a:ln w="9525">
                <a:solidFill>
                  <a:schemeClr val="accent4">
                    <a:lumMod val="80000"/>
                    <a:lumOff val="20000"/>
                  </a:schemeClr>
                </a:solidFill>
              </a:ln>
              <a:effectLst/>
            </c:spPr>
          </c:marker>
          <c:xVal>
            <c:numRef>
              <c:f>'Grad Match Results'!$A$1</c:f>
              <c:numCache>
                <c:formatCode>General</c:formatCode>
                <c:ptCount val="1"/>
              </c:numCache>
            </c:numRef>
          </c:xVal>
          <c:yVal>
            <c:numRef>
              <c:f>'Grad Match Results'!$A$1</c:f>
              <c:numCache>
                <c:formatCode>General</c:formatCode>
                <c:ptCount val="1"/>
              </c:numCache>
            </c:numRef>
          </c:yVal>
          <c:smooth val="0"/>
          <c:extLst>
            <c:ext xmlns:c16="http://schemas.microsoft.com/office/drawing/2014/chart" uri="{C3380CC4-5D6E-409C-BE32-E72D297353CC}">
              <c16:uniqueId val="{00000010-CD0A-4D45-8A8F-B9DBCB73C9BA}"/>
            </c:ext>
          </c:extLst>
        </c:ser>
        <c:ser>
          <c:idx val="16"/>
          <c:order val="15"/>
          <c:tx>
            <c:v>Petroleum Experts 2 (modified)</c:v>
          </c:tx>
          <c:spPr>
            <a:ln w="25400" cap="rnd">
              <a:noFill/>
              <a:round/>
            </a:ln>
            <a:effectLst/>
          </c:spPr>
          <c:marker>
            <c:symbol val="circle"/>
            <c:size val="5"/>
            <c:spPr>
              <a:solidFill>
                <a:schemeClr val="accent5">
                  <a:lumMod val="80000"/>
                  <a:lumOff val="20000"/>
                </a:schemeClr>
              </a:solidFill>
              <a:ln w="9525">
                <a:solidFill>
                  <a:schemeClr val="accent5">
                    <a:lumMod val="80000"/>
                    <a:lumOff val="20000"/>
                  </a:schemeClr>
                </a:solidFill>
              </a:ln>
              <a:effectLst/>
            </c:spPr>
          </c:marker>
          <c:xVal>
            <c:numRef>
              <c:f>'Grad Match Results'!$A$1</c:f>
              <c:numCache>
                <c:formatCode>General</c:formatCode>
                <c:ptCount val="1"/>
              </c:numCache>
            </c:numRef>
          </c:xVal>
          <c:yVal>
            <c:numRef>
              <c:f>'Grad Match Results'!$A$1</c:f>
              <c:numCache>
                <c:formatCode>General</c:formatCode>
                <c:ptCount val="1"/>
              </c:numCache>
            </c:numRef>
          </c:yVal>
          <c:smooth val="0"/>
          <c:extLst>
            <c:ext xmlns:c16="http://schemas.microsoft.com/office/drawing/2014/chart" uri="{C3380CC4-5D6E-409C-BE32-E72D297353CC}">
              <c16:uniqueId val="{00000011-CD0A-4D45-8A8F-B9DBCB73C9BA}"/>
            </c:ext>
          </c:extLst>
        </c:ser>
        <c:ser>
          <c:idx val="1"/>
          <c:order val="16"/>
          <c:tx>
            <c:v>Dinamic Gradient Meassured</c:v>
          </c:tx>
          <c:spPr>
            <a:ln w="19050" cap="rnd">
              <a:noFill/>
              <a:round/>
            </a:ln>
            <a:effectLst/>
          </c:spPr>
          <c:marker>
            <c:symbol val="circle"/>
            <c:size val="7"/>
            <c:spPr>
              <a:solidFill>
                <a:srgbClr val="FFC000"/>
              </a:solidFill>
              <a:ln w="9525">
                <a:solidFill>
                  <a:srgbClr val="0000FF"/>
                </a:solidFill>
              </a:ln>
              <a:effectLst/>
            </c:spPr>
          </c:marker>
          <c:xVal>
            <c:numRef>
              <c:f>'Gradient Matching'!$D$13:$D$45</c:f>
              <c:numCache>
                <c:formatCode>_(* #,##0.00_);_(* \(#,##0.00\);_(* "-"??_);_(@_)</c:formatCode>
                <c:ptCount val="33"/>
                <c:pt idx="0">
                  <c:v>1702.17</c:v>
                </c:pt>
                <c:pt idx="1">
                  <c:v>1974.88</c:v>
                </c:pt>
                <c:pt idx="2">
                  <c:v>2105.2800000000002</c:v>
                </c:pt>
                <c:pt idx="3">
                  <c:v>2402.6799999999998</c:v>
                </c:pt>
                <c:pt idx="4">
                  <c:v>2634.17</c:v>
                </c:pt>
                <c:pt idx="5">
                  <c:v>2693.41</c:v>
                </c:pt>
              </c:numCache>
            </c:numRef>
          </c:xVal>
          <c:yVal>
            <c:numRef>
              <c:f>'Gradient Matching'!$C$13:$C$45</c:f>
              <c:numCache>
                <c:formatCode>_(* #,##0.00_);_(* \(#,##0.00\);_(* "-"??_);_(@_)</c:formatCode>
                <c:ptCount val="33"/>
                <c:pt idx="0">
                  <c:v>500</c:v>
                </c:pt>
                <c:pt idx="1">
                  <c:v>700</c:v>
                </c:pt>
                <c:pt idx="2">
                  <c:v>900</c:v>
                </c:pt>
                <c:pt idx="3">
                  <c:v>1000</c:v>
                </c:pt>
                <c:pt idx="4">
                  <c:v>1200</c:v>
                </c:pt>
                <c:pt idx="5">
                  <c:v>1400</c:v>
                </c:pt>
              </c:numCache>
            </c:numRef>
          </c:yVal>
          <c:smooth val="0"/>
          <c:extLst>
            <c:ext xmlns:c16="http://schemas.microsoft.com/office/drawing/2014/chart" uri="{C3380CC4-5D6E-409C-BE32-E72D297353CC}">
              <c16:uniqueId val="{00000000-CD0A-4D45-8A8F-B9DBCB73C9BA}"/>
            </c:ext>
          </c:extLst>
        </c:ser>
        <c:dLbls>
          <c:showLegendKey val="0"/>
          <c:showVal val="0"/>
          <c:showCatName val="0"/>
          <c:showSerName val="0"/>
          <c:showPercent val="0"/>
          <c:showBubbleSize val="0"/>
        </c:dLbls>
        <c:axId val="564648704"/>
        <c:axId val="569753600"/>
      </c:scatterChart>
      <c:valAx>
        <c:axId val="564648704"/>
        <c:scaling>
          <c:orientation val="minMax"/>
          <c:min val="1500"/>
        </c:scaling>
        <c:delete val="0"/>
        <c:axPos val="t"/>
        <c:majorGridlines>
          <c:spPr>
            <a:ln w="9525" cap="flat" cmpd="sng" algn="ctr">
              <a:solidFill>
                <a:schemeClr val="bg1">
                  <a:lumMod val="95000"/>
                </a:schemeClr>
              </a:solidFill>
              <a:round/>
            </a:ln>
            <a:effectLst/>
          </c:spPr>
        </c:majorGridlines>
        <c:title>
          <c:tx>
            <c:rich>
              <a:bodyPr rot="0" spcFirstLastPara="1" vertOverflow="ellipsis" vert="horz" wrap="square" anchor="ctr" anchorCtr="1"/>
              <a:lstStyle/>
              <a:p>
                <a:pPr>
                  <a:defRPr sz="1000" b="1" i="0" u="none" strike="noStrike" kern="1200" baseline="0">
                    <a:solidFill>
                      <a:schemeClr val="tx1"/>
                    </a:solidFill>
                    <a:latin typeface="+mn-lt"/>
                    <a:ea typeface="+mn-ea"/>
                    <a:cs typeface="+mn-cs"/>
                  </a:defRPr>
                </a:pPr>
                <a:r>
                  <a:rPr lang="es-BO" b="1">
                    <a:solidFill>
                      <a:schemeClr val="tx1"/>
                    </a:solidFill>
                  </a:rPr>
                  <a:t>Pressure, psi</a:t>
                </a:r>
              </a:p>
            </c:rich>
          </c:tx>
          <c:layout>
            <c:manualLayout>
              <c:xMode val="edge"/>
              <c:yMode val="edge"/>
              <c:x val="0.36547523396310155"/>
              <c:y val="1.9031302435634244E-2"/>
            </c:manualLayout>
          </c:layout>
          <c:overlay val="0"/>
          <c:spPr>
            <a:noFill/>
            <a:ln>
              <a:noFill/>
            </a:ln>
            <a:effectLst/>
          </c:spPr>
        </c:title>
        <c:numFmt formatCode="0" sourceLinked="0"/>
        <c:majorTickMark val="cross"/>
        <c:minorTickMark val="in"/>
        <c:tickLblPos val="nextTo"/>
        <c:spPr>
          <a:noFill/>
          <a:ln w="9525" cap="flat" cmpd="sng" algn="ctr">
            <a:solidFill>
              <a:sysClr val="windowText" lastClr="000000">
                <a:lumMod val="100000"/>
              </a:sysClr>
            </a:solidFill>
            <a:prstDash val="solid"/>
            <a:round/>
            <a:headEnd type="none" w="med" len="med"/>
            <a:tailEnd type="none" w="med" len="med"/>
          </a:ln>
          <a:effectLst/>
        </c:spPr>
        <c:txPr>
          <a:bodyPr rot="-60000000" spcFirstLastPara="1" vertOverflow="ellipsis" vert="horz" wrap="square" anchor="ctr" anchorCtr="1"/>
          <a:lstStyle/>
          <a:p>
            <a:pPr>
              <a:defRPr sz="900" b="1" i="0" u="none" strike="noStrike" kern="1200" baseline="0">
                <a:solidFill>
                  <a:srgbClr val="000000"/>
                </a:solidFill>
                <a:latin typeface="+mn-lt"/>
                <a:ea typeface="+mn-ea"/>
                <a:cs typeface="+mn-cs"/>
              </a:defRPr>
            </a:pPr>
            <a:endParaRPr lang="es-BO"/>
          </a:p>
        </c:txPr>
        <c:crossAx val="569753600"/>
        <c:crosses val="autoZero"/>
        <c:crossBetween val="midCat"/>
      </c:valAx>
      <c:valAx>
        <c:axId val="569753600"/>
        <c:scaling>
          <c:orientation val="maxMin"/>
        </c:scaling>
        <c:delete val="0"/>
        <c:axPos val="l"/>
        <c:majorGridlines>
          <c:spPr>
            <a:ln w="9525" cap="flat" cmpd="sng" algn="ctr">
              <a:solidFill>
                <a:schemeClr val="bg1">
                  <a:lumMod val="9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solidFill>
                    <a:latin typeface="+mn-lt"/>
                    <a:ea typeface="+mn-ea"/>
                    <a:cs typeface="+mn-cs"/>
                  </a:defRPr>
                </a:pPr>
                <a:r>
                  <a:rPr lang="es-BO" b="1">
                    <a:solidFill>
                      <a:schemeClr val="tx1"/>
                    </a:solidFill>
                  </a:rPr>
                  <a:t>TVD, m</a:t>
                </a:r>
              </a:p>
            </c:rich>
          </c:tx>
          <c:layout>
            <c:manualLayout>
              <c:xMode val="edge"/>
              <c:yMode val="edge"/>
              <c:x val="1.9444444444444445E-2"/>
              <c:y val="0.51648913677456987"/>
            </c:manualLayout>
          </c:layout>
          <c:overlay val="0"/>
          <c:spPr>
            <a:noFill/>
            <a:ln>
              <a:noFill/>
            </a:ln>
            <a:effectLst/>
          </c:spPr>
        </c:title>
        <c:numFmt formatCode="0" sourceLinked="0"/>
        <c:majorTickMark val="cross"/>
        <c:minorTickMark val="in"/>
        <c:tickLblPos val="nextTo"/>
        <c:spPr>
          <a:noFill/>
          <a:ln w="9525" cap="flat" cmpd="sng" algn="ctr">
            <a:solidFill>
              <a:sysClr val="windowText" lastClr="000000">
                <a:lumMod val="100000"/>
              </a:sysClr>
            </a:solidFill>
            <a:prstDash val="solid"/>
            <a:round/>
            <a:headEnd type="none" w="med" len="med"/>
            <a:tailEnd type="none" w="med" len="med"/>
          </a:ln>
          <a:effectLst/>
        </c:spPr>
        <c:txPr>
          <a:bodyPr rot="-60000000" spcFirstLastPara="1" vertOverflow="ellipsis" vert="horz" wrap="square" anchor="ctr" anchorCtr="1"/>
          <a:lstStyle/>
          <a:p>
            <a:pPr>
              <a:defRPr sz="900" b="1" i="0" u="none" strike="noStrike" kern="1200" baseline="0">
                <a:solidFill>
                  <a:srgbClr val="000000"/>
                </a:solidFill>
                <a:latin typeface="+mn-lt"/>
                <a:ea typeface="+mn-ea"/>
                <a:cs typeface="+mn-cs"/>
              </a:defRPr>
            </a:pPr>
            <a:endParaRPr lang="es-BO"/>
          </a:p>
        </c:txPr>
        <c:crossAx val="564648704"/>
        <c:crosses val="autoZero"/>
        <c:crossBetween val="midCat"/>
      </c:valAx>
      <c:spPr>
        <a:noFill/>
        <a:ln>
          <a:noFill/>
        </a:ln>
        <a:effectLst/>
      </c:spPr>
    </c:plotArea>
    <c:legend>
      <c:legendPos val="r"/>
      <c:legendEntry>
        <c:idx val="16"/>
        <c:txPr>
          <a:bodyPr rot="0" spcFirstLastPara="1" vertOverflow="ellipsis" vert="horz" wrap="square" anchor="ctr" anchorCtr="1"/>
          <a:lstStyle/>
          <a:p>
            <a:pPr>
              <a:defRPr sz="900" b="1" i="0" u="none" strike="noStrike" kern="1200" baseline="0">
                <a:solidFill>
                  <a:srgbClr val="0000FF"/>
                </a:solidFill>
                <a:latin typeface="+mn-lt"/>
                <a:ea typeface="+mn-ea"/>
                <a:cs typeface="+mn-cs"/>
              </a:defRPr>
            </a:pPr>
            <a:endParaRPr lang="es-BO"/>
          </a:p>
        </c:txPr>
      </c:legendEntry>
      <c:layout>
        <c:manualLayout>
          <c:xMode val="edge"/>
          <c:yMode val="edge"/>
          <c:x val="0.73481631122640279"/>
          <c:y val="0.11343409813946574"/>
          <c:w val="0.25352188119342223"/>
          <c:h val="0.8338268693679388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BO"/>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B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8.xml"/></Relationships>
</file>

<file path=xl/drawings/_rels/drawing5.x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chart" Target="../charts/chart10.xml"/><Relationship Id="rId1" Type="http://schemas.openxmlformats.org/officeDocument/2006/relationships/chart" Target="../charts/chart9.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7.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chart" Target="../charts/chart14.xml"/><Relationship Id="rId1" Type="http://schemas.openxmlformats.org/officeDocument/2006/relationships/chart" Target="../charts/chart13.xml"/><Relationship Id="rId4" Type="http://schemas.openxmlformats.org/officeDocument/2006/relationships/chart" Target="../charts/chart16.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20.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7.emf"/><Relationship Id="rId1" Type="http://schemas.openxmlformats.org/officeDocument/2006/relationships/image" Target="../media/image8.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13</xdr:col>
      <xdr:colOff>9525</xdr:colOff>
      <xdr:row>0</xdr:row>
      <xdr:rowOff>38100</xdr:rowOff>
    </xdr:from>
    <xdr:to>
      <xdr:col>25</xdr:col>
      <xdr:colOff>504825</xdr:colOff>
      <xdr:row>3</xdr:row>
      <xdr:rowOff>0</xdr:rowOff>
    </xdr:to>
    <xdr:sp macro="" textlink="">
      <xdr:nvSpPr>
        <xdr:cNvPr id="2" name="Rectangle 1" descr="cea3d3e2-8a85-4936-95fb-cc11eca6431c">
          <a:extLst>
            <a:ext uri="{FF2B5EF4-FFF2-40B4-BE49-F238E27FC236}">
              <a16:creationId xmlns:a16="http://schemas.microsoft.com/office/drawing/2014/main" id="{00000000-0008-0000-0100-000002000000}"/>
            </a:ext>
          </a:extLst>
        </xdr:cNvPr>
        <xdr:cNvSpPr/>
      </xdr:nvSpPr>
      <xdr:spPr>
        <a:xfrm>
          <a:off x="8801100" y="38100"/>
          <a:ext cx="7353300" cy="428625"/>
        </a:xfrm>
        <a:prstGeom prst="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en-US" sz="1000"/>
            <a:t>Specify the number of tables to create format. Also, during creation the script will import the Units for each variable from PROSPER. Table format is based on Fluid Type. </a:t>
          </a:r>
          <a:r>
            <a:rPr lang="en-US" sz="1000" b="1">
              <a:solidFill>
                <a:srgbClr val="0000FF"/>
              </a:solidFill>
            </a:rPr>
            <a:t>PETEX does not recommend to match Lab data when Fluid Type is Retrograde condensate.</a:t>
          </a:r>
        </a:p>
      </xdr:txBody>
    </xdr:sp>
    <xdr:clientData/>
  </xdr:twoCellAnchor>
  <mc:AlternateContent xmlns:mc="http://schemas.openxmlformats.org/markup-compatibility/2006">
    <mc:Choice xmlns:a14="http://schemas.microsoft.com/office/drawing/2010/main" Requires="a14">
      <xdr:twoCellAnchor editAs="oneCell">
        <xdr:from>
          <xdr:col>10</xdr:col>
          <xdr:colOff>85725</xdr:colOff>
          <xdr:row>0</xdr:row>
          <xdr:rowOff>57150</xdr:rowOff>
        </xdr:from>
        <xdr:to>
          <xdr:col>12</xdr:col>
          <xdr:colOff>600075</xdr:colOff>
          <xdr:row>2</xdr:row>
          <xdr:rowOff>161925</xdr:rowOff>
        </xdr:to>
        <xdr:sp macro="" textlink="">
          <xdr:nvSpPr>
            <xdr:cNvPr id="1025" name="CommandButton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7</xdr:col>
      <xdr:colOff>0</xdr:colOff>
      <xdr:row>18</xdr:row>
      <xdr:rowOff>0</xdr:rowOff>
    </xdr:to>
    <xdr:graphicFrame macro="">
      <xdr:nvGraphicFramePr>
        <xdr:cNvPr id="4" name="Chart_A">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0</xdr:colOff>
      <xdr:row>1</xdr:row>
      <xdr:rowOff>0</xdr:rowOff>
    </xdr:from>
    <xdr:to>
      <xdr:col>13</xdr:col>
      <xdr:colOff>0</xdr:colOff>
      <xdr:row>18</xdr:row>
      <xdr:rowOff>0</xdr:rowOff>
    </xdr:to>
    <xdr:graphicFrame macro="">
      <xdr:nvGraphicFramePr>
        <xdr:cNvPr id="2" name="Chart_B">
          <a:extLst>
            <a:ext uri="{FF2B5EF4-FFF2-40B4-BE49-F238E27FC236}">
              <a16:creationId xmlns:a16="http://schemas.microsoft.com/office/drawing/2014/main" id="{DB14915E-6A11-48D3-AFF7-5042587631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xdr:col>
      <xdr:colOff>0</xdr:colOff>
      <xdr:row>18</xdr:row>
      <xdr:rowOff>0</xdr:rowOff>
    </xdr:from>
    <xdr:to>
      <xdr:col>7</xdr:col>
      <xdr:colOff>0</xdr:colOff>
      <xdr:row>35</xdr:row>
      <xdr:rowOff>0</xdr:rowOff>
    </xdr:to>
    <xdr:graphicFrame macro="">
      <xdr:nvGraphicFramePr>
        <xdr:cNvPr id="3" name="Chart_C">
          <a:extLst>
            <a:ext uri="{FF2B5EF4-FFF2-40B4-BE49-F238E27FC236}">
              <a16:creationId xmlns:a16="http://schemas.microsoft.com/office/drawing/2014/main" id="{3ABC0AEC-FD7E-4B41-8285-9AD849A778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7</xdr:col>
      <xdr:colOff>0</xdr:colOff>
      <xdr:row>18</xdr:row>
      <xdr:rowOff>0</xdr:rowOff>
    </xdr:from>
    <xdr:to>
      <xdr:col>13</xdr:col>
      <xdr:colOff>0</xdr:colOff>
      <xdr:row>35</xdr:row>
      <xdr:rowOff>0</xdr:rowOff>
    </xdr:to>
    <xdr:graphicFrame macro="">
      <xdr:nvGraphicFramePr>
        <xdr:cNvPr id="8" name="Chart_D">
          <a:extLst>
            <a:ext uri="{FF2B5EF4-FFF2-40B4-BE49-F238E27FC236}">
              <a16:creationId xmlns:a16="http://schemas.microsoft.com/office/drawing/2014/main" id="{63A15675-732A-47B0-921D-9171FFD18E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xdr:col>
      <xdr:colOff>0</xdr:colOff>
      <xdr:row>35</xdr:row>
      <xdr:rowOff>0</xdr:rowOff>
    </xdr:from>
    <xdr:to>
      <xdr:col>13</xdr:col>
      <xdr:colOff>0</xdr:colOff>
      <xdr:row>43</xdr:row>
      <xdr:rowOff>0</xdr:rowOff>
    </xdr:to>
    <xdr:graphicFrame macro="">
      <xdr:nvGraphicFramePr>
        <xdr:cNvPr id="9" name="Legend">
          <a:extLst>
            <a:ext uri="{FF2B5EF4-FFF2-40B4-BE49-F238E27FC236}">
              <a16:creationId xmlns:a16="http://schemas.microsoft.com/office/drawing/2014/main" id="{8BFF928C-0488-4576-8904-06C09DD913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6</xdr:col>
      <xdr:colOff>38100</xdr:colOff>
      <xdr:row>1</xdr:row>
      <xdr:rowOff>0</xdr:rowOff>
    </xdr:from>
    <xdr:to>
      <xdr:col>15</xdr:col>
      <xdr:colOff>0</xdr:colOff>
      <xdr:row>30</xdr:row>
      <xdr:rowOff>0</xdr:rowOff>
    </xdr:to>
    <xdr:graphicFrame macro="">
      <xdr:nvGraphicFramePr>
        <xdr:cNvPr id="2" name="IPR">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0</xdr:colOff>
      <xdr:row>1</xdr:row>
      <xdr:rowOff>0</xdr:rowOff>
    </xdr:from>
    <xdr:to>
      <xdr:col>23</xdr:col>
      <xdr:colOff>0</xdr:colOff>
      <xdr:row>30</xdr:row>
      <xdr:rowOff>0</xdr:rowOff>
    </xdr:to>
    <xdr:graphicFrame macro="">
      <xdr:nvGraphicFramePr>
        <xdr:cNvPr id="4" name="dP_Completion">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5</xdr:col>
      <xdr:colOff>53340</xdr:colOff>
      <xdr:row>1</xdr:row>
      <xdr:rowOff>190499</xdr:rowOff>
    </xdr:from>
    <xdr:to>
      <xdr:col>14</xdr:col>
      <xdr:colOff>581025</xdr:colOff>
      <xdr:row>31</xdr:row>
      <xdr:rowOff>9525</xdr:rowOff>
    </xdr:to>
    <xdr:graphicFrame macro="">
      <xdr:nvGraphicFramePr>
        <xdr:cNvPr id="2" name="Chart 1">
          <a:extLst>
            <a:ext uri="{FF2B5EF4-FFF2-40B4-BE49-F238E27FC236}">
              <a16:creationId xmlns:a16="http://schemas.microsoft.com/office/drawing/2014/main" id="{044D179A-FC1A-49D7-886A-CB88D476806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43814</xdr:colOff>
      <xdr:row>2</xdr:row>
      <xdr:rowOff>13335</xdr:rowOff>
    </xdr:from>
    <xdr:to>
      <xdr:col>23</xdr:col>
      <xdr:colOff>171449</xdr:colOff>
      <xdr:row>8</xdr:row>
      <xdr:rowOff>28100</xdr:rowOff>
    </xdr:to>
    <mc:AlternateContent xmlns:mc="http://schemas.openxmlformats.org/markup-compatibility/2006" xmlns:a14="http://schemas.microsoft.com/office/drawing/2010/main">
      <mc:Choice Requires="a14">
        <xdr:sp macro="" textlink="">
          <xdr:nvSpPr>
            <xdr:cNvPr id="3" name="TextBox 5">
              <a:extLst>
                <a:ext uri="{FF2B5EF4-FFF2-40B4-BE49-F238E27FC236}">
                  <a16:creationId xmlns:a16="http://schemas.microsoft.com/office/drawing/2014/main" id="{B6588140-CA4C-487F-B103-95F7E2EDF145}"/>
                </a:ext>
              </a:extLst>
            </xdr:cNvPr>
            <xdr:cNvSpPr txBox="1"/>
          </xdr:nvSpPr>
          <xdr:spPr>
            <a:xfrm>
              <a:off x="9664064" y="356235"/>
              <a:ext cx="4852035" cy="1214915"/>
            </a:xfrm>
            <a:prstGeom prst="rect">
              <a:avLst/>
            </a:prstGeom>
            <a:noFill/>
          </xdr:spPr>
          <xdr:txBody>
            <a:bodyPr wrap="square" lIns="0" tIns="0" rIns="0" bIns="0" rtlCol="0">
              <a:spAutoFit/>
            </a:bodyPr>
            <a:lstStyle>
              <a:defPPr>
                <a:defRPr lang="es-B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14:m>
                <m:oMathPara xmlns:m="http://schemas.openxmlformats.org/officeDocument/2006/math">
                  <m:oMathParaPr>
                    <m:jc m:val="centerGroup"/>
                  </m:oMathParaPr>
                  <m:oMath xmlns:m="http://schemas.openxmlformats.org/officeDocument/2006/math">
                    <m:r>
                      <a:rPr lang="en-US" b="0" i="1">
                        <a:latin typeface="Cambria Math" panose="02040503050406030204" pitchFamily="18" charset="0"/>
                      </a:rPr>
                      <m:t>𝐶</m:t>
                    </m:r>
                    <m:r>
                      <a:rPr lang="en-US" b="0" i="1">
                        <a:latin typeface="Cambria Math" panose="02040503050406030204" pitchFamily="18" charset="0"/>
                      </a:rPr>
                      <m:t>=</m:t>
                    </m:r>
                    <m:f>
                      <m:fPr>
                        <m:ctrlPr>
                          <a:rPr lang="en-US" b="0" i="1">
                            <a:latin typeface="Cambria Math" panose="02040503050406030204" pitchFamily="18" charset="0"/>
                          </a:rPr>
                        </m:ctrlPr>
                      </m:fPr>
                      <m:num>
                        <m:r>
                          <a:rPr lang="en-US" b="0" i="1">
                            <a:latin typeface="Cambria Math" panose="02040503050406030204" pitchFamily="18" charset="0"/>
                          </a:rPr>
                          <m:t>𝑘</m:t>
                        </m:r>
                        <m:r>
                          <a:rPr lang="en-US" b="0" i="1">
                            <a:latin typeface="Cambria Math" panose="02040503050406030204" pitchFamily="18" charset="0"/>
                          </a:rPr>
                          <m:t> </m:t>
                        </m:r>
                        <m:r>
                          <a:rPr lang="en-US" b="0" i="1">
                            <a:latin typeface="Cambria Math" panose="02040503050406030204" pitchFamily="18" charset="0"/>
                          </a:rPr>
                          <m:t>h</m:t>
                        </m:r>
                      </m:num>
                      <m:den>
                        <m:r>
                          <a:rPr lang="en-US" i="1">
                            <a:latin typeface="Cambria Math" panose="02040503050406030204" pitchFamily="18" charset="0"/>
                          </a:rPr>
                          <m:t>1.422 </m:t>
                        </m:r>
                        <m:sSup>
                          <m:sSupPr>
                            <m:ctrlPr>
                              <a:rPr lang="en-US" i="1">
                                <a:latin typeface="Cambria Math" panose="02040503050406030204" pitchFamily="18" charset="0"/>
                              </a:rPr>
                            </m:ctrlPr>
                          </m:sSupPr>
                          <m:e>
                            <m:r>
                              <a:rPr lang="en-US" i="1">
                                <a:latin typeface="Cambria Math" panose="02040503050406030204" pitchFamily="18" charset="0"/>
                              </a:rPr>
                              <m:t>10</m:t>
                            </m:r>
                          </m:e>
                          <m:sup>
                            <m:r>
                              <a:rPr lang="en-US" i="1">
                                <a:latin typeface="Cambria Math" panose="02040503050406030204" pitchFamily="18" charset="0"/>
                              </a:rPr>
                              <m:t>6</m:t>
                            </m:r>
                          </m:sup>
                        </m:sSup>
                        <m:r>
                          <a:rPr lang="en-US" b="0" i="1">
                            <a:latin typeface="Cambria Math" panose="02040503050406030204" pitchFamily="18" charset="0"/>
                          </a:rPr>
                          <m:t> </m:t>
                        </m:r>
                        <m:sSub>
                          <m:sSubPr>
                            <m:ctrlPr>
                              <a:rPr lang="en-US" b="0" i="1">
                                <a:latin typeface="Cambria Math" panose="02040503050406030204" pitchFamily="18" charset="0"/>
                              </a:rPr>
                            </m:ctrlPr>
                          </m:sSubPr>
                          <m:e>
                            <m:acc>
                              <m:accPr>
                                <m:chr m:val="̅"/>
                                <m:ctrlPr>
                                  <a:rPr lang="en-US" b="0" i="1">
                                    <a:latin typeface="Cambria Math" panose="02040503050406030204" pitchFamily="18" charset="0"/>
                                  </a:rPr>
                                </m:ctrlPr>
                              </m:accPr>
                              <m:e>
                                <m:r>
                                  <a:rPr lang="en-US" b="0" i="1">
                                    <a:latin typeface="Cambria Math" panose="02040503050406030204" pitchFamily="18" charset="0"/>
                                    <a:ea typeface="Cambria Math" panose="02040503050406030204" pitchFamily="18" charset="0"/>
                                  </a:rPr>
                                  <m:t>𝜇</m:t>
                                </m:r>
                              </m:e>
                            </m:acc>
                          </m:e>
                          <m:sub>
                            <m:r>
                              <a:rPr lang="en-US" b="0" i="1">
                                <a:latin typeface="Cambria Math" panose="02040503050406030204" pitchFamily="18" charset="0"/>
                              </a:rPr>
                              <m:t>𝑔</m:t>
                            </m:r>
                          </m:sub>
                        </m:sSub>
                        <m:r>
                          <a:rPr lang="en-US" i="1">
                            <a:latin typeface="Cambria Math" panose="02040503050406030204" pitchFamily="18" charset="0"/>
                          </a:rPr>
                          <m:t> </m:t>
                        </m:r>
                        <m:acc>
                          <m:accPr>
                            <m:chr m:val="̅"/>
                            <m:ctrlPr>
                              <a:rPr lang="en-US" i="1">
                                <a:latin typeface="Cambria Math" panose="02040503050406030204" pitchFamily="18" charset="0"/>
                              </a:rPr>
                            </m:ctrlPr>
                          </m:accPr>
                          <m:e>
                            <m:r>
                              <a:rPr lang="en-US" i="1">
                                <a:latin typeface="Cambria Math" panose="02040503050406030204" pitchFamily="18" charset="0"/>
                              </a:rPr>
                              <m:t>𝑧</m:t>
                            </m:r>
                          </m:e>
                        </m:acc>
                        <m:r>
                          <a:rPr lang="en-US" i="1">
                            <a:latin typeface="Cambria Math" panose="02040503050406030204" pitchFamily="18" charset="0"/>
                          </a:rPr>
                          <m:t> </m:t>
                        </m:r>
                        <m:r>
                          <a:rPr lang="en-US" i="1">
                            <a:latin typeface="Cambria Math" panose="02040503050406030204" pitchFamily="18" charset="0"/>
                          </a:rPr>
                          <m:t>𝑇</m:t>
                        </m:r>
                        <m:d>
                          <m:dPr>
                            <m:begChr m:val="["/>
                            <m:endChr m:val="]"/>
                            <m:ctrlPr>
                              <a:rPr lang="en-US" i="1">
                                <a:latin typeface="Cambria Math" panose="02040503050406030204" pitchFamily="18" charset="0"/>
                              </a:rPr>
                            </m:ctrlPr>
                          </m:dPr>
                          <m:e>
                            <m:func>
                              <m:funcPr>
                                <m:ctrlPr>
                                  <a:rPr lang="en-US" i="1">
                                    <a:solidFill>
                                      <a:srgbClr val="0000FF"/>
                                    </a:solidFill>
                                    <a:latin typeface="Cambria Math" panose="02040503050406030204" pitchFamily="18" charset="0"/>
                                  </a:rPr>
                                </m:ctrlPr>
                              </m:funcPr>
                              <m:fName>
                                <m:r>
                                  <a:rPr lang="en-US" i="1">
                                    <a:solidFill>
                                      <a:srgbClr val="0000FF"/>
                                    </a:solidFill>
                                    <a:latin typeface="Cambria Math" panose="02040503050406030204" pitchFamily="18" charset="0"/>
                                  </a:rPr>
                                  <m:t>𝑙𝑛</m:t>
                                </m:r>
                              </m:fName>
                              <m:e>
                                <m:d>
                                  <m:dPr>
                                    <m:ctrlPr>
                                      <a:rPr lang="en-US" i="1">
                                        <a:solidFill>
                                          <a:srgbClr val="0000FF"/>
                                        </a:solidFill>
                                        <a:latin typeface="Cambria Math" panose="02040503050406030204" pitchFamily="18" charset="0"/>
                                      </a:rPr>
                                    </m:ctrlPr>
                                  </m:dPr>
                                  <m:e>
                                    <m:rad>
                                      <m:radPr>
                                        <m:degHide m:val="on"/>
                                        <m:ctrlPr>
                                          <a:rPr lang="en-US" i="1">
                                            <a:solidFill>
                                              <a:srgbClr val="0000FF"/>
                                            </a:solidFill>
                                            <a:latin typeface="Cambria Math" panose="02040503050406030204" pitchFamily="18" charset="0"/>
                                          </a:rPr>
                                        </m:ctrlPr>
                                      </m:radPr>
                                      <m:deg/>
                                      <m:e>
                                        <m:f>
                                          <m:fPr>
                                            <m:ctrlPr>
                                              <a:rPr lang="en-US" i="1">
                                                <a:solidFill>
                                                  <a:srgbClr val="0000FF"/>
                                                </a:solidFill>
                                                <a:latin typeface="Cambria Math" panose="02040503050406030204" pitchFamily="18" charset="0"/>
                                              </a:rPr>
                                            </m:ctrlPr>
                                          </m:fPr>
                                          <m:num>
                                            <m:r>
                                              <a:rPr lang="en-US" i="1">
                                                <a:solidFill>
                                                  <a:srgbClr val="0000FF"/>
                                                </a:solidFill>
                                                <a:latin typeface="Cambria Math" panose="02040503050406030204" pitchFamily="18" charset="0"/>
                                              </a:rPr>
                                              <m:t>2.2458 </m:t>
                                            </m:r>
                                            <m:r>
                                              <a:rPr lang="en-US" i="1">
                                                <a:solidFill>
                                                  <a:srgbClr val="0000FF"/>
                                                </a:solidFill>
                                                <a:latin typeface="Cambria Math" panose="02040503050406030204" pitchFamily="18" charset="0"/>
                                              </a:rPr>
                                              <m:t>𝐴</m:t>
                                            </m:r>
                                          </m:num>
                                          <m:den>
                                            <m:sSub>
                                              <m:sSubPr>
                                                <m:ctrlPr>
                                                  <a:rPr lang="en-US" i="1">
                                                    <a:solidFill>
                                                      <a:srgbClr val="0000FF"/>
                                                    </a:solidFill>
                                                    <a:latin typeface="Cambria Math" panose="02040503050406030204" pitchFamily="18" charset="0"/>
                                                  </a:rPr>
                                                </m:ctrlPr>
                                              </m:sSubPr>
                                              <m:e>
                                                <m:r>
                                                  <a:rPr lang="en-US" i="1">
                                                    <a:solidFill>
                                                      <a:srgbClr val="0000FF"/>
                                                    </a:solidFill>
                                                    <a:latin typeface="Cambria Math" panose="02040503050406030204" pitchFamily="18" charset="0"/>
                                                  </a:rPr>
                                                  <m:t>𝐶</m:t>
                                                </m:r>
                                              </m:e>
                                              <m:sub>
                                                <m:r>
                                                  <a:rPr lang="en-US" i="1">
                                                    <a:solidFill>
                                                      <a:srgbClr val="0000FF"/>
                                                    </a:solidFill>
                                                    <a:latin typeface="Cambria Math" panose="02040503050406030204" pitchFamily="18" charset="0"/>
                                                  </a:rPr>
                                                  <m:t>𝐴</m:t>
                                                </m:r>
                                              </m:sub>
                                            </m:sSub>
                                            <m:sSup>
                                              <m:sSupPr>
                                                <m:ctrlPr>
                                                  <a:rPr lang="en-US" i="1">
                                                    <a:solidFill>
                                                      <a:srgbClr val="0000FF"/>
                                                    </a:solidFill>
                                                    <a:latin typeface="Cambria Math" panose="02040503050406030204" pitchFamily="18" charset="0"/>
                                                  </a:rPr>
                                                </m:ctrlPr>
                                              </m:sSupPr>
                                              <m:e>
                                                <m:d>
                                                  <m:dPr>
                                                    <m:ctrlPr>
                                                      <a:rPr lang="en-US" i="1">
                                                        <a:solidFill>
                                                          <a:srgbClr val="0000FF"/>
                                                        </a:solidFill>
                                                        <a:latin typeface="Cambria Math" panose="02040503050406030204" pitchFamily="18" charset="0"/>
                                                      </a:rPr>
                                                    </m:ctrlPr>
                                                  </m:dPr>
                                                  <m:e>
                                                    <m:sSub>
                                                      <m:sSubPr>
                                                        <m:ctrlPr>
                                                          <a:rPr lang="en-US" i="1">
                                                            <a:solidFill>
                                                              <a:srgbClr val="0000FF"/>
                                                            </a:solidFill>
                                                            <a:latin typeface="Cambria Math" panose="02040503050406030204" pitchFamily="18" charset="0"/>
                                                          </a:rPr>
                                                        </m:ctrlPr>
                                                      </m:sSubPr>
                                                      <m:e>
                                                        <m:r>
                                                          <a:rPr lang="en-US" i="1">
                                                            <a:solidFill>
                                                              <a:srgbClr val="0000FF"/>
                                                            </a:solidFill>
                                                            <a:latin typeface="Cambria Math" panose="02040503050406030204" pitchFamily="18" charset="0"/>
                                                          </a:rPr>
                                                          <m:t>𝑟</m:t>
                                                        </m:r>
                                                      </m:e>
                                                      <m:sub>
                                                        <m:r>
                                                          <a:rPr lang="en-US" i="1">
                                                            <a:solidFill>
                                                              <a:srgbClr val="0000FF"/>
                                                            </a:solidFill>
                                                            <a:latin typeface="Cambria Math" panose="02040503050406030204" pitchFamily="18" charset="0"/>
                                                          </a:rPr>
                                                          <m:t>𝑤</m:t>
                                                        </m:r>
                                                      </m:sub>
                                                    </m:sSub>
                                                  </m:e>
                                                </m:d>
                                              </m:e>
                                              <m:sup>
                                                <m:r>
                                                  <a:rPr lang="en-US" i="1">
                                                    <a:solidFill>
                                                      <a:srgbClr val="0000FF"/>
                                                    </a:solidFill>
                                                    <a:latin typeface="Cambria Math" panose="02040503050406030204" pitchFamily="18" charset="0"/>
                                                  </a:rPr>
                                                  <m:t>2</m:t>
                                                </m:r>
                                              </m:sup>
                                            </m:sSup>
                                          </m:den>
                                        </m:f>
                                      </m:e>
                                    </m:rad>
                                  </m:e>
                                </m:d>
                              </m:e>
                            </m:func>
                            <m:r>
                              <a:rPr lang="en-US" i="1">
                                <a:latin typeface="Cambria Math" panose="02040503050406030204" pitchFamily="18" charset="0"/>
                              </a:rPr>
                              <m:t>+</m:t>
                            </m:r>
                            <m:r>
                              <a:rPr lang="en-US" i="1">
                                <a:latin typeface="Cambria Math" panose="02040503050406030204" pitchFamily="18" charset="0"/>
                              </a:rPr>
                              <m:t>𝑆</m:t>
                            </m:r>
                          </m:e>
                        </m:d>
                      </m:den>
                    </m:f>
                  </m:oMath>
                </m:oMathPara>
              </a14:m>
              <a:endParaRPr lang="es-BO"/>
            </a:p>
          </xdr:txBody>
        </xdr:sp>
      </mc:Choice>
      <mc:Fallback xmlns="">
        <xdr:sp macro="" textlink="">
          <xdr:nvSpPr>
            <xdr:cNvPr id="3" name="TextBox 5">
              <a:extLst>
                <a:ext uri="{FF2B5EF4-FFF2-40B4-BE49-F238E27FC236}">
                  <a16:creationId xmlns:a16="http://schemas.microsoft.com/office/drawing/2014/main" id="{B6588140-CA4C-487F-B103-95F7E2EDF145}"/>
                </a:ext>
              </a:extLst>
            </xdr:cNvPr>
            <xdr:cNvSpPr txBox="1"/>
          </xdr:nvSpPr>
          <xdr:spPr>
            <a:xfrm>
              <a:off x="9664064" y="356235"/>
              <a:ext cx="4852035" cy="1214915"/>
            </a:xfrm>
            <a:prstGeom prst="rect">
              <a:avLst/>
            </a:prstGeom>
            <a:noFill/>
          </xdr:spPr>
          <xdr:txBody>
            <a:bodyPr wrap="square" lIns="0" tIns="0" rIns="0" bIns="0" rtlCol="0">
              <a:spAutoFit/>
            </a:bodyPr>
            <a:lstStyle>
              <a:defPPr>
                <a:defRPr lang="es-B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r>
                <a:rPr lang="en-US" b="0" i="0">
                  <a:latin typeface="Cambria Math" panose="02040503050406030204" pitchFamily="18" charset="0"/>
                </a:rPr>
                <a:t>𝐶=(𝑘 ℎ)/(</a:t>
              </a:r>
              <a:r>
                <a:rPr lang="en-US" i="0">
                  <a:latin typeface="Cambria Math" panose="02040503050406030204" pitchFamily="18" charset="0"/>
                </a:rPr>
                <a:t>1.422 10^6</a:t>
              </a:r>
              <a:r>
                <a:rPr lang="en-US" b="0" i="0">
                  <a:latin typeface="Cambria Math" panose="02040503050406030204" pitchFamily="18" charset="0"/>
                </a:rPr>
                <a:t>  </a:t>
              </a:r>
              <a:r>
                <a:rPr lang="en-US" b="0" i="0">
                  <a:latin typeface="Cambria Math" panose="02040503050406030204" pitchFamily="18" charset="0"/>
                  <a:ea typeface="Cambria Math" panose="02040503050406030204" pitchFamily="18" charset="0"/>
                </a:rPr>
                <a:t>𝜇 ̅_</a:t>
              </a:r>
              <a:r>
                <a:rPr lang="en-US" b="0" i="0">
                  <a:latin typeface="Cambria Math" panose="02040503050406030204" pitchFamily="18" charset="0"/>
                </a:rPr>
                <a:t>𝑔 </a:t>
              </a:r>
              <a:r>
                <a:rPr lang="en-US" i="0">
                  <a:latin typeface="Cambria Math" panose="02040503050406030204" pitchFamily="18" charset="0"/>
                </a:rPr>
                <a:t> 𝑧 ̅  𝑇[</a:t>
              </a:r>
              <a:r>
                <a:rPr lang="en-US" i="0">
                  <a:solidFill>
                    <a:srgbClr val="0000FF"/>
                  </a:solidFill>
                  <a:latin typeface="Cambria Math" panose="02040503050406030204" pitchFamily="18" charset="0"/>
                </a:rPr>
                <a:t>𝑙𝑛⁡(√((2.2458 𝐴)/(𝐶_𝐴 (𝑟_𝑤 )^2 )))</a:t>
              </a:r>
              <a:r>
                <a:rPr lang="en-US" i="0">
                  <a:latin typeface="Cambria Math" panose="02040503050406030204" pitchFamily="18" charset="0"/>
                </a:rPr>
                <a:t>+𝑆] </a:t>
              </a:r>
              <a:r>
                <a:rPr lang="en-US" b="0" i="0">
                  <a:latin typeface="Cambria Math" panose="02040503050406030204" pitchFamily="18" charset="0"/>
                </a:rPr>
                <a:t>)</a:t>
              </a:r>
              <a:endParaRPr lang="es-BO"/>
            </a:p>
          </xdr:txBody>
        </xdr:sp>
      </mc:Fallback>
    </mc:AlternateContent>
    <xdr:clientData/>
  </xdr:twoCellAnchor>
  <xdr:twoCellAnchor>
    <xdr:from>
      <xdr:col>17</xdr:col>
      <xdr:colOff>104775</xdr:colOff>
      <xdr:row>9</xdr:row>
      <xdr:rowOff>32385</xdr:rowOff>
    </xdr:from>
    <xdr:to>
      <xdr:col>21</xdr:col>
      <xdr:colOff>451641</xdr:colOff>
      <xdr:row>12</xdr:row>
      <xdr:rowOff>9525</xdr:rowOff>
    </xdr:to>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B7B688D-A2E0-4246-A361-400853917F86}"/>
                </a:ext>
              </a:extLst>
            </xdr:cNvPr>
            <xdr:cNvSpPr txBox="1"/>
          </xdr:nvSpPr>
          <xdr:spPr>
            <a:xfrm>
              <a:off x="10906125" y="1775460"/>
              <a:ext cx="2709066" cy="615315"/>
            </a:xfrm>
            <a:prstGeom prst="rect">
              <a:avLst/>
            </a:prstGeom>
            <a:noFill/>
          </xdr:spPr>
          <xdr:txBody>
            <a:bodyPr wrap="square" lIns="0" tIns="0" rIns="0" bIns="0" rtlCol="0">
              <a:noAutofit/>
            </a:bodyPr>
            <a:lstStyle>
              <a:defPPr>
                <a:defRPr lang="es-B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14:m>
                <m:oMathPara xmlns:m="http://schemas.openxmlformats.org/officeDocument/2006/math">
                  <m:oMathParaPr>
                    <m:jc m:val="centerGroup"/>
                  </m:oMathParaPr>
                  <m:oMath xmlns:m="http://schemas.openxmlformats.org/officeDocument/2006/math">
                    <m:sSub>
                      <m:sSubPr>
                        <m:ctrlPr>
                          <a:rPr lang="en-US" i="1">
                            <a:latin typeface="Cambria Math" panose="02040503050406030204" pitchFamily="18" charset="0"/>
                          </a:rPr>
                        </m:ctrlPr>
                      </m:sSubPr>
                      <m:e>
                        <m:r>
                          <a:rPr lang="en-US" b="0" i="1">
                            <a:latin typeface="Cambria Math" panose="02040503050406030204" pitchFamily="18" charset="0"/>
                          </a:rPr>
                          <m:t>𝑞</m:t>
                        </m:r>
                      </m:e>
                      <m:sub>
                        <m:r>
                          <a:rPr lang="en-US" b="0" i="1">
                            <a:latin typeface="Cambria Math" panose="02040503050406030204" pitchFamily="18" charset="0"/>
                          </a:rPr>
                          <m:t>𝑠𝑐</m:t>
                        </m:r>
                      </m:sub>
                    </m:sSub>
                    <m:r>
                      <a:rPr lang="en-US" b="0" i="1">
                        <a:latin typeface="Cambria Math" panose="02040503050406030204" pitchFamily="18" charset="0"/>
                      </a:rPr>
                      <m:t>=</m:t>
                    </m:r>
                    <m:r>
                      <a:rPr lang="en-US" b="0" i="1">
                        <a:latin typeface="Cambria Math" panose="02040503050406030204" pitchFamily="18" charset="0"/>
                      </a:rPr>
                      <m:t>𝐶</m:t>
                    </m:r>
                    <m:r>
                      <a:rPr lang="en-US" b="0" i="1">
                        <a:latin typeface="Cambria Math" panose="02040503050406030204" pitchFamily="18" charset="0"/>
                      </a:rPr>
                      <m:t> </m:t>
                    </m:r>
                    <m:sSup>
                      <m:sSupPr>
                        <m:ctrlPr>
                          <a:rPr lang="en-US" b="0" i="1">
                            <a:latin typeface="Cambria Math" panose="02040503050406030204" pitchFamily="18" charset="0"/>
                          </a:rPr>
                        </m:ctrlPr>
                      </m:sSupPr>
                      <m:e>
                        <m:d>
                          <m:dPr>
                            <m:begChr m:val="["/>
                            <m:endChr m:val="]"/>
                            <m:ctrlPr>
                              <a:rPr lang="en-US" b="0" i="1">
                                <a:latin typeface="Cambria Math" panose="02040503050406030204" pitchFamily="18" charset="0"/>
                              </a:rPr>
                            </m:ctrlPr>
                          </m:dPr>
                          <m:e>
                            <m:sSup>
                              <m:sSupPr>
                                <m:ctrlPr>
                                  <a:rPr lang="en-US" i="1">
                                    <a:latin typeface="Cambria Math" panose="02040503050406030204" pitchFamily="18" charset="0"/>
                                  </a:rPr>
                                </m:ctrlPr>
                              </m:sSupPr>
                              <m:e>
                                <m:d>
                                  <m:dPr>
                                    <m:ctrlPr>
                                      <a:rPr lang="en-US" i="1">
                                        <a:latin typeface="Cambria Math" panose="02040503050406030204" pitchFamily="18" charset="0"/>
                                      </a:rPr>
                                    </m:ctrlPr>
                                  </m:dPr>
                                  <m:e>
                                    <m:sSub>
                                      <m:sSubPr>
                                        <m:ctrlPr>
                                          <a:rPr lang="en-US" i="1">
                                            <a:latin typeface="Cambria Math" panose="02040503050406030204" pitchFamily="18" charset="0"/>
                                          </a:rPr>
                                        </m:ctrlPr>
                                      </m:sSubPr>
                                      <m:e>
                                        <m:r>
                                          <a:rPr lang="en-US" i="1">
                                            <a:latin typeface="Cambria Math" panose="02040503050406030204" pitchFamily="18" charset="0"/>
                                          </a:rPr>
                                          <m:t>𝑝</m:t>
                                        </m:r>
                                      </m:e>
                                      <m:sub>
                                        <m:r>
                                          <a:rPr lang="en-US" i="1">
                                            <a:latin typeface="Cambria Math" panose="02040503050406030204" pitchFamily="18" charset="0"/>
                                          </a:rPr>
                                          <m:t>𝑟</m:t>
                                        </m:r>
                                      </m:sub>
                                    </m:sSub>
                                  </m:e>
                                </m:d>
                              </m:e>
                              <m:sup>
                                <m:r>
                                  <a:rPr lang="en-US" i="1">
                                    <a:latin typeface="Cambria Math" panose="02040503050406030204" pitchFamily="18" charset="0"/>
                                  </a:rPr>
                                  <m:t>2</m:t>
                                </m:r>
                              </m:sup>
                            </m:sSup>
                            <m:r>
                              <a:rPr lang="en-US" i="1">
                                <a:latin typeface="Cambria Math" panose="02040503050406030204" pitchFamily="18" charset="0"/>
                              </a:rPr>
                              <m:t> − </m:t>
                            </m:r>
                            <m:sSup>
                              <m:sSupPr>
                                <m:ctrlPr>
                                  <a:rPr lang="en-US" i="1">
                                    <a:latin typeface="Cambria Math" panose="02040503050406030204" pitchFamily="18" charset="0"/>
                                  </a:rPr>
                                </m:ctrlPr>
                              </m:sSupPr>
                              <m:e>
                                <m:d>
                                  <m:dPr>
                                    <m:ctrlPr>
                                      <a:rPr lang="en-US" i="1">
                                        <a:latin typeface="Cambria Math" panose="02040503050406030204" pitchFamily="18" charset="0"/>
                                      </a:rPr>
                                    </m:ctrlPr>
                                  </m:dPr>
                                  <m:e>
                                    <m:sSub>
                                      <m:sSubPr>
                                        <m:ctrlPr>
                                          <a:rPr lang="en-US" i="1">
                                            <a:latin typeface="Cambria Math" panose="02040503050406030204" pitchFamily="18" charset="0"/>
                                          </a:rPr>
                                        </m:ctrlPr>
                                      </m:sSubPr>
                                      <m:e>
                                        <m:r>
                                          <a:rPr lang="en-US" i="1">
                                            <a:latin typeface="Cambria Math" panose="02040503050406030204" pitchFamily="18" charset="0"/>
                                          </a:rPr>
                                          <m:t>𝑝</m:t>
                                        </m:r>
                                      </m:e>
                                      <m:sub>
                                        <m:r>
                                          <a:rPr lang="en-US" i="1">
                                            <a:latin typeface="Cambria Math" panose="02040503050406030204" pitchFamily="18" charset="0"/>
                                          </a:rPr>
                                          <m:t>𝑤𝑓</m:t>
                                        </m:r>
                                      </m:sub>
                                    </m:sSub>
                                  </m:e>
                                </m:d>
                              </m:e>
                              <m:sup>
                                <m:r>
                                  <a:rPr lang="en-US" i="1">
                                    <a:latin typeface="Cambria Math" panose="02040503050406030204" pitchFamily="18" charset="0"/>
                                  </a:rPr>
                                  <m:t>2</m:t>
                                </m:r>
                              </m:sup>
                            </m:sSup>
                          </m:e>
                        </m:d>
                      </m:e>
                      <m:sup>
                        <m:r>
                          <a:rPr lang="en-US" b="0" i="1">
                            <a:latin typeface="Cambria Math" panose="02040503050406030204" pitchFamily="18" charset="0"/>
                          </a:rPr>
                          <m:t>𝑛</m:t>
                        </m:r>
                      </m:sup>
                    </m:sSup>
                  </m:oMath>
                </m:oMathPara>
              </a14:m>
              <a:endParaRPr lang="es-BO"/>
            </a:p>
          </xdr:txBody>
        </xdr:sp>
      </mc:Choice>
      <mc:Fallback xmlns="">
        <xdr:sp macro="" textlink="">
          <xdr:nvSpPr>
            <xdr:cNvPr id="4" name="TextBox 3">
              <a:extLst>
                <a:ext uri="{FF2B5EF4-FFF2-40B4-BE49-F238E27FC236}">
                  <a16:creationId xmlns:a16="http://schemas.microsoft.com/office/drawing/2014/main" id="{0B7B688D-A2E0-4246-A361-400853917F86}"/>
                </a:ext>
              </a:extLst>
            </xdr:cNvPr>
            <xdr:cNvSpPr txBox="1"/>
          </xdr:nvSpPr>
          <xdr:spPr>
            <a:xfrm>
              <a:off x="10906125" y="1775460"/>
              <a:ext cx="2709066" cy="615315"/>
            </a:xfrm>
            <a:prstGeom prst="rect">
              <a:avLst/>
            </a:prstGeom>
            <a:noFill/>
          </xdr:spPr>
          <xdr:txBody>
            <a:bodyPr wrap="square" lIns="0" tIns="0" rIns="0" bIns="0" rtlCol="0">
              <a:noAutofit/>
            </a:bodyPr>
            <a:lstStyle>
              <a:defPPr>
                <a:defRPr lang="es-BO"/>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r>
                <a:rPr lang="en-US" b="0" i="0">
                  <a:latin typeface="Cambria Math" panose="02040503050406030204" pitchFamily="18" charset="0"/>
                </a:rPr>
                <a:t>𝑞_𝑠𝑐=𝐶 [(</a:t>
              </a:r>
              <a:r>
                <a:rPr lang="en-US" i="0">
                  <a:latin typeface="Cambria Math" panose="02040503050406030204" pitchFamily="18" charset="0"/>
                </a:rPr>
                <a:t>𝑝_𝑟 )^2  − (𝑝_𝑤𝑓 )^2 ]</a:t>
              </a:r>
              <a:r>
                <a:rPr lang="en-US" b="0" i="0">
                  <a:latin typeface="Cambria Math" panose="02040503050406030204" pitchFamily="18" charset="0"/>
                </a:rPr>
                <a:t>^𝑛</a:t>
              </a:r>
              <a:endParaRPr lang="es-BO"/>
            </a:p>
          </xdr:txBody>
        </xdr:sp>
      </mc:Fallback>
    </mc:AlternateContent>
    <xdr:clientData/>
  </xdr:twoCellAnchor>
  <xdr:twoCellAnchor editAs="oneCell">
    <xdr:from>
      <xdr:col>16</xdr:col>
      <xdr:colOff>371475</xdr:colOff>
      <xdr:row>13</xdr:row>
      <xdr:rowOff>152400</xdr:rowOff>
    </xdr:from>
    <xdr:to>
      <xdr:col>22</xdr:col>
      <xdr:colOff>327582</xdr:colOff>
      <xdr:row>27</xdr:row>
      <xdr:rowOff>153772</xdr:rowOff>
    </xdr:to>
    <xdr:pic>
      <xdr:nvPicPr>
        <xdr:cNvPr id="5" name="Picture 4">
          <a:extLst>
            <a:ext uri="{FF2B5EF4-FFF2-40B4-BE49-F238E27FC236}">
              <a16:creationId xmlns:a16="http://schemas.microsoft.com/office/drawing/2014/main" id="{4C5615F1-2514-46B9-F836-B0F122FE6B21}"/>
            </a:ext>
          </a:extLst>
        </xdr:cNvPr>
        <xdr:cNvPicPr>
          <a:picLocks noChangeAspect="1"/>
        </xdr:cNvPicPr>
      </xdr:nvPicPr>
      <xdr:blipFill>
        <a:blip xmlns:r="http://schemas.openxmlformats.org/officeDocument/2006/relationships" r:embed="rId2"/>
        <a:stretch>
          <a:fillRect/>
        </a:stretch>
      </xdr:blipFill>
      <xdr:spPr>
        <a:xfrm>
          <a:off x="10582275" y="2733675"/>
          <a:ext cx="3499407" cy="263979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5</xdr:col>
      <xdr:colOff>0</xdr:colOff>
      <xdr:row>0</xdr:row>
      <xdr:rowOff>0</xdr:rowOff>
    </xdr:from>
    <xdr:to>
      <xdr:col>28</xdr:col>
      <xdr:colOff>0</xdr:colOff>
      <xdr:row>30</xdr:row>
      <xdr:rowOff>0</xdr:rowOff>
    </xdr:to>
    <xdr:graphicFrame macro="">
      <xdr:nvGraphicFramePr>
        <xdr:cNvPr id="2" name="System_Sens">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0</xdr:colOff>
      <xdr:row>30</xdr:row>
      <xdr:rowOff>0</xdr:rowOff>
    </xdr:from>
    <xdr:to>
      <xdr:col>28</xdr:col>
      <xdr:colOff>0</xdr:colOff>
      <xdr:row>45</xdr:row>
      <xdr:rowOff>0</xdr:rowOff>
    </xdr:to>
    <xdr:graphicFrame macro="">
      <xdr:nvGraphicFramePr>
        <xdr:cNvPr id="3" name="dP_System">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xdr:col>
      <xdr:colOff>85725</xdr:colOff>
      <xdr:row>42</xdr:row>
      <xdr:rowOff>47625</xdr:rowOff>
    </xdr:from>
    <xdr:to>
      <xdr:col>2</xdr:col>
      <xdr:colOff>1219200</xdr:colOff>
      <xdr:row>71</xdr:row>
      <xdr:rowOff>95250</xdr:rowOff>
    </xdr:to>
    <xdr:pic>
      <xdr:nvPicPr>
        <xdr:cNvPr id="5" name="Picture 4">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181225" y="6543675"/>
          <a:ext cx="1133475" cy="446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xdr:row>
      <xdr:rowOff>6350</xdr:rowOff>
    </xdr:from>
    <xdr:to>
      <xdr:col>21</xdr:col>
      <xdr:colOff>0</xdr:colOff>
      <xdr:row>29</xdr:row>
      <xdr:rowOff>6350</xdr:rowOff>
    </xdr:to>
    <xdr:graphicFrame macro="">
      <xdr:nvGraphicFramePr>
        <xdr:cNvPr id="3" name="Static">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21</xdr:col>
      <xdr:colOff>0</xdr:colOff>
      <xdr:row>1</xdr:row>
      <xdr:rowOff>6350</xdr:rowOff>
    </xdr:from>
    <xdr:to>
      <xdr:col>28</xdr:col>
      <xdr:colOff>0</xdr:colOff>
      <xdr:row>29</xdr:row>
      <xdr:rowOff>6350</xdr:rowOff>
    </xdr:to>
    <xdr:graphicFrame macro="">
      <xdr:nvGraphicFramePr>
        <xdr:cNvPr id="4" name="Gradient">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320675</xdr:colOff>
      <xdr:row>12</xdr:row>
      <xdr:rowOff>127000</xdr:rowOff>
    </xdr:from>
    <xdr:to>
      <xdr:col>3</xdr:col>
      <xdr:colOff>464675</xdr:colOff>
      <xdr:row>13</xdr:row>
      <xdr:rowOff>118600</xdr:rowOff>
    </xdr:to>
    <xdr:sp macro="" textlink="">
      <xdr:nvSpPr>
        <xdr:cNvPr id="2" name="Oval 1" descr="ff000034-f18d-406d-810a-11473e382cd0">
          <a:extLst>
            <a:ext uri="{FF2B5EF4-FFF2-40B4-BE49-F238E27FC236}">
              <a16:creationId xmlns:a16="http://schemas.microsoft.com/office/drawing/2014/main" id="{00000000-0008-0000-0700-000002000000}"/>
            </a:ext>
          </a:extLst>
        </xdr:cNvPr>
        <xdr:cNvSpPr/>
      </xdr:nvSpPr>
      <xdr:spPr>
        <a:xfrm>
          <a:off x="2749550" y="1955800"/>
          <a:ext cx="144000" cy="144000"/>
        </a:xfrm>
        <a:prstGeom prst="ellips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320675</xdr:colOff>
      <xdr:row>12</xdr:row>
      <xdr:rowOff>127000</xdr:rowOff>
    </xdr:from>
    <xdr:to>
      <xdr:col>4</xdr:col>
      <xdr:colOff>464675</xdr:colOff>
      <xdr:row>13</xdr:row>
      <xdr:rowOff>118600</xdr:rowOff>
    </xdr:to>
    <xdr:sp macro="" textlink="">
      <xdr:nvSpPr>
        <xdr:cNvPr id="5" name="Oval 2" descr="6a1552af-477b-42b8-9fce-071d978e8f12">
          <a:extLst>
            <a:ext uri="{FF2B5EF4-FFF2-40B4-BE49-F238E27FC236}">
              <a16:creationId xmlns:a16="http://schemas.microsoft.com/office/drawing/2014/main" id="{00000000-0008-0000-0700-000005000000}"/>
            </a:ext>
          </a:extLst>
        </xdr:cNvPr>
        <xdr:cNvSpPr/>
      </xdr:nvSpPr>
      <xdr:spPr>
        <a:xfrm>
          <a:off x="3340100" y="1955800"/>
          <a:ext cx="144000" cy="144000"/>
        </a:xfrm>
        <a:prstGeom prst="ellipse">
          <a:avLst/>
        </a:prstGeom>
        <a:solidFill>
          <a:srgbClr val="FFFF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320675</xdr:colOff>
      <xdr:row>12</xdr:row>
      <xdr:rowOff>127000</xdr:rowOff>
    </xdr:from>
    <xdr:to>
      <xdr:col>5</xdr:col>
      <xdr:colOff>464675</xdr:colOff>
      <xdr:row>13</xdr:row>
      <xdr:rowOff>118600</xdr:rowOff>
    </xdr:to>
    <xdr:sp macro="" textlink="">
      <xdr:nvSpPr>
        <xdr:cNvPr id="6" name="Oval 3" descr="874409c7-6d6e-4184-90de-ab8c1455022d">
          <a:extLst>
            <a:ext uri="{FF2B5EF4-FFF2-40B4-BE49-F238E27FC236}">
              <a16:creationId xmlns:a16="http://schemas.microsoft.com/office/drawing/2014/main" id="{00000000-0008-0000-0700-000006000000}"/>
            </a:ext>
          </a:extLst>
        </xdr:cNvPr>
        <xdr:cNvSpPr/>
      </xdr:nvSpPr>
      <xdr:spPr>
        <a:xfrm>
          <a:off x="3930650" y="1955800"/>
          <a:ext cx="144000" cy="144000"/>
        </a:xfrm>
        <a:prstGeom prst="ellipse">
          <a:avLst/>
        </a:prstGeom>
        <a:solidFill>
          <a:srgbClr val="0000FF"/>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320675</xdr:colOff>
      <xdr:row>12</xdr:row>
      <xdr:rowOff>127000</xdr:rowOff>
    </xdr:from>
    <xdr:to>
      <xdr:col>6</xdr:col>
      <xdr:colOff>464675</xdr:colOff>
      <xdr:row>13</xdr:row>
      <xdr:rowOff>118600</xdr:rowOff>
    </xdr:to>
    <xdr:sp macro="" textlink="">
      <xdr:nvSpPr>
        <xdr:cNvPr id="7" name="Oval 4" descr="3d6328ff-a0da-4340-b45b-aced324eab55">
          <a:extLst>
            <a:ext uri="{FF2B5EF4-FFF2-40B4-BE49-F238E27FC236}">
              <a16:creationId xmlns:a16="http://schemas.microsoft.com/office/drawing/2014/main" id="{00000000-0008-0000-0700-000007000000}"/>
            </a:ext>
          </a:extLst>
        </xdr:cNvPr>
        <xdr:cNvSpPr/>
      </xdr:nvSpPr>
      <xdr:spPr>
        <a:xfrm>
          <a:off x="4521200" y="1955800"/>
          <a:ext cx="144000" cy="144000"/>
        </a:xfrm>
        <a:prstGeom prst="ellipse">
          <a:avLst/>
        </a:prstGeom>
        <a:solidFill>
          <a:srgbClr val="00CC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xdr:col>
      <xdr:colOff>0</xdr:colOff>
      <xdr:row>499</xdr:row>
      <xdr:rowOff>0</xdr:rowOff>
    </xdr:from>
    <xdr:to>
      <xdr:col>4</xdr:col>
      <xdr:colOff>144000</xdr:colOff>
      <xdr:row>499</xdr:row>
      <xdr:rowOff>144000</xdr:rowOff>
    </xdr:to>
    <xdr:sp macro="" textlink="">
      <xdr:nvSpPr>
        <xdr:cNvPr id="8" name="Oval 5" descr="e6f1f422-6caf-40bd-8243-8d0b157c6122">
          <a:extLst>
            <a:ext uri="{FF2B5EF4-FFF2-40B4-BE49-F238E27FC236}">
              <a16:creationId xmlns:a16="http://schemas.microsoft.com/office/drawing/2014/main" id="{00000000-0008-0000-0700-000008000000}"/>
            </a:ext>
          </a:extLst>
        </xdr:cNvPr>
        <xdr:cNvSpPr/>
      </xdr:nvSpPr>
      <xdr:spPr>
        <a:xfrm>
          <a:off x="3019425" y="76047600"/>
          <a:ext cx="144000" cy="144000"/>
        </a:xfrm>
        <a:prstGeom prst="ellips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0</xdr:colOff>
      <xdr:row>499</xdr:row>
      <xdr:rowOff>0</xdr:rowOff>
    </xdr:from>
    <xdr:to>
      <xdr:col>5</xdr:col>
      <xdr:colOff>144000</xdr:colOff>
      <xdr:row>499</xdr:row>
      <xdr:rowOff>144000</xdr:rowOff>
    </xdr:to>
    <xdr:sp macro="" textlink="">
      <xdr:nvSpPr>
        <xdr:cNvPr id="9" name="Oval 6" descr="c80f2d89-100e-4ae9-b8c7-1eb29933fac1">
          <a:extLst>
            <a:ext uri="{FF2B5EF4-FFF2-40B4-BE49-F238E27FC236}">
              <a16:creationId xmlns:a16="http://schemas.microsoft.com/office/drawing/2014/main" id="{00000000-0008-0000-0700-000009000000}"/>
            </a:ext>
          </a:extLst>
        </xdr:cNvPr>
        <xdr:cNvSpPr/>
      </xdr:nvSpPr>
      <xdr:spPr>
        <a:xfrm>
          <a:off x="3609975" y="76047600"/>
          <a:ext cx="144000" cy="144000"/>
        </a:xfrm>
        <a:prstGeom prst="ellips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6</xdr:col>
      <xdr:colOff>0</xdr:colOff>
      <xdr:row>499</xdr:row>
      <xdr:rowOff>0</xdr:rowOff>
    </xdr:from>
    <xdr:to>
      <xdr:col>6</xdr:col>
      <xdr:colOff>144000</xdr:colOff>
      <xdr:row>499</xdr:row>
      <xdr:rowOff>144000</xdr:rowOff>
    </xdr:to>
    <xdr:sp macro="" textlink="">
      <xdr:nvSpPr>
        <xdr:cNvPr id="10" name="Oval 7" descr="d0577996-c42b-4e56-95cd-905d0ed4c945">
          <a:extLst>
            <a:ext uri="{FF2B5EF4-FFF2-40B4-BE49-F238E27FC236}">
              <a16:creationId xmlns:a16="http://schemas.microsoft.com/office/drawing/2014/main" id="{00000000-0008-0000-0700-00000A000000}"/>
            </a:ext>
          </a:extLst>
        </xdr:cNvPr>
        <xdr:cNvSpPr/>
      </xdr:nvSpPr>
      <xdr:spPr>
        <a:xfrm>
          <a:off x="4200525" y="76047600"/>
          <a:ext cx="144000" cy="144000"/>
        </a:xfrm>
        <a:prstGeom prst="ellips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0</xdr:colOff>
      <xdr:row>499</xdr:row>
      <xdr:rowOff>0</xdr:rowOff>
    </xdr:from>
    <xdr:to>
      <xdr:col>7</xdr:col>
      <xdr:colOff>144000</xdr:colOff>
      <xdr:row>499</xdr:row>
      <xdr:rowOff>144000</xdr:rowOff>
    </xdr:to>
    <xdr:sp macro="" textlink="">
      <xdr:nvSpPr>
        <xdr:cNvPr id="11" name="Oval 8" descr="ce6b33b6-95d3-4086-b44a-13997416d01e">
          <a:extLst>
            <a:ext uri="{FF2B5EF4-FFF2-40B4-BE49-F238E27FC236}">
              <a16:creationId xmlns:a16="http://schemas.microsoft.com/office/drawing/2014/main" id="{00000000-0008-0000-0700-00000B000000}"/>
            </a:ext>
          </a:extLst>
        </xdr:cNvPr>
        <xdr:cNvSpPr/>
      </xdr:nvSpPr>
      <xdr:spPr>
        <a:xfrm>
          <a:off x="4791075" y="76047600"/>
          <a:ext cx="144000" cy="144000"/>
        </a:xfrm>
        <a:prstGeom prst="ellips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0</xdr:colOff>
      <xdr:row>499</xdr:row>
      <xdr:rowOff>0</xdr:rowOff>
    </xdr:from>
    <xdr:to>
      <xdr:col>8</xdr:col>
      <xdr:colOff>144000</xdr:colOff>
      <xdr:row>499</xdr:row>
      <xdr:rowOff>144000</xdr:rowOff>
    </xdr:to>
    <xdr:sp macro="" textlink="">
      <xdr:nvSpPr>
        <xdr:cNvPr id="12" name="Oval 9" descr="db67d8e9-e117-4a11-bf33-93d7595ac15f">
          <a:extLst>
            <a:ext uri="{FF2B5EF4-FFF2-40B4-BE49-F238E27FC236}">
              <a16:creationId xmlns:a16="http://schemas.microsoft.com/office/drawing/2014/main" id="{00000000-0008-0000-0700-00000C000000}"/>
            </a:ext>
          </a:extLst>
        </xdr:cNvPr>
        <xdr:cNvSpPr/>
      </xdr:nvSpPr>
      <xdr:spPr>
        <a:xfrm>
          <a:off x="5381625" y="76047600"/>
          <a:ext cx="144000" cy="144000"/>
        </a:xfrm>
        <a:prstGeom prst="ellips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0</xdr:colOff>
      <xdr:row>499</xdr:row>
      <xdr:rowOff>0</xdr:rowOff>
    </xdr:from>
    <xdr:to>
      <xdr:col>9</xdr:col>
      <xdr:colOff>144000</xdr:colOff>
      <xdr:row>499</xdr:row>
      <xdr:rowOff>144000</xdr:rowOff>
    </xdr:to>
    <xdr:sp macro="" textlink="">
      <xdr:nvSpPr>
        <xdr:cNvPr id="13" name="Oval 10" descr="a11c9185-4420-42d1-b513-ca9c54b0bc40">
          <a:extLst>
            <a:ext uri="{FF2B5EF4-FFF2-40B4-BE49-F238E27FC236}">
              <a16:creationId xmlns:a16="http://schemas.microsoft.com/office/drawing/2014/main" id="{00000000-0008-0000-0700-00000D000000}"/>
            </a:ext>
          </a:extLst>
        </xdr:cNvPr>
        <xdr:cNvSpPr/>
      </xdr:nvSpPr>
      <xdr:spPr>
        <a:xfrm>
          <a:off x="5972175" y="76047600"/>
          <a:ext cx="144000" cy="144000"/>
        </a:xfrm>
        <a:prstGeom prst="ellips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14</xdr:col>
      <xdr:colOff>723900</xdr:colOff>
      <xdr:row>7</xdr:row>
      <xdr:rowOff>47625</xdr:rowOff>
    </xdr:from>
    <xdr:to>
      <xdr:col>28</xdr:col>
      <xdr:colOff>466725</xdr:colOff>
      <xdr:row>19</xdr:row>
      <xdr:rowOff>95250</xdr:rowOff>
    </xdr:to>
    <xdr:graphicFrame macro="">
      <xdr:nvGraphicFramePr>
        <xdr:cNvPr id="2" name="SG_Chart">
          <a:extLst>
            <a:ext uri="{FF2B5EF4-FFF2-40B4-BE49-F238E27FC236}">
              <a16:creationId xmlns:a16="http://schemas.microsoft.com/office/drawing/2014/main" id="{F3A2C8C6-1810-4AEC-BC8D-ECAEC279B90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14</xdr:col>
      <xdr:colOff>723899</xdr:colOff>
      <xdr:row>38</xdr:row>
      <xdr:rowOff>85725</xdr:rowOff>
    </xdr:from>
    <xdr:to>
      <xdr:col>28</xdr:col>
      <xdr:colOff>466724</xdr:colOff>
      <xdr:row>58</xdr:row>
      <xdr:rowOff>9525</xdr:rowOff>
    </xdr:to>
    <xdr:graphicFrame macro="">
      <xdr:nvGraphicFramePr>
        <xdr:cNvPr id="3" name="Impurities_chart">
          <a:extLst>
            <a:ext uri="{FF2B5EF4-FFF2-40B4-BE49-F238E27FC236}">
              <a16:creationId xmlns:a16="http://schemas.microsoft.com/office/drawing/2014/main" id="{1C3BECA8-5C1C-48A2-9D4D-9528B3B9F3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14</xdr:col>
      <xdr:colOff>723900</xdr:colOff>
      <xdr:row>19</xdr:row>
      <xdr:rowOff>95250</xdr:rowOff>
    </xdr:from>
    <xdr:to>
      <xdr:col>28</xdr:col>
      <xdr:colOff>466725</xdr:colOff>
      <xdr:row>38</xdr:row>
      <xdr:rowOff>95250</xdr:rowOff>
    </xdr:to>
    <xdr:graphicFrame macro="">
      <xdr:nvGraphicFramePr>
        <xdr:cNvPr id="4" name="Composition_Chart">
          <a:extLst>
            <a:ext uri="{FF2B5EF4-FFF2-40B4-BE49-F238E27FC236}">
              <a16:creationId xmlns:a16="http://schemas.microsoft.com/office/drawing/2014/main" id="{7B8B861D-9217-4EDE-95C4-86AAC05038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5</xdr:col>
      <xdr:colOff>38099</xdr:colOff>
      <xdr:row>7</xdr:row>
      <xdr:rowOff>47625</xdr:rowOff>
    </xdr:from>
    <xdr:to>
      <xdr:col>14</xdr:col>
      <xdr:colOff>581025</xdr:colOff>
      <xdr:row>26</xdr:row>
      <xdr:rowOff>47625</xdr:rowOff>
    </xdr:to>
    <xdr:graphicFrame macro="">
      <xdr:nvGraphicFramePr>
        <xdr:cNvPr id="5" name="Heat_Chart">
          <a:extLst>
            <a:ext uri="{FF2B5EF4-FFF2-40B4-BE49-F238E27FC236}">
              <a16:creationId xmlns:a16="http://schemas.microsoft.com/office/drawing/2014/main" id="{6C21E6D6-0C67-461E-B45C-E639C8D0F1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xdr:col>
      <xdr:colOff>9525</xdr:colOff>
      <xdr:row>40</xdr:row>
      <xdr:rowOff>47626</xdr:rowOff>
    </xdr:from>
    <xdr:to>
      <xdr:col>9</xdr:col>
      <xdr:colOff>647700</xdr:colOff>
      <xdr:row>49</xdr:row>
      <xdr:rowOff>9526</xdr:rowOff>
    </xdr:to>
    <xdr:sp macro="" textlink="">
      <xdr:nvSpPr>
        <xdr:cNvPr id="4" name="Snip Single Corner Rectangle 3" descr="d1c29780-d406-4ee5-92f2-87ce6a78791e">
          <a:extLst>
            <a:ext uri="{FF2B5EF4-FFF2-40B4-BE49-F238E27FC236}">
              <a16:creationId xmlns:a16="http://schemas.microsoft.com/office/drawing/2014/main" id="{00000000-0008-0000-0600-000004000000}"/>
            </a:ext>
          </a:extLst>
        </xdr:cNvPr>
        <xdr:cNvSpPr/>
      </xdr:nvSpPr>
      <xdr:spPr>
        <a:xfrm>
          <a:off x="161925" y="6057901"/>
          <a:ext cx="4981575" cy="1304925"/>
        </a:xfrm>
        <a:prstGeom prst="snip1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r>
            <a:rPr lang="es-BO" sz="1100" b="1">
              <a:latin typeface="Consolas" pitchFamily="49" charset="0"/>
              <a:cs typeface="Consolas" pitchFamily="49" charset="0"/>
            </a:rPr>
            <a:t>How to:</a:t>
          </a:r>
        </a:p>
        <a:p>
          <a:pPr algn="l"/>
          <a:r>
            <a:rPr lang="es-BO" sz="1100">
              <a:latin typeface="Consolas" pitchFamily="49" charset="0"/>
              <a:cs typeface="Consolas" pitchFamily="49" charset="0"/>
            </a:rPr>
            <a:t>1. Importar soluciones de la sensibilidad al sistema</a:t>
          </a:r>
        </a:p>
        <a:p>
          <a:pPr algn="l"/>
          <a:r>
            <a:rPr lang="es-BO" sz="1100">
              <a:latin typeface="Consolas" pitchFamily="49" charset="0"/>
              <a:cs typeface="Consolas" pitchFamily="49" charset="0"/>
            </a:rPr>
            <a:t>2. Introducir los periodos</a:t>
          </a:r>
          <a:r>
            <a:rPr lang="es-BO" sz="1100" baseline="0">
              <a:latin typeface="Consolas" pitchFamily="49" charset="0"/>
              <a:cs typeface="Consolas" pitchFamily="49" charset="0"/>
            </a:rPr>
            <a:t> (Choke, Tiempo y Descripción)</a:t>
          </a:r>
        </a:p>
        <a:p>
          <a:pPr algn="l"/>
          <a:r>
            <a:rPr lang="es-BO" sz="1100" baseline="0">
              <a:latin typeface="Consolas" pitchFamily="49" charset="0"/>
              <a:cs typeface="Consolas" pitchFamily="49" charset="0"/>
            </a:rPr>
            <a:t>3. Generar Tablas para cada periodo</a:t>
          </a:r>
        </a:p>
        <a:p>
          <a:pPr algn="l"/>
          <a:r>
            <a:rPr lang="es-BO" sz="1100" baseline="0">
              <a:latin typeface="Consolas" pitchFamily="49" charset="0"/>
              <a:cs typeface="Consolas" pitchFamily="49" charset="0"/>
            </a:rPr>
            <a:t>4. Exportar reporte a PowerPoint</a:t>
          </a:r>
          <a:endParaRPr lang="es-BO" sz="1100">
            <a:latin typeface="Consolas" pitchFamily="49" charset="0"/>
            <a:cs typeface="Consolas" pitchFamily="49" charset="0"/>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16</xdr:col>
      <xdr:colOff>22860</xdr:colOff>
      <xdr:row>0</xdr:row>
      <xdr:rowOff>49530</xdr:rowOff>
    </xdr:from>
    <xdr:to>
      <xdr:col>24</xdr:col>
      <xdr:colOff>453390</xdr:colOff>
      <xdr:row>28</xdr:row>
      <xdr:rowOff>125730</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12</xdr:col>
      <xdr:colOff>348615</xdr:colOff>
      <xdr:row>1</xdr:row>
      <xdr:rowOff>91440</xdr:rowOff>
    </xdr:from>
    <xdr:to>
      <xdr:col>21</xdr:col>
      <xdr:colOff>531495</xdr:colOff>
      <xdr:row>27</xdr:row>
      <xdr:rowOff>60960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6</xdr:col>
      <xdr:colOff>45720</xdr:colOff>
      <xdr:row>1</xdr:row>
      <xdr:rowOff>0</xdr:rowOff>
    </xdr:from>
    <xdr:to>
      <xdr:col>15</xdr:col>
      <xdr:colOff>228600</xdr:colOff>
      <xdr:row>29</xdr:row>
      <xdr:rowOff>76200</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10</xdr:col>
      <xdr:colOff>66675</xdr:colOff>
      <xdr:row>1</xdr:row>
      <xdr:rowOff>47625</xdr:rowOff>
    </xdr:from>
    <xdr:to>
      <xdr:col>22</xdr:col>
      <xdr:colOff>200025</xdr:colOff>
      <xdr:row>34</xdr:row>
      <xdr:rowOff>38099</xdr:rowOff>
    </xdr:to>
    <xdr:graphicFrame macro="">
      <xdr:nvGraphicFramePr>
        <xdr:cNvPr id="4" name="Gradient">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28575</xdr:colOff>
      <xdr:row>6</xdr:row>
      <xdr:rowOff>114300</xdr:rowOff>
    </xdr:from>
    <xdr:to>
      <xdr:col>6</xdr:col>
      <xdr:colOff>419100</xdr:colOff>
      <xdr:row>9</xdr:row>
      <xdr:rowOff>104775</xdr:rowOff>
    </xdr:to>
    <xdr:sp macro="" textlink="">
      <xdr:nvSpPr>
        <xdr:cNvPr id="18437" name="CommandButton1" descr="fef66bd1-ee11-4911-b7c9-306ccafa72f7" hidden="1">
          <a:extLst>
            <a:ext uri="{63B3BB69-23CF-44E3-9099-C40C66FF867C}">
              <a14:compatExt xmlns:a14="http://schemas.microsoft.com/office/drawing/2010/main" spid="_x0000_s18437"/>
            </a:ext>
            <a:ext uri="{FF2B5EF4-FFF2-40B4-BE49-F238E27FC236}">
              <a16:creationId xmlns:a16="http://schemas.microsoft.com/office/drawing/2014/main" id="{00000000-0008-0000-0E00-00000548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5</xdr:col>
      <xdr:colOff>28575</xdr:colOff>
      <xdr:row>2</xdr:row>
      <xdr:rowOff>114300</xdr:rowOff>
    </xdr:from>
    <xdr:to>
      <xdr:col>6</xdr:col>
      <xdr:colOff>419100</xdr:colOff>
      <xdr:row>5</xdr:row>
      <xdr:rowOff>104775</xdr:rowOff>
    </xdr:to>
    <xdr:sp macro="" textlink="">
      <xdr:nvSpPr>
        <xdr:cNvPr id="18440" name="CommandButton2" descr="095191fc-4773-4566-bfcf-6371cc9ab809" hidden="1">
          <a:extLst>
            <a:ext uri="{63B3BB69-23CF-44E3-9099-C40C66FF867C}">
              <a14:compatExt xmlns:a14="http://schemas.microsoft.com/office/drawing/2010/main" spid="_x0000_s18440"/>
            </a:ext>
            <a:ext uri="{FF2B5EF4-FFF2-40B4-BE49-F238E27FC236}">
              <a16:creationId xmlns:a16="http://schemas.microsoft.com/office/drawing/2014/main" id="{00000000-0008-0000-0E00-00000848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7</xdr:col>
      <xdr:colOff>0</xdr:colOff>
      <xdr:row>6</xdr:row>
      <xdr:rowOff>133350</xdr:rowOff>
    </xdr:from>
    <xdr:to>
      <xdr:col>9</xdr:col>
      <xdr:colOff>9525</xdr:colOff>
      <xdr:row>9</xdr:row>
      <xdr:rowOff>114300</xdr:rowOff>
    </xdr:to>
    <xdr:sp macro="" textlink="">
      <xdr:nvSpPr>
        <xdr:cNvPr id="18441" name="CommandButton3" descr="002ff891-cf9f-4d53-8431-6eac2c413456" hidden="1">
          <a:extLst>
            <a:ext uri="{63B3BB69-23CF-44E3-9099-C40C66FF867C}">
              <a14:compatExt xmlns:a14="http://schemas.microsoft.com/office/drawing/2010/main" spid="_x0000_s18441"/>
            </a:ext>
            <a:ext uri="{FF2B5EF4-FFF2-40B4-BE49-F238E27FC236}">
              <a16:creationId xmlns:a16="http://schemas.microsoft.com/office/drawing/2014/main" id="{00000000-0008-0000-0E00-00000948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editAs="oneCell">
    <xdr:from>
      <xdr:col>7</xdr:col>
      <xdr:colOff>0</xdr:colOff>
      <xdr:row>2</xdr:row>
      <xdr:rowOff>104775</xdr:rowOff>
    </xdr:from>
    <xdr:to>
      <xdr:col>9</xdr:col>
      <xdr:colOff>9525</xdr:colOff>
      <xdr:row>5</xdr:row>
      <xdr:rowOff>85725</xdr:rowOff>
    </xdr:to>
    <xdr:sp macro="" textlink="">
      <xdr:nvSpPr>
        <xdr:cNvPr id="18443" name="CommandButton4" descr="6bf12acc-f70b-4011-85b6-ed6373ddf2ab" hidden="1">
          <a:extLst>
            <a:ext uri="{63B3BB69-23CF-44E3-9099-C40C66FF867C}">
              <a14:compatExt xmlns:a14="http://schemas.microsoft.com/office/drawing/2010/main" spid="_x0000_s18443"/>
            </a:ext>
            <a:ext uri="{FF2B5EF4-FFF2-40B4-BE49-F238E27FC236}">
              <a16:creationId xmlns:a16="http://schemas.microsoft.com/office/drawing/2014/main" id="{00000000-0008-0000-0E00-00000B48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5</xdr:col>
          <xdr:colOff>28575</xdr:colOff>
          <xdr:row>5</xdr:row>
          <xdr:rowOff>76200</xdr:rowOff>
        </xdr:from>
        <xdr:to>
          <xdr:col>6</xdr:col>
          <xdr:colOff>400050</xdr:colOff>
          <xdr:row>7</xdr:row>
          <xdr:rowOff>123825</xdr:rowOff>
        </xdr:to>
        <xdr:sp macro="" textlink="">
          <xdr:nvSpPr>
            <xdr:cNvPr id="18444" name="CommandButton1" hidden="1">
              <a:extLst>
                <a:ext uri="{63B3BB69-23CF-44E3-9099-C40C66FF867C}">
                  <a14:compatExt spid="_x0000_s18444"/>
                </a:ext>
                <a:ext uri="{FF2B5EF4-FFF2-40B4-BE49-F238E27FC236}">
                  <a16:creationId xmlns:a16="http://schemas.microsoft.com/office/drawing/2014/main" id="{00000000-0008-0000-1000-00000C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38100</xdr:colOff>
          <xdr:row>2</xdr:row>
          <xdr:rowOff>0</xdr:rowOff>
        </xdr:from>
        <xdr:to>
          <xdr:col>6</xdr:col>
          <xdr:colOff>409575</xdr:colOff>
          <xdr:row>4</xdr:row>
          <xdr:rowOff>47625</xdr:rowOff>
        </xdr:to>
        <xdr:sp macro="" textlink="">
          <xdr:nvSpPr>
            <xdr:cNvPr id="18445" name="CommandButton2" hidden="1">
              <a:extLst>
                <a:ext uri="{63B3BB69-23CF-44E3-9099-C40C66FF867C}">
                  <a14:compatExt spid="_x0000_s18445"/>
                </a:ext>
                <a:ext uri="{FF2B5EF4-FFF2-40B4-BE49-F238E27FC236}">
                  <a16:creationId xmlns:a16="http://schemas.microsoft.com/office/drawing/2014/main" id="{00000000-0008-0000-1000-00000D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504825</xdr:colOff>
          <xdr:row>5</xdr:row>
          <xdr:rowOff>133350</xdr:rowOff>
        </xdr:from>
        <xdr:to>
          <xdr:col>9</xdr:col>
          <xdr:colOff>19050</xdr:colOff>
          <xdr:row>8</xdr:row>
          <xdr:rowOff>123825</xdr:rowOff>
        </xdr:to>
        <xdr:sp macro="" textlink="">
          <xdr:nvSpPr>
            <xdr:cNvPr id="18446" name="CommandButton3" hidden="1">
              <a:extLst>
                <a:ext uri="{63B3BB69-23CF-44E3-9099-C40C66FF867C}">
                  <a14:compatExt spid="_x0000_s18446"/>
                </a:ext>
                <a:ext uri="{FF2B5EF4-FFF2-40B4-BE49-F238E27FC236}">
                  <a16:creationId xmlns:a16="http://schemas.microsoft.com/office/drawing/2014/main" id="{00000000-0008-0000-1000-00000E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514350</xdr:colOff>
          <xdr:row>1</xdr:row>
          <xdr:rowOff>123825</xdr:rowOff>
        </xdr:from>
        <xdr:to>
          <xdr:col>9</xdr:col>
          <xdr:colOff>66675</xdr:colOff>
          <xdr:row>4</xdr:row>
          <xdr:rowOff>114300</xdr:rowOff>
        </xdr:to>
        <xdr:sp macro="" textlink="">
          <xdr:nvSpPr>
            <xdr:cNvPr id="18447" name="CommandButton4" hidden="1">
              <a:extLst>
                <a:ext uri="{63B3BB69-23CF-44E3-9099-C40C66FF867C}">
                  <a14:compatExt spid="_x0000_s18447"/>
                </a:ext>
                <a:ext uri="{FF2B5EF4-FFF2-40B4-BE49-F238E27FC236}">
                  <a16:creationId xmlns:a16="http://schemas.microsoft.com/office/drawing/2014/main" id="{00000000-0008-0000-1000-00000F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sivilaff\Documents\PER\02.%20VBA%202.0\PROSPER\01.%20Prosper%20Sense\04.%20PROSPER%20Sense%20v.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mmary"/>
      <sheetName val="IPR Data"/>
      <sheetName val="PROSPER Variables"/>
      <sheetName val="Equipment Data"/>
      <sheetName val="Sensitivity"/>
      <sheetName val="Solutions"/>
      <sheetName val="Gas Burning Schedule"/>
      <sheetName val="Gas Burning Report"/>
      <sheetName val="Printers_List_Hide"/>
      <sheetName val="Sensitivity_variabl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ow r="7">
          <cell r="D7" t="str">
            <v>Reservoir Pressure</v>
          </cell>
        </row>
        <row r="8">
          <cell r="D8" t="str">
            <v>Skin</v>
          </cell>
        </row>
        <row r="9">
          <cell r="D9" t="str">
            <v>Shot Density</v>
          </cell>
        </row>
        <row r="10">
          <cell r="D10" t="str">
            <v>Gravel Pack Permeability</v>
          </cell>
        </row>
        <row r="11">
          <cell r="D11" t="str">
            <v>Perforation Diameter</v>
          </cell>
        </row>
        <row r="12">
          <cell r="D12" t="str">
            <v>Gravel Pack Length</v>
          </cell>
        </row>
        <row r="13">
          <cell r="D13" t="str">
            <v>Water Cut</v>
          </cell>
        </row>
        <row r="14">
          <cell r="D14" t="str">
            <v>Gas Oil Ratio</v>
          </cell>
        </row>
        <row r="15">
          <cell r="D15" t="str">
            <v>Water Gas Ratio</v>
          </cell>
        </row>
        <row r="16">
          <cell r="D16" t="str">
            <v>Condensate Gas Ratio</v>
          </cell>
        </row>
        <row r="17">
          <cell r="D17" t="str">
            <v>Total GOR</v>
          </cell>
        </row>
        <row r="18">
          <cell r="D18" t="str">
            <v>Tubing/Pipe Diameter</v>
          </cell>
        </row>
        <row r="19">
          <cell r="D19" t="str">
            <v>Gaslift Gas Injection Rate</v>
          </cell>
        </row>
        <row r="20">
          <cell r="D20" t="str">
            <v>GLR Injected</v>
          </cell>
        </row>
        <row r="21">
          <cell r="D21" t="str">
            <v>GLR Free</v>
          </cell>
        </row>
        <row r="22">
          <cell r="D22" t="str">
            <v>Free Gas Rate</v>
          </cell>
        </row>
        <row r="23">
          <cell r="D23" t="str">
            <v>Tubing Roughness</v>
          </cell>
        </row>
        <row r="24">
          <cell r="D24" t="str">
            <v>Top Node Pressure</v>
          </cell>
        </row>
        <row r="25">
          <cell r="D25" t="str">
            <v>Choke Size</v>
          </cell>
        </row>
        <row r="26">
          <cell r="D26" t="str">
            <v>Casing Pressure</v>
          </cell>
        </row>
        <row r="27">
          <cell r="D27" t="str">
            <v>Delta P Across Valve</v>
          </cell>
        </row>
        <row r="28">
          <cell r="D28" t="str">
            <v>GOR Free</v>
          </cell>
        </row>
        <row r="29">
          <cell r="D29" t="str">
            <v>Dissolved and Free GLR</v>
          </cell>
        </row>
        <row r="30">
          <cell r="D30" t="str">
            <v>Water Oil Ratio</v>
          </cell>
        </row>
        <row r="31">
          <cell r="D31" t="str">
            <v>Gaslift Gas Specific Gravity</v>
          </cell>
        </row>
        <row r="32">
          <cell r="D32" t="str">
            <v>Reservoir Permeability</v>
          </cell>
        </row>
        <row r="33">
          <cell r="D33" t="str">
            <v>Reservoir Temperature</v>
          </cell>
        </row>
        <row r="34">
          <cell r="D34" t="str">
            <v>Reservoir Thickness</v>
          </cell>
        </row>
        <row r="35">
          <cell r="D35" t="str">
            <v>Drainage Area</v>
          </cell>
        </row>
        <row r="36">
          <cell r="D36" t="str">
            <v>Dietz Shape Factor</v>
          </cell>
        </row>
        <row r="37">
          <cell r="D37" t="str">
            <v>Wellbore Radius</v>
          </cell>
        </row>
        <row r="38">
          <cell r="D38" t="str">
            <v>Perforation Interval</v>
          </cell>
        </row>
        <row r="39">
          <cell r="D39" t="str">
            <v>Perforation Efficiency</v>
          </cell>
        </row>
        <row r="40">
          <cell r="D40" t="str">
            <v>Screen Inner Radius</v>
          </cell>
        </row>
        <row r="41">
          <cell r="D41" t="str">
            <v>Screen Outer Radius</v>
          </cell>
        </row>
        <row r="42">
          <cell r="D42" t="str">
            <v>Screen Permeability</v>
          </cell>
        </row>
        <row r="43">
          <cell r="D43" t="str">
            <v>Outside Permeability</v>
          </cell>
        </row>
        <row r="44">
          <cell r="D44" t="str">
            <v>Screen Turbulence Coefficient</v>
          </cell>
        </row>
        <row r="45">
          <cell r="D45" t="str">
            <v>Outside Turbulence Coefficient</v>
          </cell>
        </row>
        <row r="46">
          <cell r="D46" t="str">
            <v>Pipe Roughness</v>
          </cell>
        </row>
        <row r="47">
          <cell r="D47" t="str">
            <v>Coil Tube Inside Diameter</v>
          </cell>
        </row>
        <row r="48">
          <cell r="D48" t="str">
            <v>Coil Tube Thickness</v>
          </cell>
        </row>
        <row r="49">
          <cell r="D49" t="str">
            <v>Coil Tube Depth</v>
          </cell>
        </row>
        <row r="50">
          <cell r="D50" t="str">
            <v>Coil Tube Inside Roughness</v>
          </cell>
        </row>
        <row r="51">
          <cell r="D51" t="str">
            <v>Coil Tube Outside Roughness</v>
          </cell>
        </row>
        <row r="52">
          <cell r="D52" t="str">
            <v>Downhole Heat Transfer Coefficient</v>
          </cell>
        </row>
        <row r="53">
          <cell r="D53" t="str">
            <v>Surface Heat Transfer Coefficient</v>
          </cell>
        </row>
        <row r="54">
          <cell r="D54" t="str">
            <v>Downhole Equipment</v>
          </cell>
        </row>
        <row r="55">
          <cell r="D55" t="str">
            <v>Surface Equipment</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omments" Target="../comments2.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omments" Target="../comments3.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comments" Target="../comments4.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12.bin"/><Relationship Id="rId4" Type="http://schemas.openxmlformats.org/officeDocument/2006/relationships/comments" Target="../comments5.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8" Type="http://schemas.openxmlformats.org/officeDocument/2006/relationships/image" Target="../media/image7.emf"/><Relationship Id="rId3" Type="http://schemas.openxmlformats.org/officeDocument/2006/relationships/control" Target="../activeX/activeX2.xml"/><Relationship Id="rId7" Type="http://schemas.openxmlformats.org/officeDocument/2006/relationships/control" Target="../activeX/activeX4.xml"/><Relationship Id="rId2" Type="http://schemas.openxmlformats.org/officeDocument/2006/relationships/vmlDrawing" Target="../drawings/vmlDrawing8.vml"/><Relationship Id="rId1" Type="http://schemas.openxmlformats.org/officeDocument/2006/relationships/drawing" Target="../drawings/drawing12.xml"/><Relationship Id="rId6" Type="http://schemas.openxmlformats.org/officeDocument/2006/relationships/image" Target="../media/image6.emf"/><Relationship Id="rId11" Type="http://schemas.openxmlformats.org/officeDocument/2006/relationships/comments" Target="../comments7.xml"/><Relationship Id="rId5" Type="http://schemas.openxmlformats.org/officeDocument/2006/relationships/control" Target="../activeX/activeX3.xml"/><Relationship Id="rId10" Type="http://schemas.openxmlformats.org/officeDocument/2006/relationships/image" Target="../media/image8.emf"/><Relationship Id="rId4" Type="http://schemas.openxmlformats.org/officeDocument/2006/relationships/image" Target="../media/image5.emf"/><Relationship Id="rId9" Type="http://schemas.openxmlformats.org/officeDocument/2006/relationships/control" Target="../activeX/activeX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tabColor theme="1"/>
  </sheetPr>
  <dimension ref="A1:L35"/>
  <sheetViews>
    <sheetView showGridLines="0" tabSelected="1" workbookViewId="0">
      <selection activeCell="P24" sqref="P24"/>
    </sheetView>
  </sheetViews>
  <sheetFormatPr defaultColWidth="9.33203125" defaultRowHeight="12" x14ac:dyDescent="0.2"/>
  <cols>
    <col min="1" max="1" width="4.1640625" customWidth="1"/>
    <col min="2" max="2" width="17.83203125" customWidth="1"/>
    <col min="3" max="3" width="8.83203125" style="49" customWidth="1"/>
    <col min="4" max="4" width="35.5" customWidth="1"/>
    <col min="5" max="5" width="5" customWidth="1"/>
    <col min="7" max="7" width="17.83203125" customWidth="1"/>
    <col min="8" max="8" width="5.1640625" customWidth="1"/>
    <col min="17" max="17" width="9.83203125" bestFit="1" customWidth="1"/>
  </cols>
  <sheetData>
    <row r="1" spans="1:12" ht="21" x14ac:dyDescent="0.35">
      <c r="A1" s="850" t="s">
        <v>223</v>
      </c>
      <c r="B1" s="851"/>
      <c r="C1" s="851"/>
      <c r="D1" s="851"/>
      <c r="E1" s="851"/>
      <c r="F1" s="851"/>
      <c r="G1" s="851"/>
      <c r="H1" s="851"/>
      <c r="I1" s="851"/>
      <c r="J1" s="851"/>
      <c r="K1" s="851"/>
      <c r="L1" s="852"/>
    </row>
    <row r="2" spans="1:12" x14ac:dyDescent="0.2">
      <c r="A2" s="204" t="s">
        <v>456</v>
      </c>
      <c r="B2" s="205"/>
      <c r="C2" s="755"/>
      <c r="D2" s="156">
        <v>1009</v>
      </c>
      <c r="E2" s="205"/>
      <c r="F2" s="205"/>
      <c r="G2" s="205"/>
      <c r="H2" s="205"/>
      <c r="I2" s="205"/>
      <c r="J2" s="205"/>
      <c r="K2" s="205"/>
      <c r="L2" s="206"/>
    </row>
    <row r="3" spans="1:12" x14ac:dyDescent="0.2">
      <c r="A3" s="191" t="s">
        <v>198</v>
      </c>
      <c r="D3" t="s">
        <v>684</v>
      </c>
      <c r="L3" s="190"/>
    </row>
    <row r="4" spans="1:12" x14ac:dyDescent="0.2">
      <c r="A4" s="191" t="s">
        <v>199</v>
      </c>
      <c r="D4" t="s">
        <v>685</v>
      </c>
      <c r="L4" s="190"/>
    </row>
    <row r="5" spans="1:12" x14ac:dyDescent="0.2">
      <c r="A5" s="189"/>
      <c r="L5" s="190"/>
    </row>
    <row r="6" spans="1:12" ht="15" x14ac:dyDescent="0.25">
      <c r="A6" s="491" t="s">
        <v>201</v>
      </c>
      <c r="C6" s="758" t="s">
        <v>677</v>
      </c>
      <c r="F6" s="492" t="s">
        <v>212</v>
      </c>
      <c r="L6" s="190"/>
    </row>
    <row r="7" spans="1:12" ht="12.75" x14ac:dyDescent="0.2">
      <c r="A7" s="189"/>
      <c r="B7" s="40" t="s">
        <v>196</v>
      </c>
      <c r="C7" s="878">
        <v>1</v>
      </c>
      <c r="D7" s="760" t="s">
        <v>461</v>
      </c>
      <c r="G7" s="40" t="s">
        <v>214</v>
      </c>
      <c r="H7" t="s">
        <v>65</v>
      </c>
      <c r="I7" t="s">
        <v>680</v>
      </c>
      <c r="L7" s="190"/>
    </row>
    <row r="8" spans="1:12" ht="12.75" x14ac:dyDescent="0.2">
      <c r="A8" s="189"/>
      <c r="B8" s="40" t="s">
        <v>160</v>
      </c>
      <c r="C8" s="878">
        <v>0</v>
      </c>
      <c r="D8" s="760" t="s">
        <v>195</v>
      </c>
      <c r="G8" s="40" t="s">
        <v>112</v>
      </c>
      <c r="H8" t="s">
        <v>65</v>
      </c>
      <c r="I8" t="s">
        <v>448</v>
      </c>
      <c r="L8" s="190"/>
    </row>
    <row r="9" spans="1:12" ht="12.75" x14ac:dyDescent="0.2">
      <c r="A9" s="189"/>
      <c r="B9" s="40" t="s">
        <v>197</v>
      </c>
      <c r="C9" s="878">
        <v>0</v>
      </c>
      <c r="D9" s="760" t="s">
        <v>678</v>
      </c>
      <c r="G9" s="40" t="s">
        <v>215</v>
      </c>
      <c r="H9" t="s">
        <v>65</v>
      </c>
      <c r="I9" t="s">
        <v>449</v>
      </c>
      <c r="L9" s="190"/>
    </row>
    <row r="10" spans="1:12" ht="12.75" x14ac:dyDescent="0.2">
      <c r="A10" s="189"/>
      <c r="B10" s="40" t="s">
        <v>222</v>
      </c>
      <c r="C10" s="878">
        <v>0</v>
      </c>
      <c r="D10" s="760" t="s">
        <v>621</v>
      </c>
      <c r="L10" s="190"/>
    </row>
    <row r="11" spans="1:12" ht="12.75" x14ac:dyDescent="0.2">
      <c r="A11" s="189"/>
      <c r="B11" s="40" t="s">
        <v>98</v>
      </c>
      <c r="C11" s="878">
        <v>0</v>
      </c>
      <c r="D11" s="760" t="s">
        <v>676</v>
      </c>
      <c r="L11" s="190"/>
    </row>
    <row r="12" spans="1:12" ht="15" x14ac:dyDescent="0.25">
      <c r="A12" s="189"/>
      <c r="B12" s="40" t="s">
        <v>686</v>
      </c>
      <c r="C12" s="878">
        <v>0</v>
      </c>
      <c r="D12" s="760" t="s">
        <v>622</v>
      </c>
      <c r="F12" s="492" t="s">
        <v>213</v>
      </c>
      <c r="L12" s="190"/>
    </row>
    <row r="13" spans="1:12" ht="12.75" x14ac:dyDescent="0.2">
      <c r="A13" s="189"/>
      <c r="B13" s="40"/>
      <c r="C13" s="878"/>
      <c r="D13" s="760"/>
      <c r="F13" s="40" t="s">
        <v>216</v>
      </c>
      <c r="G13" s="40"/>
      <c r="H13" t="s">
        <v>65</v>
      </c>
      <c r="I13" t="s">
        <v>450</v>
      </c>
      <c r="L13" s="190"/>
    </row>
    <row r="14" spans="1:12" ht="12.75" x14ac:dyDescent="0.2">
      <c r="A14" s="189"/>
      <c r="C14" s="878"/>
      <c r="D14" s="760"/>
      <c r="L14" s="190"/>
    </row>
    <row r="15" spans="1:12" ht="15" x14ac:dyDescent="0.25">
      <c r="A15" s="491" t="s">
        <v>200</v>
      </c>
      <c r="C15" s="878"/>
      <c r="D15" s="760"/>
      <c r="L15" s="190"/>
    </row>
    <row r="16" spans="1:12" ht="12.75" x14ac:dyDescent="0.2">
      <c r="A16" s="189"/>
      <c r="B16" s="40" t="s">
        <v>202</v>
      </c>
      <c r="C16" s="878">
        <v>0</v>
      </c>
      <c r="D16" s="760" t="s">
        <v>445</v>
      </c>
      <c r="L16" s="190"/>
    </row>
    <row r="17" spans="1:12" ht="15" x14ac:dyDescent="0.25">
      <c r="A17" s="189"/>
      <c r="B17" s="40" t="s">
        <v>203</v>
      </c>
      <c r="C17" s="878">
        <v>0</v>
      </c>
      <c r="D17" s="760" t="s">
        <v>446</v>
      </c>
      <c r="F17" s="492" t="s">
        <v>217</v>
      </c>
      <c r="L17" s="190"/>
    </row>
    <row r="18" spans="1:12" ht="12.75" x14ac:dyDescent="0.2">
      <c r="A18" s="189"/>
      <c r="C18" s="878"/>
      <c r="D18" s="760"/>
      <c r="G18" s="40" t="s">
        <v>10</v>
      </c>
      <c r="H18" t="s">
        <v>65</v>
      </c>
      <c r="I18" t="s">
        <v>451</v>
      </c>
      <c r="L18" s="190"/>
    </row>
    <row r="19" spans="1:12" ht="12.75" x14ac:dyDescent="0.2">
      <c r="A19" s="189"/>
      <c r="C19" s="878"/>
      <c r="D19" s="760"/>
      <c r="G19" s="40" t="s">
        <v>218</v>
      </c>
      <c r="H19" t="s">
        <v>65</v>
      </c>
      <c r="I19" t="s">
        <v>452</v>
      </c>
      <c r="L19" s="190"/>
    </row>
    <row r="20" spans="1:12" ht="12.75" x14ac:dyDescent="0.2">
      <c r="A20" s="189"/>
      <c r="C20" s="878"/>
      <c r="D20" s="760"/>
      <c r="L20" s="190"/>
    </row>
    <row r="21" spans="1:12" ht="15" x14ac:dyDescent="0.25">
      <c r="A21" s="491" t="s">
        <v>204</v>
      </c>
      <c r="C21" s="878"/>
      <c r="D21" s="760"/>
      <c r="L21" s="190"/>
    </row>
    <row r="22" spans="1:12" ht="12.75" x14ac:dyDescent="0.2">
      <c r="A22" s="189"/>
      <c r="B22" s="40" t="s">
        <v>160</v>
      </c>
      <c r="C22" s="878">
        <v>0</v>
      </c>
      <c r="D22" s="760" t="s">
        <v>447</v>
      </c>
      <c r="L22" s="190"/>
    </row>
    <row r="23" spans="1:12" ht="15" x14ac:dyDescent="0.25">
      <c r="A23" s="189"/>
      <c r="D23" s="760"/>
      <c r="F23" s="492" t="s">
        <v>219</v>
      </c>
      <c r="L23" s="190"/>
    </row>
    <row r="24" spans="1:12" x14ac:dyDescent="0.2">
      <c r="A24" s="189"/>
      <c r="G24" s="40" t="s">
        <v>220</v>
      </c>
      <c r="H24" t="s">
        <v>65</v>
      </c>
      <c r="I24" t="s">
        <v>453</v>
      </c>
      <c r="L24" s="190"/>
    </row>
    <row r="25" spans="1:12" x14ac:dyDescent="0.2">
      <c r="A25" s="189"/>
      <c r="L25" s="190"/>
    </row>
    <row r="26" spans="1:12" x14ac:dyDescent="0.2">
      <c r="A26" s="192"/>
      <c r="B26" s="193"/>
      <c r="C26" s="756"/>
      <c r="D26" s="193"/>
      <c r="E26" s="193"/>
      <c r="F26" s="193"/>
      <c r="G26" s="193"/>
      <c r="H26" s="193"/>
      <c r="I26" s="193"/>
      <c r="J26" s="193"/>
      <c r="K26" s="193"/>
      <c r="L26" s="489"/>
    </row>
    <row r="27" spans="1:12" x14ac:dyDescent="0.2">
      <c r="A27" s="189"/>
    </row>
    <row r="28" spans="1:12" ht="15" x14ac:dyDescent="0.25">
      <c r="A28" s="491" t="s">
        <v>205</v>
      </c>
      <c r="F28" s="492" t="s">
        <v>221</v>
      </c>
    </row>
    <row r="29" spans="1:12" x14ac:dyDescent="0.2">
      <c r="A29" s="194"/>
      <c r="B29" s="493" t="s">
        <v>206</v>
      </c>
      <c r="C29" s="757"/>
      <c r="D29" s="494"/>
      <c r="F29" s="853"/>
      <c r="G29" s="854"/>
      <c r="H29" s="854"/>
      <c r="I29" s="854"/>
      <c r="J29" s="854"/>
      <c r="K29" s="854"/>
      <c r="L29" s="855"/>
    </row>
    <row r="30" spans="1:12" x14ac:dyDescent="0.2">
      <c r="A30" s="189"/>
      <c r="B30" s="40" t="s">
        <v>207</v>
      </c>
      <c r="D30" s="495"/>
      <c r="F30" s="856"/>
      <c r="G30" s="857"/>
      <c r="H30" s="857"/>
      <c r="I30" s="857"/>
      <c r="J30" s="857"/>
      <c r="K30" s="857"/>
      <c r="L30" s="858"/>
    </row>
    <row r="31" spans="1:12" x14ac:dyDescent="0.2">
      <c r="A31" s="189"/>
      <c r="B31" s="40" t="s">
        <v>208</v>
      </c>
      <c r="D31" s="495"/>
      <c r="F31" s="856"/>
      <c r="G31" s="857"/>
      <c r="H31" s="857"/>
      <c r="I31" s="857"/>
      <c r="J31" s="857"/>
      <c r="K31" s="857"/>
      <c r="L31" s="858"/>
    </row>
    <row r="32" spans="1:12" x14ac:dyDescent="0.2">
      <c r="A32" s="189"/>
      <c r="B32" s="40" t="s">
        <v>209</v>
      </c>
      <c r="D32" s="495"/>
      <c r="F32" s="856"/>
      <c r="G32" s="857"/>
      <c r="H32" s="857"/>
      <c r="I32" s="857"/>
      <c r="J32" s="857"/>
      <c r="K32" s="857"/>
      <c r="L32" s="858"/>
    </row>
    <row r="33" spans="1:12" x14ac:dyDescent="0.2">
      <c r="A33" s="189"/>
      <c r="B33" s="40" t="s">
        <v>210</v>
      </c>
      <c r="D33" s="495"/>
      <c r="F33" s="856"/>
      <c r="G33" s="857"/>
      <c r="H33" s="857"/>
      <c r="I33" s="857"/>
      <c r="J33" s="857"/>
      <c r="K33" s="857"/>
      <c r="L33" s="858"/>
    </row>
    <row r="34" spans="1:12" x14ac:dyDescent="0.2">
      <c r="A34" s="189"/>
      <c r="B34" s="40" t="s">
        <v>211</v>
      </c>
      <c r="D34" s="495"/>
      <c r="F34" s="856"/>
      <c r="G34" s="857"/>
      <c r="H34" s="857"/>
      <c r="I34" s="857"/>
      <c r="J34" s="857"/>
      <c r="K34" s="857"/>
      <c r="L34" s="858"/>
    </row>
    <row r="35" spans="1:12" x14ac:dyDescent="0.2">
      <c r="A35" s="192"/>
      <c r="B35" s="496" t="s">
        <v>42</v>
      </c>
      <c r="C35" s="756"/>
      <c r="D35" s="497">
        <v>45990</v>
      </c>
      <c r="F35" s="859"/>
      <c r="G35" s="860"/>
      <c r="H35" s="860"/>
      <c r="I35" s="860"/>
      <c r="J35" s="860"/>
      <c r="K35" s="860"/>
      <c r="L35" s="861"/>
    </row>
  </sheetData>
  <mergeCells count="2">
    <mergeCell ref="A1:L1"/>
    <mergeCell ref="F29:L35"/>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rgb="FF92D050"/>
  </sheetPr>
  <dimension ref="A1:U39"/>
  <sheetViews>
    <sheetView showGridLines="0" workbookViewId="0"/>
  </sheetViews>
  <sheetFormatPr defaultColWidth="9.33203125" defaultRowHeight="12" x14ac:dyDescent="0.2"/>
  <cols>
    <col min="1" max="1" width="8.5" customWidth="1"/>
    <col min="2" max="2" width="26.83203125" customWidth="1"/>
    <col min="3" max="3" width="3.5" customWidth="1"/>
    <col min="4" max="4" width="24.1640625" customWidth="1"/>
    <col min="5" max="5" width="12.1640625" style="74" customWidth="1"/>
    <col min="6" max="7" width="3.6640625" customWidth="1"/>
    <col min="8" max="11" width="11.83203125" customWidth="1"/>
    <col min="12" max="12" width="4.83203125" customWidth="1"/>
    <col min="13" max="16" width="11.83203125" customWidth="1"/>
    <col min="17" max="17" width="4.83203125" customWidth="1"/>
    <col min="18" max="21" width="11.83203125" customWidth="1"/>
    <col min="22" max="22" width="4.83203125" customWidth="1"/>
  </cols>
  <sheetData>
    <row r="1" spans="1:21" x14ac:dyDescent="0.2">
      <c r="H1" s="862" t="s">
        <v>232</v>
      </c>
      <c r="I1" s="862"/>
      <c r="J1" s="862"/>
    </row>
    <row r="2" spans="1:21" x14ac:dyDescent="0.2">
      <c r="H2" s="863"/>
      <c r="I2" s="863"/>
      <c r="J2" s="863"/>
    </row>
    <row r="3" spans="1:21" ht="15" x14ac:dyDescent="0.25">
      <c r="H3" s="89" t="s">
        <v>90</v>
      </c>
      <c r="I3" s="199"/>
      <c r="J3" s="505">
        <v>3</v>
      </c>
    </row>
    <row r="5" spans="1:21" x14ac:dyDescent="0.2">
      <c r="B5" s="696" t="s">
        <v>224</v>
      </c>
      <c r="C5" s="697" t="s">
        <v>65</v>
      </c>
      <c r="D5" s="417" t="s">
        <v>461</v>
      </c>
      <c r="E5" s="698">
        <v>1</v>
      </c>
      <c r="H5" s="201" t="s">
        <v>233</v>
      </c>
      <c r="I5" s="202">
        <v>1</v>
      </c>
      <c r="J5" s="201" t="s">
        <v>86</v>
      </c>
      <c r="K5" s="203">
        <v>0</v>
      </c>
      <c r="M5" s="201" t="s">
        <v>233</v>
      </c>
      <c r="N5" s="202">
        <v>2</v>
      </c>
      <c r="O5" s="201" t="s">
        <v>86</v>
      </c>
      <c r="P5" s="203">
        <v>1</v>
      </c>
      <c r="R5" s="201" t="s">
        <v>233</v>
      </c>
      <c r="S5" s="202">
        <v>3</v>
      </c>
      <c r="T5" s="201" t="s">
        <v>86</v>
      </c>
      <c r="U5" s="203">
        <v>2</v>
      </c>
    </row>
    <row r="6" spans="1:21" x14ac:dyDescent="0.2">
      <c r="B6" s="699" t="s">
        <v>160</v>
      </c>
      <c r="C6" s="700" t="s">
        <v>65</v>
      </c>
      <c r="D6" s="701" t="s">
        <v>195</v>
      </c>
      <c r="E6" s="702">
        <v>0</v>
      </c>
      <c r="H6" s="79" t="s">
        <v>89</v>
      </c>
      <c r="I6" s="80">
        <v>180</v>
      </c>
      <c r="J6" s="80" t="s">
        <v>31</v>
      </c>
      <c r="K6" s="82"/>
      <c r="M6" s="79" t="s">
        <v>89</v>
      </c>
      <c r="N6" s="80"/>
      <c r="O6" s="80" t="s">
        <v>31</v>
      </c>
      <c r="P6" s="82"/>
      <c r="R6" s="79" t="s">
        <v>89</v>
      </c>
      <c r="S6" s="80"/>
      <c r="T6" s="80" t="s">
        <v>31</v>
      </c>
      <c r="U6" s="82"/>
    </row>
    <row r="7" spans="1:21" x14ac:dyDescent="0.2">
      <c r="H7" s="83"/>
      <c r="I7" s="84"/>
      <c r="J7" s="84" t="s">
        <v>53</v>
      </c>
      <c r="K7" s="85" t="s">
        <v>53</v>
      </c>
      <c r="M7" s="83"/>
      <c r="N7" s="84"/>
      <c r="O7" s="84" t="s">
        <v>53</v>
      </c>
      <c r="P7" s="85" t="s">
        <v>53</v>
      </c>
      <c r="R7" s="83"/>
      <c r="S7" s="84"/>
      <c r="T7" s="84" t="s">
        <v>53</v>
      </c>
      <c r="U7" s="85" t="s">
        <v>53</v>
      </c>
    </row>
    <row r="8" spans="1:21" x14ac:dyDescent="0.2">
      <c r="A8" s="76"/>
      <c r="B8" s="76" t="s">
        <v>64</v>
      </c>
      <c r="H8" s="86" t="s">
        <v>57</v>
      </c>
      <c r="I8" s="42" t="s">
        <v>83</v>
      </c>
      <c r="J8" s="42" t="s">
        <v>84</v>
      </c>
      <c r="K8" s="87" t="s">
        <v>85</v>
      </c>
      <c r="M8" s="86" t="s">
        <v>57</v>
      </c>
      <c r="N8" s="42" t="s">
        <v>83</v>
      </c>
      <c r="O8" s="42" t="s">
        <v>84</v>
      </c>
      <c r="P8" s="87" t="s">
        <v>85</v>
      </c>
      <c r="R8" s="86" t="s">
        <v>57</v>
      </c>
      <c r="S8" s="42" t="s">
        <v>83</v>
      </c>
      <c r="T8" s="42" t="s">
        <v>84</v>
      </c>
      <c r="U8" s="87" t="s">
        <v>85</v>
      </c>
    </row>
    <row r="9" spans="1:21" ht="15" x14ac:dyDescent="0.25">
      <c r="A9" s="509" t="s">
        <v>82</v>
      </c>
      <c r="B9" s="509" t="s">
        <v>79</v>
      </c>
      <c r="C9" s="510"/>
      <c r="D9" s="511" t="s">
        <v>80</v>
      </c>
      <c r="E9" s="512" t="s">
        <v>81</v>
      </c>
      <c r="H9" s="502" t="s">
        <v>66</v>
      </c>
      <c r="I9" s="503"/>
      <c r="J9" s="503" t="s">
        <v>87</v>
      </c>
      <c r="K9" s="504" t="s">
        <v>88</v>
      </c>
      <c r="M9" s="502" t="s">
        <v>66</v>
      </c>
      <c r="N9" s="503"/>
      <c r="O9" s="503" t="s">
        <v>87</v>
      </c>
      <c r="P9" s="504" t="s">
        <v>88</v>
      </c>
      <c r="R9" s="502" t="s">
        <v>66</v>
      </c>
      <c r="S9" s="503"/>
      <c r="T9" s="503" t="s">
        <v>87</v>
      </c>
      <c r="U9" s="504" t="s">
        <v>88</v>
      </c>
    </row>
    <row r="10" spans="1:21" ht="15" customHeight="1" x14ac:dyDescent="0.2">
      <c r="A10" s="761" t="s">
        <v>681</v>
      </c>
      <c r="B10" t="s">
        <v>682</v>
      </c>
      <c r="C10" t="s">
        <v>65</v>
      </c>
      <c r="D10" s="213">
        <v>0.680999994</v>
      </c>
      <c r="E10" s="200" t="s">
        <v>67</v>
      </c>
      <c r="H10" s="1">
        <v>4208</v>
      </c>
      <c r="I10" s="1">
        <v>0.96599999999999997</v>
      </c>
      <c r="J10" s="1"/>
      <c r="K10" s="1"/>
      <c r="M10" s="1"/>
      <c r="N10" s="1"/>
      <c r="O10" s="1"/>
      <c r="P10" s="1"/>
      <c r="R10" s="1"/>
      <c r="S10" s="1"/>
      <c r="T10" s="1"/>
      <c r="U10" s="1"/>
    </row>
    <row r="11" spans="1:21" ht="15" customHeight="1" x14ac:dyDescent="0.2">
      <c r="A11" s="761" t="s">
        <v>687</v>
      </c>
      <c r="B11" t="s">
        <v>688</v>
      </c>
      <c r="C11" t="s">
        <v>65</v>
      </c>
      <c r="D11" s="213">
        <v>1480</v>
      </c>
      <c r="E11" s="200" t="s">
        <v>66</v>
      </c>
      <c r="H11" s="1">
        <v>3807</v>
      </c>
      <c r="I11" s="1">
        <v>0.94499999999999995</v>
      </c>
      <c r="J11" s="1"/>
      <c r="K11" s="1"/>
      <c r="M11" s="1"/>
      <c r="N11" s="1"/>
      <c r="O11" s="1"/>
      <c r="P11" s="1"/>
      <c r="R11" s="1"/>
      <c r="S11" s="1"/>
      <c r="T11" s="1"/>
      <c r="U11" s="1"/>
    </row>
    <row r="12" spans="1:21" ht="15" customHeight="1" x14ac:dyDescent="0.2">
      <c r="A12" s="761" t="s">
        <v>689</v>
      </c>
      <c r="B12" t="s">
        <v>690</v>
      </c>
      <c r="C12" t="s">
        <v>65</v>
      </c>
      <c r="D12" s="213">
        <v>24.100000381000001</v>
      </c>
      <c r="E12" s="200" t="s">
        <v>607</v>
      </c>
      <c r="H12" s="1">
        <v>3292</v>
      </c>
      <c r="I12" s="1">
        <v>0.92300000000000004</v>
      </c>
      <c r="J12" s="1"/>
      <c r="K12" s="1"/>
      <c r="M12" s="1"/>
      <c r="N12" s="1"/>
      <c r="O12" s="1"/>
      <c r="P12" s="1"/>
      <c r="R12" s="1"/>
      <c r="S12" s="1"/>
      <c r="T12" s="1"/>
      <c r="U12" s="1"/>
    </row>
    <row r="13" spans="1:21" ht="15" customHeight="1" x14ac:dyDescent="0.2">
      <c r="A13" s="761" t="s">
        <v>74</v>
      </c>
      <c r="B13" t="s">
        <v>691</v>
      </c>
      <c r="C13" t="s">
        <v>65</v>
      </c>
      <c r="D13" s="213">
        <v>65.599998474000003</v>
      </c>
      <c r="E13" s="200" t="s">
        <v>68</v>
      </c>
      <c r="H13" s="1">
        <v>2579</v>
      </c>
      <c r="I13" s="1">
        <v>0.90500000000000003</v>
      </c>
      <c r="J13" s="1"/>
      <c r="K13" s="1"/>
      <c r="M13" s="1"/>
      <c r="N13" s="1"/>
      <c r="O13" s="1"/>
      <c r="P13" s="1"/>
      <c r="R13" s="1"/>
      <c r="S13" s="1"/>
      <c r="T13" s="1"/>
      <c r="U13" s="1"/>
    </row>
    <row r="14" spans="1:21" ht="15" customHeight="1" x14ac:dyDescent="0.2">
      <c r="A14" s="761" t="s">
        <v>692</v>
      </c>
      <c r="B14" t="s">
        <v>693</v>
      </c>
      <c r="C14" t="s">
        <v>65</v>
      </c>
      <c r="D14" s="213">
        <v>0</v>
      </c>
      <c r="E14" s="200" t="s">
        <v>607</v>
      </c>
      <c r="H14" s="1"/>
      <c r="I14" s="1"/>
      <c r="J14" s="1"/>
      <c r="K14" s="1"/>
      <c r="M14" s="1"/>
      <c r="N14" s="1"/>
      <c r="O14" s="1"/>
      <c r="P14" s="1"/>
      <c r="R14" s="1"/>
      <c r="S14" s="1"/>
      <c r="T14" s="1"/>
      <c r="U14" s="1"/>
    </row>
    <row r="15" spans="1:21" ht="15" customHeight="1" x14ac:dyDescent="0.2">
      <c r="A15" s="761" t="s">
        <v>75</v>
      </c>
      <c r="B15" t="s">
        <v>69</v>
      </c>
      <c r="C15" t="s">
        <v>65</v>
      </c>
      <c r="D15" s="213">
        <v>245</v>
      </c>
      <c r="E15" s="200" t="s">
        <v>70</v>
      </c>
      <c r="H15" s="1"/>
      <c r="I15" s="1"/>
      <c r="J15" s="1"/>
      <c r="K15" s="1"/>
      <c r="M15" s="1"/>
      <c r="N15" s="1"/>
      <c r="O15" s="1"/>
      <c r="P15" s="1"/>
      <c r="R15" s="1"/>
      <c r="S15" s="1"/>
      <c r="T15" s="1"/>
      <c r="U15" s="1"/>
    </row>
    <row r="16" spans="1:21" ht="15" customHeight="1" x14ac:dyDescent="0.2">
      <c r="A16" s="761" t="s">
        <v>77</v>
      </c>
      <c r="B16" t="s">
        <v>694</v>
      </c>
      <c r="C16" t="s">
        <v>65</v>
      </c>
      <c r="D16" s="213">
        <v>0</v>
      </c>
      <c r="E16" s="200" t="s">
        <v>76</v>
      </c>
      <c r="H16" s="1"/>
      <c r="I16" s="1"/>
      <c r="J16" s="1"/>
      <c r="K16" s="1"/>
      <c r="M16" s="1"/>
      <c r="N16" s="1"/>
      <c r="O16" s="1"/>
      <c r="P16" s="1"/>
      <c r="R16" s="1"/>
      <c r="S16" s="1"/>
      <c r="T16" s="1"/>
      <c r="U16" s="1"/>
    </row>
    <row r="17" spans="1:21" ht="15" customHeight="1" x14ac:dyDescent="0.2">
      <c r="A17" s="761" t="s">
        <v>78</v>
      </c>
      <c r="B17" t="s">
        <v>512</v>
      </c>
      <c r="C17" t="s">
        <v>65</v>
      </c>
      <c r="D17" s="498">
        <v>3.0999999049999998</v>
      </c>
      <c r="E17" s="200" t="s">
        <v>76</v>
      </c>
      <c r="H17" s="1"/>
      <c r="I17" s="1"/>
      <c r="J17" s="1"/>
      <c r="K17" s="1"/>
      <c r="M17" s="1"/>
      <c r="N17" s="1"/>
      <c r="O17" s="1"/>
      <c r="P17" s="1"/>
      <c r="R17" s="1"/>
      <c r="S17" s="1"/>
      <c r="T17" s="1"/>
      <c r="U17" s="1"/>
    </row>
    <row r="18" spans="1:21" ht="15" customHeight="1" x14ac:dyDescent="0.2">
      <c r="A18" s="761" t="s">
        <v>73</v>
      </c>
      <c r="B18" t="s">
        <v>73</v>
      </c>
      <c r="C18" t="s">
        <v>65</v>
      </c>
      <c r="D18" s="498">
        <v>0.20000000300000001</v>
      </c>
      <c r="E18" s="200" t="s">
        <v>76</v>
      </c>
      <c r="H18" s="1"/>
      <c r="I18" s="1"/>
      <c r="J18" s="1"/>
      <c r="K18" s="1"/>
      <c r="M18" s="1"/>
      <c r="N18" s="1"/>
      <c r="O18" s="1"/>
      <c r="P18" s="1"/>
      <c r="R18" s="1"/>
      <c r="S18" s="1"/>
      <c r="T18" s="1"/>
      <c r="U18" s="1"/>
    </row>
    <row r="19" spans="1:21" ht="15" customHeight="1" x14ac:dyDescent="0.2">
      <c r="A19" s="761" t="s">
        <v>695</v>
      </c>
      <c r="B19" t="s">
        <v>696</v>
      </c>
      <c r="C19" t="s">
        <v>65</v>
      </c>
      <c r="D19" s="784" t="s">
        <v>697</v>
      </c>
      <c r="E19" s="200"/>
      <c r="H19" s="1"/>
      <c r="I19" s="1"/>
      <c r="J19" s="1"/>
      <c r="K19" s="1"/>
      <c r="M19" s="1"/>
      <c r="N19" s="1"/>
      <c r="O19" s="1"/>
      <c r="P19" s="1"/>
      <c r="R19" s="1"/>
      <c r="S19" s="1"/>
      <c r="T19" s="1"/>
      <c r="U19" s="1"/>
    </row>
    <row r="20" spans="1:21" ht="15" customHeight="1" x14ac:dyDescent="0.2">
      <c r="A20" s="761"/>
      <c r="D20" s="277"/>
      <c r="H20" s="1"/>
      <c r="I20" s="1"/>
      <c r="J20" s="1"/>
      <c r="K20" s="1"/>
      <c r="M20" s="1"/>
      <c r="N20" s="1"/>
      <c r="O20" s="1"/>
      <c r="P20" s="1"/>
      <c r="R20" s="1"/>
      <c r="S20" s="1"/>
      <c r="T20" s="1"/>
      <c r="U20" s="1"/>
    </row>
    <row r="21" spans="1:21" ht="15" customHeight="1" x14ac:dyDescent="0.2">
      <c r="A21" s="761"/>
      <c r="D21" s="277"/>
      <c r="H21" s="1"/>
      <c r="I21" s="1"/>
      <c r="J21" s="1"/>
      <c r="K21" s="1"/>
      <c r="M21" s="1"/>
      <c r="N21" s="1"/>
      <c r="O21" s="1"/>
      <c r="P21" s="1"/>
      <c r="R21" s="1"/>
      <c r="S21" s="1"/>
      <c r="T21" s="1"/>
      <c r="U21" s="1"/>
    </row>
    <row r="22" spans="1:21" ht="15" customHeight="1" x14ac:dyDescent="0.2">
      <c r="A22" s="761"/>
      <c r="H22" s="1"/>
      <c r="I22" s="1"/>
      <c r="J22" s="1"/>
      <c r="K22" s="1"/>
      <c r="M22" s="1"/>
      <c r="N22" s="1"/>
      <c r="O22" s="1"/>
      <c r="P22" s="1"/>
      <c r="R22" s="1"/>
      <c r="S22" s="1"/>
      <c r="T22" s="1"/>
      <c r="U22" s="1"/>
    </row>
    <row r="23" spans="1:21" ht="15" customHeight="1" x14ac:dyDescent="0.2">
      <c r="A23" s="761"/>
      <c r="D23" s="278"/>
      <c r="H23" s="1"/>
      <c r="I23" s="1"/>
      <c r="J23" s="1"/>
      <c r="K23" s="1"/>
      <c r="M23" s="1"/>
      <c r="N23" s="1"/>
      <c r="O23" s="1"/>
      <c r="P23" s="1"/>
      <c r="R23" s="1"/>
      <c r="S23" s="1"/>
      <c r="T23" s="1"/>
      <c r="U23" s="1"/>
    </row>
    <row r="24" spans="1:21" ht="15" customHeight="1" x14ac:dyDescent="0.2">
      <c r="A24" s="761"/>
      <c r="D24" s="278"/>
      <c r="H24" s="1"/>
      <c r="I24" s="1"/>
      <c r="J24" s="1"/>
      <c r="K24" s="1"/>
      <c r="M24" s="1"/>
      <c r="N24" s="1"/>
      <c r="O24" s="1"/>
      <c r="P24" s="1"/>
      <c r="R24" s="1"/>
      <c r="S24" s="1"/>
      <c r="T24" s="1"/>
      <c r="U24" s="1"/>
    </row>
    <row r="25" spans="1:21" ht="15" customHeight="1" x14ac:dyDescent="0.2">
      <c r="A25" s="761"/>
      <c r="D25" s="278"/>
      <c r="H25" s="1"/>
      <c r="I25" s="1"/>
      <c r="J25" s="1"/>
      <c r="K25" s="1"/>
      <c r="M25" s="1"/>
      <c r="N25" s="1"/>
      <c r="O25" s="1"/>
      <c r="P25" s="1"/>
      <c r="R25" s="1"/>
      <c r="S25" s="1"/>
      <c r="T25" s="1"/>
      <c r="U25" s="1"/>
    </row>
    <row r="26" spans="1:21" ht="15" customHeight="1" x14ac:dyDescent="0.2">
      <c r="H26" s="1"/>
      <c r="I26" s="1"/>
      <c r="J26" s="1"/>
      <c r="K26" s="1"/>
      <c r="M26" s="1"/>
      <c r="N26" s="1"/>
      <c r="O26" s="1"/>
      <c r="P26" s="1"/>
      <c r="R26" s="1"/>
      <c r="S26" s="1"/>
      <c r="T26" s="1"/>
      <c r="U26" s="1"/>
    </row>
    <row r="27" spans="1:21" ht="15" customHeight="1" x14ac:dyDescent="0.2">
      <c r="H27" s="1"/>
      <c r="I27" s="1"/>
      <c r="J27" s="1"/>
      <c r="K27" s="1"/>
      <c r="M27" s="1"/>
      <c r="N27" s="1"/>
      <c r="O27" s="1"/>
      <c r="P27" s="1"/>
      <c r="R27" s="1"/>
      <c r="S27" s="1"/>
      <c r="T27" s="1"/>
      <c r="U27" s="1"/>
    </row>
    <row r="28" spans="1:21" ht="15" customHeight="1" x14ac:dyDescent="0.2">
      <c r="H28" s="1"/>
      <c r="I28" s="1"/>
      <c r="J28" s="1"/>
      <c r="K28" s="1"/>
      <c r="M28" s="1"/>
      <c r="N28" s="1"/>
      <c r="O28" s="1"/>
      <c r="P28" s="1"/>
      <c r="R28" s="1"/>
      <c r="S28" s="1"/>
      <c r="T28" s="1"/>
      <c r="U28" s="1"/>
    </row>
    <row r="29" spans="1:21" ht="15" customHeight="1" x14ac:dyDescent="0.2">
      <c r="H29" s="1"/>
      <c r="I29" s="1"/>
      <c r="J29" s="1"/>
      <c r="K29" s="1"/>
      <c r="M29" s="1"/>
      <c r="N29" s="1"/>
      <c r="O29" s="1"/>
      <c r="P29" s="1"/>
      <c r="R29" s="1"/>
      <c r="S29" s="1"/>
      <c r="T29" s="1"/>
      <c r="U29" s="1"/>
    </row>
    <row r="30" spans="1:21" ht="15" customHeight="1" x14ac:dyDescent="0.2">
      <c r="H30" s="1"/>
      <c r="I30" s="1"/>
      <c r="J30" s="1"/>
      <c r="K30" s="1"/>
      <c r="M30" s="1"/>
      <c r="N30" s="1"/>
      <c r="O30" s="1"/>
      <c r="P30" s="1"/>
      <c r="R30" s="1"/>
      <c r="S30" s="1"/>
      <c r="T30" s="1"/>
      <c r="U30" s="1"/>
    </row>
    <row r="31" spans="1:21" ht="15" customHeight="1" x14ac:dyDescent="0.2">
      <c r="H31" s="1"/>
      <c r="I31" s="1"/>
      <c r="J31" s="1"/>
      <c r="K31" s="1"/>
      <c r="M31" s="1"/>
      <c r="N31" s="1"/>
      <c r="O31" s="1"/>
      <c r="P31" s="1"/>
      <c r="R31" s="1"/>
      <c r="S31" s="1"/>
      <c r="T31" s="1"/>
      <c r="U31" s="1"/>
    </row>
    <row r="32" spans="1:21" ht="15" customHeight="1" x14ac:dyDescent="0.2">
      <c r="H32" s="1"/>
      <c r="I32" s="1"/>
      <c r="J32" s="1"/>
      <c r="K32" s="1"/>
      <c r="M32" s="1"/>
      <c r="N32" s="1"/>
      <c r="O32" s="1"/>
      <c r="P32" s="1"/>
      <c r="R32" s="1"/>
      <c r="S32" s="1"/>
      <c r="T32" s="1"/>
      <c r="U32" s="1"/>
    </row>
    <row r="33" spans="8:21" ht="15" customHeight="1" x14ac:dyDescent="0.2">
      <c r="H33" s="1"/>
      <c r="I33" s="1"/>
      <c r="J33" s="1"/>
      <c r="K33" s="1"/>
      <c r="M33" s="1"/>
      <c r="N33" s="1"/>
      <c r="O33" s="1"/>
      <c r="P33" s="1"/>
      <c r="R33" s="1"/>
      <c r="S33" s="1"/>
      <c r="T33" s="1"/>
      <c r="U33" s="1"/>
    </row>
    <row r="34" spans="8:21" ht="15" customHeight="1" x14ac:dyDescent="0.2">
      <c r="H34" s="1"/>
      <c r="I34" s="1"/>
      <c r="J34" s="1"/>
      <c r="K34" s="1"/>
      <c r="M34" s="1"/>
      <c r="N34" s="1"/>
      <c r="O34" s="1"/>
      <c r="P34" s="1"/>
      <c r="R34" s="1"/>
      <c r="S34" s="1"/>
      <c r="T34" s="1"/>
      <c r="U34" s="1"/>
    </row>
    <row r="35" spans="8:21" ht="15" customHeight="1" x14ac:dyDescent="0.2">
      <c r="H35" s="1"/>
      <c r="I35" s="1"/>
      <c r="J35" s="1"/>
      <c r="K35" s="1"/>
      <c r="M35" s="1"/>
      <c r="N35" s="1"/>
      <c r="O35" s="1"/>
      <c r="P35" s="1"/>
      <c r="R35" s="1"/>
      <c r="S35" s="1"/>
      <c r="T35" s="1"/>
      <c r="U35" s="1"/>
    </row>
    <row r="36" spans="8:21" ht="15" customHeight="1" x14ac:dyDescent="0.2">
      <c r="H36" s="1"/>
      <c r="I36" s="1"/>
      <c r="J36" s="1"/>
      <c r="K36" s="1"/>
      <c r="M36" s="1"/>
      <c r="N36" s="1"/>
      <c r="O36" s="1"/>
      <c r="P36" s="1"/>
      <c r="R36" s="1"/>
      <c r="S36" s="1"/>
      <c r="T36" s="1"/>
      <c r="U36" s="1"/>
    </row>
    <row r="37" spans="8:21" ht="15" customHeight="1" x14ac:dyDescent="0.2">
      <c r="H37" s="1"/>
      <c r="I37" s="1"/>
      <c r="J37" s="1"/>
      <c r="K37" s="1"/>
      <c r="M37" s="1"/>
      <c r="N37" s="1"/>
      <c r="O37" s="1"/>
      <c r="P37" s="1"/>
      <c r="R37" s="1"/>
      <c r="S37" s="1"/>
      <c r="T37" s="1"/>
      <c r="U37" s="1"/>
    </row>
    <row r="38" spans="8:21" x14ac:dyDescent="0.2">
      <c r="H38" s="1"/>
      <c r="I38" s="1"/>
      <c r="J38" s="1"/>
      <c r="K38" s="1"/>
      <c r="M38" s="1"/>
      <c r="N38" s="1"/>
      <c r="O38" s="1"/>
      <c r="P38" s="1"/>
      <c r="R38" s="1"/>
      <c r="S38" s="1"/>
      <c r="T38" s="1"/>
      <c r="U38" s="1"/>
    </row>
    <row r="39" spans="8:21" x14ac:dyDescent="0.2">
      <c r="H39" s="1"/>
      <c r="I39" s="1"/>
      <c r="J39" s="1"/>
      <c r="K39" s="1"/>
      <c r="M39" s="1"/>
      <c r="N39" s="1"/>
      <c r="O39" s="1"/>
      <c r="P39" s="1"/>
      <c r="R39" s="1"/>
      <c r="S39" s="1"/>
      <c r="T39" s="1"/>
      <c r="U39" s="1"/>
    </row>
  </sheetData>
  <mergeCells count="1">
    <mergeCell ref="H1:J2"/>
  </mergeCell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1025" r:id="rId4" name="CommandButton1">
          <controlPr defaultSize="0" autoLine="0" r:id="rId5">
            <anchor moveWithCells="1">
              <from>
                <xdr:col>10</xdr:col>
                <xdr:colOff>85725</xdr:colOff>
                <xdr:row>0</xdr:row>
                <xdr:rowOff>57150</xdr:rowOff>
              </from>
              <to>
                <xdr:col>12</xdr:col>
                <xdr:colOff>600075</xdr:colOff>
                <xdr:row>2</xdr:row>
                <xdr:rowOff>161925</xdr:rowOff>
              </to>
            </anchor>
          </controlPr>
        </control>
      </mc:Choice>
      <mc:Fallback>
        <control shapeId="1025" r:id="rId4" name="CommandButton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tabColor rgb="FF00B050"/>
  </sheetPr>
  <dimension ref="B1:AW39"/>
  <sheetViews>
    <sheetView showGridLines="0" topLeftCell="AC1" workbookViewId="0">
      <selection activeCell="AD2" sqref="AD2:AR3"/>
    </sheetView>
  </sheetViews>
  <sheetFormatPr defaultColWidth="9.33203125" defaultRowHeight="12" x14ac:dyDescent="0.2"/>
  <cols>
    <col min="2" max="5" width="14.83203125" customWidth="1"/>
    <col min="7" max="10" width="16" customWidth="1"/>
    <col min="12" max="16" width="15.83203125" customWidth="1"/>
    <col min="30" max="38" width="13.83203125" style="1" customWidth="1"/>
    <col min="39" max="39" width="22" style="1" customWidth="1"/>
    <col min="40" max="44" width="13.83203125" style="1" customWidth="1"/>
    <col min="45" max="45" width="24.33203125" style="1" customWidth="1"/>
    <col min="46" max="49" width="13.83203125" style="1" customWidth="1"/>
    <col min="50" max="53" width="13.83203125" customWidth="1"/>
  </cols>
  <sheetData>
    <row r="1" spans="2:49" x14ac:dyDescent="0.2">
      <c r="AD1" s="1" t="s">
        <v>461</v>
      </c>
    </row>
    <row r="2" spans="2:49" x14ac:dyDescent="0.2">
      <c r="AD2" s="42" t="s">
        <v>39</v>
      </c>
      <c r="AE2" s="42" t="s">
        <v>57</v>
      </c>
      <c r="AF2" s="42" t="s">
        <v>95</v>
      </c>
      <c r="AG2" s="42" t="s">
        <v>96</v>
      </c>
      <c r="AH2" s="42" t="s">
        <v>92</v>
      </c>
      <c r="AI2" s="42" t="s">
        <v>83</v>
      </c>
      <c r="AJ2" s="42" t="s">
        <v>97</v>
      </c>
      <c r="AK2" s="42" t="s">
        <v>98</v>
      </c>
      <c r="AL2" s="42" t="s">
        <v>99</v>
      </c>
      <c r="AM2" s="42" t="s">
        <v>100</v>
      </c>
      <c r="AN2" s="42" t="s">
        <v>101</v>
      </c>
      <c r="AO2" s="42" t="s">
        <v>102</v>
      </c>
      <c r="AP2" s="42" t="s">
        <v>141</v>
      </c>
      <c r="AQ2" s="42" t="s">
        <v>103</v>
      </c>
      <c r="AR2" s="42" t="s">
        <v>104</v>
      </c>
    </row>
    <row r="3" spans="2:49" x14ac:dyDescent="0.2">
      <c r="AD3" s="92" t="s">
        <v>31</v>
      </c>
      <c r="AE3" s="92" t="s">
        <v>66</v>
      </c>
      <c r="AF3" s="92" t="s">
        <v>66</v>
      </c>
      <c r="AG3" s="92" t="s">
        <v>454</v>
      </c>
      <c r="AH3" s="92" t="s">
        <v>105</v>
      </c>
      <c r="AI3" s="92" t="s">
        <v>87</v>
      </c>
      <c r="AJ3" s="92" t="s">
        <v>106</v>
      </c>
      <c r="AK3" s="92" t="s">
        <v>107</v>
      </c>
      <c r="AL3" s="92" t="s">
        <v>105</v>
      </c>
      <c r="AM3" s="92" t="s">
        <v>87</v>
      </c>
      <c r="AN3" s="92" t="s">
        <v>88</v>
      </c>
      <c r="AO3" s="92"/>
      <c r="AP3" s="92" t="s">
        <v>105</v>
      </c>
      <c r="AQ3" s="92" t="s">
        <v>87</v>
      </c>
      <c r="AR3" s="92" t="s">
        <v>106</v>
      </c>
    </row>
    <row r="5" spans="2:49" x14ac:dyDescent="0.2">
      <c r="B5" s="201" t="s">
        <v>233</v>
      </c>
      <c r="C5" s="202"/>
      <c r="D5" s="201" t="s">
        <v>86</v>
      </c>
      <c r="E5" s="203">
        <v>0</v>
      </c>
      <c r="G5" s="195" t="s">
        <v>233</v>
      </c>
      <c r="H5" s="207"/>
      <c r="I5" s="195" t="s">
        <v>86</v>
      </c>
      <c r="J5" s="208"/>
      <c r="L5" s="195" t="s">
        <v>233</v>
      </c>
      <c r="M5" s="196"/>
      <c r="N5" s="195" t="s">
        <v>86</v>
      </c>
      <c r="O5" s="196"/>
      <c r="P5" s="197"/>
    </row>
    <row r="6" spans="2:49" x14ac:dyDescent="0.2">
      <c r="B6" s="79" t="s">
        <v>89</v>
      </c>
      <c r="C6" s="80"/>
      <c r="D6" s="80" t="s">
        <v>31</v>
      </c>
      <c r="E6" s="82"/>
      <c r="G6" s="209" t="s">
        <v>39</v>
      </c>
      <c r="H6" s="210"/>
      <c r="I6" s="210"/>
      <c r="J6" s="211"/>
      <c r="L6" s="198" t="s">
        <v>39</v>
      </c>
      <c r="M6" s="80"/>
      <c r="N6" s="80"/>
      <c r="O6" s="80"/>
      <c r="P6" s="81"/>
      <c r="AD6" s="1" t="s">
        <v>396</v>
      </c>
    </row>
    <row r="7" spans="2:49" ht="15.75" x14ac:dyDescent="0.25">
      <c r="B7" s="83"/>
      <c r="C7" s="84"/>
      <c r="D7" s="84" t="s">
        <v>53</v>
      </c>
      <c r="E7" s="85" t="s">
        <v>53</v>
      </c>
      <c r="G7" s="507" t="s">
        <v>225</v>
      </c>
      <c r="H7" s="506"/>
      <c r="I7" s="210"/>
      <c r="J7" s="212"/>
      <c r="L7" s="198" t="s">
        <v>229</v>
      </c>
      <c r="M7" s="80"/>
      <c r="N7" s="80"/>
      <c r="O7" s="80"/>
      <c r="P7" s="82"/>
      <c r="AD7" s="42" t="s">
        <v>39</v>
      </c>
      <c r="AE7" s="42" t="s">
        <v>57</v>
      </c>
      <c r="AF7" s="42" t="s">
        <v>225</v>
      </c>
      <c r="AG7" s="42" t="s">
        <v>462</v>
      </c>
      <c r="AH7" s="42" t="s">
        <v>463</v>
      </c>
      <c r="AI7" s="42" t="s">
        <v>228</v>
      </c>
      <c r="AJ7" s="42" t="s">
        <v>227</v>
      </c>
      <c r="AK7" s="42" t="s">
        <v>464</v>
      </c>
      <c r="AL7" s="42" t="s">
        <v>95</v>
      </c>
      <c r="AM7" s="42" t="s">
        <v>96</v>
      </c>
      <c r="AN7" s="42" t="s">
        <v>92</v>
      </c>
      <c r="AO7" s="42" t="s">
        <v>83</v>
      </c>
      <c r="AP7" s="42" t="s">
        <v>97</v>
      </c>
      <c r="AQ7" s="42" t="s">
        <v>98</v>
      </c>
      <c r="AR7" s="42" t="s">
        <v>99</v>
      </c>
      <c r="AS7" s="42" t="s">
        <v>100</v>
      </c>
      <c r="AT7" s="42" t="s">
        <v>102</v>
      </c>
      <c r="AU7" s="42" t="s">
        <v>141</v>
      </c>
      <c r="AV7" s="42" t="s">
        <v>103</v>
      </c>
      <c r="AW7" s="42" t="s">
        <v>104</v>
      </c>
    </row>
    <row r="8" spans="2:49" x14ac:dyDescent="0.2">
      <c r="B8" s="86" t="s">
        <v>57</v>
      </c>
      <c r="C8" s="42" t="s">
        <v>83</v>
      </c>
      <c r="D8" s="42" t="s">
        <v>84</v>
      </c>
      <c r="E8" s="87" t="s">
        <v>85</v>
      </c>
      <c r="F8" s="1"/>
      <c r="G8" s="83" t="s">
        <v>57</v>
      </c>
      <c r="H8" s="84" t="s">
        <v>226</v>
      </c>
      <c r="I8" s="84" t="s">
        <v>227</v>
      </c>
      <c r="J8" s="85" t="s">
        <v>228</v>
      </c>
      <c r="K8" s="1"/>
      <c r="L8" s="83" t="s">
        <v>57</v>
      </c>
      <c r="M8" s="84" t="s">
        <v>230</v>
      </c>
      <c r="N8" s="84" t="s">
        <v>83</v>
      </c>
      <c r="O8" s="84" t="s">
        <v>231</v>
      </c>
      <c r="P8" s="85" t="s">
        <v>92</v>
      </c>
      <c r="AD8" s="92" t="s">
        <v>31</v>
      </c>
      <c r="AE8" s="92" t="s">
        <v>66</v>
      </c>
      <c r="AF8" s="92" t="s">
        <v>66</v>
      </c>
      <c r="AG8" s="92" t="s">
        <v>454</v>
      </c>
      <c r="AH8" s="92" t="s">
        <v>105</v>
      </c>
      <c r="AI8" s="92" t="s">
        <v>87</v>
      </c>
      <c r="AJ8" s="92" t="s">
        <v>106</v>
      </c>
      <c r="AK8" s="92" t="s">
        <v>107</v>
      </c>
      <c r="AL8" s="92" t="s">
        <v>105</v>
      </c>
      <c r="AM8" s="92" t="s">
        <v>87</v>
      </c>
      <c r="AN8" s="92" t="s">
        <v>88</v>
      </c>
      <c r="AO8" s="92"/>
      <c r="AP8" s="92" t="s">
        <v>105</v>
      </c>
      <c r="AQ8" s="92" t="s">
        <v>87</v>
      </c>
      <c r="AR8" s="92" t="s">
        <v>106</v>
      </c>
      <c r="AS8" s="92"/>
      <c r="AT8" s="92"/>
      <c r="AU8" s="92"/>
      <c r="AV8" s="92"/>
      <c r="AW8" s="92"/>
    </row>
    <row r="9" spans="2:49" x14ac:dyDescent="0.2">
      <c r="B9" s="502"/>
      <c r="C9" s="503"/>
      <c r="D9" s="503"/>
      <c r="E9" s="504"/>
      <c r="F9" s="1"/>
      <c r="G9" s="502"/>
      <c r="H9" s="503"/>
      <c r="I9" s="503"/>
      <c r="J9" s="504"/>
      <c r="K9" s="1"/>
      <c r="L9" s="502"/>
      <c r="M9" s="503"/>
      <c r="N9" s="503"/>
      <c r="O9" s="503"/>
      <c r="P9" s="504"/>
    </row>
    <row r="10" spans="2:49" x14ac:dyDescent="0.2">
      <c r="B10" s="1"/>
      <c r="C10" s="1"/>
      <c r="D10" s="1"/>
      <c r="E10" s="1"/>
      <c r="F10" s="1"/>
      <c r="G10" s="1"/>
      <c r="H10" s="1"/>
      <c r="I10" s="1"/>
      <c r="J10" s="1"/>
      <c r="K10" s="1"/>
      <c r="L10" s="1"/>
      <c r="M10" s="1"/>
      <c r="N10" s="1"/>
      <c r="O10" s="1"/>
      <c r="P10" s="1"/>
    </row>
    <row r="11" spans="2:49" x14ac:dyDescent="0.2">
      <c r="B11" s="1"/>
      <c r="C11" s="1"/>
      <c r="D11" s="1"/>
      <c r="E11" s="1"/>
      <c r="F11" s="1"/>
      <c r="G11" s="1"/>
      <c r="H11" s="1"/>
      <c r="I11" s="1"/>
      <c r="J11" s="1"/>
      <c r="K11" s="1"/>
      <c r="L11" s="1"/>
      <c r="M11" s="1"/>
      <c r="N11" s="1"/>
      <c r="O11" s="1"/>
      <c r="P11" s="1"/>
    </row>
    <row r="12" spans="2:49" x14ac:dyDescent="0.2">
      <c r="B12" s="1"/>
      <c r="C12" s="1"/>
      <c r="D12" s="1"/>
      <c r="E12" s="1"/>
      <c r="F12" s="1"/>
      <c r="G12" s="1"/>
      <c r="H12" s="1"/>
      <c r="I12" s="1"/>
      <c r="J12" s="1"/>
      <c r="K12" s="1"/>
      <c r="L12" s="1"/>
      <c r="M12" s="1"/>
      <c r="N12" s="1"/>
      <c r="O12" s="1"/>
      <c r="P12" s="1"/>
    </row>
    <row r="13" spans="2:49" x14ac:dyDescent="0.2">
      <c r="B13" s="1"/>
      <c r="C13" s="1"/>
      <c r="D13" s="1"/>
      <c r="E13" s="1"/>
      <c r="F13" s="1"/>
      <c r="G13" s="1"/>
      <c r="H13" s="1"/>
      <c r="I13" s="1"/>
      <c r="J13" s="1"/>
      <c r="K13" s="1"/>
      <c r="L13" s="1"/>
      <c r="M13" s="1"/>
      <c r="N13" s="1"/>
      <c r="O13" s="1"/>
      <c r="P13" s="1"/>
    </row>
    <row r="14" spans="2:49" x14ac:dyDescent="0.2">
      <c r="B14" s="1"/>
      <c r="C14" s="1"/>
      <c r="D14" s="1"/>
      <c r="E14" s="1"/>
      <c r="F14" s="1"/>
      <c r="G14" s="1"/>
      <c r="H14" s="1"/>
      <c r="I14" s="1"/>
      <c r="J14" s="1"/>
      <c r="K14" s="1"/>
      <c r="L14" s="1"/>
      <c r="M14" s="1"/>
      <c r="N14" s="1"/>
      <c r="O14" s="1"/>
      <c r="P14" s="1"/>
    </row>
    <row r="15" spans="2:49" x14ac:dyDescent="0.2">
      <c r="B15" s="1"/>
      <c r="C15" s="1"/>
      <c r="D15" s="1"/>
      <c r="E15" s="1"/>
      <c r="F15" s="1"/>
      <c r="G15" s="1"/>
      <c r="H15" s="1"/>
      <c r="I15" s="1"/>
      <c r="J15" s="1"/>
      <c r="K15" s="1"/>
      <c r="L15" s="1"/>
      <c r="M15" s="1"/>
      <c r="N15" s="1"/>
      <c r="O15" s="1"/>
      <c r="P15" s="1"/>
    </row>
    <row r="16" spans="2:49" x14ac:dyDescent="0.2">
      <c r="B16" s="1"/>
      <c r="C16" s="1"/>
      <c r="D16" s="1"/>
      <c r="E16" s="1"/>
      <c r="F16" s="1"/>
      <c r="G16" s="1"/>
      <c r="H16" s="1"/>
      <c r="I16" s="1"/>
      <c r="J16" s="1"/>
      <c r="K16" s="1"/>
      <c r="L16" s="1"/>
      <c r="M16" s="1"/>
      <c r="N16" s="1"/>
      <c r="O16" s="1"/>
      <c r="P16" s="1"/>
    </row>
    <row r="17" spans="2:16" x14ac:dyDescent="0.2">
      <c r="B17" s="1"/>
      <c r="C17" s="1"/>
      <c r="D17" s="1"/>
      <c r="E17" s="1"/>
      <c r="F17" s="1"/>
      <c r="G17" s="1"/>
      <c r="H17" s="1"/>
      <c r="I17" s="1"/>
      <c r="J17" s="1"/>
      <c r="K17" s="1"/>
      <c r="L17" s="1"/>
      <c r="M17" s="1"/>
      <c r="N17" s="1"/>
      <c r="O17" s="1"/>
      <c r="P17" s="1"/>
    </row>
    <row r="18" spans="2:16" x14ac:dyDescent="0.2">
      <c r="B18" s="1"/>
      <c r="C18" s="1"/>
      <c r="D18" s="1"/>
      <c r="E18" s="1"/>
      <c r="F18" s="1"/>
      <c r="G18" s="1"/>
      <c r="H18" s="1"/>
      <c r="I18" s="1"/>
      <c r="J18" s="1"/>
      <c r="K18" s="1"/>
      <c r="L18" s="1"/>
      <c r="M18" s="1"/>
      <c r="N18" s="1"/>
      <c r="O18" s="1"/>
      <c r="P18" s="1"/>
    </row>
    <row r="19" spans="2:16" x14ac:dyDescent="0.2">
      <c r="B19" s="1"/>
      <c r="C19" s="1"/>
      <c r="D19" s="1"/>
      <c r="E19" s="1"/>
      <c r="F19" s="1"/>
      <c r="G19" s="1"/>
      <c r="H19" s="1"/>
      <c r="I19" s="1"/>
      <c r="J19" s="1"/>
      <c r="K19" s="1"/>
      <c r="L19" s="1"/>
      <c r="M19" s="1"/>
      <c r="N19" s="1"/>
      <c r="O19" s="1"/>
      <c r="P19" s="1"/>
    </row>
    <row r="20" spans="2:16" x14ac:dyDescent="0.2">
      <c r="B20" s="1"/>
      <c r="C20" s="1"/>
      <c r="D20" s="1"/>
      <c r="E20" s="1"/>
      <c r="F20" s="1"/>
      <c r="G20" s="1"/>
      <c r="H20" s="1"/>
      <c r="I20" s="1"/>
      <c r="J20" s="1"/>
      <c r="K20" s="1"/>
      <c r="L20" s="1"/>
      <c r="M20" s="1"/>
      <c r="N20" s="1"/>
      <c r="O20" s="1"/>
      <c r="P20" s="1"/>
    </row>
    <row r="21" spans="2:16" x14ac:dyDescent="0.2">
      <c r="B21" s="1"/>
      <c r="C21" s="1"/>
      <c r="D21" s="1"/>
      <c r="E21" s="1"/>
      <c r="F21" s="1"/>
      <c r="G21" s="1"/>
      <c r="H21" s="1"/>
      <c r="I21" s="1"/>
      <c r="J21" s="1"/>
      <c r="K21" s="1"/>
      <c r="L21" s="1"/>
      <c r="M21" s="1"/>
      <c r="N21" s="1"/>
      <c r="O21" s="1"/>
      <c r="P21" s="1"/>
    </row>
    <row r="22" spans="2:16" x14ac:dyDescent="0.2">
      <c r="B22" s="1"/>
      <c r="C22" s="1"/>
      <c r="D22" s="1"/>
      <c r="E22" s="1"/>
      <c r="F22" s="1"/>
      <c r="G22" s="1"/>
      <c r="H22" s="1"/>
      <c r="I22" s="1"/>
      <c r="J22" s="1"/>
      <c r="K22" s="1"/>
      <c r="L22" s="1"/>
      <c r="M22" s="1"/>
      <c r="N22" s="1"/>
      <c r="O22" s="1"/>
      <c r="P22" s="1"/>
    </row>
    <row r="23" spans="2:16" x14ac:dyDescent="0.2">
      <c r="B23" s="1"/>
      <c r="C23" s="1"/>
      <c r="D23" s="1"/>
      <c r="E23" s="1"/>
      <c r="F23" s="1"/>
      <c r="G23" s="1"/>
      <c r="H23" s="1"/>
      <c r="I23" s="1"/>
      <c r="J23" s="1"/>
      <c r="K23" s="1"/>
      <c r="L23" s="1"/>
      <c r="M23" s="1"/>
      <c r="N23" s="1"/>
      <c r="O23" s="1"/>
      <c r="P23" s="1"/>
    </row>
    <row r="24" spans="2:16" x14ac:dyDescent="0.2">
      <c r="B24" s="1"/>
      <c r="C24" s="1"/>
      <c r="D24" s="1"/>
      <c r="E24" s="1"/>
      <c r="F24" s="1"/>
      <c r="G24" s="1"/>
      <c r="H24" s="1"/>
      <c r="I24" s="1"/>
      <c r="J24" s="1"/>
      <c r="K24" s="1"/>
      <c r="L24" s="1"/>
      <c r="M24" s="1"/>
      <c r="N24" s="1"/>
      <c r="O24" s="1"/>
      <c r="P24" s="1"/>
    </row>
    <row r="25" spans="2:16" x14ac:dyDescent="0.2">
      <c r="B25" s="1"/>
      <c r="C25" s="1"/>
      <c r="D25" s="1"/>
      <c r="E25" s="1"/>
      <c r="F25" s="1"/>
      <c r="G25" s="1"/>
      <c r="H25" s="1"/>
      <c r="I25" s="1"/>
      <c r="J25" s="1"/>
      <c r="K25" s="1"/>
      <c r="L25" s="1"/>
      <c r="M25" s="1"/>
      <c r="N25" s="1"/>
      <c r="O25" s="1"/>
      <c r="P25" s="1"/>
    </row>
    <row r="26" spans="2:16" x14ac:dyDescent="0.2">
      <c r="B26" s="1"/>
      <c r="C26" s="1"/>
      <c r="D26" s="1"/>
      <c r="E26" s="1"/>
      <c r="F26" s="1"/>
      <c r="G26" s="1"/>
      <c r="H26" s="1"/>
      <c r="I26" s="1"/>
      <c r="J26" s="1"/>
      <c r="K26" s="1"/>
      <c r="L26" s="1"/>
      <c r="M26" s="1"/>
      <c r="N26" s="1"/>
      <c r="O26" s="1"/>
      <c r="P26" s="1"/>
    </row>
    <row r="27" spans="2:16" x14ac:dyDescent="0.2">
      <c r="B27" s="1"/>
      <c r="C27" s="1"/>
      <c r="D27" s="1"/>
      <c r="E27" s="1"/>
      <c r="F27" s="1"/>
      <c r="G27" s="1"/>
      <c r="H27" s="1"/>
      <c r="I27" s="1"/>
      <c r="J27" s="1"/>
      <c r="K27" s="1"/>
      <c r="L27" s="1"/>
      <c r="M27" s="1"/>
      <c r="N27" s="1"/>
      <c r="O27" s="1"/>
      <c r="P27" s="1"/>
    </row>
    <row r="28" spans="2:16" x14ac:dyDescent="0.2">
      <c r="B28" s="1"/>
      <c r="C28" s="1"/>
      <c r="D28" s="1"/>
      <c r="E28" s="1"/>
      <c r="F28" s="1"/>
      <c r="G28" s="1"/>
      <c r="H28" s="1"/>
      <c r="I28" s="1"/>
      <c r="J28" s="1"/>
      <c r="K28" s="1"/>
      <c r="L28" s="1"/>
      <c r="M28" s="1"/>
      <c r="N28" s="1"/>
      <c r="O28" s="1"/>
      <c r="P28" s="1"/>
    </row>
    <row r="29" spans="2:16" x14ac:dyDescent="0.2">
      <c r="B29" s="1"/>
      <c r="C29" s="1"/>
      <c r="D29" s="1"/>
      <c r="E29" s="1"/>
      <c r="F29" s="1"/>
      <c r="G29" s="1"/>
      <c r="H29" s="1"/>
      <c r="I29" s="1"/>
      <c r="J29" s="1"/>
      <c r="K29" s="1"/>
      <c r="L29" s="1"/>
      <c r="M29" s="1"/>
      <c r="N29" s="1"/>
      <c r="O29" s="1"/>
      <c r="P29" s="1"/>
    </row>
    <row r="30" spans="2:16" x14ac:dyDescent="0.2">
      <c r="B30" s="1"/>
      <c r="C30" s="1"/>
      <c r="D30" s="1"/>
      <c r="E30" s="1"/>
      <c r="F30" s="1"/>
      <c r="G30" s="1"/>
      <c r="H30" s="1"/>
      <c r="I30" s="1"/>
      <c r="J30" s="1"/>
      <c r="K30" s="1"/>
      <c r="L30" s="1"/>
      <c r="M30" s="1"/>
      <c r="N30" s="1"/>
      <c r="O30" s="1"/>
      <c r="P30" s="1"/>
    </row>
    <row r="31" spans="2:16" x14ac:dyDescent="0.2">
      <c r="B31" s="1"/>
      <c r="C31" s="1"/>
      <c r="D31" s="1"/>
      <c r="E31" s="1"/>
      <c r="F31" s="1"/>
      <c r="G31" s="1"/>
      <c r="H31" s="1"/>
      <c r="I31" s="1"/>
      <c r="J31" s="1"/>
      <c r="K31" s="1"/>
      <c r="L31" s="1"/>
      <c r="M31" s="1"/>
      <c r="N31" s="1"/>
      <c r="O31" s="1"/>
      <c r="P31" s="1"/>
    </row>
    <row r="32" spans="2:16" x14ac:dyDescent="0.2">
      <c r="B32" s="1"/>
      <c r="C32" s="1"/>
      <c r="D32" s="1"/>
      <c r="E32" s="1"/>
      <c r="F32" s="1"/>
      <c r="G32" s="1"/>
      <c r="H32" s="1"/>
      <c r="I32" s="1"/>
      <c r="J32" s="1"/>
      <c r="K32" s="1"/>
      <c r="L32" s="1"/>
      <c r="M32" s="1"/>
      <c r="N32" s="1"/>
      <c r="O32" s="1"/>
      <c r="P32" s="1"/>
    </row>
    <row r="33" spans="2:16" x14ac:dyDescent="0.2">
      <c r="B33" s="1"/>
      <c r="C33" s="1"/>
      <c r="D33" s="1"/>
      <c r="E33" s="1"/>
      <c r="F33" s="1"/>
      <c r="G33" s="1"/>
      <c r="H33" s="1"/>
      <c r="I33" s="1"/>
      <c r="J33" s="1"/>
      <c r="K33" s="1"/>
      <c r="L33" s="1"/>
      <c r="M33" s="1"/>
      <c r="N33" s="1"/>
      <c r="O33" s="1"/>
      <c r="P33" s="1"/>
    </row>
    <row r="34" spans="2:16" x14ac:dyDescent="0.2">
      <c r="B34" s="1"/>
      <c r="C34" s="1"/>
      <c r="D34" s="1"/>
      <c r="E34" s="1"/>
      <c r="F34" s="1"/>
      <c r="G34" s="1"/>
      <c r="H34" s="1"/>
      <c r="I34" s="1"/>
      <c r="J34" s="1"/>
      <c r="K34" s="1"/>
      <c r="L34" s="1"/>
      <c r="M34" s="1"/>
      <c r="N34" s="1"/>
      <c r="O34" s="1"/>
      <c r="P34" s="1"/>
    </row>
    <row r="35" spans="2:16" x14ac:dyDescent="0.2">
      <c r="B35" s="1"/>
      <c r="C35" s="1"/>
      <c r="D35" s="1"/>
      <c r="E35" s="1"/>
      <c r="F35" s="1"/>
      <c r="G35" s="1"/>
      <c r="H35" s="1"/>
      <c r="I35" s="1"/>
      <c r="J35" s="1"/>
      <c r="K35" s="1"/>
      <c r="L35" s="1"/>
      <c r="M35" s="1"/>
      <c r="N35" s="1"/>
      <c r="O35" s="1"/>
      <c r="P35" s="1"/>
    </row>
    <row r="36" spans="2:16" x14ac:dyDescent="0.2">
      <c r="B36" s="1"/>
      <c r="C36" s="1"/>
      <c r="D36" s="1"/>
      <c r="E36" s="1"/>
      <c r="F36" s="1"/>
      <c r="G36" s="1"/>
      <c r="H36" s="1"/>
      <c r="I36" s="1"/>
      <c r="J36" s="1"/>
      <c r="K36" s="1"/>
      <c r="L36" s="1"/>
      <c r="M36" s="1"/>
      <c r="N36" s="1"/>
      <c r="O36" s="1"/>
      <c r="P36" s="1"/>
    </row>
    <row r="37" spans="2:16" x14ac:dyDescent="0.2">
      <c r="B37" s="1"/>
      <c r="C37" s="1"/>
      <c r="D37" s="1"/>
      <c r="E37" s="1"/>
      <c r="F37" s="1"/>
      <c r="G37" s="1"/>
      <c r="H37" s="1"/>
      <c r="I37" s="1"/>
      <c r="J37" s="1"/>
      <c r="K37" s="1"/>
      <c r="L37" s="1"/>
      <c r="M37" s="1"/>
      <c r="N37" s="1"/>
      <c r="O37" s="1"/>
      <c r="P37" s="1"/>
    </row>
    <row r="38" spans="2:16" x14ac:dyDescent="0.2">
      <c r="B38" s="1"/>
      <c r="C38" s="1"/>
      <c r="D38" s="1"/>
      <c r="E38" s="1"/>
      <c r="F38" s="1"/>
      <c r="G38" s="1"/>
      <c r="H38" s="1"/>
      <c r="I38" s="1"/>
      <c r="J38" s="1"/>
      <c r="K38" s="1"/>
      <c r="L38" s="1"/>
      <c r="M38" s="1"/>
      <c r="N38" s="1"/>
      <c r="O38" s="1"/>
      <c r="P38" s="1"/>
    </row>
    <row r="39" spans="2:16" x14ac:dyDescent="0.2">
      <c r="B39" s="1"/>
      <c r="C39" s="1"/>
      <c r="D39" s="1"/>
      <c r="E39" s="1"/>
      <c r="F39" s="1"/>
      <c r="G39" s="1"/>
      <c r="H39" s="1"/>
      <c r="I39" s="1"/>
      <c r="J39" s="1"/>
      <c r="K39" s="1"/>
      <c r="L39" s="1"/>
      <c r="M39" s="1"/>
      <c r="N39" s="1"/>
      <c r="O39" s="1"/>
      <c r="P39" s="1"/>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92D050"/>
  </sheetPr>
  <dimension ref="O2:AM500"/>
  <sheetViews>
    <sheetView showGridLines="0" workbookViewId="0"/>
  </sheetViews>
  <sheetFormatPr defaultColWidth="9.33203125" defaultRowHeight="12" x14ac:dyDescent="0.2"/>
  <cols>
    <col min="1" max="1" width="1" customWidth="1"/>
    <col min="2" max="13" width="13.33203125" customWidth="1"/>
    <col min="14" max="14" width="1.6640625" customWidth="1"/>
    <col min="15" max="15" width="18.5" style="1" customWidth="1"/>
    <col min="16" max="18" width="13" style="1" customWidth="1"/>
    <col min="19" max="19" width="2.5" style="1" customWidth="1"/>
    <col min="20" max="21" width="15.6640625" style="1" customWidth="1"/>
    <col min="22" max="22" width="17.5" style="1" customWidth="1"/>
    <col min="23" max="23" width="13" style="1" customWidth="1"/>
    <col min="24" max="24" width="17" style="1" customWidth="1"/>
    <col min="25" max="29" width="20.6640625" style="1" customWidth="1"/>
    <col min="30" max="34" width="19.5" customWidth="1"/>
  </cols>
  <sheetData>
    <row r="2" spans="15:39" ht="15.75" x14ac:dyDescent="0.25">
      <c r="O2" s="772" t="s">
        <v>146</v>
      </c>
    </row>
    <row r="3" spans="15:39" x14ac:dyDescent="0.2">
      <c r="O3" s="114"/>
      <c r="P3" s="104" t="s">
        <v>39</v>
      </c>
      <c r="Q3" s="82" t="s">
        <v>57</v>
      </c>
    </row>
    <row r="4" spans="15:39" x14ac:dyDescent="0.2">
      <c r="O4" s="111" t="s">
        <v>143</v>
      </c>
      <c r="P4" s="105">
        <v>86</v>
      </c>
      <c r="Q4" s="106">
        <v>14</v>
      </c>
    </row>
    <row r="5" spans="15:39" x14ac:dyDescent="0.2">
      <c r="O5" s="112" t="s">
        <v>144</v>
      </c>
      <c r="P5" s="107">
        <v>260</v>
      </c>
      <c r="Q5" s="108">
        <v>5000</v>
      </c>
    </row>
    <row r="6" spans="15:39" x14ac:dyDescent="0.2">
      <c r="O6" s="113" t="s">
        <v>145</v>
      </c>
      <c r="P6" s="109">
        <v>5</v>
      </c>
      <c r="Q6" s="110">
        <v>10</v>
      </c>
    </row>
    <row r="8" spans="15:39" x14ac:dyDescent="0.2">
      <c r="O8"/>
      <c r="P8"/>
      <c r="Q8"/>
      <c r="R8"/>
      <c r="S8"/>
      <c r="T8" s="42" t="s">
        <v>39</v>
      </c>
      <c r="U8" s="42" t="s">
        <v>57</v>
      </c>
      <c r="V8" s="42" t="s">
        <v>95</v>
      </c>
      <c r="W8" s="42" t="s">
        <v>96</v>
      </c>
      <c r="X8" s="42" t="s">
        <v>92</v>
      </c>
      <c r="Y8" s="42" t="s">
        <v>83</v>
      </c>
      <c r="Z8" s="42" t="s">
        <v>97</v>
      </c>
      <c r="AA8" s="42" t="s">
        <v>98</v>
      </c>
      <c r="AB8" s="42" t="s">
        <v>99</v>
      </c>
      <c r="AC8" s="42" t="s">
        <v>100</v>
      </c>
      <c r="AD8" s="42"/>
      <c r="AE8" s="42"/>
      <c r="AF8" s="42"/>
      <c r="AG8" s="42"/>
      <c r="AH8" s="42"/>
    </row>
    <row r="9" spans="15:39" ht="15.75" x14ac:dyDescent="0.25">
      <c r="O9" s="508" t="s">
        <v>91</v>
      </c>
      <c r="P9"/>
      <c r="Q9"/>
      <c r="S9"/>
      <c r="T9" s="92" t="s">
        <v>31</v>
      </c>
      <c r="U9" s="92" t="s">
        <v>66</v>
      </c>
      <c r="V9" s="92" t="s">
        <v>105</v>
      </c>
      <c r="W9" s="92" t="s">
        <v>87</v>
      </c>
      <c r="X9" s="92" t="s">
        <v>88</v>
      </c>
      <c r="Y9" s="92"/>
      <c r="Z9" s="92" t="s">
        <v>105</v>
      </c>
      <c r="AA9" s="92" t="s">
        <v>87</v>
      </c>
      <c r="AB9" s="92" t="s">
        <v>106</v>
      </c>
      <c r="AC9" s="92" t="s">
        <v>107</v>
      </c>
      <c r="AD9" s="92" t="s">
        <v>698</v>
      </c>
      <c r="AE9" s="92" t="s">
        <v>679</v>
      </c>
      <c r="AF9" s="92" t="s">
        <v>679</v>
      </c>
      <c r="AG9" s="92" t="s">
        <v>679</v>
      </c>
      <c r="AH9" s="92" t="s">
        <v>679</v>
      </c>
      <c r="AI9" t="s">
        <v>107</v>
      </c>
      <c r="AJ9" t="s">
        <v>679</v>
      </c>
      <c r="AK9" t="s">
        <v>679</v>
      </c>
      <c r="AL9" t="s">
        <v>679</v>
      </c>
      <c r="AM9" t="s">
        <v>679</v>
      </c>
    </row>
    <row r="10" spans="15:39" x14ac:dyDescent="0.2">
      <c r="O10" s="90"/>
      <c r="P10" s="101" t="s">
        <v>93</v>
      </c>
      <c r="Q10" s="102" t="s">
        <v>94</v>
      </c>
      <c r="R10" s="103" t="s">
        <v>142</v>
      </c>
      <c r="S10"/>
      <c r="T10" s="100">
        <v>86</v>
      </c>
      <c r="U10" s="100">
        <v>14</v>
      </c>
      <c r="V10" s="115">
        <v>0.10412200000000001</v>
      </c>
      <c r="W10" s="115">
        <v>1.07814E-2</v>
      </c>
      <c r="X10" s="115">
        <v>0.54558899999999999</v>
      </c>
      <c r="Y10" s="115">
        <v>1.0138100000000001</v>
      </c>
      <c r="Z10" s="115">
        <v>62.247799999999998</v>
      </c>
      <c r="AA10" s="115">
        <v>0.89034599999999997</v>
      </c>
      <c r="AB10" s="115">
        <v>1.0031000000000001</v>
      </c>
      <c r="AC10" s="115">
        <v>4.6909999999999996E-6</v>
      </c>
      <c r="AD10" s="771">
        <v>48107.4</v>
      </c>
      <c r="AE10" s="771">
        <v>0.20607</v>
      </c>
      <c r="AF10" s="771">
        <v>0.20607</v>
      </c>
      <c r="AG10" s="771">
        <v>71.151600000000002</v>
      </c>
      <c r="AH10" s="771">
        <v>52.934699999999999</v>
      </c>
      <c r="AI10" s="771">
        <v>4.5995700000000004E-6</v>
      </c>
      <c r="AJ10">
        <v>17.035799999999998</v>
      </c>
      <c r="AK10">
        <v>17.035799999999998</v>
      </c>
      <c r="AL10">
        <v>73.307000000000002</v>
      </c>
      <c r="AM10">
        <v>17.477599999999999</v>
      </c>
    </row>
    <row r="11" spans="15:39" ht="15" x14ac:dyDescent="0.25">
      <c r="O11" s="773" t="s">
        <v>83</v>
      </c>
      <c r="P11" s="762">
        <v>0.78210854500000004</v>
      </c>
      <c r="Q11" s="763">
        <v>0.235672563</v>
      </c>
      <c r="R11" s="764">
        <v>3.4091000000000003E-5</v>
      </c>
      <c r="S11"/>
      <c r="T11" s="100">
        <v>86</v>
      </c>
      <c r="U11" s="100">
        <v>568</v>
      </c>
      <c r="V11" s="115">
        <v>2.2873399999999999</v>
      </c>
      <c r="W11" s="115">
        <v>1.1618399999999999E-2</v>
      </c>
      <c r="X11" s="115">
        <v>2.4835900000000001E-2</v>
      </c>
      <c r="Y11" s="115">
        <v>0.93710700000000002</v>
      </c>
      <c r="Z11" s="115">
        <v>62.296599999999998</v>
      </c>
      <c r="AA11" s="115">
        <v>0.89034599999999997</v>
      </c>
      <c r="AB11" s="115">
        <v>1.00231</v>
      </c>
      <c r="AC11" s="115">
        <v>4.6466800000000002E-6</v>
      </c>
      <c r="AD11" s="771">
        <v>29740600</v>
      </c>
      <c r="AE11" s="771">
        <v>0.20607</v>
      </c>
      <c r="AF11" s="771">
        <v>0.20607</v>
      </c>
      <c r="AG11" s="771">
        <v>58.239699999999999</v>
      </c>
      <c r="AH11" s="771">
        <v>52.976199999999999</v>
      </c>
      <c r="AI11" s="771">
        <v>4.5552500000000001E-6</v>
      </c>
      <c r="AJ11">
        <v>12.1698</v>
      </c>
      <c r="AK11">
        <v>12.1698</v>
      </c>
      <c r="AL11">
        <v>59.725299999999997</v>
      </c>
      <c r="AM11">
        <v>17.718399999999999</v>
      </c>
    </row>
    <row r="12" spans="15:39" ht="15" x14ac:dyDescent="0.25">
      <c r="O12" s="774" t="s">
        <v>92</v>
      </c>
      <c r="P12" s="765">
        <v>1</v>
      </c>
      <c r="Q12" s="766">
        <v>0</v>
      </c>
      <c r="R12" s="767">
        <v>0</v>
      </c>
      <c r="S12"/>
      <c r="T12" s="100">
        <v>86</v>
      </c>
      <c r="U12" s="100">
        <v>1122</v>
      </c>
      <c r="V12" s="115">
        <v>4.8258000000000001</v>
      </c>
      <c r="W12" s="115">
        <v>1.3154600000000001E-2</v>
      </c>
      <c r="X12" s="115">
        <v>1.17717E-2</v>
      </c>
      <c r="Y12" s="115">
        <v>0.86646900000000004</v>
      </c>
      <c r="Z12" s="115">
        <v>62.345500000000001</v>
      </c>
      <c r="AA12" s="115">
        <v>0.89034599999999997</v>
      </c>
      <c r="AB12" s="115">
        <v>1.00152</v>
      </c>
      <c r="AC12" s="115">
        <v>4.6023599999999999E-6</v>
      </c>
      <c r="AD12" s="771">
        <v>113934000</v>
      </c>
      <c r="AE12" s="771">
        <v>0.20607</v>
      </c>
      <c r="AF12" s="771">
        <v>0.20607</v>
      </c>
      <c r="AG12" s="771">
        <v>45.4482</v>
      </c>
      <c r="AH12" s="771">
        <v>53.017800000000001</v>
      </c>
      <c r="AI12" s="771">
        <v>4.5109299999999999E-6</v>
      </c>
      <c r="AJ12">
        <v>7.16594</v>
      </c>
      <c r="AK12">
        <v>7.16594</v>
      </c>
      <c r="AL12">
        <v>44.845399999999998</v>
      </c>
      <c r="AM12">
        <v>18.3216</v>
      </c>
    </row>
    <row r="13" spans="15:39" ht="15" x14ac:dyDescent="0.25">
      <c r="O13" s="774" t="s">
        <v>643</v>
      </c>
      <c r="P13" s="765">
        <v>1</v>
      </c>
      <c r="Q13" s="766">
        <v>0</v>
      </c>
      <c r="R13" s="767">
        <v>0</v>
      </c>
      <c r="S13"/>
      <c r="T13" s="100">
        <v>86</v>
      </c>
      <c r="U13" s="100">
        <v>1676</v>
      </c>
      <c r="V13" s="115">
        <v>7.6031000000000004</v>
      </c>
      <c r="W13" s="115">
        <v>1.5447600000000001E-2</v>
      </c>
      <c r="X13" s="115">
        <v>7.4716899999999996E-3</v>
      </c>
      <c r="Y13" s="115">
        <v>0.81799900000000003</v>
      </c>
      <c r="Z13" s="115">
        <v>62.394399999999997</v>
      </c>
      <c r="AA13" s="115">
        <v>0.89034599999999997</v>
      </c>
      <c r="AB13" s="115">
        <v>1.00074</v>
      </c>
      <c r="AC13" s="115">
        <v>4.5580399999999996E-6</v>
      </c>
      <c r="AD13" s="771">
        <v>243366000</v>
      </c>
      <c r="AE13" s="771">
        <v>0.20607</v>
      </c>
      <c r="AF13" s="771">
        <v>0.20607</v>
      </c>
      <c r="AG13" s="771">
        <v>33.9268</v>
      </c>
      <c r="AH13" s="771">
        <v>53.059399999999997</v>
      </c>
      <c r="AI13" s="771">
        <v>4.4666100000000004E-6</v>
      </c>
      <c r="AJ13">
        <v>3.3512900000000001</v>
      </c>
      <c r="AK13">
        <v>3.3512900000000001</v>
      </c>
      <c r="AL13">
        <v>30.944400000000002</v>
      </c>
      <c r="AM13">
        <v>19.1264</v>
      </c>
    </row>
    <row r="14" spans="15:39" ht="15" x14ac:dyDescent="0.25">
      <c r="O14" s="775" t="s">
        <v>644</v>
      </c>
      <c r="P14" s="768">
        <v>1</v>
      </c>
      <c r="Q14" s="769">
        <v>0</v>
      </c>
      <c r="R14" s="770">
        <v>0</v>
      </c>
      <c r="S14"/>
      <c r="T14" s="100">
        <v>86</v>
      </c>
      <c r="U14" s="100">
        <v>2230</v>
      </c>
      <c r="V14" s="115">
        <v>10.2685</v>
      </c>
      <c r="W14" s="115">
        <v>1.8343999999999999E-2</v>
      </c>
      <c r="X14" s="115">
        <v>5.5322399999999999E-3</v>
      </c>
      <c r="Y14" s="115">
        <v>0.80413000000000001</v>
      </c>
      <c r="Z14" s="115">
        <v>62.4435</v>
      </c>
      <c r="AA14" s="115">
        <v>0.89034599999999997</v>
      </c>
      <c r="AB14" s="115">
        <v>0.99995299999999998</v>
      </c>
      <c r="AC14" s="115">
        <v>4.5137200000000002E-6</v>
      </c>
      <c r="AD14" s="771">
        <v>401939000</v>
      </c>
      <c r="AE14" s="771">
        <v>0.20607</v>
      </c>
      <c r="AF14" s="771">
        <v>0.20607</v>
      </c>
      <c r="AG14" s="771">
        <v>25.027899999999999</v>
      </c>
      <c r="AH14" s="771">
        <v>53.101100000000002</v>
      </c>
      <c r="AI14" s="771">
        <v>4.4222900000000001E-6</v>
      </c>
      <c r="AJ14">
        <v>1.3818900000000001</v>
      </c>
      <c r="AK14">
        <v>1.3818900000000001</v>
      </c>
      <c r="AL14">
        <v>21.410599999999999</v>
      </c>
      <c r="AM14">
        <v>20.030799999999999</v>
      </c>
    </row>
    <row r="15" spans="15:39" ht="15" x14ac:dyDescent="0.25">
      <c r="O15" s="776" t="s">
        <v>643</v>
      </c>
      <c r="P15" s="778">
        <v>1</v>
      </c>
      <c r="Q15" s="779">
        <v>0</v>
      </c>
      <c r="R15" s="780">
        <v>0</v>
      </c>
      <c r="S15" s="115"/>
      <c r="T15" s="100">
        <v>86</v>
      </c>
      <c r="U15" s="100">
        <v>2784</v>
      </c>
      <c r="V15" s="115">
        <v>12.581200000000001</v>
      </c>
      <c r="W15" s="115">
        <v>2.1535599999999998E-2</v>
      </c>
      <c r="X15" s="115">
        <v>4.5152999999999999E-3</v>
      </c>
      <c r="Y15" s="115">
        <v>0.81829600000000002</v>
      </c>
      <c r="Z15" s="115">
        <v>62.492600000000003</v>
      </c>
      <c r="AA15" s="115">
        <v>0.89034599999999997</v>
      </c>
      <c r="AB15" s="115">
        <v>0.99916799999999995</v>
      </c>
      <c r="AC15" s="115">
        <v>4.4693999999999999E-6</v>
      </c>
      <c r="AD15" s="771">
        <v>574011000</v>
      </c>
      <c r="AE15" s="771">
        <v>0.20607</v>
      </c>
      <c r="AF15" s="771">
        <v>0.20607</v>
      </c>
      <c r="AG15" s="771">
        <v>18.811299999999999</v>
      </c>
      <c r="AH15" s="771">
        <v>53.142899999999997</v>
      </c>
      <c r="AI15" s="771">
        <v>4.3779699999999999E-6</v>
      </c>
      <c r="AJ15">
        <v>0.56468300000000005</v>
      </c>
      <c r="AK15">
        <v>0.56468300000000005</v>
      </c>
      <c r="AL15">
        <v>15.8691</v>
      </c>
      <c r="AM15">
        <v>20.949000000000002</v>
      </c>
    </row>
    <row r="16" spans="15:39" ht="15" x14ac:dyDescent="0.25">
      <c r="O16" s="777" t="s">
        <v>644</v>
      </c>
      <c r="P16" s="781">
        <v>1</v>
      </c>
      <c r="Q16" s="782">
        <v>0</v>
      </c>
      <c r="R16" s="783">
        <v>0</v>
      </c>
      <c r="S16" s="115"/>
      <c r="T16" s="100">
        <v>86</v>
      </c>
      <c r="U16" s="100">
        <v>3338</v>
      </c>
      <c r="V16" s="115">
        <v>14.5276</v>
      </c>
      <c r="W16" s="115">
        <v>2.4821800000000002E-2</v>
      </c>
      <c r="X16" s="115">
        <v>3.9103599999999999E-3</v>
      </c>
      <c r="Y16" s="115">
        <v>0.848943</v>
      </c>
      <c r="Z16" s="115">
        <v>62.541699999999999</v>
      </c>
      <c r="AA16" s="115">
        <v>0.89034599999999997</v>
      </c>
      <c r="AB16" s="115">
        <v>0.99838199999999999</v>
      </c>
      <c r="AC16" s="115">
        <v>4.4250799999999997E-6</v>
      </c>
      <c r="AD16" s="771">
        <v>749685000</v>
      </c>
      <c r="AE16" s="771">
        <v>0.20607</v>
      </c>
      <c r="AF16" s="771">
        <v>0.20607</v>
      </c>
      <c r="AG16" s="771">
        <v>14.5319</v>
      </c>
      <c r="AH16" s="771">
        <v>53.184699999999999</v>
      </c>
      <c r="AI16" s="771">
        <v>4.3336499999999996E-6</v>
      </c>
      <c r="AJ16">
        <v>0.31504399999999999</v>
      </c>
      <c r="AK16">
        <v>0.31504399999999999</v>
      </c>
      <c r="AL16">
        <v>12.5914</v>
      </c>
      <c r="AM16">
        <v>20.882000000000001</v>
      </c>
    </row>
    <row r="17" spans="15:39" x14ac:dyDescent="0.2">
      <c r="O17" s="100"/>
      <c r="P17" s="100"/>
      <c r="Q17" s="115"/>
      <c r="R17" s="115"/>
      <c r="S17" s="115"/>
      <c r="T17" s="100">
        <v>86</v>
      </c>
      <c r="U17" s="100">
        <v>3892</v>
      </c>
      <c r="V17" s="115">
        <v>16.1721</v>
      </c>
      <c r="W17" s="115">
        <v>2.8112499999999999E-2</v>
      </c>
      <c r="X17" s="115">
        <v>3.51272E-3</v>
      </c>
      <c r="Y17" s="115">
        <v>0.88863000000000003</v>
      </c>
      <c r="Z17" s="115">
        <v>62.591000000000001</v>
      </c>
      <c r="AA17" s="115">
        <v>0.89034599999999997</v>
      </c>
      <c r="AB17" s="115">
        <v>0.99759600000000004</v>
      </c>
      <c r="AC17" s="115">
        <v>4.3807600000000002E-6</v>
      </c>
      <c r="AD17" s="771">
        <v>923933000</v>
      </c>
      <c r="AE17" s="771">
        <v>0.20607</v>
      </c>
      <c r="AF17" s="771">
        <v>0.20607</v>
      </c>
      <c r="AG17" s="771">
        <v>11.5177</v>
      </c>
      <c r="AH17" s="771">
        <v>53.226599999999998</v>
      </c>
      <c r="AI17" s="771">
        <v>4.2893300000000001E-6</v>
      </c>
      <c r="AJ17">
        <v>0.20607</v>
      </c>
      <c r="AK17">
        <v>0.20607</v>
      </c>
      <c r="AL17">
        <v>10.500400000000001</v>
      </c>
      <c r="AM17">
        <v>20.7973</v>
      </c>
    </row>
    <row r="18" spans="15:39" x14ac:dyDescent="0.2">
      <c r="O18" s="100"/>
      <c r="P18" s="100"/>
      <c r="Q18" s="115"/>
      <c r="R18" s="115"/>
      <c r="S18" s="115"/>
      <c r="T18" s="100">
        <v>86</v>
      </c>
      <c r="U18" s="100">
        <v>4446</v>
      </c>
      <c r="V18" s="115">
        <v>17.582100000000001</v>
      </c>
      <c r="W18" s="115">
        <v>3.13745E-2</v>
      </c>
      <c r="X18" s="115">
        <v>3.2310099999999999E-3</v>
      </c>
      <c r="Y18" s="115">
        <v>0.93327499999999997</v>
      </c>
      <c r="Z18" s="115">
        <v>62.640300000000003</v>
      </c>
      <c r="AA18" s="115">
        <v>0.89034599999999997</v>
      </c>
      <c r="AB18" s="115">
        <v>0.99680999999999997</v>
      </c>
      <c r="AC18" s="115">
        <v>4.3364399999999999E-6</v>
      </c>
      <c r="AD18" s="771">
        <v>1094440000</v>
      </c>
      <c r="AE18" s="771">
        <v>0.20607</v>
      </c>
      <c r="AF18" s="771">
        <v>0.20607</v>
      </c>
      <c r="AG18" s="771">
        <v>9.3264399999999998</v>
      </c>
      <c r="AH18" s="771">
        <v>53.268500000000003</v>
      </c>
      <c r="AI18" s="771">
        <v>4.2450099999999999E-6</v>
      </c>
      <c r="AJ18">
        <v>0.20607</v>
      </c>
      <c r="AK18">
        <v>0.20607</v>
      </c>
      <c r="AL18">
        <v>9.0617000000000001</v>
      </c>
      <c r="AM18">
        <v>20.744499999999999</v>
      </c>
    </row>
    <row r="19" spans="15:39" x14ac:dyDescent="0.2">
      <c r="O19" s="100"/>
      <c r="P19" s="100"/>
      <c r="Q19" s="115"/>
      <c r="R19" s="115"/>
      <c r="S19" s="115"/>
      <c r="T19" s="100">
        <v>86</v>
      </c>
      <c r="U19" s="100">
        <v>5000</v>
      </c>
      <c r="V19" s="115">
        <v>18.810700000000001</v>
      </c>
      <c r="W19" s="115">
        <v>3.4598299999999998E-2</v>
      </c>
      <c r="X19" s="115">
        <v>3.0199900000000002E-3</v>
      </c>
      <c r="Y19" s="115">
        <v>0.98065899999999995</v>
      </c>
      <c r="Z19" s="115">
        <v>62.689799999999998</v>
      </c>
      <c r="AA19" s="115">
        <v>0.89034599999999997</v>
      </c>
      <c r="AB19" s="115">
        <v>0.99602500000000005</v>
      </c>
      <c r="AC19" s="115">
        <v>4.2921199999999997E-6</v>
      </c>
      <c r="AD19" s="771">
        <v>1260220000</v>
      </c>
      <c r="AE19" s="771">
        <v>0.20607</v>
      </c>
      <c r="AF19" s="771">
        <v>0.20607</v>
      </c>
      <c r="AG19" s="771">
        <v>7.6845999999999997</v>
      </c>
      <c r="AH19" s="771">
        <v>53.310600000000001</v>
      </c>
      <c r="AI19" s="771">
        <v>4.2006899999999996E-6</v>
      </c>
      <c r="AJ19">
        <v>0.20607</v>
      </c>
      <c r="AK19">
        <v>0.20607</v>
      </c>
      <c r="AL19">
        <v>8.0097000000000005</v>
      </c>
      <c r="AM19">
        <v>20.713200000000001</v>
      </c>
    </row>
    <row r="20" spans="15:39" x14ac:dyDescent="0.2">
      <c r="O20" s="100"/>
      <c r="P20" s="100"/>
      <c r="Q20" s="115"/>
      <c r="R20" s="115"/>
      <c r="S20" s="115"/>
      <c r="T20" s="100">
        <v>129.5</v>
      </c>
      <c r="U20" s="100">
        <v>14</v>
      </c>
      <c r="V20" s="115">
        <v>9.6352599999999997E-2</v>
      </c>
      <c r="W20" s="115">
        <v>1.1656100000000001E-2</v>
      </c>
      <c r="X20" s="115">
        <v>0.58958500000000003</v>
      </c>
      <c r="Y20" s="115">
        <v>1.01467</v>
      </c>
      <c r="Z20" s="115">
        <v>61.658000000000001</v>
      </c>
      <c r="AA20" s="115">
        <v>0.57144499999999998</v>
      </c>
      <c r="AB20" s="115">
        <v>1.0126900000000001</v>
      </c>
      <c r="AC20" s="115">
        <v>4.7814100000000004E-6</v>
      </c>
      <c r="AD20" s="771">
        <v>44445.599999999999</v>
      </c>
      <c r="AE20" s="771">
        <v>0.20607</v>
      </c>
      <c r="AF20" s="771">
        <v>0.20607</v>
      </c>
      <c r="AG20" s="771">
        <v>68.753200000000007</v>
      </c>
      <c r="AH20" s="771">
        <v>52.433100000000003</v>
      </c>
      <c r="AI20" s="771">
        <v>4.6950799999999996E-6</v>
      </c>
      <c r="AJ20">
        <v>16.386099999999999</v>
      </c>
      <c r="AK20">
        <v>16.386099999999999</v>
      </c>
      <c r="AL20">
        <v>70.834900000000005</v>
      </c>
      <c r="AM20">
        <v>17.359100000000002</v>
      </c>
    </row>
    <row r="21" spans="15:39" x14ac:dyDescent="0.2">
      <c r="O21" s="100"/>
      <c r="P21" s="100"/>
      <c r="Q21" s="115"/>
      <c r="R21" s="115"/>
      <c r="S21" s="115"/>
      <c r="T21" s="100">
        <v>129.5</v>
      </c>
      <c r="U21" s="100">
        <v>568</v>
      </c>
      <c r="V21" s="115">
        <v>2.0758200000000002</v>
      </c>
      <c r="W21" s="115">
        <v>1.23622E-2</v>
      </c>
      <c r="X21" s="115">
        <v>2.7366499999999998E-2</v>
      </c>
      <c r="Y21" s="115">
        <v>0.95635499999999996</v>
      </c>
      <c r="Z21" s="115">
        <v>61.7</v>
      </c>
      <c r="AA21" s="115">
        <v>0.57144499999999998</v>
      </c>
      <c r="AB21" s="115">
        <v>1.012</v>
      </c>
      <c r="AC21" s="115">
        <v>4.7370900000000001E-6</v>
      </c>
      <c r="AD21" s="771">
        <v>27407300</v>
      </c>
      <c r="AE21" s="771">
        <v>0.20607</v>
      </c>
      <c r="AF21" s="771">
        <v>0.20607</v>
      </c>
      <c r="AG21" s="771">
        <v>57.256999999999998</v>
      </c>
      <c r="AH21" s="771">
        <v>52.468899999999998</v>
      </c>
      <c r="AI21" s="771">
        <v>4.6507600000000002E-6</v>
      </c>
      <c r="AJ21">
        <v>11.912000000000001</v>
      </c>
      <c r="AK21">
        <v>11.912000000000001</v>
      </c>
      <c r="AL21">
        <v>58.898499999999999</v>
      </c>
      <c r="AM21">
        <v>17.717300000000002</v>
      </c>
    </row>
    <row r="22" spans="15:39" x14ac:dyDescent="0.2">
      <c r="O22" s="100"/>
      <c r="P22" s="100"/>
      <c r="Q22" s="115"/>
      <c r="R22" s="115"/>
      <c r="S22" s="115"/>
      <c r="T22" s="100">
        <v>129.5</v>
      </c>
      <c r="U22" s="100">
        <v>1122</v>
      </c>
      <c r="V22" s="115">
        <v>4.2769199999999996</v>
      </c>
      <c r="W22" s="115">
        <v>1.3605000000000001E-2</v>
      </c>
      <c r="X22" s="115">
        <v>1.3282499999999999E-2</v>
      </c>
      <c r="Y22" s="115">
        <v>0.90548300000000004</v>
      </c>
      <c r="Z22" s="115">
        <v>61.741999999999997</v>
      </c>
      <c r="AA22" s="115">
        <v>0.57144499999999998</v>
      </c>
      <c r="AB22" s="115">
        <v>1.0113099999999999</v>
      </c>
      <c r="AC22" s="115">
        <v>4.6927699999999998E-6</v>
      </c>
      <c r="AD22" s="771">
        <v>105066000</v>
      </c>
      <c r="AE22" s="771">
        <v>0.20607</v>
      </c>
      <c r="AF22" s="771">
        <v>0.20607</v>
      </c>
      <c r="AG22" s="771">
        <v>46.1755</v>
      </c>
      <c r="AH22" s="771">
        <v>52.504600000000003</v>
      </c>
      <c r="AI22" s="771">
        <v>4.6064399999999999E-6</v>
      </c>
      <c r="AJ22">
        <v>7.6370199999999997</v>
      </c>
      <c r="AK22">
        <v>7.6370199999999997</v>
      </c>
      <c r="AL22">
        <v>46.563400000000001</v>
      </c>
      <c r="AM22">
        <v>18.306899999999999</v>
      </c>
    </row>
    <row r="23" spans="15:39" x14ac:dyDescent="0.2">
      <c r="O23" s="100"/>
      <c r="P23" s="100"/>
      <c r="Q23" s="115"/>
      <c r="R23" s="115"/>
      <c r="S23" s="115"/>
      <c r="T23" s="100">
        <v>129.5</v>
      </c>
      <c r="U23" s="100">
        <v>1676</v>
      </c>
      <c r="V23" s="115">
        <v>6.6178900000000001</v>
      </c>
      <c r="W23" s="115">
        <v>1.5363699999999999E-2</v>
      </c>
      <c r="X23" s="115">
        <v>8.5840099999999996E-3</v>
      </c>
      <c r="Y23" s="115">
        <v>0.87038800000000005</v>
      </c>
      <c r="Z23" s="115">
        <v>61.784199999999998</v>
      </c>
      <c r="AA23" s="115">
        <v>0.57144499999999998</v>
      </c>
      <c r="AB23" s="115">
        <v>1.0106200000000001</v>
      </c>
      <c r="AC23" s="115">
        <v>4.6484500000000004E-6</v>
      </c>
      <c r="AD23" s="771">
        <v>225962000</v>
      </c>
      <c r="AE23" s="771">
        <v>0.20607</v>
      </c>
      <c r="AF23" s="771">
        <v>0.20607</v>
      </c>
      <c r="AG23" s="771">
        <v>36.188499999999998</v>
      </c>
      <c r="AH23" s="771">
        <v>52.540500000000002</v>
      </c>
      <c r="AI23" s="771">
        <v>4.5621199999999996E-6</v>
      </c>
      <c r="AJ23">
        <v>4.2521000000000004</v>
      </c>
      <c r="AK23">
        <v>4.2521000000000004</v>
      </c>
      <c r="AL23">
        <v>35.066800000000001</v>
      </c>
      <c r="AM23">
        <v>19.046900000000001</v>
      </c>
    </row>
    <row r="24" spans="15:39" x14ac:dyDescent="0.2">
      <c r="O24" s="100"/>
      <c r="P24" s="100"/>
      <c r="Q24" s="115"/>
      <c r="R24" s="115"/>
      <c r="S24" s="115"/>
      <c r="T24" s="100">
        <v>129.5</v>
      </c>
      <c r="U24" s="100">
        <v>2230</v>
      </c>
      <c r="V24" s="115">
        <v>8.9201099999999993</v>
      </c>
      <c r="W24" s="115">
        <v>1.7569600000000001E-2</v>
      </c>
      <c r="X24" s="115">
        <v>6.3685399999999998E-3</v>
      </c>
      <c r="Y24" s="115">
        <v>0.85734299999999997</v>
      </c>
      <c r="Z24" s="115">
        <v>61.826300000000003</v>
      </c>
      <c r="AA24" s="115">
        <v>0.57144499999999998</v>
      </c>
      <c r="AB24" s="115">
        <v>1.00993</v>
      </c>
      <c r="AC24" s="115">
        <v>4.6041300000000001E-6</v>
      </c>
      <c r="AD24" s="771">
        <v>378475000</v>
      </c>
      <c r="AE24" s="771">
        <v>0.20607</v>
      </c>
      <c r="AF24" s="771">
        <v>0.20607</v>
      </c>
      <c r="AG24" s="771">
        <v>28.0001</v>
      </c>
      <c r="AH24" s="771">
        <v>52.576300000000003</v>
      </c>
      <c r="AI24" s="771">
        <v>4.5178000000000002E-6</v>
      </c>
      <c r="AJ24">
        <v>2.1301899999999998</v>
      </c>
      <c r="AK24">
        <v>2.1301899999999998</v>
      </c>
      <c r="AL24">
        <v>26.062899999999999</v>
      </c>
      <c r="AM24">
        <v>19.869399999999999</v>
      </c>
    </row>
    <row r="25" spans="15:39" x14ac:dyDescent="0.2">
      <c r="O25" s="100"/>
      <c r="P25" s="100"/>
      <c r="Q25" s="115"/>
      <c r="R25" s="115"/>
      <c r="S25" s="115"/>
      <c r="T25" s="100">
        <v>129.5</v>
      </c>
      <c r="U25" s="100">
        <v>2784</v>
      </c>
      <c r="V25" s="115">
        <v>11.026999999999999</v>
      </c>
      <c r="W25" s="115">
        <v>2.00714E-2</v>
      </c>
      <c r="X25" s="115">
        <v>5.1517300000000002E-3</v>
      </c>
      <c r="Y25" s="115">
        <v>0.86470199999999997</v>
      </c>
      <c r="Z25" s="115">
        <v>61.868600000000001</v>
      </c>
      <c r="AA25" s="115">
        <v>0.57144499999999998</v>
      </c>
      <c r="AB25" s="115">
        <v>1.0092399999999999</v>
      </c>
      <c r="AC25" s="115">
        <v>4.5598099999999998E-6</v>
      </c>
      <c r="AD25" s="771">
        <v>550159000</v>
      </c>
      <c r="AE25" s="771">
        <v>0.20607</v>
      </c>
      <c r="AF25" s="771">
        <v>0.20607</v>
      </c>
      <c r="AG25" s="771">
        <v>21.777799999999999</v>
      </c>
      <c r="AH25" s="771">
        <v>52.612200000000001</v>
      </c>
      <c r="AI25" s="771">
        <v>4.4734799999999999E-6</v>
      </c>
      <c r="AJ25">
        <v>1.01911</v>
      </c>
      <c r="AK25">
        <v>1.01911</v>
      </c>
      <c r="AL25">
        <v>19.893599999999999</v>
      </c>
      <c r="AM25">
        <v>20.712</v>
      </c>
    </row>
    <row r="26" spans="15:39" x14ac:dyDescent="0.2">
      <c r="O26" s="100"/>
      <c r="P26" s="100"/>
      <c r="Q26" s="115"/>
      <c r="R26" s="115"/>
      <c r="S26" s="115"/>
      <c r="T26" s="100">
        <v>129.5</v>
      </c>
      <c r="U26" s="100">
        <v>3338</v>
      </c>
      <c r="V26" s="115">
        <v>12.885899999999999</v>
      </c>
      <c r="W26" s="115">
        <v>2.27336E-2</v>
      </c>
      <c r="X26" s="115">
        <v>4.4085499999999998E-3</v>
      </c>
      <c r="Y26" s="115">
        <v>0.88643700000000003</v>
      </c>
      <c r="Z26" s="115">
        <v>61.910899999999998</v>
      </c>
      <c r="AA26" s="115">
        <v>0.57144499999999998</v>
      </c>
      <c r="AB26" s="115">
        <v>1.0085599999999999</v>
      </c>
      <c r="AC26" s="115">
        <v>4.5154900000000004E-6</v>
      </c>
      <c r="AD26" s="771">
        <v>731296000</v>
      </c>
      <c r="AE26" s="771">
        <v>0.20607</v>
      </c>
      <c r="AF26" s="771">
        <v>0.20607</v>
      </c>
      <c r="AG26" s="771">
        <v>17.189900000000002</v>
      </c>
      <c r="AH26" s="771">
        <v>52.648200000000003</v>
      </c>
      <c r="AI26" s="771">
        <v>4.4291599999999996E-6</v>
      </c>
      <c r="AJ26">
        <v>0.55677200000000004</v>
      </c>
      <c r="AK26">
        <v>0.55677200000000004</v>
      </c>
      <c r="AL26">
        <v>15.8123</v>
      </c>
      <c r="AM26">
        <v>20.969000000000001</v>
      </c>
    </row>
    <row r="27" spans="15:39" x14ac:dyDescent="0.2">
      <c r="O27" s="100"/>
      <c r="P27" s="100"/>
      <c r="Q27" s="115"/>
      <c r="R27" s="115"/>
      <c r="S27" s="115"/>
      <c r="T27" s="100">
        <v>129.5</v>
      </c>
      <c r="U27" s="100">
        <v>3892</v>
      </c>
      <c r="V27" s="115">
        <v>14.51</v>
      </c>
      <c r="W27" s="115">
        <v>2.5471000000000001E-2</v>
      </c>
      <c r="X27" s="115">
        <v>3.9151100000000003E-3</v>
      </c>
      <c r="Y27" s="115">
        <v>0.91729899999999998</v>
      </c>
      <c r="Z27" s="115">
        <v>61.953200000000002</v>
      </c>
      <c r="AA27" s="115">
        <v>0.57144499999999998</v>
      </c>
      <c r="AB27" s="115">
        <v>1.00787</v>
      </c>
      <c r="AC27" s="115">
        <v>4.4711700000000001E-6</v>
      </c>
      <c r="AD27" s="771">
        <v>915639000</v>
      </c>
      <c r="AE27" s="771">
        <v>0.20607</v>
      </c>
      <c r="AF27" s="771">
        <v>0.20607</v>
      </c>
      <c r="AG27" s="771">
        <v>13.8025</v>
      </c>
      <c r="AH27" s="771">
        <v>52.684199999999997</v>
      </c>
      <c r="AI27" s="771">
        <v>4.3848400000000002E-6</v>
      </c>
      <c r="AJ27">
        <v>0.35190700000000003</v>
      </c>
      <c r="AK27">
        <v>0.35190700000000003</v>
      </c>
      <c r="AL27">
        <v>13.053699999999999</v>
      </c>
      <c r="AM27">
        <v>20.8384</v>
      </c>
    </row>
    <row r="28" spans="15:39" x14ac:dyDescent="0.2">
      <c r="O28" s="100"/>
      <c r="P28" s="100"/>
      <c r="Q28" s="115"/>
      <c r="R28" s="115"/>
      <c r="S28" s="115"/>
      <c r="T28" s="100">
        <v>129.5</v>
      </c>
      <c r="U28" s="100">
        <v>4446</v>
      </c>
      <c r="V28" s="115">
        <v>15.932700000000001</v>
      </c>
      <c r="W28" s="115">
        <v>2.8235799999999998E-2</v>
      </c>
      <c r="X28" s="115">
        <v>3.5655000000000001E-3</v>
      </c>
      <c r="Y28" s="115">
        <v>0.95385200000000003</v>
      </c>
      <c r="Z28" s="115">
        <v>61.995600000000003</v>
      </c>
      <c r="AA28" s="115">
        <v>0.57144499999999998</v>
      </c>
      <c r="AB28" s="115">
        <v>1.00718</v>
      </c>
      <c r="AC28" s="115">
        <v>4.4268499999999998E-6</v>
      </c>
      <c r="AD28" s="771">
        <v>1099540000</v>
      </c>
      <c r="AE28" s="771">
        <v>0.20607</v>
      </c>
      <c r="AF28" s="771">
        <v>0.20607</v>
      </c>
      <c r="AG28" s="771">
        <v>11.264799999999999</v>
      </c>
      <c r="AH28" s="771">
        <v>52.720300000000002</v>
      </c>
      <c r="AI28" s="771">
        <v>4.3405199999999999E-6</v>
      </c>
      <c r="AJ28">
        <v>0.23152700000000001</v>
      </c>
      <c r="AK28">
        <v>0.23152700000000001</v>
      </c>
      <c r="AL28">
        <v>11.1127</v>
      </c>
      <c r="AM28">
        <v>20.749300000000002</v>
      </c>
    </row>
    <row r="29" spans="15:39" x14ac:dyDescent="0.2">
      <c r="O29" s="100"/>
      <c r="P29" s="100"/>
      <c r="Q29" s="115"/>
      <c r="R29" s="115"/>
      <c r="S29" s="115"/>
      <c r="T29" s="100">
        <v>129.5</v>
      </c>
      <c r="U29" s="100">
        <v>5000</v>
      </c>
      <c r="V29" s="115">
        <v>17.188600000000001</v>
      </c>
      <c r="W29" s="115">
        <v>3.1002399999999999E-2</v>
      </c>
      <c r="X29" s="115">
        <v>3.3049899999999998E-3</v>
      </c>
      <c r="Y29" s="115">
        <v>0.99396700000000004</v>
      </c>
      <c r="Z29" s="115">
        <v>62.0381</v>
      </c>
      <c r="AA29" s="115">
        <v>0.57144499999999998</v>
      </c>
      <c r="AB29" s="115">
        <v>1.0064900000000001</v>
      </c>
      <c r="AC29" s="115">
        <v>4.3825300000000004E-6</v>
      </c>
      <c r="AD29" s="771">
        <v>1280970000</v>
      </c>
      <c r="AE29" s="771">
        <v>0.20607</v>
      </c>
      <c r="AF29" s="771">
        <v>0.20607</v>
      </c>
      <c r="AG29" s="771">
        <v>9.32775</v>
      </c>
      <c r="AH29" s="771">
        <v>52.756399999999999</v>
      </c>
      <c r="AI29" s="771">
        <v>4.2961999999999996E-6</v>
      </c>
      <c r="AJ29">
        <v>0.20607</v>
      </c>
      <c r="AK29">
        <v>0.20607</v>
      </c>
      <c r="AL29">
        <v>9.6881599999999999</v>
      </c>
      <c r="AM29">
        <v>20.688199999999998</v>
      </c>
    </row>
    <row r="30" spans="15:39" x14ac:dyDescent="0.2">
      <c r="O30" s="100"/>
      <c r="P30" s="100"/>
      <c r="Q30" s="115"/>
      <c r="R30" s="115"/>
      <c r="S30" s="115"/>
      <c r="T30" s="100">
        <v>173</v>
      </c>
      <c r="U30" s="100">
        <v>14</v>
      </c>
      <c r="V30" s="115">
        <v>8.9670799999999995E-2</v>
      </c>
      <c r="W30" s="115">
        <v>1.25164E-2</v>
      </c>
      <c r="X30" s="115">
        <v>0.63351800000000003</v>
      </c>
      <c r="Y30" s="115">
        <v>1.01532</v>
      </c>
      <c r="Z30" s="115">
        <v>60.834899999999998</v>
      </c>
      <c r="AA30" s="115">
        <v>0.396208</v>
      </c>
      <c r="AB30" s="115">
        <v>1.0263899999999999</v>
      </c>
      <c r="AC30" s="115">
        <v>5.04902E-6</v>
      </c>
      <c r="AD30" s="771">
        <v>41353.599999999999</v>
      </c>
      <c r="AE30" s="771">
        <v>0.20607</v>
      </c>
      <c r="AF30" s="771">
        <v>0.20607</v>
      </c>
      <c r="AG30" s="771">
        <v>65.480199999999996</v>
      </c>
      <c r="AH30" s="771">
        <v>51.733199999999997</v>
      </c>
      <c r="AI30" s="771">
        <v>4.9604400000000002E-6</v>
      </c>
      <c r="AJ30">
        <v>15.6311</v>
      </c>
      <c r="AK30">
        <v>15.6311</v>
      </c>
      <c r="AL30">
        <v>67.462100000000007</v>
      </c>
      <c r="AM30">
        <v>17.1143</v>
      </c>
    </row>
    <row r="31" spans="15:39" x14ac:dyDescent="0.2">
      <c r="O31" s="100"/>
      <c r="P31" s="100"/>
      <c r="Q31" s="115"/>
      <c r="R31" s="115"/>
      <c r="S31" s="115"/>
      <c r="T31" s="100">
        <v>173</v>
      </c>
      <c r="U31" s="100">
        <v>568</v>
      </c>
      <c r="V31" s="115">
        <v>1.9055299999999999</v>
      </c>
      <c r="W31" s="115">
        <v>1.3125E-2</v>
      </c>
      <c r="X31" s="115">
        <v>2.9812200000000001E-2</v>
      </c>
      <c r="Y31" s="115">
        <v>0.97018899999999997</v>
      </c>
      <c r="Z31" s="115">
        <v>60.875399999999999</v>
      </c>
      <c r="AA31" s="115">
        <v>0.396208</v>
      </c>
      <c r="AB31" s="115">
        <v>1.0257099999999999</v>
      </c>
      <c r="AC31" s="115">
        <v>5.0046999999999997E-6</v>
      </c>
      <c r="AD31" s="771">
        <v>25454900</v>
      </c>
      <c r="AE31" s="771">
        <v>0.20607</v>
      </c>
      <c r="AF31" s="771">
        <v>0.20607</v>
      </c>
      <c r="AG31" s="771">
        <v>55.261600000000001</v>
      </c>
      <c r="AH31" s="771">
        <v>51.767699999999998</v>
      </c>
      <c r="AI31" s="771">
        <v>4.91612E-6</v>
      </c>
      <c r="AJ31">
        <v>11.520799999999999</v>
      </c>
      <c r="AK31">
        <v>11.520799999999999</v>
      </c>
      <c r="AL31">
        <v>56.945700000000002</v>
      </c>
      <c r="AM31">
        <v>17.552299999999999</v>
      </c>
    </row>
    <row r="32" spans="15:39" x14ac:dyDescent="0.2">
      <c r="O32" s="100"/>
      <c r="P32" s="100"/>
      <c r="Q32" s="115"/>
      <c r="R32" s="115"/>
      <c r="S32" s="115"/>
      <c r="T32" s="100">
        <v>173</v>
      </c>
      <c r="U32" s="100">
        <v>1122</v>
      </c>
      <c r="V32" s="115">
        <v>3.86686</v>
      </c>
      <c r="W32" s="115">
        <v>1.4172499999999999E-2</v>
      </c>
      <c r="X32" s="115">
        <v>1.4690999999999999E-2</v>
      </c>
      <c r="Y32" s="115">
        <v>0.93264499999999995</v>
      </c>
      <c r="Z32" s="115">
        <v>60.915999999999997</v>
      </c>
      <c r="AA32" s="115">
        <v>0.396208</v>
      </c>
      <c r="AB32" s="115">
        <v>1.0250300000000001</v>
      </c>
      <c r="AC32" s="115">
        <v>4.9603800000000003E-6</v>
      </c>
      <c r="AD32" s="771">
        <v>97663300</v>
      </c>
      <c r="AE32" s="771">
        <v>0.20607</v>
      </c>
      <c r="AF32" s="771">
        <v>0.20607</v>
      </c>
      <c r="AG32" s="771">
        <v>45.573599999999999</v>
      </c>
      <c r="AH32" s="771">
        <v>51.802199999999999</v>
      </c>
      <c r="AI32" s="771">
        <v>4.8717999999999997E-6</v>
      </c>
      <c r="AJ32">
        <v>7.7707800000000002</v>
      </c>
      <c r="AK32">
        <v>7.7707800000000002</v>
      </c>
      <c r="AL32">
        <v>46.452199999999998</v>
      </c>
      <c r="AM32">
        <v>18.139800000000001</v>
      </c>
    </row>
    <row r="33" spans="15:39" x14ac:dyDescent="0.2">
      <c r="O33" s="100"/>
      <c r="P33" s="100"/>
      <c r="Q33" s="115"/>
      <c r="R33" s="115"/>
      <c r="S33" s="115"/>
      <c r="T33" s="100">
        <v>173</v>
      </c>
      <c r="U33" s="100">
        <v>1676</v>
      </c>
      <c r="V33" s="115">
        <v>5.9113199999999999</v>
      </c>
      <c r="W33" s="115">
        <v>1.56049E-2</v>
      </c>
      <c r="X33" s="115">
        <v>9.6100400000000002E-3</v>
      </c>
      <c r="Y33" s="115">
        <v>0.90742699999999998</v>
      </c>
      <c r="Z33" s="115">
        <v>60.956600000000002</v>
      </c>
      <c r="AA33" s="115">
        <v>0.396208</v>
      </c>
      <c r="AB33" s="115">
        <v>1.02434</v>
      </c>
      <c r="AC33" s="115">
        <v>4.91606E-6</v>
      </c>
      <c r="AD33" s="771">
        <v>211026000</v>
      </c>
      <c r="AE33" s="771">
        <v>0.20607</v>
      </c>
      <c r="AF33" s="771">
        <v>0.20607</v>
      </c>
      <c r="AG33" s="771">
        <v>36.851199999999999</v>
      </c>
      <c r="AH33" s="771">
        <v>51.8367</v>
      </c>
      <c r="AI33" s="771">
        <v>4.8274800000000002E-6</v>
      </c>
      <c r="AJ33">
        <v>4.7609000000000004</v>
      </c>
      <c r="AK33">
        <v>4.7609000000000004</v>
      </c>
      <c r="AL33">
        <v>36.750900000000001</v>
      </c>
      <c r="AM33">
        <v>18.840900000000001</v>
      </c>
    </row>
    <row r="34" spans="15:39" x14ac:dyDescent="0.2">
      <c r="O34" s="100"/>
      <c r="P34" s="100"/>
      <c r="Q34" s="115"/>
      <c r="R34" s="115"/>
      <c r="S34" s="115"/>
      <c r="T34" s="100">
        <v>173</v>
      </c>
      <c r="U34" s="100">
        <v>2230</v>
      </c>
      <c r="V34" s="115">
        <v>7.9330299999999996</v>
      </c>
      <c r="W34" s="115">
        <v>1.7375000000000002E-2</v>
      </c>
      <c r="X34" s="115">
        <v>7.1609500000000001E-3</v>
      </c>
      <c r="Y34" s="115">
        <v>0.89773700000000001</v>
      </c>
      <c r="Z34" s="115">
        <v>60.997199999999999</v>
      </c>
      <c r="AA34" s="115">
        <v>0.396208</v>
      </c>
      <c r="AB34" s="115">
        <v>1.02366</v>
      </c>
      <c r="AC34" s="115">
        <v>4.8717399999999997E-6</v>
      </c>
      <c r="AD34" s="771">
        <v>356638000</v>
      </c>
      <c r="AE34" s="771">
        <v>0.20607</v>
      </c>
      <c r="AF34" s="771">
        <v>0.20607</v>
      </c>
      <c r="AG34" s="771">
        <v>29.488600000000002</v>
      </c>
      <c r="AH34" s="771">
        <v>51.871299999999998</v>
      </c>
      <c r="AI34" s="771">
        <v>4.78316E-6</v>
      </c>
      <c r="AJ34">
        <v>2.6928000000000001</v>
      </c>
      <c r="AK34">
        <v>2.6928000000000001</v>
      </c>
      <c r="AL34">
        <v>28.7195</v>
      </c>
      <c r="AM34">
        <v>19.607900000000001</v>
      </c>
    </row>
    <row r="35" spans="15:39" x14ac:dyDescent="0.2">
      <c r="O35" s="100"/>
      <c r="P35" s="100"/>
      <c r="Q35" s="115"/>
      <c r="R35" s="115"/>
      <c r="S35" s="115"/>
      <c r="T35" s="100">
        <v>173</v>
      </c>
      <c r="U35" s="100">
        <v>2784</v>
      </c>
      <c r="V35" s="115">
        <v>9.8335399999999993</v>
      </c>
      <c r="W35" s="115">
        <v>1.9397899999999999E-2</v>
      </c>
      <c r="X35" s="115">
        <v>5.7769700000000002E-3</v>
      </c>
      <c r="Y35" s="115">
        <v>0.90297700000000003</v>
      </c>
      <c r="Z35" s="115">
        <v>61.037999999999997</v>
      </c>
      <c r="AA35" s="115">
        <v>0.396208</v>
      </c>
      <c r="AB35" s="115">
        <v>1.02298</v>
      </c>
      <c r="AC35" s="115">
        <v>4.8274200000000003E-6</v>
      </c>
      <c r="AD35" s="771">
        <v>524612000</v>
      </c>
      <c r="AE35" s="771">
        <v>0.20607</v>
      </c>
      <c r="AF35" s="771">
        <v>0.20607</v>
      </c>
      <c r="AG35" s="771">
        <v>23.607199999999999</v>
      </c>
      <c r="AH35" s="771">
        <v>51.905900000000003</v>
      </c>
      <c r="AI35" s="771">
        <v>4.7388399999999997E-6</v>
      </c>
      <c r="AJ35">
        <v>1.45</v>
      </c>
      <c r="AK35">
        <v>1.45</v>
      </c>
      <c r="AL35">
        <v>22.675999999999998</v>
      </c>
      <c r="AM35">
        <v>20.3934</v>
      </c>
    </row>
    <row r="36" spans="15:39" x14ac:dyDescent="0.2">
      <c r="O36" s="100"/>
      <c r="P36" s="100"/>
      <c r="Q36" s="115"/>
      <c r="R36" s="115"/>
      <c r="S36" s="115"/>
      <c r="T36" s="100">
        <v>173</v>
      </c>
      <c r="U36" s="100">
        <v>3338</v>
      </c>
      <c r="V36" s="115">
        <v>11.563599999999999</v>
      </c>
      <c r="W36" s="115">
        <v>2.1586899999999999E-2</v>
      </c>
      <c r="X36" s="115">
        <v>4.9126400000000002E-3</v>
      </c>
      <c r="Y36" s="115">
        <v>0.91987799999999997</v>
      </c>
      <c r="Z36" s="115">
        <v>61.078699999999998</v>
      </c>
      <c r="AA36" s="115">
        <v>0.396208</v>
      </c>
      <c r="AB36" s="115">
        <v>1.0223</v>
      </c>
      <c r="AC36" s="115">
        <v>4.7831E-6</v>
      </c>
      <c r="AD36" s="771">
        <v>706315000</v>
      </c>
      <c r="AE36" s="771">
        <v>0.20607</v>
      </c>
      <c r="AF36" s="771">
        <v>0.20607</v>
      </c>
      <c r="AG36" s="771">
        <v>19.0471</v>
      </c>
      <c r="AH36" s="771">
        <v>51.940600000000003</v>
      </c>
      <c r="AI36" s="771">
        <v>4.6945200000000002E-6</v>
      </c>
      <c r="AJ36">
        <v>0.81368399999999996</v>
      </c>
      <c r="AK36">
        <v>0.81368399999999996</v>
      </c>
      <c r="AL36">
        <v>18.322900000000001</v>
      </c>
      <c r="AM36">
        <v>20.872299999999999</v>
      </c>
    </row>
    <row r="37" spans="15:39" x14ac:dyDescent="0.2">
      <c r="O37" s="100"/>
      <c r="P37" s="100"/>
      <c r="Q37" s="115"/>
      <c r="R37" s="115"/>
      <c r="S37" s="115"/>
      <c r="T37" s="100">
        <v>173</v>
      </c>
      <c r="U37" s="100">
        <v>3892</v>
      </c>
      <c r="V37" s="115">
        <v>13.116899999999999</v>
      </c>
      <c r="W37" s="115">
        <v>2.3877499999999999E-2</v>
      </c>
      <c r="X37" s="115">
        <v>4.3309200000000003E-3</v>
      </c>
      <c r="Y37" s="115">
        <v>0.94495399999999996</v>
      </c>
      <c r="Z37" s="115">
        <v>61.119599999999998</v>
      </c>
      <c r="AA37" s="115">
        <v>0.396208</v>
      </c>
      <c r="AB37" s="115">
        <v>1.0216099999999999</v>
      </c>
      <c r="AC37" s="115">
        <v>4.7387799999999997E-6</v>
      </c>
      <c r="AD37" s="771">
        <v>895358000</v>
      </c>
      <c r="AE37" s="771">
        <v>0.20607</v>
      </c>
      <c r="AF37" s="771">
        <v>0.20607</v>
      </c>
      <c r="AG37" s="771">
        <v>15.537800000000001</v>
      </c>
      <c r="AH37" s="771">
        <v>51.975299999999997</v>
      </c>
      <c r="AI37" s="771">
        <v>4.6502E-6</v>
      </c>
      <c r="AJ37">
        <v>0.54074599999999995</v>
      </c>
      <c r="AK37">
        <v>0.54074599999999995</v>
      </c>
      <c r="AL37">
        <v>15.1938</v>
      </c>
      <c r="AM37">
        <v>20.7014</v>
      </c>
    </row>
    <row r="38" spans="15:39" x14ac:dyDescent="0.2">
      <c r="O38" s="100"/>
      <c r="P38" s="100"/>
      <c r="Q38" s="115"/>
      <c r="R38" s="115"/>
      <c r="S38" s="115"/>
      <c r="T38" s="100">
        <v>173</v>
      </c>
      <c r="U38" s="100">
        <v>4446</v>
      </c>
      <c r="V38" s="115">
        <v>14.507</v>
      </c>
      <c r="W38" s="115">
        <v>2.6226900000000001E-2</v>
      </c>
      <c r="X38" s="115">
        <v>3.9159099999999999E-3</v>
      </c>
      <c r="Y38" s="115">
        <v>0.97556399999999999</v>
      </c>
      <c r="Z38" s="115">
        <v>61.160400000000003</v>
      </c>
      <c r="AA38" s="115">
        <v>0.396208</v>
      </c>
      <c r="AB38" s="115">
        <v>1.0209299999999999</v>
      </c>
      <c r="AC38" s="115">
        <v>4.6944600000000003E-6</v>
      </c>
      <c r="AD38" s="771">
        <v>1087410000</v>
      </c>
      <c r="AE38" s="771">
        <v>0.20607</v>
      </c>
      <c r="AF38" s="771">
        <v>0.20607</v>
      </c>
      <c r="AG38" s="771">
        <v>12.8239</v>
      </c>
      <c r="AH38" s="771">
        <v>52.01</v>
      </c>
      <c r="AI38" s="771">
        <v>4.6058799999999997E-6</v>
      </c>
      <c r="AJ38">
        <v>0.368031</v>
      </c>
      <c r="AK38">
        <v>0.368031</v>
      </c>
      <c r="AL38">
        <v>12.903700000000001</v>
      </c>
      <c r="AM38">
        <v>20.581199999999999</v>
      </c>
    </row>
    <row r="39" spans="15:39" x14ac:dyDescent="0.2">
      <c r="O39" s="100"/>
      <c r="P39" s="100"/>
      <c r="Q39" s="115"/>
      <c r="R39" s="115"/>
      <c r="S39" s="115"/>
      <c r="T39" s="100">
        <v>173</v>
      </c>
      <c r="U39" s="100">
        <v>5000</v>
      </c>
      <c r="V39" s="115">
        <v>15.754</v>
      </c>
      <c r="W39" s="115">
        <v>2.8607500000000001E-2</v>
      </c>
      <c r="X39" s="115">
        <v>3.6059299999999998E-3</v>
      </c>
      <c r="Y39" s="115">
        <v>1.0099100000000001</v>
      </c>
      <c r="Z39" s="115">
        <v>61.2014</v>
      </c>
      <c r="AA39" s="115">
        <v>0.396208</v>
      </c>
      <c r="AB39" s="115">
        <v>1.0202500000000001</v>
      </c>
      <c r="AC39" s="115">
        <v>4.65014E-6</v>
      </c>
      <c r="AD39" s="771">
        <v>1279700000</v>
      </c>
      <c r="AE39" s="771">
        <v>0.20607</v>
      </c>
      <c r="AF39" s="771">
        <v>0.20607</v>
      </c>
      <c r="AG39" s="771">
        <v>10.703099999999999</v>
      </c>
      <c r="AH39" s="771">
        <v>52.044899999999998</v>
      </c>
      <c r="AI39" s="771">
        <v>4.5615600000000002E-6</v>
      </c>
      <c r="AJ39">
        <v>0.25622299999999998</v>
      </c>
      <c r="AK39">
        <v>0.25622299999999998</v>
      </c>
      <c r="AL39">
        <v>11.185</v>
      </c>
      <c r="AM39">
        <v>20.4954</v>
      </c>
    </row>
    <row r="40" spans="15:39" x14ac:dyDescent="0.2">
      <c r="O40" s="100"/>
      <c r="P40" s="100"/>
      <c r="Q40" s="115"/>
      <c r="R40" s="115"/>
      <c r="S40" s="115"/>
      <c r="T40" s="100">
        <v>216.5</v>
      </c>
      <c r="U40" s="100">
        <v>14</v>
      </c>
      <c r="V40" s="115">
        <v>8.3861500000000005E-2</v>
      </c>
      <c r="W40" s="115">
        <v>1.3362199999999999E-2</v>
      </c>
      <c r="X40" s="115">
        <v>0.67740299999999998</v>
      </c>
      <c r="Y40" s="115">
        <v>1.0158100000000001</v>
      </c>
      <c r="Z40" s="115">
        <v>59.816200000000002</v>
      </c>
      <c r="AA40" s="115">
        <v>0.29003000000000001</v>
      </c>
      <c r="AB40" s="115">
        <v>1.0438700000000001</v>
      </c>
      <c r="AC40" s="115">
        <v>5.4184599999999996E-6</v>
      </c>
      <c r="AD40" s="771">
        <v>38709.4</v>
      </c>
      <c r="AE40" s="771">
        <v>0.20607</v>
      </c>
      <c r="AF40" s="771">
        <v>0.20607</v>
      </c>
      <c r="AG40" s="771">
        <v>61.573500000000003</v>
      </c>
      <c r="AH40" s="771">
        <v>50.866900000000001</v>
      </c>
      <c r="AI40" s="771">
        <v>5.32545E-6</v>
      </c>
      <c r="AJ40">
        <v>14.819000000000001</v>
      </c>
      <c r="AK40">
        <v>14.819000000000001</v>
      </c>
      <c r="AL40">
        <v>63.436599999999999</v>
      </c>
      <c r="AM40">
        <v>16.7529</v>
      </c>
    </row>
    <row r="41" spans="15:39" x14ac:dyDescent="0.2">
      <c r="O41" s="100"/>
      <c r="P41" s="100"/>
      <c r="Q41" s="115"/>
      <c r="R41" s="115"/>
      <c r="S41" s="115"/>
      <c r="T41" s="100">
        <v>216.5</v>
      </c>
      <c r="U41" s="100">
        <v>568</v>
      </c>
      <c r="V41" s="115">
        <v>1.76427</v>
      </c>
      <c r="W41" s="115">
        <v>1.3895299999999999E-2</v>
      </c>
      <c r="X41" s="115">
        <v>3.21993E-2</v>
      </c>
      <c r="Y41" s="115">
        <v>0.98046100000000003</v>
      </c>
      <c r="Z41" s="115">
        <v>59.859099999999998</v>
      </c>
      <c r="AA41" s="115">
        <v>0.29003000000000001</v>
      </c>
      <c r="AB41" s="115">
        <v>1.0431299999999999</v>
      </c>
      <c r="AC41" s="115">
        <v>5.3741400000000002E-6</v>
      </c>
      <c r="AD41" s="771">
        <v>23795800</v>
      </c>
      <c r="AE41" s="771">
        <v>0.20607</v>
      </c>
      <c r="AF41" s="771">
        <v>0.20607</v>
      </c>
      <c r="AG41" s="771">
        <v>52.5167</v>
      </c>
      <c r="AH41" s="771">
        <v>50.903399999999998</v>
      </c>
      <c r="AI41" s="771">
        <v>5.2811299999999997E-6</v>
      </c>
      <c r="AJ41">
        <v>11.050800000000001</v>
      </c>
      <c r="AK41">
        <v>11.050800000000001</v>
      </c>
      <c r="AL41">
        <v>54.1751</v>
      </c>
      <c r="AM41">
        <v>17.244</v>
      </c>
    </row>
    <row r="42" spans="15:39" x14ac:dyDescent="0.2">
      <c r="O42" s="100"/>
      <c r="P42" s="100"/>
      <c r="Q42" s="115"/>
      <c r="R42" s="115"/>
      <c r="S42" s="115"/>
      <c r="T42" s="100">
        <v>216.5</v>
      </c>
      <c r="U42" s="100">
        <v>1122</v>
      </c>
      <c r="V42" s="115">
        <v>3.54312</v>
      </c>
      <c r="W42" s="115">
        <v>1.48022E-2</v>
      </c>
      <c r="X42" s="115">
        <v>1.60333E-2</v>
      </c>
      <c r="Y42" s="115">
        <v>0.95238100000000003</v>
      </c>
      <c r="Z42" s="115">
        <v>59.902099999999997</v>
      </c>
      <c r="AA42" s="115">
        <v>0.29003000000000001</v>
      </c>
      <c r="AB42" s="115">
        <v>1.0423800000000001</v>
      </c>
      <c r="AC42" s="115">
        <v>5.3298199999999999E-6</v>
      </c>
      <c r="AD42" s="771">
        <v>91374400</v>
      </c>
      <c r="AE42" s="771">
        <v>0.20607</v>
      </c>
      <c r="AF42" s="771">
        <v>0.20607</v>
      </c>
      <c r="AG42" s="771">
        <v>44.021000000000001</v>
      </c>
      <c r="AH42" s="771">
        <v>50.94</v>
      </c>
      <c r="AI42" s="771">
        <v>5.2368100000000003E-6</v>
      </c>
      <c r="AJ42">
        <v>7.7154299999999996</v>
      </c>
      <c r="AK42">
        <v>7.7154299999999996</v>
      </c>
      <c r="AL42">
        <v>45.140999999999998</v>
      </c>
      <c r="AM42">
        <v>17.830400000000001</v>
      </c>
    </row>
    <row r="43" spans="15:39" x14ac:dyDescent="0.2">
      <c r="O43" s="100"/>
      <c r="P43" s="100"/>
      <c r="Q43" s="115"/>
      <c r="R43" s="115"/>
      <c r="S43" s="115"/>
      <c r="T43" s="100">
        <v>216.5</v>
      </c>
      <c r="U43" s="100">
        <v>1676</v>
      </c>
      <c r="V43" s="115">
        <v>5.3712600000000004</v>
      </c>
      <c r="W43" s="115">
        <v>1.6014899999999999E-2</v>
      </c>
      <c r="X43" s="115">
        <v>1.05763E-2</v>
      </c>
      <c r="Y43" s="115">
        <v>0.93441799999999997</v>
      </c>
      <c r="Z43" s="115">
        <v>59.945099999999996</v>
      </c>
      <c r="AA43" s="115">
        <v>0.29003000000000001</v>
      </c>
      <c r="AB43" s="115">
        <v>1.0416300000000001</v>
      </c>
      <c r="AC43" s="115">
        <v>5.2854999999999996E-6</v>
      </c>
      <c r="AD43" s="771">
        <v>198124000</v>
      </c>
      <c r="AE43" s="771">
        <v>0.20607</v>
      </c>
      <c r="AF43" s="771">
        <v>0.20607</v>
      </c>
      <c r="AG43" s="771">
        <v>36.376600000000003</v>
      </c>
      <c r="AH43" s="771">
        <v>50.976599999999998</v>
      </c>
      <c r="AI43" s="771">
        <v>5.19249E-6</v>
      </c>
      <c r="AJ43">
        <v>5.0201900000000004</v>
      </c>
      <c r="AK43">
        <v>5.0201900000000004</v>
      </c>
      <c r="AL43">
        <v>36.844000000000001</v>
      </c>
      <c r="AM43">
        <v>18.503399999999999</v>
      </c>
    </row>
    <row r="44" spans="15:39" x14ac:dyDescent="0.2">
      <c r="O44" s="100"/>
      <c r="P44" s="100"/>
      <c r="Q44" s="115"/>
      <c r="R44" s="115"/>
      <c r="S44" s="115"/>
      <c r="T44" s="100">
        <v>216.5</v>
      </c>
      <c r="U44" s="100">
        <v>2230</v>
      </c>
      <c r="V44" s="115">
        <v>7.1788699999999999</v>
      </c>
      <c r="W44" s="115">
        <v>1.74933E-2</v>
      </c>
      <c r="X44" s="115">
        <v>7.9132300000000003E-3</v>
      </c>
      <c r="Y44" s="115">
        <v>0.92822499999999997</v>
      </c>
      <c r="Z44" s="115">
        <v>59.988199999999999</v>
      </c>
      <c r="AA44" s="115">
        <v>0.29003000000000001</v>
      </c>
      <c r="AB44" s="115">
        <v>1.04088</v>
      </c>
      <c r="AC44" s="115">
        <v>5.2411800000000002E-6</v>
      </c>
      <c r="AD44" s="771">
        <v>336931000</v>
      </c>
      <c r="AE44" s="771">
        <v>0.20607</v>
      </c>
      <c r="AF44" s="771">
        <v>0.20607</v>
      </c>
      <c r="AG44" s="771">
        <v>29.8169</v>
      </c>
      <c r="AH44" s="771">
        <v>51.013199999999998</v>
      </c>
      <c r="AI44" s="771">
        <v>5.1481699999999997E-6</v>
      </c>
      <c r="AJ44">
        <v>3.0729000000000002</v>
      </c>
      <c r="AK44">
        <v>3.0729000000000002</v>
      </c>
      <c r="AL44">
        <v>29.789300000000001</v>
      </c>
      <c r="AM44">
        <v>19.2285</v>
      </c>
    </row>
    <row r="45" spans="15:39" x14ac:dyDescent="0.2">
      <c r="O45" s="100"/>
      <c r="P45" s="100"/>
      <c r="Q45" s="115"/>
      <c r="R45" s="115"/>
      <c r="S45" s="115"/>
      <c r="T45" s="100">
        <v>216.5</v>
      </c>
      <c r="U45" s="100">
        <v>2784</v>
      </c>
      <c r="V45" s="115">
        <v>8.9013600000000004</v>
      </c>
      <c r="W45" s="115">
        <v>1.9181799999999999E-2</v>
      </c>
      <c r="X45" s="115">
        <v>6.3819499999999999E-3</v>
      </c>
      <c r="Y45" s="115">
        <v>0.933365</v>
      </c>
      <c r="Z45" s="115">
        <v>60.031399999999998</v>
      </c>
      <c r="AA45" s="115">
        <v>0.29003000000000001</v>
      </c>
      <c r="AB45" s="115">
        <v>1.04013</v>
      </c>
      <c r="AC45" s="115">
        <v>5.1968599999999999E-6</v>
      </c>
      <c r="AD45" s="771">
        <v>499779000</v>
      </c>
      <c r="AE45" s="771">
        <v>0.20607</v>
      </c>
      <c r="AF45" s="771">
        <v>0.20607</v>
      </c>
      <c r="AG45" s="771">
        <v>24.414200000000001</v>
      </c>
      <c r="AH45" s="771">
        <v>51.049900000000001</v>
      </c>
      <c r="AI45" s="771">
        <v>5.1038500000000003E-6</v>
      </c>
      <c r="AJ45">
        <v>1.8008299999999999</v>
      </c>
      <c r="AK45">
        <v>1.8008299999999999</v>
      </c>
      <c r="AL45">
        <v>24.188600000000001</v>
      </c>
      <c r="AM45">
        <v>19.968499999999999</v>
      </c>
    </row>
    <row r="46" spans="15:39" x14ac:dyDescent="0.2">
      <c r="O46" s="100"/>
      <c r="P46" s="100"/>
      <c r="Q46" s="115"/>
      <c r="R46" s="115"/>
      <c r="S46" s="115"/>
      <c r="T46" s="100">
        <v>216.5</v>
      </c>
      <c r="U46" s="100">
        <v>3338</v>
      </c>
      <c r="V46" s="115">
        <v>10.500500000000001</v>
      </c>
      <c r="W46" s="115">
        <v>2.1022699999999998E-2</v>
      </c>
      <c r="X46" s="115">
        <v>5.4100399999999996E-3</v>
      </c>
      <c r="Y46" s="115">
        <v>0.94784500000000005</v>
      </c>
      <c r="Z46" s="115">
        <v>60.074599999999997</v>
      </c>
      <c r="AA46" s="115">
        <v>0.29003000000000001</v>
      </c>
      <c r="AB46" s="115">
        <v>1.03938</v>
      </c>
      <c r="AC46" s="115">
        <v>5.1525399999999996E-6</v>
      </c>
      <c r="AD46" s="771">
        <v>679224000</v>
      </c>
      <c r="AE46" s="771">
        <v>0.20607</v>
      </c>
      <c r="AF46" s="771">
        <v>0.20607</v>
      </c>
      <c r="AG46" s="771">
        <v>20.0763</v>
      </c>
      <c r="AH46" s="771">
        <v>51.0867</v>
      </c>
      <c r="AI46" s="771">
        <v>5.05953E-6</v>
      </c>
      <c r="AJ46">
        <v>1.0431299999999999</v>
      </c>
      <c r="AK46">
        <v>1.0431299999999999</v>
      </c>
      <c r="AL46">
        <v>19.9133</v>
      </c>
      <c r="AM46">
        <v>20.616299999999999</v>
      </c>
    </row>
    <row r="47" spans="15:39" x14ac:dyDescent="0.2">
      <c r="O47" s="100"/>
      <c r="P47" s="100"/>
      <c r="Q47" s="115"/>
      <c r="R47" s="115"/>
      <c r="S47" s="115"/>
      <c r="T47" s="100">
        <v>216.5</v>
      </c>
      <c r="U47" s="100">
        <v>3892</v>
      </c>
      <c r="V47" s="115">
        <v>11.964499999999999</v>
      </c>
      <c r="W47" s="115">
        <v>2.2968499999999999E-2</v>
      </c>
      <c r="X47" s="115">
        <v>4.7480400000000002E-3</v>
      </c>
      <c r="Y47" s="115">
        <v>0.96931699999999998</v>
      </c>
      <c r="Z47" s="115">
        <v>60.117899999999999</v>
      </c>
      <c r="AA47" s="115">
        <v>0.29003000000000001</v>
      </c>
      <c r="AB47" s="115">
        <v>1.03864</v>
      </c>
      <c r="AC47" s="115">
        <v>5.1082200000000002E-6</v>
      </c>
      <c r="AD47" s="771">
        <v>869247000</v>
      </c>
      <c r="AE47" s="771">
        <v>0.20607</v>
      </c>
      <c r="AF47" s="771">
        <v>0.20607</v>
      </c>
      <c r="AG47" s="771">
        <v>16.628699999999998</v>
      </c>
      <c r="AH47" s="771">
        <v>51.1235</v>
      </c>
      <c r="AI47" s="771">
        <v>5.0152099999999997E-6</v>
      </c>
      <c r="AJ47">
        <v>0.72973399999999999</v>
      </c>
      <c r="AK47">
        <v>0.72973399999999999</v>
      </c>
      <c r="AL47">
        <v>16.684899999999999</v>
      </c>
      <c r="AM47">
        <v>20.409099999999999</v>
      </c>
    </row>
    <row r="48" spans="15:39" x14ac:dyDescent="0.2">
      <c r="O48" s="100"/>
      <c r="P48" s="100"/>
      <c r="Q48" s="115"/>
      <c r="R48" s="115"/>
      <c r="S48" s="115"/>
      <c r="T48" s="100">
        <v>216.5</v>
      </c>
      <c r="U48" s="100">
        <v>4446</v>
      </c>
      <c r="V48" s="115">
        <v>13.297700000000001</v>
      </c>
      <c r="W48" s="115">
        <v>2.4984900000000001E-2</v>
      </c>
      <c r="X48" s="115">
        <v>4.2720099999999997E-3</v>
      </c>
      <c r="Y48" s="115">
        <v>0.995811</v>
      </c>
      <c r="Z48" s="115">
        <v>60.161200000000001</v>
      </c>
      <c r="AA48" s="115">
        <v>0.29003000000000001</v>
      </c>
      <c r="AB48" s="115">
        <v>1.03789</v>
      </c>
      <c r="AC48" s="115">
        <v>5.0638999999999999E-6</v>
      </c>
      <c r="AD48" s="771">
        <v>1065350000</v>
      </c>
      <c r="AE48" s="771">
        <v>0.20607</v>
      </c>
      <c r="AF48" s="771">
        <v>0.20607</v>
      </c>
      <c r="AG48" s="771">
        <v>13.888500000000001</v>
      </c>
      <c r="AH48" s="771">
        <v>51.160299999999999</v>
      </c>
      <c r="AI48" s="771">
        <v>4.9708900000000003E-6</v>
      </c>
      <c r="AJ48">
        <v>0.51652799999999999</v>
      </c>
      <c r="AK48">
        <v>0.51652799999999999</v>
      </c>
      <c r="AL48">
        <v>14.2315</v>
      </c>
      <c r="AM48">
        <v>20.261800000000001</v>
      </c>
    </row>
    <row r="49" spans="15:39" x14ac:dyDescent="0.2">
      <c r="O49" s="100"/>
      <c r="P49" s="100"/>
      <c r="Q49" s="115"/>
      <c r="R49" s="115"/>
      <c r="S49" s="115"/>
      <c r="T49" s="100">
        <v>216.5</v>
      </c>
      <c r="U49" s="100">
        <v>5000</v>
      </c>
      <c r="V49" s="115">
        <v>14.511200000000001</v>
      </c>
      <c r="W49" s="115">
        <v>2.7047600000000002E-2</v>
      </c>
      <c r="X49" s="115">
        <v>3.9147599999999998E-3</v>
      </c>
      <c r="Y49" s="115">
        <v>1.0258700000000001</v>
      </c>
      <c r="Z49" s="115">
        <v>60.204599999999999</v>
      </c>
      <c r="AA49" s="115">
        <v>0.29003000000000001</v>
      </c>
      <c r="AB49" s="115">
        <v>1.03714</v>
      </c>
      <c r="AC49" s="115">
        <v>5.0195799999999996E-6</v>
      </c>
      <c r="AD49" s="771">
        <v>1264360000</v>
      </c>
      <c r="AE49" s="771">
        <v>0.20607</v>
      </c>
      <c r="AF49" s="771">
        <v>0.20607</v>
      </c>
      <c r="AG49" s="771">
        <v>11.6988</v>
      </c>
      <c r="AH49" s="771">
        <v>51.197299999999998</v>
      </c>
      <c r="AI49" s="771">
        <v>4.92657E-6</v>
      </c>
      <c r="AJ49">
        <v>0.37071100000000001</v>
      </c>
      <c r="AK49">
        <v>0.37071100000000001</v>
      </c>
      <c r="AL49">
        <v>12.34</v>
      </c>
      <c r="AM49">
        <v>20.155000000000001</v>
      </c>
    </row>
    <row r="50" spans="15:39" x14ac:dyDescent="0.2">
      <c r="O50" s="100"/>
      <c r="P50" s="100"/>
      <c r="Q50" s="115"/>
      <c r="R50" s="115"/>
      <c r="S50" s="115"/>
      <c r="T50" s="100">
        <v>260</v>
      </c>
      <c r="U50" s="100">
        <v>14</v>
      </c>
      <c r="V50" s="115">
        <v>7.8762899999999997E-2</v>
      </c>
      <c r="W50" s="115">
        <v>1.41934E-2</v>
      </c>
      <c r="X50" s="115">
        <v>0.72125399999999995</v>
      </c>
      <c r="Y50" s="115">
        <v>1.0161899999999999</v>
      </c>
      <c r="Z50" s="115">
        <v>58.6342</v>
      </c>
      <c r="AA50" s="115">
        <v>0.221024</v>
      </c>
      <c r="AB50" s="115">
        <v>1.0649200000000001</v>
      </c>
      <c r="AC50" s="115">
        <v>5.8698699999999999E-6</v>
      </c>
      <c r="AD50" s="771">
        <v>36422.9</v>
      </c>
      <c r="AE50" s="771">
        <v>0.20607</v>
      </c>
      <c r="AF50" s="771">
        <v>0.20607</v>
      </c>
      <c r="AG50" s="771">
        <v>57.247500000000002</v>
      </c>
      <c r="AH50" s="771">
        <v>49.861800000000002</v>
      </c>
      <c r="AI50" s="771">
        <v>5.7715200000000003E-6</v>
      </c>
      <c r="AJ50">
        <v>13.984400000000001</v>
      </c>
      <c r="AK50">
        <v>13.984400000000001</v>
      </c>
      <c r="AL50">
        <v>58.979199999999999</v>
      </c>
      <c r="AM50">
        <v>16.286000000000001</v>
      </c>
    </row>
    <row r="51" spans="15:39" x14ac:dyDescent="0.2">
      <c r="O51" s="100"/>
      <c r="P51" s="100"/>
      <c r="Q51" s="115"/>
      <c r="R51" s="115"/>
      <c r="S51" s="115"/>
      <c r="T51" s="100">
        <v>260</v>
      </c>
      <c r="U51" s="100">
        <v>568</v>
      </c>
      <c r="V51" s="115">
        <v>1.6445099999999999</v>
      </c>
      <c r="W51" s="115">
        <v>1.4666500000000001E-2</v>
      </c>
      <c r="X51" s="115">
        <v>3.4544100000000001E-2</v>
      </c>
      <c r="Y51" s="115">
        <v>0.98828000000000005</v>
      </c>
      <c r="Z51" s="115">
        <v>58.682699999999997</v>
      </c>
      <c r="AA51" s="115">
        <v>0.221024</v>
      </c>
      <c r="AB51" s="115">
        <v>1.0640400000000001</v>
      </c>
      <c r="AC51" s="115">
        <v>5.8255499999999996E-6</v>
      </c>
      <c r="AD51" s="771">
        <v>22367800</v>
      </c>
      <c r="AE51" s="771">
        <v>0.20607</v>
      </c>
      <c r="AF51" s="771">
        <v>0.20607</v>
      </c>
      <c r="AG51" s="771">
        <v>49.248800000000003</v>
      </c>
      <c r="AH51" s="771">
        <v>49.902999999999999</v>
      </c>
      <c r="AI51" s="771">
        <v>5.7272E-6</v>
      </c>
      <c r="AJ51">
        <v>10.537000000000001</v>
      </c>
      <c r="AK51">
        <v>10.537000000000001</v>
      </c>
      <c r="AL51">
        <v>50.838900000000002</v>
      </c>
      <c r="AM51">
        <v>16.811499999999999</v>
      </c>
    </row>
    <row r="52" spans="15:39" x14ac:dyDescent="0.2">
      <c r="O52" s="100"/>
      <c r="P52" s="100"/>
      <c r="Q52" s="115"/>
      <c r="R52" s="115"/>
      <c r="S52" s="115"/>
      <c r="T52" s="100">
        <v>260</v>
      </c>
      <c r="U52" s="100">
        <v>1122</v>
      </c>
      <c r="V52" s="115">
        <v>3.27806</v>
      </c>
      <c r="W52" s="115">
        <v>1.54666E-2</v>
      </c>
      <c r="X52" s="115">
        <v>1.7329799999999999E-2</v>
      </c>
      <c r="Y52" s="115">
        <v>0.96716800000000003</v>
      </c>
      <c r="Z52" s="115">
        <v>58.731299999999997</v>
      </c>
      <c r="AA52" s="115">
        <v>0.221024</v>
      </c>
      <c r="AB52" s="115">
        <v>1.0631600000000001</v>
      </c>
      <c r="AC52" s="115">
        <v>5.7812300000000002E-6</v>
      </c>
      <c r="AD52" s="771">
        <v>85958400</v>
      </c>
      <c r="AE52" s="771">
        <v>0.20607</v>
      </c>
      <c r="AF52" s="771">
        <v>0.20607</v>
      </c>
      <c r="AG52" s="771">
        <v>41.798299999999998</v>
      </c>
      <c r="AH52" s="771">
        <v>49.944299999999998</v>
      </c>
      <c r="AI52" s="771">
        <v>5.6828799999999997E-6</v>
      </c>
      <c r="AJ52">
        <v>7.5468000000000002</v>
      </c>
      <c r="AK52">
        <v>7.5468000000000002</v>
      </c>
      <c r="AL52">
        <v>43.019799999999996</v>
      </c>
      <c r="AM52">
        <v>17.395399999999999</v>
      </c>
    </row>
    <row r="53" spans="15:39" x14ac:dyDescent="0.2">
      <c r="O53" s="100"/>
      <c r="P53" s="100"/>
      <c r="Q53" s="115"/>
      <c r="R53" s="115"/>
      <c r="S53" s="115"/>
      <c r="T53" s="100">
        <v>260</v>
      </c>
      <c r="U53" s="100">
        <v>1676</v>
      </c>
      <c r="V53" s="115">
        <v>4.9398299999999997</v>
      </c>
      <c r="W53" s="115">
        <v>1.6520900000000002E-2</v>
      </c>
      <c r="X53" s="115">
        <v>1.15E-2</v>
      </c>
      <c r="Y53" s="115">
        <v>0.95461399999999996</v>
      </c>
      <c r="Z53" s="115">
        <v>58.78</v>
      </c>
      <c r="AA53" s="115">
        <v>0.221024</v>
      </c>
      <c r="AB53" s="115">
        <v>1.0622799999999999</v>
      </c>
      <c r="AC53" s="115">
        <v>5.7369099999999999E-6</v>
      </c>
      <c r="AD53" s="771">
        <v>186887000</v>
      </c>
      <c r="AE53" s="771">
        <v>0.20607</v>
      </c>
      <c r="AF53" s="771">
        <v>0.20607</v>
      </c>
      <c r="AG53" s="771">
        <v>35.094799999999999</v>
      </c>
      <c r="AH53" s="771">
        <v>49.985700000000001</v>
      </c>
      <c r="AI53" s="771">
        <v>5.6385600000000003E-6</v>
      </c>
      <c r="AJ53">
        <v>5.1194300000000004</v>
      </c>
      <c r="AK53">
        <v>5.1194300000000004</v>
      </c>
      <c r="AL53">
        <v>35.872199999999999</v>
      </c>
      <c r="AM53">
        <v>18.0457</v>
      </c>
    </row>
    <row r="54" spans="15:39" x14ac:dyDescent="0.2">
      <c r="O54" s="100"/>
      <c r="P54" s="100"/>
      <c r="Q54" s="115"/>
      <c r="R54" s="115"/>
      <c r="S54" s="115"/>
      <c r="T54" s="100">
        <v>260</v>
      </c>
      <c r="U54" s="100">
        <v>2230</v>
      </c>
      <c r="V54" s="115">
        <v>6.5803099999999999</v>
      </c>
      <c r="W54" s="115">
        <v>1.7792499999999999E-2</v>
      </c>
      <c r="X54" s="115">
        <v>8.6330299999999999E-3</v>
      </c>
      <c r="Y54" s="115">
        <v>0.95144899999999999</v>
      </c>
      <c r="Z54" s="115">
        <v>58.828699999999998</v>
      </c>
      <c r="AA54" s="115">
        <v>0.221024</v>
      </c>
      <c r="AB54" s="115">
        <v>1.0613999999999999</v>
      </c>
      <c r="AC54" s="115">
        <v>5.6925899999999997E-6</v>
      </c>
      <c r="AD54" s="771">
        <v>319299000</v>
      </c>
      <c r="AE54" s="771">
        <v>0.20607</v>
      </c>
      <c r="AF54" s="771">
        <v>0.20607</v>
      </c>
      <c r="AG54" s="771">
        <v>29.281600000000001</v>
      </c>
      <c r="AH54" s="771">
        <v>50.027200000000001</v>
      </c>
      <c r="AI54" s="771">
        <v>5.59424E-6</v>
      </c>
      <c r="AJ54">
        <v>3.3100100000000001</v>
      </c>
      <c r="AK54">
        <v>3.3100100000000001</v>
      </c>
      <c r="AL54">
        <v>29.704499999999999</v>
      </c>
      <c r="AM54">
        <v>18.737200000000001</v>
      </c>
    </row>
    <row r="55" spans="15:39" x14ac:dyDescent="0.2">
      <c r="O55" s="100"/>
      <c r="P55" s="100"/>
      <c r="Q55" s="115"/>
      <c r="R55" s="115"/>
      <c r="S55" s="115"/>
      <c r="T55" s="100">
        <v>260</v>
      </c>
      <c r="U55" s="100">
        <v>2784</v>
      </c>
      <c r="V55" s="115">
        <v>8.1548200000000008</v>
      </c>
      <c r="W55" s="115">
        <v>1.9240299999999998E-2</v>
      </c>
      <c r="X55" s="115">
        <v>6.9661899999999997E-3</v>
      </c>
      <c r="Y55" s="115">
        <v>0.957229</v>
      </c>
      <c r="Z55" s="115">
        <v>58.877499999999998</v>
      </c>
      <c r="AA55" s="115">
        <v>0.221024</v>
      </c>
      <c r="AB55" s="115">
        <v>1.0605199999999999</v>
      </c>
      <c r="AC55" s="115">
        <v>5.6482700000000002E-6</v>
      </c>
      <c r="AD55" s="771">
        <v>476550000</v>
      </c>
      <c r="AE55" s="771">
        <v>0.20607</v>
      </c>
      <c r="AF55" s="771">
        <v>0.20607</v>
      </c>
      <c r="AG55" s="771">
        <v>24.397200000000002</v>
      </c>
      <c r="AH55" s="771">
        <v>50.0687</v>
      </c>
      <c r="AI55" s="771">
        <v>5.5499199999999997E-6</v>
      </c>
      <c r="AJ55">
        <v>2.0627399999999998</v>
      </c>
      <c r="AK55">
        <v>2.0627399999999998</v>
      </c>
      <c r="AL55">
        <v>24.646999999999998</v>
      </c>
      <c r="AM55">
        <v>19.439699999999998</v>
      </c>
    </row>
    <row r="56" spans="15:39" x14ac:dyDescent="0.2">
      <c r="O56" s="100"/>
      <c r="P56" s="100"/>
      <c r="Q56" s="115"/>
      <c r="R56" s="115"/>
      <c r="S56" s="115"/>
      <c r="T56" s="100">
        <v>260</v>
      </c>
      <c r="U56" s="100">
        <v>3338</v>
      </c>
      <c r="V56" s="115">
        <v>9.6347299999999994</v>
      </c>
      <c r="W56" s="115">
        <v>2.08227E-2</v>
      </c>
      <c r="X56" s="115">
        <v>5.8961700000000001E-3</v>
      </c>
      <c r="Y56" s="115">
        <v>0.97057499999999997</v>
      </c>
      <c r="Z56" s="115">
        <v>58.926400000000001</v>
      </c>
      <c r="AA56" s="115">
        <v>0.221024</v>
      </c>
      <c r="AB56" s="115">
        <v>1.0596399999999999</v>
      </c>
      <c r="AC56" s="115">
        <v>5.6039499999999999E-6</v>
      </c>
      <c r="AD56" s="771">
        <v>652245000</v>
      </c>
      <c r="AE56" s="771">
        <v>0.20607</v>
      </c>
      <c r="AF56" s="771">
        <v>0.20607</v>
      </c>
      <c r="AG56" s="771">
        <v>20.378900000000002</v>
      </c>
      <c r="AH56" s="771">
        <v>50.110300000000002</v>
      </c>
      <c r="AI56" s="771">
        <v>5.5056000000000003E-6</v>
      </c>
      <c r="AJ56">
        <v>1.2538400000000001</v>
      </c>
      <c r="AK56">
        <v>1.2538400000000001</v>
      </c>
      <c r="AL56">
        <v>20.6328</v>
      </c>
      <c r="AM56">
        <v>20.1203</v>
      </c>
    </row>
    <row r="57" spans="15:39" x14ac:dyDescent="0.2">
      <c r="O57" s="100"/>
      <c r="P57" s="100"/>
      <c r="Q57" s="115"/>
      <c r="R57" s="115"/>
      <c r="S57" s="115"/>
      <c r="T57" s="100">
        <v>260</v>
      </c>
      <c r="U57" s="100">
        <v>3892</v>
      </c>
      <c r="V57" s="115">
        <v>11.0084</v>
      </c>
      <c r="W57" s="115">
        <v>2.25046E-2</v>
      </c>
      <c r="X57" s="115">
        <v>5.1604399999999996E-3</v>
      </c>
      <c r="Y57" s="115">
        <v>0.98983100000000002</v>
      </c>
      <c r="Z57" s="115">
        <v>58.9754</v>
      </c>
      <c r="AA57" s="115">
        <v>0.221024</v>
      </c>
      <c r="AB57" s="115">
        <v>1.0587500000000001</v>
      </c>
      <c r="AC57" s="115">
        <v>5.5596299999999997E-6</v>
      </c>
      <c r="AD57" s="771">
        <v>840905000</v>
      </c>
      <c r="AE57" s="771">
        <v>0.20607</v>
      </c>
      <c r="AF57" s="771">
        <v>0.20607</v>
      </c>
      <c r="AG57" s="771">
        <v>17.1067</v>
      </c>
      <c r="AH57" s="771">
        <v>50.152000000000001</v>
      </c>
      <c r="AI57" s="771">
        <v>5.46128E-6</v>
      </c>
      <c r="AJ57">
        <v>0.89841599999999999</v>
      </c>
      <c r="AK57">
        <v>0.89841599999999999</v>
      </c>
      <c r="AL57">
        <v>17.4879</v>
      </c>
      <c r="AM57">
        <v>19.984200000000001</v>
      </c>
    </row>
    <row r="58" spans="15:39" x14ac:dyDescent="0.2">
      <c r="O58" s="100"/>
      <c r="P58" s="100"/>
      <c r="Q58" s="115"/>
      <c r="R58" s="115"/>
      <c r="S58" s="115"/>
      <c r="T58" s="100">
        <v>260</v>
      </c>
      <c r="U58" s="100">
        <v>4446</v>
      </c>
      <c r="V58" s="115">
        <v>12.2758</v>
      </c>
      <c r="W58" s="115">
        <v>2.4258600000000002E-2</v>
      </c>
      <c r="X58" s="115">
        <v>4.6276399999999997E-3</v>
      </c>
      <c r="Y58" s="115">
        <v>1.0135099999999999</v>
      </c>
      <c r="Z58" s="115">
        <v>59.024500000000003</v>
      </c>
      <c r="AA58" s="115">
        <v>0.221024</v>
      </c>
      <c r="AB58" s="115">
        <v>1.0578700000000001</v>
      </c>
      <c r="AC58" s="115">
        <v>5.5153100000000002E-6</v>
      </c>
      <c r="AD58" s="771">
        <v>1038150000</v>
      </c>
      <c r="AE58" s="771">
        <v>0.20607</v>
      </c>
      <c r="AF58" s="771">
        <v>0.20607</v>
      </c>
      <c r="AG58" s="771">
        <v>14.4481</v>
      </c>
      <c r="AH58" s="771">
        <v>50.1937</v>
      </c>
      <c r="AI58" s="771">
        <v>5.4169599999999997E-6</v>
      </c>
      <c r="AJ58">
        <v>0.66035699999999997</v>
      </c>
      <c r="AK58">
        <v>0.66035699999999997</v>
      </c>
      <c r="AL58">
        <v>15.0227</v>
      </c>
      <c r="AM58">
        <v>19.812999999999999</v>
      </c>
    </row>
    <row r="59" spans="15:39" x14ac:dyDescent="0.2">
      <c r="O59" s="100"/>
      <c r="P59" s="100"/>
      <c r="Q59" s="115"/>
      <c r="R59" s="115"/>
      <c r="S59" s="115"/>
      <c r="T59" s="100">
        <v>260</v>
      </c>
      <c r="U59" s="100">
        <v>5000</v>
      </c>
      <c r="V59" s="115">
        <v>13.443099999999999</v>
      </c>
      <c r="W59" s="115">
        <v>2.60647E-2</v>
      </c>
      <c r="X59" s="115">
        <v>4.22581E-3</v>
      </c>
      <c r="Y59" s="115">
        <v>1.0404500000000001</v>
      </c>
      <c r="Z59" s="115">
        <v>59.073700000000002</v>
      </c>
      <c r="AA59" s="115">
        <v>0.221024</v>
      </c>
      <c r="AB59" s="115">
        <v>1.0569900000000001</v>
      </c>
      <c r="AC59" s="115">
        <v>5.4709899999999999E-6</v>
      </c>
      <c r="AD59" s="771">
        <v>1240680000</v>
      </c>
      <c r="AE59" s="771">
        <v>0.20607</v>
      </c>
      <c r="AF59" s="771">
        <v>0.20607</v>
      </c>
      <c r="AG59" s="771">
        <v>12.2826</v>
      </c>
      <c r="AH59" s="771">
        <v>50.235500000000002</v>
      </c>
      <c r="AI59" s="771">
        <v>5.3726400000000003E-6</v>
      </c>
      <c r="AJ59">
        <v>0.48891899999999999</v>
      </c>
      <c r="AK59">
        <v>0.48891899999999999</v>
      </c>
      <c r="AL59">
        <v>13.074299999999999</v>
      </c>
      <c r="AM59">
        <v>19.688300000000002</v>
      </c>
    </row>
    <row r="60" spans="15:39" x14ac:dyDescent="0.2">
      <c r="O60" s="100"/>
      <c r="P60" s="100"/>
      <c r="Q60" s="115"/>
      <c r="R60" s="115"/>
      <c r="S60" s="115"/>
      <c r="T60" s="100"/>
      <c r="U60" s="100"/>
      <c r="V60" s="115"/>
      <c r="W60" s="115"/>
      <c r="X60" s="115"/>
      <c r="Y60" s="115"/>
      <c r="Z60" s="115"/>
      <c r="AA60" s="115"/>
      <c r="AB60" s="115"/>
      <c r="AC60" s="115"/>
      <c r="AD60" s="771"/>
      <c r="AE60" s="771"/>
      <c r="AF60" s="771"/>
      <c r="AG60" s="771"/>
      <c r="AH60" s="771"/>
      <c r="AI60" s="771"/>
    </row>
    <row r="61" spans="15:39" x14ac:dyDescent="0.2">
      <c r="O61" s="100"/>
      <c r="P61" s="100"/>
      <c r="Q61" s="115"/>
      <c r="R61" s="115"/>
      <c r="S61" s="115"/>
      <c r="T61" s="100"/>
      <c r="U61" s="100"/>
      <c r="V61" s="115"/>
      <c r="W61" s="115"/>
      <c r="X61" s="115"/>
      <c r="Y61" s="115"/>
      <c r="Z61" s="115"/>
      <c r="AA61" s="115"/>
      <c r="AB61" s="115"/>
      <c r="AC61" s="115"/>
      <c r="AD61" s="771"/>
      <c r="AE61" s="771"/>
      <c r="AF61" s="771"/>
      <c r="AG61" s="771"/>
      <c r="AH61" s="771"/>
      <c r="AI61" s="771"/>
    </row>
    <row r="62" spans="15:39" x14ac:dyDescent="0.2">
      <c r="O62" s="100"/>
      <c r="P62" s="100"/>
      <c r="Q62" s="115"/>
      <c r="R62" s="115"/>
      <c r="S62" s="115"/>
      <c r="T62" s="100"/>
      <c r="U62" s="100"/>
      <c r="V62" s="115"/>
      <c r="W62" s="115"/>
      <c r="X62" s="115"/>
      <c r="Y62" s="115"/>
      <c r="Z62" s="115"/>
      <c r="AA62" s="115"/>
      <c r="AB62" s="115"/>
      <c r="AC62" s="115"/>
      <c r="AD62" s="771"/>
      <c r="AE62" s="771"/>
      <c r="AF62" s="771"/>
      <c r="AG62" s="771"/>
      <c r="AH62" s="771"/>
      <c r="AI62" s="771"/>
    </row>
    <row r="63" spans="15:39" x14ac:dyDescent="0.2">
      <c r="O63" s="100"/>
      <c r="P63" s="100"/>
      <c r="Q63" s="115"/>
      <c r="R63" s="115"/>
      <c r="S63" s="115"/>
      <c r="T63" s="100"/>
      <c r="U63" s="100"/>
      <c r="V63" s="115"/>
      <c r="W63" s="115"/>
      <c r="X63" s="115"/>
      <c r="Y63" s="115"/>
      <c r="Z63" s="115"/>
      <c r="AA63" s="115"/>
      <c r="AB63" s="115"/>
      <c r="AC63" s="115"/>
      <c r="AD63" s="771"/>
      <c r="AE63" s="771"/>
      <c r="AF63" s="771"/>
      <c r="AG63" s="771"/>
      <c r="AH63" s="771"/>
      <c r="AI63" s="771"/>
    </row>
    <row r="64" spans="15:39" x14ac:dyDescent="0.2">
      <c r="O64" s="100"/>
      <c r="P64" s="100"/>
      <c r="Q64" s="115"/>
      <c r="R64" s="115"/>
      <c r="S64" s="115"/>
      <c r="T64" s="100"/>
      <c r="U64" s="100"/>
      <c r="V64" s="115"/>
      <c r="W64" s="115"/>
      <c r="X64" s="115"/>
      <c r="Y64" s="115"/>
      <c r="Z64" s="115"/>
      <c r="AA64" s="115"/>
      <c r="AB64" s="115"/>
      <c r="AC64" s="115"/>
      <c r="AD64" s="771"/>
      <c r="AE64" s="771"/>
      <c r="AF64" s="771"/>
      <c r="AG64" s="771"/>
      <c r="AH64" s="771"/>
      <c r="AI64" s="771"/>
    </row>
    <row r="65" spans="15:35" x14ac:dyDescent="0.2">
      <c r="O65" s="100"/>
      <c r="P65" s="100"/>
      <c r="Q65" s="115"/>
      <c r="R65" s="115"/>
      <c r="S65" s="115"/>
      <c r="T65" s="100"/>
      <c r="U65" s="100"/>
      <c r="V65" s="115"/>
      <c r="W65" s="115"/>
      <c r="X65" s="115"/>
      <c r="Y65" s="115"/>
      <c r="Z65" s="115"/>
      <c r="AA65" s="115"/>
      <c r="AB65" s="115"/>
      <c r="AC65" s="115"/>
      <c r="AD65" s="771"/>
      <c r="AE65" s="771"/>
      <c r="AF65" s="771"/>
      <c r="AG65" s="771"/>
      <c r="AH65" s="771"/>
      <c r="AI65" s="771"/>
    </row>
    <row r="66" spans="15:35" x14ac:dyDescent="0.2">
      <c r="O66" s="100"/>
      <c r="P66" s="100"/>
      <c r="Q66" s="115"/>
      <c r="R66" s="115"/>
      <c r="S66" s="115"/>
      <c r="T66" s="100"/>
      <c r="U66" s="100"/>
      <c r="V66" s="115"/>
      <c r="W66" s="115"/>
      <c r="X66" s="115"/>
      <c r="Y66" s="115"/>
      <c r="Z66" s="115"/>
      <c r="AA66" s="115"/>
      <c r="AB66" s="115"/>
      <c r="AC66" s="115"/>
      <c r="AD66" s="771"/>
      <c r="AE66" s="771"/>
      <c r="AF66" s="771"/>
      <c r="AG66" s="771"/>
      <c r="AH66" s="771"/>
      <c r="AI66" s="771"/>
    </row>
    <row r="67" spans="15:35" x14ac:dyDescent="0.2">
      <c r="O67" s="100"/>
      <c r="P67" s="100"/>
      <c r="Q67" s="115"/>
      <c r="R67" s="115"/>
      <c r="S67" s="115"/>
      <c r="T67" s="100"/>
      <c r="U67" s="100"/>
      <c r="V67" s="115"/>
      <c r="W67" s="115"/>
      <c r="X67" s="115"/>
      <c r="Y67" s="115"/>
      <c r="Z67" s="115"/>
      <c r="AA67" s="115"/>
      <c r="AB67" s="115"/>
      <c r="AC67" s="115"/>
      <c r="AD67" s="771"/>
      <c r="AE67" s="771"/>
      <c r="AF67" s="771"/>
      <c r="AG67" s="771"/>
      <c r="AH67" s="771"/>
      <c r="AI67" s="771"/>
    </row>
    <row r="68" spans="15:35" x14ac:dyDescent="0.2">
      <c r="O68" s="100"/>
      <c r="P68" s="100"/>
      <c r="Q68" s="115"/>
      <c r="R68" s="115"/>
      <c r="S68" s="115"/>
      <c r="T68" s="100"/>
      <c r="U68" s="100"/>
      <c r="V68" s="115"/>
      <c r="W68" s="115"/>
      <c r="X68" s="115"/>
      <c r="Y68" s="115"/>
      <c r="Z68" s="115"/>
      <c r="AA68" s="115"/>
      <c r="AB68" s="115"/>
      <c r="AC68" s="115"/>
      <c r="AD68" s="771"/>
      <c r="AE68" s="771"/>
      <c r="AF68" s="771"/>
      <c r="AG68" s="771"/>
      <c r="AH68" s="771"/>
      <c r="AI68" s="771"/>
    </row>
    <row r="69" spans="15:35" x14ac:dyDescent="0.2">
      <c r="O69" s="100"/>
      <c r="P69" s="100"/>
      <c r="Q69" s="115"/>
      <c r="R69" s="115"/>
      <c r="S69" s="115"/>
      <c r="T69" s="100"/>
      <c r="U69" s="100"/>
      <c r="V69" s="115"/>
      <c r="W69" s="115"/>
      <c r="X69" s="115"/>
      <c r="Y69" s="115"/>
      <c r="Z69" s="115"/>
      <c r="AA69" s="115"/>
      <c r="AB69" s="115"/>
      <c r="AC69" s="115"/>
      <c r="AD69" s="771"/>
      <c r="AE69" s="771"/>
      <c r="AF69" s="771"/>
      <c r="AG69" s="771"/>
      <c r="AH69" s="771"/>
      <c r="AI69" s="771"/>
    </row>
    <row r="70" spans="15:35" x14ac:dyDescent="0.2">
      <c r="O70" s="100"/>
      <c r="P70" s="100"/>
      <c r="Q70" s="115"/>
      <c r="R70" s="115"/>
      <c r="S70" s="115"/>
      <c r="T70" s="100"/>
      <c r="U70" s="100"/>
      <c r="V70" s="115"/>
      <c r="W70" s="115"/>
      <c r="X70" s="115"/>
      <c r="Y70" s="115"/>
      <c r="Z70" s="115"/>
      <c r="AA70" s="115"/>
      <c r="AB70" s="115"/>
      <c r="AC70" s="115"/>
      <c r="AD70" s="771"/>
      <c r="AE70" s="771"/>
      <c r="AF70" s="771"/>
      <c r="AG70" s="771"/>
      <c r="AH70" s="771"/>
      <c r="AI70" s="771"/>
    </row>
    <row r="71" spans="15:35" x14ac:dyDescent="0.2">
      <c r="O71" s="100"/>
      <c r="P71" s="100"/>
      <c r="Q71" s="115"/>
      <c r="R71" s="115"/>
      <c r="S71" s="115"/>
      <c r="T71" s="100"/>
      <c r="U71" s="100"/>
      <c r="V71" s="115"/>
      <c r="W71" s="115"/>
      <c r="X71" s="115"/>
      <c r="Y71" s="115"/>
      <c r="Z71" s="115"/>
      <c r="AA71" s="115"/>
      <c r="AB71" s="115"/>
      <c r="AC71" s="115"/>
      <c r="AD71" s="771"/>
      <c r="AE71" s="771"/>
      <c r="AF71" s="771"/>
      <c r="AG71" s="771"/>
      <c r="AH71" s="771"/>
      <c r="AI71" s="771"/>
    </row>
    <row r="72" spans="15:35" x14ac:dyDescent="0.2">
      <c r="O72" s="100"/>
      <c r="P72" s="100"/>
      <c r="Q72" s="115"/>
      <c r="R72" s="115"/>
      <c r="S72" s="115"/>
      <c r="T72" s="100"/>
      <c r="U72" s="100"/>
      <c r="V72" s="115"/>
      <c r="W72" s="115"/>
      <c r="X72" s="115"/>
      <c r="Y72" s="115"/>
      <c r="Z72" s="115"/>
      <c r="AA72" s="115"/>
      <c r="AB72" s="115"/>
      <c r="AC72" s="115"/>
      <c r="AD72" s="771"/>
      <c r="AE72" s="771"/>
      <c r="AF72" s="771"/>
      <c r="AG72" s="771"/>
      <c r="AH72" s="771"/>
      <c r="AI72" s="771"/>
    </row>
    <row r="73" spans="15:35" x14ac:dyDescent="0.2">
      <c r="O73" s="100"/>
      <c r="P73" s="100"/>
      <c r="Q73" s="115"/>
      <c r="R73" s="115"/>
      <c r="S73" s="115"/>
      <c r="T73" s="100"/>
      <c r="U73" s="100"/>
      <c r="V73" s="115"/>
      <c r="W73" s="115"/>
      <c r="X73" s="115"/>
      <c r="Y73" s="115"/>
      <c r="Z73" s="115"/>
      <c r="AA73" s="115"/>
      <c r="AB73" s="115"/>
      <c r="AC73" s="115"/>
      <c r="AD73" s="771"/>
      <c r="AE73" s="771"/>
      <c r="AF73" s="771"/>
      <c r="AG73" s="771"/>
      <c r="AH73" s="771"/>
      <c r="AI73" s="771"/>
    </row>
    <row r="74" spans="15:35" x14ac:dyDescent="0.2">
      <c r="O74" s="100"/>
      <c r="P74" s="100"/>
      <c r="Q74" s="115"/>
      <c r="R74" s="115"/>
      <c r="S74" s="115"/>
      <c r="T74" s="100"/>
      <c r="U74" s="100"/>
      <c r="V74" s="115"/>
      <c r="W74" s="115"/>
      <c r="X74" s="115"/>
      <c r="Y74" s="115"/>
      <c r="Z74" s="115"/>
      <c r="AA74" s="115"/>
      <c r="AB74" s="115"/>
      <c r="AC74" s="115"/>
      <c r="AD74" s="771"/>
      <c r="AE74" s="771"/>
      <c r="AF74" s="771"/>
      <c r="AG74" s="771"/>
      <c r="AH74" s="771"/>
      <c r="AI74" s="771"/>
    </row>
    <row r="75" spans="15:35" x14ac:dyDescent="0.2">
      <c r="O75" s="100"/>
      <c r="P75" s="100"/>
      <c r="Q75" s="115"/>
      <c r="R75" s="115"/>
      <c r="S75" s="115"/>
      <c r="T75" s="100"/>
      <c r="U75" s="100"/>
      <c r="V75" s="115"/>
      <c r="W75" s="115"/>
      <c r="X75" s="115"/>
      <c r="Y75" s="115"/>
      <c r="Z75" s="115"/>
      <c r="AA75" s="115"/>
      <c r="AB75" s="115"/>
      <c r="AC75" s="115"/>
      <c r="AD75" s="771"/>
      <c r="AE75" s="771"/>
      <c r="AF75" s="771"/>
      <c r="AG75" s="771"/>
      <c r="AH75" s="771"/>
      <c r="AI75" s="771"/>
    </row>
    <row r="76" spans="15:35" x14ac:dyDescent="0.2">
      <c r="O76" s="100"/>
      <c r="P76" s="100"/>
      <c r="Q76" s="115"/>
      <c r="R76" s="115"/>
      <c r="S76" s="115"/>
      <c r="T76" s="100"/>
      <c r="U76" s="100"/>
      <c r="V76" s="115"/>
      <c r="W76" s="115"/>
      <c r="X76" s="115"/>
      <c r="Y76" s="115"/>
      <c r="Z76" s="115"/>
      <c r="AA76" s="115"/>
      <c r="AB76" s="115"/>
      <c r="AC76" s="115"/>
      <c r="AD76" s="771"/>
      <c r="AE76" s="771"/>
      <c r="AF76" s="771"/>
      <c r="AG76" s="771"/>
      <c r="AH76" s="771"/>
      <c r="AI76" s="771"/>
    </row>
    <row r="77" spans="15:35" x14ac:dyDescent="0.2">
      <c r="O77" s="100"/>
      <c r="P77" s="100"/>
      <c r="Q77" s="115"/>
      <c r="R77" s="115"/>
      <c r="S77" s="115"/>
      <c r="T77" s="100"/>
      <c r="U77" s="100"/>
      <c r="V77" s="115"/>
      <c r="W77" s="115"/>
      <c r="X77" s="115"/>
      <c r="Y77" s="115"/>
      <c r="Z77" s="115"/>
      <c r="AA77" s="115"/>
      <c r="AB77" s="115"/>
      <c r="AC77" s="115"/>
      <c r="AD77" s="771"/>
      <c r="AE77" s="771"/>
      <c r="AF77" s="771"/>
      <c r="AG77" s="771"/>
      <c r="AH77" s="771"/>
      <c r="AI77" s="771"/>
    </row>
    <row r="78" spans="15:35" x14ac:dyDescent="0.2">
      <c r="O78" s="100"/>
      <c r="P78" s="100"/>
      <c r="Q78" s="115"/>
      <c r="R78" s="115"/>
      <c r="S78" s="115"/>
      <c r="T78" s="100"/>
      <c r="U78" s="100"/>
      <c r="V78" s="115"/>
      <c r="W78" s="115"/>
      <c r="X78" s="115"/>
      <c r="Y78" s="115"/>
      <c r="Z78" s="115"/>
      <c r="AA78" s="115"/>
      <c r="AB78" s="115"/>
      <c r="AC78" s="115"/>
      <c r="AD78" s="771"/>
      <c r="AE78" s="771"/>
      <c r="AF78" s="771"/>
      <c r="AG78" s="771"/>
      <c r="AH78" s="771"/>
      <c r="AI78" s="771"/>
    </row>
    <row r="79" spans="15:35" x14ac:dyDescent="0.2">
      <c r="O79" s="100"/>
      <c r="P79" s="100"/>
      <c r="Q79" s="115"/>
      <c r="R79" s="115"/>
      <c r="S79" s="115"/>
      <c r="T79" s="100"/>
      <c r="U79" s="100"/>
      <c r="V79" s="115"/>
      <c r="W79" s="115"/>
      <c r="X79" s="115"/>
      <c r="Y79" s="115"/>
      <c r="Z79" s="115"/>
      <c r="AA79" s="115"/>
      <c r="AB79" s="115"/>
      <c r="AC79" s="115"/>
      <c r="AD79" s="771"/>
      <c r="AE79" s="771"/>
      <c r="AF79" s="771"/>
      <c r="AG79" s="771"/>
      <c r="AH79" s="771"/>
      <c r="AI79" s="771"/>
    </row>
    <row r="80" spans="15:35" x14ac:dyDescent="0.2">
      <c r="O80" s="100"/>
      <c r="P80" s="100"/>
      <c r="Q80" s="115"/>
      <c r="R80" s="115"/>
      <c r="S80" s="115"/>
      <c r="T80" s="100"/>
      <c r="U80" s="100"/>
      <c r="V80" s="115"/>
      <c r="W80" s="115"/>
      <c r="X80" s="115"/>
      <c r="Y80" s="115"/>
      <c r="Z80" s="115"/>
      <c r="AA80" s="115"/>
      <c r="AB80" s="115"/>
      <c r="AC80" s="115"/>
      <c r="AD80" s="771"/>
      <c r="AE80" s="771"/>
      <c r="AF80" s="771"/>
      <c r="AG80" s="771"/>
      <c r="AH80" s="771"/>
      <c r="AI80" s="771"/>
    </row>
    <row r="81" spans="15:35" x14ac:dyDescent="0.2">
      <c r="O81" s="100"/>
      <c r="P81" s="100"/>
      <c r="Q81" s="115"/>
      <c r="R81" s="115"/>
      <c r="S81" s="115"/>
      <c r="T81" s="100"/>
      <c r="U81" s="100"/>
      <c r="V81" s="115"/>
      <c r="W81" s="115"/>
      <c r="X81" s="115"/>
      <c r="Y81" s="115"/>
      <c r="Z81" s="115"/>
      <c r="AA81" s="115"/>
      <c r="AB81" s="115"/>
      <c r="AC81" s="115"/>
      <c r="AD81" s="771"/>
      <c r="AE81" s="771"/>
      <c r="AF81" s="771"/>
      <c r="AG81" s="771"/>
      <c r="AH81" s="771"/>
      <c r="AI81" s="771"/>
    </row>
    <row r="82" spans="15:35" x14ac:dyDescent="0.2">
      <c r="O82" s="100"/>
      <c r="P82" s="100"/>
      <c r="Q82" s="115"/>
      <c r="R82" s="115"/>
      <c r="S82" s="115"/>
      <c r="T82" s="100"/>
      <c r="U82" s="100"/>
      <c r="V82" s="115"/>
      <c r="W82" s="115"/>
      <c r="X82" s="115"/>
      <c r="Y82" s="115"/>
      <c r="Z82" s="115"/>
      <c r="AA82" s="115"/>
      <c r="AB82" s="115"/>
      <c r="AC82" s="115"/>
      <c r="AD82" s="771"/>
      <c r="AE82" s="771"/>
      <c r="AF82" s="771"/>
      <c r="AG82" s="771"/>
      <c r="AH82" s="771"/>
      <c r="AI82" s="771"/>
    </row>
    <row r="83" spans="15:35" x14ac:dyDescent="0.2">
      <c r="O83" s="100"/>
      <c r="P83" s="100"/>
      <c r="Q83" s="115"/>
      <c r="R83" s="115"/>
      <c r="S83" s="115"/>
      <c r="T83" s="100"/>
      <c r="U83" s="100"/>
      <c r="V83" s="115"/>
      <c r="W83" s="115"/>
      <c r="X83" s="115"/>
      <c r="Y83" s="115"/>
      <c r="Z83" s="115"/>
      <c r="AA83" s="115"/>
      <c r="AB83" s="115"/>
      <c r="AC83" s="115"/>
      <c r="AD83" s="771"/>
      <c r="AE83" s="771"/>
      <c r="AF83" s="771"/>
      <c r="AG83" s="771"/>
      <c r="AH83" s="771"/>
      <c r="AI83" s="771"/>
    </row>
    <row r="84" spans="15:35" x14ac:dyDescent="0.2">
      <c r="O84" s="100"/>
      <c r="P84" s="100"/>
      <c r="Q84" s="115"/>
      <c r="R84" s="115"/>
      <c r="S84" s="115"/>
      <c r="T84" s="100"/>
      <c r="U84" s="100"/>
      <c r="V84" s="115"/>
      <c r="W84" s="115"/>
      <c r="X84" s="115"/>
      <c r="Y84" s="115"/>
      <c r="Z84" s="115"/>
      <c r="AA84" s="115"/>
      <c r="AB84" s="115"/>
      <c r="AC84" s="115"/>
      <c r="AD84" s="771"/>
      <c r="AE84" s="771"/>
      <c r="AF84" s="771"/>
      <c r="AG84" s="771"/>
      <c r="AH84" s="771"/>
      <c r="AI84" s="771"/>
    </row>
    <row r="85" spans="15:35" x14ac:dyDescent="0.2">
      <c r="O85" s="100"/>
      <c r="P85" s="100"/>
      <c r="Q85" s="115"/>
      <c r="R85" s="115"/>
      <c r="S85" s="115"/>
      <c r="T85" s="100"/>
      <c r="U85" s="100"/>
      <c r="V85" s="115"/>
      <c r="W85" s="115"/>
      <c r="X85" s="115"/>
      <c r="Y85" s="115"/>
      <c r="Z85" s="115"/>
      <c r="AA85" s="115"/>
      <c r="AB85" s="115"/>
      <c r="AC85" s="115"/>
      <c r="AD85" s="771"/>
      <c r="AE85" s="771"/>
      <c r="AF85" s="771"/>
      <c r="AG85" s="771"/>
      <c r="AH85" s="771"/>
      <c r="AI85" s="771"/>
    </row>
    <row r="86" spans="15:35" x14ac:dyDescent="0.2">
      <c r="O86" s="100"/>
      <c r="P86" s="100"/>
      <c r="Q86" s="115"/>
      <c r="R86" s="115"/>
      <c r="S86" s="115"/>
      <c r="T86" s="100"/>
      <c r="U86" s="100"/>
      <c r="V86" s="115"/>
      <c r="W86" s="115"/>
      <c r="X86" s="115"/>
      <c r="Y86" s="115"/>
      <c r="Z86" s="115"/>
      <c r="AA86" s="115"/>
      <c r="AB86" s="115"/>
      <c r="AC86" s="115"/>
      <c r="AD86" s="771"/>
      <c r="AE86" s="771"/>
      <c r="AF86" s="771"/>
      <c r="AG86" s="771"/>
      <c r="AH86" s="771"/>
      <c r="AI86" s="771"/>
    </row>
    <row r="87" spans="15:35" x14ac:dyDescent="0.2">
      <c r="O87" s="100"/>
      <c r="P87" s="100"/>
      <c r="Q87" s="115"/>
      <c r="R87" s="115"/>
      <c r="S87" s="115"/>
      <c r="T87" s="100"/>
      <c r="U87" s="100"/>
      <c r="V87" s="115"/>
      <c r="W87" s="115"/>
      <c r="X87" s="115"/>
      <c r="Y87" s="115"/>
      <c r="Z87" s="115"/>
      <c r="AA87" s="115"/>
      <c r="AB87" s="115"/>
      <c r="AC87" s="115"/>
      <c r="AD87" s="771"/>
      <c r="AE87" s="771"/>
      <c r="AF87" s="771"/>
      <c r="AG87" s="771"/>
      <c r="AH87" s="771"/>
      <c r="AI87" s="771"/>
    </row>
    <row r="88" spans="15:35" x14ac:dyDescent="0.2">
      <c r="O88" s="100"/>
      <c r="P88" s="100"/>
      <c r="Q88" s="115"/>
      <c r="R88" s="115"/>
      <c r="S88" s="115"/>
      <c r="T88" s="100"/>
      <c r="U88" s="100"/>
      <c r="V88" s="115"/>
      <c r="W88" s="115"/>
      <c r="X88" s="115"/>
      <c r="Y88" s="115"/>
      <c r="Z88" s="115"/>
      <c r="AA88" s="115"/>
      <c r="AB88" s="115"/>
      <c r="AC88" s="115"/>
      <c r="AD88" s="771"/>
      <c r="AE88" s="771"/>
      <c r="AF88" s="771"/>
      <c r="AG88" s="771"/>
      <c r="AH88" s="771"/>
      <c r="AI88" s="771"/>
    </row>
    <row r="89" spans="15:35" x14ac:dyDescent="0.2">
      <c r="O89" s="100"/>
      <c r="P89" s="100"/>
      <c r="Q89" s="115"/>
      <c r="R89" s="115"/>
      <c r="S89" s="115"/>
      <c r="T89" s="100"/>
      <c r="U89" s="100"/>
      <c r="V89" s="115"/>
      <c r="W89" s="115"/>
      <c r="X89" s="115"/>
      <c r="Y89" s="115"/>
      <c r="Z89" s="115"/>
      <c r="AA89" s="115"/>
      <c r="AB89" s="115"/>
      <c r="AC89" s="115"/>
      <c r="AD89" s="771"/>
      <c r="AE89" s="771"/>
      <c r="AF89" s="771"/>
      <c r="AG89" s="771"/>
      <c r="AH89" s="771"/>
      <c r="AI89" s="771"/>
    </row>
    <row r="90" spans="15:35" x14ac:dyDescent="0.2">
      <c r="O90" s="100"/>
      <c r="P90" s="100"/>
      <c r="Q90" s="115"/>
      <c r="R90" s="115"/>
      <c r="S90" s="115"/>
      <c r="T90" s="100"/>
      <c r="U90" s="100"/>
      <c r="V90" s="115"/>
      <c r="W90" s="115"/>
      <c r="X90" s="115"/>
      <c r="Y90" s="115"/>
      <c r="Z90" s="115"/>
      <c r="AA90" s="115"/>
      <c r="AB90" s="115"/>
      <c r="AC90" s="115"/>
      <c r="AD90" s="771"/>
      <c r="AE90" s="771"/>
      <c r="AF90" s="771"/>
      <c r="AG90" s="771"/>
      <c r="AH90" s="771"/>
      <c r="AI90" s="771"/>
    </row>
    <row r="91" spans="15:35" x14ac:dyDescent="0.2">
      <c r="O91" s="100"/>
      <c r="P91" s="100"/>
      <c r="Q91" s="115"/>
      <c r="R91" s="115"/>
      <c r="S91" s="115"/>
      <c r="T91" s="100"/>
      <c r="U91" s="100"/>
      <c r="V91" s="115"/>
      <c r="W91" s="115"/>
      <c r="X91" s="115"/>
      <c r="Y91" s="115"/>
      <c r="Z91" s="115"/>
      <c r="AA91" s="115"/>
      <c r="AB91" s="115"/>
      <c r="AC91" s="115"/>
      <c r="AD91" s="771"/>
      <c r="AE91" s="771"/>
      <c r="AF91" s="771"/>
      <c r="AG91" s="771"/>
      <c r="AH91" s="771"/>
      <c r="AI91" s="771"/>
    </row>
    <row r="92" spans="15:35" x14ac:dyDescent="0.2">
      <c r="O92" s="100"/>
      <c r="P92" s="100"/>
      <c r="Q92" s="115"/>
      <c r="R92" s="115"/>
      <c r="S92" s="115"/>
      <c r="T92" s="100"/>
      <c r="U92" s="100"/>
      <c r="V92" s="115"/>
      <c r="W92" s="115"/>
      <c r="X92" s="115"/>
      <c r="Y92" s="115"/>
      <c r="Z92" s="115"/>
      <c r="AA92" s="115"/>
      <c r="AB92" s="115"/>
      <c r="AC92" s="115"/>
      <c r="AD92" s="771"/>
      <c r="AE92" s="771"/>
      <c r="AF92" s="771"/>
      <c r="AG92" s="771"/>
      <c r="AH92" s="771"/>
      <c r="AI92" s="771"/>
    </row>
    <row r="93" spans="15:35" x14ac:dyDescent="0.2">
      <c r="O93" s="100"/>
      <c r="P93" s="100"/>
      <c r="Q93" s="115"/>
      <c r="R93" s="115"/>
      <c r="S93" s="115"/>
      <c r="T93" s="100"/>
      <c r="U93" s="100"/>
      <c r="V93" s="115"/>
      <c r="W93" s="115"/>
      <c r="X93" s="115"/>
      <c r="Y93" s="115"/>
      <c r="Z93" s="115"/>
      <c r="AA93" s="115"/>
      <c r="AB93" s="115"/>
      <c r="AC93" s="115"/>
      <c r="AD93" s="771"/>
      <c r="AE93" s="771"/>
      <c r="AF93" s="771"/>
      <c r="AG93" s="771"/>
      <c r="AH93" s="771"/>
      <c r="AI93" s="771"/>
    </row>
    <row r="94" spans="15:35" x14ac:dyDescent="0.2">
      <c r="O94" s="100"/>
      <c r="P94" s="100"/>
      <c r="Q94" s="115"/>
      <c r="R94" s="115"/>
      <c r="S94" s="115"/>
      <c r="T94" s="100"/>
      <c r="U94" s="100"/>
      <c r="V94" s="115"/>
      <c r="W94" s="115"/>
      <c r="X94" s="115"/>
      <c r="Y94" s="115"/>
      <c r="Z94" s="115"/>
      <c r="AA94" s="115"/>
      <c r="AB94" s="115"/>
      <c r="AC94" s="115"/>
      <c r="AD94" s="771"/>
      <c r="AE94" s="771"/>
      <c r="AF94" s="771"/>
      <c r="AG94" s="771"/>
      <c r="AH94" s="771"/>
      <c r="AI94" s="771"/>
    </row>
    <row r="95" spans="15:35" x14ac:dyDescent="0.2">
      <c r="O95" s="100"/>
      <c r="P95" s="100"/>
      <c r="Q95" s="115"/>
      <c r="R95" s="115"/>
      <c r="S95" s="115"/>
      <c r="T95" s="100"/>
      <c r="U95" s="100"/>
      <c r="V95" s="115"/>
      <c r="W95" s="115"/>
      <c r="X95" s="115"/>
      <c r="Y95" s="115"/>
      <c r="Z95" s="115"/>
      <c r="AA95" s="115"/>
      <c r="AB95" s="115"/>
      <c r="AC95" s="115"/>
      <c r="AD95" s="771"/>
      <c r="AE95" s="771"/>
      <c r="AF95" s="771"/>
      <c r="AG95" s="771"/>
      <c r="AH95" s="771"/>
      <c r="AI95" s="771"/>
    </row>
    <row r="96" spans="15:35" x14ac:dyDescent="0.2">
      <c r="O96" s="100"/>
      <c r="P96" s="100"/>
      <c r="Q96" s="115"/>
      <c r="R96" s="115"/>
      <c r="S96" s="115"/>
      <c r="T96" s="100"/>
      <c r="U96" s="100"/>
      <c r="V96" s="115"/>
      <c r="W96" s="115"/>
      <c r="X96" s="115"/>
      <c r="Y96" s="115"/>
      <c r="Z96" s="115"/>
      <c r="AA96" s="115"/>
      <c r="AB96" s="115"/>
      <c r="AC96" s="115"/>
      <c r="AD96" s="771"/>
      <c r="AE96" s="771"/>
      <c r="AF96" s="771"/>
      <c r="AG96" s="771"/>
      <c r="AH96" s="771"/>
      <c r="AI96" s="771"/>
    </row>
    <row r="97" spans="15:35" x14ac:dyDescent="0.2">
      <c r="O97" s="100"/>
      <c r="P97" s="100"/>
      <c r="Q97" s="115"/>
      <c r="R97" s="115"/>
      <c r="S97" s="115"/>
      <c r="T97" s="100"/>
      <c r="U97" s="100"/>
      <c r="V97" s="115"/>
      <c r="W97" s="115"/>
      <c r="X97" s="115"/>
      <c r="Y97" s="115"/>
      <c r="Z97" s="115"/>
      <c r="AA97" s="115"/>
      <c r="AB97" s="115"/>
      <c r="AC97" s="115"/>
      <c r="AD97" s="771"/>
      <c r="AE97" s="771"/>
      <c r="AF97" s="771"/>
      <c r="AG97" s="771"/>
      <c r="AH97" s="771"/>
      <c r="AI97" s="771"/>
    </row>
    <row r="98" spans="15:35" x14ac:dyDescent="0.2">
      <c r="O98" s="100"/>
      <c r="P98" s="100"/>
      <c r="Q98" s="115"/>
      <c r="R98" s="115"/>
      <c r="S98" s="115"/>
      <c r="T98" s="100"/>
      <c r="U98" s="100"/>
      <c r="V98" s="115"/>
      <c r="W98" s="115"/>
      <c r="X98" s="115"/>
      <c r="Y98" s="115"/>
      <c r="Z98" s="115"/>
      <c r="AA98" s="115"/>
      <c r="AB98" s="115"/>
      <c r="AC98" s="115"/>
      <c r="AD98" s="771"/>
      <c r="AE98" s="771"/>
      <c r="AF98" s="771"/>
      <c r="AG98" s="771"/>
      <c r="AH98" s="771"/>
      <c r="AI98" s="771"/>
    </row>
    <row r="99" spans="15:35" x14ac:dyDescent="0.2">
      <c r="O99" s="100"/>
      <c r="P99" s="100"/>
      <c r="Q99" s="115"/>
      <c r="R99" s="115"/>
      <c r="S99" s="115"/>
      <c r="T99" s="100"/>
      <c r="U99" s="100"/>
      <c r="V99" s="115"/>
      <c r="W99" s="115"/>
      <c r="X99" s="115"/>
      <c r="Y99" s="115"/>
      <c r="Z99" s="115"/>
      <c r="AA99" s="115"/>
      <c r="AB99" s="115"/>
      <c r="AC99" s="115"/>
      <c r="AD99" s="771"/>
      <c r="AE99" s="771"/>
      <c r="AF99" s="771"/>
      <c r="AG99" s="771"/>
      <c r="AH99" s="771"/>
      <c r="AI99" s="771"/>
    </row>
    <row r="100" spans="15:35" x14ac:dyDescent="0.2">
      <c r="O100" s="100"/>
      <c r="P100" s="100"/>
      <c r="Q100" s="115"/>
      <c r="R100" s="115"/>
      <c r="S100" s="115"/>
      <c r="T100" s="100"/>
      <c r="U100" s="100"/>
      <c r="V100" s="115"/>
      <c r="W100" s="115"/>
      <c r="X100" s="115"/>
      <c r="Y100" s="115"/>
      <c r="Z100" s="115"/>
      <c r="AA100" s="115"/>
      <c r="AB100" s="115"/>
      <c r="AC100" s="115"/>
      <c r="AD100" s="771"/>
      <c r="AE100" s="771"/>
      <c r="AF100" s="771"/>
      <c r="AG100" s="771"/>
      <c r="AH100" s="771"/>
      <c r="AI100" s="771"/>
    </row>
    <row r="101" spans="15:35" x14ac:dyDescent="0.2">
      <c r="O101" s="100"/>
      <c r="P101" s="100"/>
      <c r="Q101" s="115"/>
      <c r="R101" s="115"/>
      <c r="S101" s="115"/>
      <c r="T101" s="100"/>
      <c r="U101" s="100"/>
      <c r="V101" s="115"/>
      <c r="W101" s="115"/>
      <c r="X101" s="115"/>
      <c r="Y101" s="115"/>
      <c r="Z101" s="115"/>
      <c r="AA101" s="115"/>
      <c r="AB101" s="115"/>
      <c r="AC101" s="115"/>
      <c r="AD101" s="771"/>
      <c r="AE101" s="771"/>
      <c r="AF101" s="771"/>
      <c r="AG101" s="771"/>
      <c r="AH101" s="771"/>
      <c r="AI101" s="771"/>
    </row>
    <row r="102" spans="15:35" x14ac:dyDescent="0.2">
      <c r="O102" s="100"/>
      <c r="P102" s="100"/>
      <c r="Q102" s="115"/>
      <c r="R102" s="115"/>
      <c r="S102" s="115"/>
      <c r="T102" s="100"/>
      <c r="U102" s="100"/>
      <c r="V102" s="115"/>
      <c r="W102" s="115"/>
      <c r="X102" s="115"/>
      <c r="Y102" s="115"/>
      <c r="Z102" s="115"/>
      <c r="AA102" s="115"/>
      <c r="AB102" s="115"/>
      <c r="AC102" s="115"/>
      <c r="AD102" s="771"/>
      <c r="AE102" s="771"/>
      <c r="AF102" s="771"/>
      <c r="AG102" s="771"/>
      <c r="AH102" s="771"/>
      <c r="AI102" s="771"/>
    </row>
    <row r="103" spans="15:35" x14ac:dyDescent="0.2">
      <c r="O103" s="100"/>
      <c r="P103" s="100"/>
      <c r="Q103" s="115"/>
      <c r="R103" s="115"/>
      <c r="S103" s="115"/>
      <c r="T103" s="100"/>
      <c r="U103" s="100"/>
      <c r="V103" s="115"/>
      <c r="W103" s="115"/>
      <c r="X103" s="115"/>
      <c r="Y103" s="115"/>
      <c r="Z103" s="115"/>
      <c r="AA103" s="115"/>
      <c r="AB103" s="115"/>
      <c r="AC103" s="115"/>
      <c r="AD103" s="771"/>
      <c r="AE103" s="771"/>
      <c r="AF103" s="771"/>
      <c r="AG103" s="771"/>
      <c r="AH103" s="771"/>
      <c r="AI103" s="771"/>
    </row>
    <row r="104" spans="15:35" x14ac:dyDescent="0.2">
      <c r="O104" s="100"/>
      <c r="P104" s="100"/>
      <c r="Q104" s="115"/>
      <c r="R104" s="115"/>
      <c r="S104" s="115"/>
      <c r="T104" s="100"/>
      <c r="U104" s="100"/>
      <c r="V104" s="115"/>
      <c r="W104" s="115"/>
      <c r="X104" s="115"/>
      <c r="Y104" s="115"/>
      <c r="Z104" s="115"/>
      <c r="AA104" s="115"/>
      <c r="AB104" s="115"/>
      <c r="AC104" s="115"/>
      <c r="AD104" s="771"/>
      <c r="AE104" s="771"/>
      <c r="AF104" s="771"/>
      <c r="AG104" s="771"/>
      <c r="AH104" s="771"/>
      <c r="AI104" s="771"/>
    </row>
    <row r="105" spans="15:35" x14ac:dyDescent="0.2">
      <c r="O105" s="100"/>
      <c r="P105" s="100"/>
      <c r="Q105" s="115"/>
      <c r="R105" s="115"/>
      <c r="S105" s="115"/>
      <c r="T105" s="100"/>
      <c r="U105" s="100"/>
      <c r="V105" s="115"/>
      <c r="W105" s="115"/>
      <c r="X105" s="115"/>
      <c r="Y105" s="115"/>
      <c r="Z105" s="115"/>
      <c r="AA105" s="115"/>
      <c r="AB105" s="115"/>
      <c r="AC105" s="115"/>
      <c r="AD105" s="771"/>
      <c r="AE105" s="771"/>
      <c r="AF105" s="771"/>
      <c r="AG105" s="771"/>
      <c r="AH105" s="771"/>
      <c r="AI105" s="771"/>
    </row>
    <row r="106" spans="15:35" x14ac:dyDescent="0.2">
      <c r="O106" s="100"/>
      <c r="P106" s="100"/>
      <c r="Q106" s="115"/>
      <c r="R106" s="115"/>
      <c r="S106" s="115"/>
      <c r="T106" s="100"/>
      <c r="U106" s="100"/>
      <c r="V106" s="115"/>
      <c r="W106" s="115"/>
      <c r="X106" s="115"/>
      <c r="Y106" s="115"/>
      <c r="Z106" s="115"/>
      <c r="AA106" s="115"/>
      <c r="AB106" s="115"/>
      <c r="AC106" s="115"/>
      <c r="AD106" s="771"/>
      <c r="AE106" s="771"/>
      <c r="AF106" s="771"/>
      <c r="AG106" s="771"/>
      <c r="AH106" s="771"/>
      <c r="AI106" s="771"/>
    </row>
    <row r="107" spans="15:35" x14ac:dyDescent="0.2">
      <c r="O107" s="100"/>
      <c r="P107" s="100"/>
      <c r="Q107" s="115"/>
      <c r="R107" s="115"/>
      <c r="S107" s="115"/>
      <c r="T107" s="100"/>
      <c r="U107" s="100"/>
      <c r="V107" s="115"/>
      <c r="W107" s="115"/>
      <c r="X107" s="115"/>
      <c r="Y107" s="115"/>
      <c r="Z107" s="115"/>
      <c r="AA107" s="115"/>
      <c r="AB107" s="115"/>
      <c r="AC107" s="115"/>
      <c r="AD107" s="771"/>
      <c r="AE107" s="771"/>
      <c r="AF107" s="771"/>
      <c r="AG107" s="771"/>
      <c r="AH107" s="771"/>
      <c r="AI107" s="771"/>
    </row>
    <row r="108" spans="15:35" x14ac:dyDescent="0.2">
      <c r="O108" s="100"/>
      <c r="P108" s="100"/>
      <c r="Q108" s="115"/>
      <c r="R108" s="115"/>
      <c r="S108" s="115"/>
      <c r="T108" s="100"/>
      <c r="U108" s="100"/>
      <c r="V108" s="115"/>
      <c r="W108" s="115"/>
      <c r="X108" s="115"/>
      <c r="Y108" s="115"/>
      <c r="Z108" s="115"/>
      <c r="AA108" s="115"/>
      <c r="AB108" s="115"/>
      <c r="AC108" s="115"/>
      <c r="AD108" s="771"/>
      <c r="AE108" s="771"/>
      <c r="AF108" s="771"/>
      <c r="AG108" s="771"/>
      <c r="AH108" s="771"/>
      <c r="AI108" s="771"/>
    </row>
    <row r="109" spans="15:35" x14ac:dyDescent="0.2">
      <c r="O109" s="100"/>
      <c r="P109" s="100"/>
      <c r="Q109" s="115"/>
      <c r="R109" s="115"/>
      <c r="S109" s="115"/>
      <c r="T109" s="100"/>
      <c r="U109" s="100"/>
      <c r="V109" s="115"/>
      <c r="W109" s="115"/>
      <c r="X109" s="115"/>
      <c r="Y109" s="115"/>
      <c r="Z109" s="115"/>
      <c r="AA109" s="115"/>
      <c r="AB109" s="115"/>
      <c r="AC109" s="115"/>
      <c r="AD109" s="771"/>
      <c r="AE109" s="771"/>
      <c r="AF109" s="771"/>
      <c r="AG109" s="771"/>
      <c r="AH109" s="771"/>
      <c r="AI109" s="771"/>
    </row>
    <row r="110" spans="15:35" x14ac:dyDescent="0.2">
      <c r="O110" s="100"/>
      <c r="P110" s="100"/>
      <c r="Q110" s="115"/>
      <c r="R110" s="115"/>
      <c r="S110" s="115"/>
      <c r="T110" s="100"/>
      <c r="U110" s="100"/>
      <c r="V110" s="115"/>
      <c r="W110" s="115"/>
      <c r="X110" s="115"/>
      <c r="Y110" s="115"/>
      <c r="Z110" s="115"/>
      <c r="AA110" s="115"/>
      <c r="AB110" s="115"/>
      <c r="AC110" s="115"/>
      <c r="AD110" s="771"/>
      <c r="AE110" s="771"/>
      <c r="AF110" s="771"/>
      <c r="AG110" s="771"/>
      <c r="AH110" s="771"/>
      <c r="AI110" s="771"/>
    </row>
    <row r="111" spans="15:35" x14ac:dyDescent="0.2">
      <c r="O111" s="100"/>
      <c r="P111" s="100"/>
      <c r="Q111" s="115"/>
      <c r="R111" s="115"/>
      <c r="S111" s="115"/>
      <c r="T111" s="100"/>
      <c r="U111" s="100"/>
      <c r="V111" s="115"/>
      <c r="W111" s="115"/>
      <c r="X111" s="115"/>
      <c r="Y111" s="115"/>
      <c r="Z111" s="115"/>
      <c r="AA111" s="115"/>
      <c r="AB111" s="115"/>
      <c r="AC111" s="115"/>
      <c r="AD111" s="771"/>
      <c r="AE111" s="771"/>
      <c r="AF111" s="771"/>
      <c r="AG111" s="771"/>
      <c r="AH111" s="771"/>
      <c r="AI111" s="771"/>
    </row>
    <row r="112" spans="15:35" x14ac:dyDescent="0.2">
      <c r="O112" s="100"/>
      <c r="P112" s="100"/>
      <c r="Q112" s="115"/>
      <c r="R112" s="115"/>
      <c r="S112" s="115"/>
      <c r="T112" s="100"/>
      <c r="U112" s="100"/>
      <c r="V112" s="115"/>
      <c r="W112" s="115"/>
      <c r="X112" s="115"/>
      <c r="Y112" s="115"/>
      <c r="Z112" s="115"/>
      <c r="AA112" s="115"/>
      <c r="AB112" s="115"/>
      <c r="AC112" s="115"/>
      <c r="AD112" s="771"/>
      <c r="AE112" s="771"/>
      <c r="AF112" s="771"/>
      <c r="AG112" s="771"/>
      <c r="AH112" s="771"/>
      <c r="AI112" s="771"/>
    </row>
    <row r="113" spans="15:35" x14ac:dyDescent="0.2">
      <c r="O113" s="100"/>
      <c r="P113" s="100"/>
      <c r="Q113" s="115"/>
      <c r="R113" s="115"/>
      <c r="S113" s="115"/>
      <c r="T113" s="100"/>
      <c r="U113" s="100"/>
      <c r="V113" s="115"/>
      <c r="W113" s="115"/>
      <c r="X113" s="115"/>
      <c r="Y113" s="115"/>
      <c r="Z113" s="115"/>
      <c r="AA113" s="115"/>
      <c r="AB113" s="115"/>
      <c r="AC113" s="115"/>
      <c r="AD113" s="771"/>
      <c r="AE113" s="771"/>
      <c r="AF113" s="771"/>
      <c r="AG113" s="771"/>
      <c r="AH113" s="771"/>
      <c r="AI113" s="771"/>
    </row>
    <row r="114" spans="15:35" x14ac:dyDescent="0.2">
      <c r="O114" s="100"/>
      <c r="P114" s="100"/>
      <c r="Q114" s="115"/>
      <c r="R114" s="115"/>
      <c r="S114" s="115"/>
      <c r="T114" s="100"/>
      <c r="U114" s="100"/>
      <c r="V114" s="115"/>
      <c r="W114" s="115"/>
      <c r="X114" s="115"/>
      <c r="Y114" s="115"/>
      <c r="Z114" s="115"/>
      <c r="AA114" s="115"/>
      <c r="AB114" s="115"/>
      <c r="AC114" s="115"/>
      <c r="AD114" s="771"/>
      <c r="AE114" s="771"/>
      <c r="AF114" s="771"/>
      <c r="AG114" s="771"/>
      <c r="AH114" s="771"/>
      <c r="AI114" s="771"/>
    </row>
    <row r="115" spans="15:35" x14ac:dyDescent="0.2">
      <c r="O115" s="100"/>
      <c r="P115" s="100"/>
      <c r="Q115" s="115"/>
      <c r="R115" s="115"/>
      <c r="S115" s="115"/>
      <c r="T115" s="100"/>
      <c r="U115" s="100"/>
      <c r="V115" s="115"/>
      <c r="W115" s="115"/>
      <c r="X115" s="115"/>
      <c r="Y115" s="115"/>
      <c r="Z115" s="115"/>
      <c r="AA115" s="115"/>
      <c r="AB115" s="115"/>
      <c r="AC115" s="115"/>
      <c r="AD115" s="771"/>
      <c r="AE115" s="771"/>
      <c r="AF115" s="771"/>
      <c r="AG115" s="771"/>
      <c r="AH115" s="771"/>
      <c r="AI115" s="771"/>
    </row>
    <row r="116" spans="15:35" x14ac:dyDescent="0.2">
      <c r="O116" s="100"/>
      <c r="P116" s="100"/>
      <c r="Q116" s="115"/>
      <c r="R116" s="115"/>
      <c r="S116" s="115"/>
      <c r="T116" s="100"/>
      <c r="U116" s="100"/>
      <c r="V116" s="115"/>
      <c r="W116" s="115"/>
      <c r="X116" s="115"/>
      <c r="Y116" s="115"/>
      <c r="Z116" s="115"/>
      <c r="AA116" s="115"/>
      <c r="AB116" s="115"/>
      <c r="AC116" s="115"/>
      <c r="AD116" s="771"/>
      <c r="AE116" s="771"/>
      <c r="AF116" s="771"/>
      <c r="AG116" s="771"/>
      <c r="AH116" s="771"/>
      <c r="AI116" s="771"/>
    </row>
    <row r="117" spans="15:35" x14ac:dyDescent="0.2">
      <c r="O117" s="100"/>
      <c r="P117" s="100"/>
      <c r="Q117" s="115"/>
      <c r="R117" s="115"/>
      <c r="S117" s="115"/>
      <c r="T117" s="100"/>
      <c r="U117" s="100"/>
      <c r="V117" s="115"/>
      <c r="W117" s="115"/>
      <c r="X117" s="115"/>
      <c r="Y117" s="115"/>
      <c r="Z117" s="115"/>
      <c r="AA117" s="115"/>
      <c r="AB117" s="115"/>
      <c r="AC117" s="115"/>
      <c r="AD117" s="771"/>
      <c r="AE117" s="771"/>
      <c r="AF117" s="771"/>
      <c r="AG117" s="771"/>
      <c r="AH117" s="771"/>
      <c r="AI117" s="771"/>
    </row>
    <row r="118" spans="15:35" x14ac:dyDescent="0.2">
      <c r="O118" s="100"/>
      <c r="P118" s="100"/>
      <c r="Q118" s="115"/>
      <c r="R118" s="115"/>
      <c r="S118" s="115"/>
      <c r="T118" s="100"/>
      <c r="U118" s="100"/>
      <c r="V118" s="115"/>
      <c r="W118" s="115"/>
      <c r="X118" s="115"/>
      <c r="Y118" s="115"/>
      <c r="Z118" s="115"/>
      <c r="AA118" s="115"/>
      <c r="AB118" s="115"/>
      <c r="AC118" s="115"/>
      <c r="AD118" s="771"/>
      <c r="AE118" s="771"/>
      <c r="AF118" s="771"/>
      <c r="AG118" s="771"/>
      <c r="AH118" s="771"/>
      <c r="AI118" s="771"/>
    </row>
    <row r="119" spans="15:35" x14ac:dyDescent="0.2">
      <c r="O119" s="100"/>
      <c r="P119" s="100"/>
      <c r="Q119" s="115"/>
      <c r="R119" s="115"/>
      <c r="S119" s="115"/>
      <c r="T119" s="100"/>
      <c r="U119" s="100"/>
      <c r="V119" s="115"/>
      <c r="W119" s="115"/>
      <c r="X119" s="115"/>
      <c r="Y119" s="115"/>
      <c r="Z119" s="115"/>
      <c r="AA119" s="115"/>
      <c r="AB119" s="115"/>
      <c r="AC119" s="115"/>
      <c r="AD119" s="771"/>
      <c r="AE119" s="771"/>
      <c r="AF119" s="771"/>
      <c r="AG119" s="771"/>
      <c r="AH119" s="771"/>
      <c r="AI119" s="771"/>
    </row>
    <row r="120" spans="15:35" x14ac:dyDescent="0.2">
      <c r="O120" s="100"/>
      <c r="P120" s="100"/>
      <c r="Q120" s="115"/>
      <c r="R120" s="115"/>
      <c r="S120" s="115"/>
      <c r="T120" s="100"/>
      <c r="U120" s="100"/>
      <c r="V120" s="115"/>
      <c r="W120" s="115"/>
      <c r="X120" s="115"/>
      <c r="Y120" s="115"/>
      <c r="Z120" s="115"/>
      <c r="AA120" s="115"/>
      <c r="AB120" s="115"/>
      <c r="AC120" s="115"/>
      <c r="AD120" s="771"/>
      <c r="AE120" s="771"/>
      <c r="AF120" s="771"/>
      <c r="AG120" s="771"/>
      <c r="AH120" s="771"/>
      <c r="AI120" s="771"/>
    </row>
    <row r="121" spans="15:35" x14ac:dyDescent="0.2">
      <c r="O121" s="100"/>
      <c r="P121" s="100"/>
      <c r="Q121" s="115"/>
      <c r="R121" s="115"/>
      <c r="S121" s="115"/>
      <c r="T121" s="100"/>
      <c r="U121" s="100"/>
      <c r="V121" s="115"/>
      <c r="W121" s="115"/>
      <c r="X121" s="115"/>
      <c r="Y121" s="115"/>
      <c r="Z121" s="115"/>
      <c r="AA121" s="115"/>
      <c r="AB121" s="115"/>
      <c r="AC121" s="115"/>
      <c r="AD121" s="771"/>
      <c r="AE121" s="771"/>
      <c r="AF121" s="771"/>
      <c r="AG121" s="771"/>
      <c r="AH121" s="771"/>
      <c r="AI121" s="771"/>
    </row>
    <row r="122" spans="15:35" x14ac:dyDescent="0.2">
      <c r="O122" s="100"/>
      <c r="P122" s="100"/>
      <c r="Q122" s="115"/>
      <c r="R122" s="115"/>
      <c r="S122" s="115"/>
      <c r="T122" s="100"/>
      <c r="U122" s="100"/>
      <c r="V122" s="115"/>
      <c r="W122" s="115"/>
      <c r="X122" s="115"/>
      <c r="Y122" s="115"/>
      <c r="Z122" s="115"/>
      <c r="AA122" s="115"/>
      <c r="AB122" s="115"/>
      <c r="AC122" s="115"/>
      <c r="AD122" s="771"/>
      <c r="AE122" s="771"/>
      <c r="AF122" s="771"/>
      <c r="AG122" s="771"/>
      <c r="AH122" s="771"/>
      <c r="AI122" s="771"/>
    </row>
    <row r="123" spans="15:35" x14ac:dyDescent="0.2">
      <c r="O123" s="100"/>
      <c r="P123" s="100"/>
      <c r="Q123" s="115"/>
      <c r="R123" s="115"/>
      <c r="S123" s="115"/>
      <c r="T123" s="100"/>
      <c r="U123" s="100"/>
      <c r="V123" s="115"/>
      <c r="W123" s="115"/>
      <c r="X123" s="115"/>
      <c r="Y123" s="115"/>
      <c r="Z123" s="115"/>
      <c r="AA123" s="115"/>
      <c r="AB123" s="115"/>
      <c r="AC123" s="115"/>
      <c r="AD123" s="771"/>
      <c r="AE123" s="771"/>
      <c r="AF123" s="771"/>
      <c r="AG123" s="771"/>
      <c r="AH123" s="771"/>
      <c r="AI123" s="771"/>
    </row>
    <row r="124" spans="15:35" x14ac:dyDescent="0.2">
      <c r="O124" s="100"/>
      <c r="P124" s="100"/>
      <c r="Q124" s="115"/>
      <c r="R124" s="115"/>
      <c r="S124" s="115"/>
      <c r="T124" s="100"/>
      <c r="U124" s="100"/>
      <c r="V124" s="115"/>
      <c r="W124" s="115"/>
      <c r="X124" s="115"/>
      <c r="Y124" s="115"/>
      <c r="Z124" s="115"/>
      <c r="AA124" s="115"/>
      <c r="AB124" s="115"/>
      <c r="AC124" s="115"/>
      <c r="AD124" s="771"/>
      <c r="AE124" s="771"/>
      <c r="AF124" s="771"/>
      <c r="AG124" s="771"/>
      <c r="AH124" s="771"/>
      <c r="AI124" s="771"/>
    </row>
    <row r="125" spans="15:35" x14ac:dyDescent="0.2">
      <c r="O125" s="100"/>
      <c r="P125" s="100"/>
      <c r="Q125" s="115"/>
      <c r="R125" s="115"/>
      <c r="S125" s="115"/>
      <c r="T125" s="100"/>
      <c r="U125" s="100"/>
      <c r="V125" s="115"/>
      <c r="W125" s="115"/>
      <c r="X125" s="115"/>
      <c r="Y125" s="115"/>
      <c r="Z125" s="115"/>
      <c r="AA125" s="115"/>
      <c r="AB125" s="115"/>
      <c r="AC125" s="115"/>
      <c r="AD125" s="771"/>
      <c r="AE125" s="771"/>
      <c r="AF125" s="771"/>
      <c r="AG125" s="771"/>
      <c r="AH125" s="771"/>
      <c r="AI125" s="771"/>
    </row>
    <row r="126" spans="15:35" x14ac:dyDescent="0.2">
      <c r="O126" s="100"/>
      <c r="P126" s="100"/>
      <c r="Q126" s="115"/>
      <c r="R126" s="115"/>
      <c r="S126" s="115"/>
      <c r="T126" s="100"/>
      <c r="U126" s="100"/>
      <c r="V126" s="115"/>
      <c r="W126" s="115"/>
      <c r="X126" s="115"/>
      <c r="Y126" s="115"/>
      <c r="Z126" s="115"/>
      <c r="AA126" s="115"/>
      <c r="AB126" s="115"/>
      <c r="AC126" s="115"/>
      <c r="AD126" s="771"/>
      <c r="AE126" s="771"/>
      <c r="AF126" s="771"/>
      <c r="AG126" s="771"/>
      <c r="AH126" s="771"/>
      <c r="AI126" s="771"/>
    </row>
    <row r="127" spans="15:35" x14ac:dyDescent="0.2">
      <c r="O127" s="100"/>
      <c r="P127" s="100"/>
      <c r="Q127" s="115"/>
      <c r="R127" s="115"/>
      <c r="S127" s="115"/>
      <c r="T127" s="100"/>
      <c r="U127" s="100"/>
      <c r="V127" s="115"/>
      <c r="W127" s="115"/>
      <c r="X127" s="115"/>
      <c r="Y127" s="115"/>
      <c r="Z127" s="115"/>
      <c r="AA127" s="115"/>
      <c r="AB127" s="115"/>
      <c r="AC127" s="115"/>
      <c r="AD127" s="771"/>
      <c r="AE127" s="771"/>
      <c r="AF127" s="771"/>
      <c r="AG127" s="771"/>
      <c r="AH127" s="771"/>
      <c r="AI127" s="771"/>
    </row>
    <row r="128" spans="15:35" x14ac:dyDescent="0.2">
      <c r="O128" s="100"/>
      <c r="P128" s="100"/>
      <c r="Q128" s="115"/>
      <c r="R128" s="115"/>
      <c r="S128" s="115"/>
      <c r="T128" s="100"/>
      <c r="U128" s="100"/>
      <c r="V128" s="115"/>
      <c r="W128" s="115"/>
      <c r="X128" s="115"/>
      <c r="Y128" s="115"/>
      <c r="Z128" s="115"/>
      <c r="AA128" s="115"/>
      <c r="AB128" s="115"/>
      <c r="AC128" s="115"/>
      <c r="AD128" s="771"/>
      <c r="AE128" s="771"/>
      <c r="AF128" s="771"/>
      <c r="AG128" s="771"/>
      <c r="AH128" s="771"/>
      <c r="AI128" s="771"/>
    </row>
    <row r="129" spans="15:35" x14ac:dyDescent="0.2">
      <c r="O129" s="100"/>
      <c r="P129" s="100"/>
      <c r="Q129" s="115"/>
      <c r="R129" s="115"/>
      <c r="S129" s="115"/>
      <c r="T129" s="100"/>
      <c r="U129" s="100"/>
      <c r="V129" s="115"/>
      <c r="W129" s="115"/>
      <c r="X129" s="115"/>
      <c r="Y129" s="115"/>
      <c r="Z129" s="115"/>
      <c r="AA129" s="115"/>
      <c r="AB129" s="115"/>
      <c r="AC129" s="115"/>
      <c r="AD129" s="771"/>
      <c r="AE129" s="771"/>
      <c r="AF129" s="771"/>
      <c r="AG129" s="771"/>
      <c r="AH129" s="771"/>
      <c r="AI129" s="771"/>
    </row>
    <row r="130" spans="15:35" x14ac:dyDescent="0.2">
      <c r="O130" s="100"/>
      <c r="P130" s="100"/>
      <c r="Q130" s="115"/>
      <c r="R130" s="115"/>
      <c r="S130" s="115"/>
      <c r="T130" s="100"/>
      <c r="U130" s="100"/>
      <c r="V130" s="115"/>
      <c r="W130" s="115"/>
      <c r="X130" s="115"/>
      <c r="Y130" s="115"/>
      <c r="Z130" s="115"/>
      <c r="AA130" s="115"/>
      <c r="AB130" s="115"/>
      <c r="AC130" s="115"/>
      <c r="AD130" s="771"/>
      <c r="AE130" s="771"/>
      <c r="AF130" s="771"/>
      <c r="AG130" s="771"/>
      <c r="AH130" s="771"/>
      <c r="AI130" s="771"/>
    </row>
    <row r="131" spans="15:35" x14ac:dyDescent="0.2">
      <c r="O131" s="100"/>
      <c r="P131" s="100"/>
      <c r="Q131" s="115"/>
      <c r="R131" s="115"/>
      <c r="S131" s="115"/>
      <c r="T131" s="100"/>
      <c r="U131" s="100"/>
      <c r="V131" s="115"/>
      <c r="W131" s="115"/>
      <c r="X131" s="115"/>
      <c r="Y131" s="115"/>
      <c r="Z131" s="115"/>
      <c r="AA131" s="115"/>
      <c r="AB131" s="115"/>
      <c r="AC131" s="115"/>
      <c r="AD131" s="771"/>
      <c r="AE131" s="771"/>
      <c r="AF131" s="771"/>
      <c r="AG131" s="771"/>
      <c r="AH131" s="771"/>
      <c r="AI131" s="771"/>
    </row>
    <row r="132" spans="15:35" x14ac:dyDescent="0.2">
      <c r="O132" s="100"/>
      <c r="P132" s="100"/>
      <c r="Q132" s="115"/>
      <c r="R132" s="115"/>
      <c r="S132" s="115"/>
      <c r="T132" s="100"/>
      <c r="U132" s="100"/>
      <c r="V132" s="115"/>
      <c r="W132" s="115"/>
      <c r="X132" s="115"/>
      <c r="Y132" s="115"/>
      <c r="Z132" s="115"/>
      <c r="AA132" s="115"/>
      <c r="AB132" s="115"/>
      <c r="AC132" s="115"/>
      <c r="AD132" s="771"/>
      <c r="AE132" s="771"/>
      <c r="AF132" s="771"/>
      <c r="AG132" s="771"/>
      <c r="AH132" s="771"/>
      <c r="AI132" s="771"/>
    </row>
    <row r="133" spans="15:35" x14ac:dyDescent="0.2">
      <c r="O133" s="100"/>
      <c r="P133" s="100"/>
      <c r="Q133" s="115"/>
      <c r="R133" s="115"/>
      <c r="S133" s="115"/>
      <c r="T133" s="100"/>
      <c r="U133" s="100"/>
      <c r="V133" s="115"/>
      <c r="W133" s="115"/>
      <c r="X133" s="115"/>
      <c r="Y133" s="115"/>
      <c r="Z133" s="115"/>
      <c r="AA133" s="115"/>
      <c r="AB133" s="115"/>
      <c r="AC133" s="115"/>
      <c r="AD133" s="771"/>
      <c r="AE133" s="771"/>
      <c r="AF133" s="771"/>
      <c r="AG133" s="771"/>
      <c r="AH133" s="771"/>
      <c r="AI133" s="771"/>
    </row>
    <row r="134" spans="15:35" x14ac:dyDescent="0.2">
      <c r="O134" s="100"/>
      <c r="P134" s="100"/>
      <c r="Q134" s="115"/>
      <c r="R134" s="115"/>
      <c r="S134" s="115"/>
      <c r="T134" s="100"/>
      <c r="U134" s="100"/>
      <c r="V134" s="115"/>
      <c r="W134" s="115"/>
      <c r="X134" s="115"/>
      <c r="Y134" s="115"/>
      <c r="Z134" s="115"/>
      <c r="AA134" s="115"/>
      <c r="AB134" s="115"/>
      <c r="AC134" s="115"/>
      <c r="AD134" s="771"/>
      <c r="AE134" s="771"/>
      <c r="AF134" s="771"/>
      <c r="AG134" s="771"/>
      <c r="AH134" s="771"/>
      <c r="AI134" s="771"/>
    </row>
    <row r="135" spans="15:35" x14ac:dyDescent="0.2">
      <c r="O135" s="100"/>
      <c r="P135" s="100"/>
      <c r="Q135" s="115"/>
      <c r="R135" s="115"/>
      <c r="S135" s="115"/>
      <c r="T135" s="100"/>
      <c r="U135" s="100"/>
      <c r="V135" s="115"/>
      <c r="W135" s="115"/>
      <c r="X135" s="115"/>
      <c r="Y135" s="115"/>
      <c r="Z135" s="115"/>
      <c r="AA135" s="115"/>
      <c r="AB135" s="115"/>
      <c r="AC135" s="115"/>
      <c r="AD135" s="771"/>
      <c r="AE135" s="771"/>
      <c r="AF135" s="771"/>
      <c r="AG135" s="771"/>
      <c r="AH135" s="771"/>
      <c r="AI135" s="771"/>
    </row>
    <row r="136" spans="15:35" x14ac:dyDescent="0.2">
      <c r="O136" s="100"/>
      <c r="P136" s="100"/>
      <c r="Q136" s="115"/>
      <c r="R136" s="115"/>
      <c r="S136" s="115"/>
      <c r="T136" s="100"/>
      <c r="U136" s="100"/>
      <c r="V136" s="115"/>
      <c r="W136" s="115"/>
      <c r="X136" s="115"/>
      <c r="Y136" s="115"/>
      <c r="Z136" s="115"/>
      <c r="AA136" s="115"/>
      <c r="AB136" s="115"/>
      <c r="AC136" s="115"/>
      <c r="AD136" s="771"/>
      <c r="AE136" s="771"/>
      <c r="AF136" s="771"/>
      <c r="AG136" s="771"/>
      <c r="AH136" s="771"/>
      <c r="AI136" s="771"/>
    </row>
    <row r="137" spans="15:35" x14ac:dyDescent="0.2">
      <c r="O137" s="100"/>
      <c r="P137" s="100"/>
      <c r="Q137" s="115"/>
      <c r="R137" s="115"/>
      <c r="S137" s="115"/>
      <c r="T137" s="100"/>
      <c r="U137" s="100"/>
      <c r="V137" s="115"/>
      <c r="W137" s="115"/>
      <c r="X137" s="115"/>
      <c r="Y137" s="115"/>
      <c r="Z137" s="115"/>
      <c r="AA137" s="115"/>
      <c r="AB137" s="115"/>
      <c r="AC137" s="115"/>
      <c r="AD137" s="771"/>
      <c r="AE137" s="771"/>
      <c r="AF137" s="771"/>
      <c r="AG137" s="771"/>
      <c r="AH137" s="771"/>
      <c r="AI137" s="771"/>
    </row>
    <row r="138" spans="15:35" x14ac:dyDescent="0.2">
      <c r="O138" s="100"/>
      <c r="P138" s="100"/>
      <c r="Q138" s="115"/>
      <c r="R138" s="115"/>
      <c r="S138" s="115"/>
      <c r="T138" s="100"/>
      <c r="U138" s="100"/>
      <c r="V138" s="115"/>
      <c r="W138" s="115"/>
      <c r="X138" s="115"/>
      <c r="Y138" s="115"/>
      <c r="Z138" s="115"/>
      <c r="AA138" s="115"/>
      <c r="AB138" s="115"/>
      <c r="AC138" s="115"/>
      <c r="AD138" s="771"/>
      <c r="AE138" s="771"/>
      <c r="AF138" s="771"/>
      <c r="AG138" s="771"/>
      <c r="AH138" s="771"/>
      <c r="AI138" s="771"/>
    </row>
    <row r="139" spans="15:35" x14ac:dyDescent="0.2">
      <c r="O139" s="100"/>
      <c r="P139" s="100"/>
      <c r="Q139" s="115"/>
      <c r="R139" s="115"/>
      <c r="S139" s="115"/>
      <c r="T139" s="100"/>
      <c r="U139" s="100"/>
      <c r="V139" s="115"/>
      <c r="W139" s="115"/>
      <c r="X139" s="115"/>
      <c r="Y139" s="115"/>
      <c r="Z139" s="115"/>
      <c r="AA139" s="115"/>
      <c r="AB139" s="115"/>
      <c r="AC139" s="115"/>
      <c r="AD139" s="771"/>
      <c r="AE139" s="771"/>
      <c r="AF139" s="771"/>
      <c r="AG139" s="771"/>
      <c r="AH139" s="771"/>
      <c r="AI139" s="771"/>
    </row>
    <row r="140" spans="15:35" x14ac:dyDescent="0.2">
      <c r="O140" s="100"/>
      <c r="P140" s="100"/>
      <c r="Q140" s="115"/>
      <c r="R140" s="115"/>
      <c r="S140" s="115"/>
      <c r="T140" s="100"/>
      <c r="U140" s="100"/>
      <c r="V140" s="115"/>
      <c r="W140" s="115"/>
      <c r="X140" s="115"/>
      <c r="Y140" s="115"/>
      <c r="Z140" s="115"/>
      <c r="AA140" s="115"/>
      <c r="AB140" s="115"/>
      <c r="AC140" s="115"/>
      <c r="AD140" s="771"/>
      <c r="AE140" s="771"/>
      <c r="AF140" s="771"/>
      <c r="AG140" s="771"/>
      <c r="AH140" s="771"/>
      <c r="AI140" s="771"/>
    </row>
    <row r="141" spans="15:35" x14ac:dyDescent="0.2">
      <c r="O141" s="100"/>
      <c r="P141" s="100"/>
      <c r="Q141" s="115"/>
      <c r="R141" s="115"/>
      <c r="S141" s="115"/>
      <c r="T141" s="100"/>
      <c r="U141" s="100"/>
      <c r="V141" s="115"/>
      <c r="W141" s="115"/>
      <c r="X141" s="115"/>
      <c r="Y141" s="115"/>
      <c r="Z141" s="115"/>
      <c r="AA141" s="115"/>
      <c r="AB141" s="115"/>
      <c r="AC141" s="115"/>
      <c r="AD141" s="771"/>
      <c r="AE141" s="771"/>
      <c r="AF141" s="771"/>
      <c r="AG141" s="771"/>
      <c r="AH141" s="771"/>
      <c r="AI141" s="771"/>
    </row>
    <row r="142" spans="15:35" x14ac:dyDescent="0.2">
      <c r="O142" s="100"/>
      <c r="P142" s="100"/>
      <c r="Q142" s="115"/>
      <c r="R142" s="115"/>
      <c r="S142" s="115"/>
      <c r="T142" s="100"/>
      <c r="U142" s="100"/>
      <c r="V142" s="115"/>
      <c r="W142" s="115"/>
      <c r="X142" s="115"/>
      <c r="Y142" s="115"/>
      <c r="Z142" s="115"/>
      <c r="AA142" s="115"/>
      <c r="AB142" s="115"/>
      <c r="AC142" s="115"/>
      <c r="AD142" s="771"/>
      <c r="AE142" s="771"/>
      <c r="AF142" s="771"/>
      <c r="AG142" s="771"/>
      <c r="AH142" s="771"/>
      <c r="AI142" s="771"/>
    </row>
    <row r="143" spans="15:35" x14ac:dyDescent="0.2">
      <c r="O143" s="100"/>
      <c r="P143" s="100"/>
      <c r="Q143" s="115"/>
      <c r="R143" s="115"/>
      <c r="S143" s="115"/>
      <c r="T143" s="100"/>
      <c r="U143" s="100"/>
      <c r="V143" s="115"/>
      <c r="W143" s="115"/>
      <c r="X143" s="115"/>
      <c r="Y143" s="115"/>
      <c r="Z143" s="115"/>
      <c r="AA143" s="115"/>
      <c r="AB143" s="115"/>
      <c r="AC143" s="115"/>
      <c r="AD143" s="771"/>
      <c r="AE143" s="771"/>
      <c r="AF143" s="771"/>
      <c r="AG143" s="771"/>
      <c r="AH143" s="771"/>
      <c r="AI143" s="771"/>
    </row>
    <row r="144" spans="15:35" x14ac:dyDescent="0.2">
      <c r="O144" s="100"/>
      <c r="P144" s="100"/>
      <c r="Q144" s="115"/>
      <c r="R144" s="115"/>
      <c r="S144" s="115"/>
      <c r="T144" s="100"/>
      <c r="U144" s="100"/>
      <c r="V144" s="115"/>
      <c r="W144" s="115"/>
      <c r="X144" s="115"/>
      <c r="Y144" s="115"/>
      <c r="Z144" s="115"/>
      <c r="AA144" s="115"/>
      <c r="AB144" s="115"/>
      <c r="AC144" s="115"/>
      <c r="AD144" s="771"/>
      <c r="AE144" s="771"/>
      <c r="AF144" s="771"/>
      <c r="AG144" s="771"/>
      <c r="AH144" s="771"/>
      <c r="AI144" s="771"/>
    </row>
    <row r="145" spans="15:35" x14ac:dyDescent="0.2">
      <c r="O145" s="100"/>
      <c r="P145" s="100"/>
      <c r="Q145" s="115"/>
      <c r="R145" s="115"/>
      <c r="S145" s="115"/>
      <c r="T145" s="100"/>
      <c r="U145" s="100"/>
      <c r="V145" s="115"/>
      <c r="W145" s="115"/>
      <c r="X145" s="115"/>
      <c r="Y145" s="115"/>
      <c r="Z145" s="115"/>
      <c r="AA145" s="115"/>
      <c r="AB145" s="115"/>
      <c r="AC145" s="115"/>
      <c r="AD145" s="771"/>
      <c r="AE145" s="771"/>
      <c r="AF145" s="771"/>
      <c r="AG145" s="771"/>
      <c r="AH145" s="771"/>
      <c r="AI145" s="771"/>
    </row>
    <row r="146" spans="15:35" x14ac:dyDescent="0.2">
      <c r="O146" s="100"/>
      <c r="P146" s="100"/>
      <c r="Q146" s="115"/>
      <c r="R146" s="115"/>
      <c r="S146" s="115"/>
      <c r="T146" s="100"/>
      <c r="U146" s="100"/>
      <c r="V146" s="115"/>
      <c r="W146" s="115"/>
      <c r="X146" s="115"/>
      <c r="Y146" s="115"/>
      <c r="Z146" s="115"/>
      <c r="AA146" s="115"/>
      <c r="AB146" s="115"/>
      <c r="AC146" s="115"/>
      <c r="AD146" s="771"/>
      <c r="AE146" s="771"/>
      <c r="AF146" s="771"/>
      <c r="AG146" s="771"/>
      <c r="AH146" s="771"/>
      <c r="AI146" s="771"/>
    </row>
    <row r="147" spans="15:35" x14ac:dyDescent="0.2">
      <c r="O147" s="100"/>
      <c r="P147" s="100"/>
      <c r="Q147" s="115"/>
      <c r="R147" s="115"/>
      <c r="S147" s="115"/>
      <c r="T147" s="100"/>
      <c r="U147" s="100"/>
      <c r="V147" s="115"/>
      <c r="W147" s="115"/>
      <c r="X147" s="115"/>
      <c r="Y147" s="115"/>
      <c r="Z147" s="115"/>
      <c r="AA147" s="115"/>
      <c r="AB147" s="115"/>
      <c r="AC147" s="115"/>
      <c r="AD147" s="771"/>
      <c r="AE147" s="771"/>
      <c r="AF147" s="771"/>
      <c r="AG147" s="771"/>
      <c r="AH147" s="771"/>
      <c r="AI147" s="771"/>
    </row>
    <row r="148" spans="15:35" x14ac:dyDescent="0.2">
      <c r="O148" s="100"/>
      <c r="P148" s="100"/>
      <c r="Q148" s="115"/>
      <c r="R148" s="115"/>
      <c r="S148" s="115"/>
      <c r="T148" s="100"/>
      <c r="U148" s="100"/>
      <c r="V148" s="115"/>
      <c r="W148" s="115"/>
      <c r="X148" s="115"/>
      <c r="Y148" s="115"/>
      <c r="Z148" s="115"/>
      <c r="AA148" s="115"/>
      <c r="AB148" s="115"/>
      <c r="AC148" s="115"/>
      <c r="AD148" s="771"/>
      <c r="AE148" s="771"/>
      <c r="AF148" s="771"/>
      <c r="AG148" s="771"/>
      <c r="AH148" s="771"/>
      <c r="AI148" s="771"/>
    </row>
    <row r="149" spans="15:35" x14ac:dyDescent="0.2">
      <c r="O149" s="100"/>
      <c r="P149" s="100"/>
      <c r="Q149" s="115"/>
      <c r="R149" s="115"/>
      <c r="S149" s="115"/>
      <c r="T149" s="100"/>
      <c r="U149" s="100"/>
      <c r="V149" s="115"/>
      <c r="W149" s="115"/>
      <c r="X149" s="115"/>
      <c r="Y149" s="115"/>
      <c r="Z149" s="115"/>
      <c r="AA149" s="115"/>
      <c r="AB149" s="115"/>
      <c r="AC149" s="115"/>
      <c r="AD149" s="771"/>
      <c r="AE149" s="771"/>
      <c r="AF149" s="771"/>
      <c r="AG149" s="771"/>
      <c r="AH149" s="771"/>
      <c r="AI149" s="771"/>
    </row>
    <row r="150" spans="15:35" x14ac:dyDescent="0.2">
      <c r="O150" s="100"/>
      <c r="P150" s="100"/>
      <c r="Q150" s="115"/>
      <c r="R150" s="115"/>
      <c r="S150" s="115"/>
      <c r="T150" s="100"/>
      <c r="U150" s="100"/>
      <c r="V150" s="115"/>
      <c r="W150" s="115"/>
      <c r="X150" s="115"/>
      <c r="Y150" s="115"/>
      <c r="Z150" s="115"/>
      <c r="AA150" s="115"/>
      <c r="AB150" s="115"/>
      <c r="AC150" s="115"/>
      <c r="AD150" s="771"/>
      <c r="AE150" s="771"/>
      <c r="AF150" s="771"/>
      <c r="AG150" s="771"/>
      <c r="AH150" s="771"/>
      <c r="AI150" s="771"/>
    </row>
    <row r="151" spans="15:35" x14ac:dyDescent="0.2">
      <c r="O151" s="100"/>
      <c r="P151" s="100"/>
      <c r="Q151" s="115"/>
      <c r="R151" s="115"/>
      <c r="S151" s="115"/>
      <c r="T151" s="100"/>
      <c r="U151" s="100"/>
      <c r="V151" s="115"/>
      <c r="W151" s="115"/>
      <c r="X151" s="115"/>
      <c r="Y151" s="115"/>
      <c r="Z151" s="115"/>
      <c r="AA151" s="115"/>
      <c r="AB151" s="115"/>
      <c r="AC151" s="115"/>
      <c r="AD151" s="771"/>
      <c r="AE151" s="771"/>
      <c r="AF151" s="771"/>
      <c r="AG151" s="771"/>
      <c r="AH151" s="771"/>
      <c r="AI151" s="771"/>
    </row>
    <row r="152" spans="15:35" x14ac:dyDescent="0.2">
      <c r="O152" s="100"/>
      <c r="P152" s="100"/>
      <c r="Q152" s="115"/>
      <c r="R152" s="115"/>
      <c r="S152" s="115"/>
      <c r="T152" s="100"/>
      <c r="U152" s="100"/>
      <c r="V152" s="115"/>
      <c r="W152" s="115"/>
      <c r="X152" s="115"/>
      <c r="Y152" s="115"/>
      <c r="Z152" s="115"/>
      <c r="AA152" s="115"/>
      <c r="AB152" s="115"/>
      <c r="AC152" s="115"/>
      <c r="AD152" s="771"/>
      <c r="AE152" s="771"/>
      <c r="AF152" s="771"/>
      <c r="AG152" s="771"/>
      <c r="AH152" s="771"/>
      <c r="AI152" s="771"/>
    </row>
    <row r="153" spans="15:35" x14ac:dyDescent="0.2">
      <c r="O153" s="100"/>
      <c r="P153" s="100"/>
      <c r="Q153" s="115"/>
      <c r="R153" s="115"/>
      <c r="S153" s="115"/>
      <c r="T153" s="100"/>
      <c r="U153" s="100"/>
      <c r="V153" s="115"/>
      <c r="W153" s="115"/>
      <c r="X153" s="115"/>
      <c r="Y153" s="115"/>
      <c r="Z153" s="115"/>
      <c r="AA153" s="115"/>
      <c r="AB153" s="115"/>
      <c r="AC153" s="115"/>
      <c r="AD153" s="771"/>
      <c r="AE153" s="771"/>
      <c r="AF153" s="771"/>
      <c r="AG153" s="771"/>
      <c r="AH153" s="771"/>
      <c r="AI153" s="771"/>
    </row>
    <row r="154" spans="15:35" x14ac:dyDescent="0.2">
      <c r="O154" s="100"/>
      <c r="P154" s="100"/>
      <c r="Q154" s="115"/>
      <c r="R154" s="115"/>
      <c r="S154" s="115"/>
      <c r="T154" s="100"/>
      <c r="U154" s="100"/>
      <c r="V154" s="115"/>
      <c r="W154" s="115"/>
      <c r="X154" s="115"/>
      <c r="Y154" s="115"/>
      <c r="Z154" s="115"/>
      <c r="AA154" s="115"/>
      <c r="AB154" s="115"/>
      <c r="AC154" s="115"/>
      <c r="AD154" s="771"/>
      <c r="AE154" s="771"/>
      <c r="AF154" s="771"/>
      <c r="AG154" s="771"/>
      <c r="AH154" s="771"/>
      <c r="AI154" s="771"/>
    </row>
    <row r="155" spans="15:35" x14ac:dyDescent="0.2">
      <c r="O155" s="100"/>
      <c r="P155" s="100"/>
      <c r="Q155" s="115"/>
      <c r="R155" s="115"/>
      <c r="S155" s="115"/>
      <c r="T155" s="100"/>
      <c r="U155" s="100"/>
      <c r="V155" s="115"/>
      <c r="W155" s="115"/>
      <c r="X155" s="115"/>
      <c r="Y155" s="115"/>
      <c r="Z155" s="115"/>
      <c r="AA155" s="115"/>
      <c r="AB155" s="115"/>
      <c r="AC155" s="115"/>
      <c r="AD155" s="771"/>
      <c r="AE155" s="771"/>
      <c r="AF155" s="771"/>
      <c r="AG155" s="771"/>
      <c r="AH155" s="771"/>
      <c r="AI155" s="771"/>
    </row>
    <row r="156" spans="15:35" x14ac:dyDescent="0.2">
      <c r="O156" s="100"/>
      <c r="P156" s="100"/>
      <c r="Q156" s="115"/>
      <c r="R156" s="115"/>
      <c r="S156" s="115"/>
      <c r="T156" s="100"/>
      <c r="U156" s="100"/>
      <c r="V156" s="115"/>
      <c r="W156" s="115"/>
      <c r="X156" s="115"/>
      <c r="Y156" s="115"/>
      <c r="Z156" s="115"/>
      <c r="AA156" s="115"/>
      <c r="AB156" s="115"/>
      <c r="AC156" s="115"/>
      <c r="AD156" s="771"/>
      <c r="AE156" s="771"/>
      <c r="AF156" s="771"/>
      <c r="AG156" s="771"/>
      <c r="AH156" s="771"/>
      <c r="AI156" s="771"/>
    </row>
    <row r="157" spans="15:35" x14ac:dyDescent="0.2">
      <c r="O157" s="100"/>
      <c r="P157" s="100"/>
      <c r="Q157" s="115"/>
      <c r="R157" s="115"/>
      <c r="S157" s="115"/>
      <c r="T157" s="100"/>
      <c r="U157" s="100"/>
      <c r="V157" s="115"/>
      <c r="W157" s="115"/>
      <c r="X157" s="115"/>
      <c r="Y157" s="115"/>
      <c r="Z157" s="115"/>
      <c r="AA157" s="115"/>
      <c r="AB157" s="115"/>
      <c r="AC157" s="115"/>
      <c r="AD157" s="771"/>
      <c r="AE157" s="771"/>
      <c r="AF157" s="771"/>
      <c r="AG157" s="771"/>
      <c r="AH157" s="771"/>
      <c r="AI157" s="771"/>
    </row>
    <row r="158" spans="15:35" x14ac:dyDescent="0.2">
      <c r="O158" s="100"/>
      <c r="P158" s="100"/>
      <c r="Q158" s="115"/>
      <c r="R158" s="115"/>
      <c r="S158" s="115"/>
      <c r="T158" s="100"/>
      <c r="U158" s="100"/>
      <c r="V158" s="115"/>
      <c r="W158" s="115"/>
      <c r="X158" s="115"/>
      <c r="Y158" s="115"/>
      <c r="Z158" s="115"/>
      <c r="AA158" s="115"/>
      <c r="AB158" s="115"/>
      <c r="AC158" s="115"/>
      <c r="AD158" s="771"/>
      <c r="AE158" s="771"/>
      <c r="AF158" s="771"/>
      <c r="AG158" s="771"/>
      <c r="AH158" s="771"/>
      <c r="AI158" s="771"/>
    </row>
    <row r="159" spans="15:35" x14ac:dyDescent="0.2">
      <c r="O159" s="100"/>
      <c r="P159" s="100"/>
      <c r="Q159" s="115"/>
      <c r="R159" s="115"/>
      <c r="S159" s="115"/>
      <c r="T159" s="100"/>
      <c r="U159" s="100"/>
      <c r="V159" s="115"/>
      <c r="W159" s="115"/>
      <c r="X159" s="115"/>
      <c r="Y159" s="115"/>
      <c r="Z159" s="115"/>
      <c r="AA159" s="115"/>
      <c r="AB159" s="115"/>
      <c r="AC159" s="115"/>
      <c r="AD159" s="771"/>
      <c r="AE159" s="771"/>
      <c r="AF159" s="771"/>
      <c r="AG159" s="771"/>
      <c r="AH159" s="771"/>
      <c r="AI159" s="771"/>
    </row>
    <row r="160" spans="15:35" x14ac:dyDescent="0.2">
      <c r="O160" s="100"/>
      <c r="P160" s="100"/>
      <c r="Q160" s="115"/>
      <c r="R160" s="115"/>
      <c r="S160" s="115"/>
      <c r="T160" s="100"/>
      <c r="U160" s="100"/>
      <c r="V160" s="115"/>
      <c r="W160" s="115"/>
      <c r="X160" s="115"/>
      <c r="Y160" s="115"/>
      <c r="Z160" s="115"/>
      <c r="AA160" s="115"/>
      <c r="AB160" s="115"/>
      <c r="AC160" s="115"/>
      <c r="AD160" s="771"/>
      <c r="AE160" s="771"/>
      <c r="AF160" s="771"/>
      <c r="AG160" s="771"/>
      <c r="AH160" s="771"/>
      <c r="AI160" s="771"/>
    </row>
    <row r="161" spans="15:35" x14ac:dyDescent="0.2">
      <c r="O161" s="100"/>
      <c r="P161" s="100"/>
      <c r="Q161" s="115"/>
      <c r="R161" s="115"/>
      <c r="S161" s="115"/>
      <c r="T161" s="100"/>
      <c r="U161" s="100"/>
      <c r="V161" s="115"/>
      <c r="W161" s="115"/>
      <c r="X161" s="115"/>
      <c r="Y161" s="115"/>
      <c r="Z161" s="115"/>
      <c r="AA161" s="115"/>
      <c r="AB161" s="115"/>
      <c r="AC161" s="115"/>
      <c r="AD161" s="771"/>
      <c r="AE161" s="771"/>
      <c r="AF161" s="771"/>
      <c r="AG161" s="771"/>
      <c r="AH161" s="771"/>
      <c r="AI161" s="771"/>
    </row>
    <row r="162" spans="15:35" x14ac:dyDescent="0.2">
      <c r="O162" s="100"/>
      <c r="P162" s="100"/>
      <c r="Q162" s="115"/>
      <c r="R162" s="115"/>
      <c r="S162" s="115"/>
      <c r="T162" s="100"/>
      <c r="U162" s="100"/>
      <c r="V162" s="115"/>
      <c r="W162" s="115"/>
      <c r="X162" s="115"/>
      <c r="Y162" s="115"/>
      <c r="Z162" s="115"/>
      <c r="AA162" s="115"/>
      <c r="AB162" s="115"/>
      <c r="AC162" s="115"/>
      <c r="AD162" s="771"/>
      <c r="AE162" s="771"/>
      <c r="AF162" s="771"/>
      <c r="AG162" s="771"/>
      <c r="AH162" s="771"/>
      <c r="AI162" s="771"/>
    </row>
    <row r="163" spans="15:35" x14ac:dyDescent="0.2">
      <c r="O163" s="100"/>
      <c r="P163" s="100"/>
      <c r="Q163" s="115"/>
      <c r="R163" s="115"/>
      <c r="S163" s="115"/>
      <c r="T163" s="100"/>
      <c r="U163" s="100"/>
      <c r="V163" s="115"/>
      <c r="W163" s="115"/>
      <c r="X163" s="115"/>
      <c r="Y163" s="115"/>
      <c r="Z163" s="115"/>
      <c r="AA163" s="115"/>
      <c r="AB163" s="115"/>
      <c r="AC163" s="115"/>
      <c r="AD163" s="771"/>
      <c r="AE163" s="771"/>
      <c r="AF163" s="771"/>
      <c r="AG163" s="771"/>
      <c r="AH163" s="771"/>
      <c r="AI163" s="771"/>
    </row>
    <row r="164" spans="15:35" x14ac:dyDescent="0.2">
      <c r="O164" s="100"/>
      <c r="P164" s="100"/>
      <c r="Q164" s="115"/>
      <c r="R164" s="115"/>
      <c r="S164" s="115"/>
      <c r="T164" s="100"/>
      <c r="U164" s="100"/>
      <c r="V164" s="115"/>
      <c r="W164" s="115"/>
      <c r="X164" s="115"/>
      <c r="Y164" s="115"/>
      <c r="Z164" s="115"/>
      <c r="AA164" s="115"/>
      <c r="AB164" s="115"/>
      <c r="AC164" s="115"/>
      <c r="AD164" s="771"/>
      <c r="AE164" s="771"/>
      <c r="AF164" s="771"/>
      <c r="AG164" s="771"/>
      <c r="AH164" s="771"/>
      <c r="AI164" s="771"/>
    </row>
    <row r="165" spans="15:35" x14ac:dyDescent="0.2">
      <c r="O165" s="100"/>
      <c r="P165" s="100"/>
      <c r="Q165" s="115"/>
      <c r="R165" s="115"/>
      <c r="S165" s="115"/>
      <c r="T165" s="100"/>
      <c r="U165" s="100"/>
      <c r="V165" s="115"/>
      <c r="W165" s="115"/>
      <c r="X165" s="115"/>
      <c r="Y165" s="115"/>
      <c r="Z165" s="115"/>
      <c r="AA165" s="115"/>
      <c r="AB165" s="115"/>
      <c r="AC165" s="115"/>
      <c r="AD165" s="771"/>
      <c r="AE165" s="771"/>
      <c r="AF165" s="771"/>
      <c r="AG165" s="771"/>
      <c r="AH165" s="771"/>
      <c r="AI165" s="771"/>
    </row>
    <row r="166" spans="15:35" x14ac:dyDescent="0.2">
      <c r="O166" s="100"/>
      <c r="P166" s="100"/>
      <c r="Q166" s="115"/>
      <c r="R166" s="115"/>
      <c r="S166" s="115"/>
      <c r="T166" s="100"/>
      <c r="U166" s="100"/>
      <c r="V166" s="115"/>
      <c r="W166" s="115"/>
      <c r="X166" s="115"/>
      <c r="Y166" s="115"/>
      <c r="Z166" s="115"/>
      <c r="AA166" s="115"/>
      <c r="AB166" s="115"/>
      <c r="AC166" s="115"/>
      <c r="AD166" s="771"/>
      <c r="AE166" s="771"/>
      <c r="AF166" s="771"/>
      <c r="AG166" s="771"/>
      <c r="AH166" s="771"/>
      <c r="AI166" s="771"/>
    </row>
    <row r="167" spans="15:35" x14ac:dyDescent="0.2">
      <c r="O167" s="100"/>
      <c r="P167" s="100"/>
      <c r="Q167" s="115"/>
      <c r="R167" s="115"/>
      <c r="S167" s="115"/>
      <c r="T167" s="100"/>
      <c r="U167" s="100"/>
      <c r="V167" s="115"/>
      <c r="W167" s="115"/>
      <c r="X167" s="115"/>
      <c r="Y167" s="115"/>
      <c r="Z167" s="115"/>
      <c r="AA167" s="115"/>
      <c r="AB167" s="115"/>
      <c r="AC167" s="115"/>
      <c r="AD167" s="771"/>
      <c r="AE167" s="771"/>
      <c r="AF167" s="771"/>
      <c r="AG167" s="771"/>
      <c r="AH167" s="771"/>
      <c r="AI167" s="771"/>
    </row>
    <row r="168" spans="15:35" x14ac:dyDescent="0.2">
      <c r="O168" s="100"/>
      <c r="P168" s="100"/>
      <c r="Q168" s="115"/>
      <c r="R168" s="115"/>
      <c r="S168" s="115"/>
      <c r="T168" s="100"/>
      <c r="U168" s="100"/>
      <c r="V168" s="115"/>
      <c r="W168" s="115"/>
      <c r="X168" s="115"/>
      <c r="Y168" s="115"/>
      <c r="Z168" s="115"/>
      <c r="AA168" s="115"/>
      <c r="AB168" s="115"/>
      <c r="AC168" s="115"/>
      <c r="AD168" s="771"/>
      <c r="AE168" s="771"/>
      <c r="AF168" s="771"/>
      <c r="AG168" s="771"/>
      <c r="AH168" s="771"/>
      <c r="AI168" s="771"/>
    </row>
    <row r="169" spans="15:35" x14ac:dyDescent="0.2">
      <c r="O169" s="100"/>
      <c r="P169" s="100"/>
      <c r="Q169" s="115"/>
      <c r="R169" s="115"/>
      <c r="S169" s="115"/>
      <c r="T169" s="100"/>
      <c r="U169" s="100"/>
      <c r="V169" s="115"/>
      <c r="W169" s="115"/>
      <c r="X169" s="115"/>
      <c r="Y169" s="115"/>
      <c r="Z169" s="115"/>
      <c r="AA169" s="115"/>
      <c r="AB169" s="115"/>
      <c r="AC169" s="115"/>
      <c r="AD169" s="771"/>
      <c r="AE169" s="771"/>
      <c r="AF169" s="771"/>
      <c r="AG169" s="771"/>
      <c r="AH169" s="771"/>
      <c r="AI169" s="771"/>
    </row>
    <row r="170" spans="15:35" x14ac:dyDescent="0.2">
      <c r="O170" s="100"/>
      <c r="P170" s="100"/>
      <c r="Q170" s="115"/>
      <c r="R170" s="115"/>
      <c r="S170" s="115"/>
      <c r="T170" s="100"/>
      <c r="U170" s="100"/>
      <c r="V170" s="115"/>
      <c r="W170" s="115"/>
      <c r="X170" s="115"/>
      <c r="Y170" s="115"/>
      <c r="Z170" s="115"/>
      <c r="AA170" s="115"/>
      <c r="AB170" s="115"/>
      <c r="AC170" s="115"/>
      <c r="AD170" s="771"/>
      <c r="AE170" s="771"/>
      <c r="AF170" s="771"/>
      <c r="AG170" s="771"/>
      <c r="AH170" s="771"/>
      <c r="AI170" s="771"/>
    </row>
    <row r="171" spans="15:35" x14ac:dyDescent="0.2">
      <c r="O171" s="100"/>
      <c r="P171" s="100"/>
      <c r="Q171" s="115"/>
      <c r="R171" s="115"/>
      <c r="S171" s="115"/>
      <c r="T171" s="100"/>
      <c r="U171" s="100"/>
      <c r="V171" s="115"/>
      <c r="W171" s="115"/>
      <c r="X171" s="115"/>
      <c r="Y171" s="115"/>
      <c r="Z171" s="115"/>
      <c r="AA171" s="115"/>
      <c r="AB171" s="115"/>
      <c r="AC171" s="115"/>
      <c r="AD171" s="771"/>
      <c r="AE171" s="771"/>
      <c r="AF171" s="771"/>
      <c r="AG171" s="771"/>
      <c r="AH171" s="771"/>
      <c r="AI171" s="771"/>
    </row>
    <row r="172" spans="15:35" x14ac:dyDescent="0.2">
      <c r="O172" s="100"/>
      <c r="P172" s="100"/>
      <c r="Q172" s="115"/>
      <c r="R172" s="115"/>
      <c r="S172" s="115"/>
      <c r="T172" s="100"/>
      <c r="U172" s="100"/>
      <c r="V172" s="115"/>
      <c r="W172" s="115"/>
      <c r="X172" s="115"/>
      <c r="Y172" s="115"/>
      <c r="Z172" s="115"/>
      <c r="AA172" s="115"/>
      <c r="AB172" s="115"/>
      <c r="AC172" s="115"/>
      <c r="AD172" s="771"/>
      <c r="AE172" s="771"/>
      <c r="AF172" s="771"/>
      <c r="AG172" s="771"/>
      <c r="AH172" s="771"/>
      <c r="AI172" s="771"/>
    </row>
    <row r="173" spans="15:35" x14ac:dyDescent="0.2">
      <c r="O173" s="100"/>
      <c r="P173" s="100"/>
      <c r="Q173" s="115"/>
      <c r="R173" s="115"/>
      <c r="S173" s="115"/>
      <c r="T173" s="100"/>
      <c r="U173" s="100"/>
      <c r="V173" s="115"/>
      <c r="W173" s="115"/>
      <c r="X173" s="115"/>
      <c r="Y173" s="115"/>
      <c r="Z173" s="115"/>
      <c r="AA173" s="115"/>
      <c r="AB173" s="115"/>
      <c r="AC173" s="115"/>
      <c r="AD173" s="771"/>
      <c r="AE173" s="771"/>
      <c r="AF173" s="771"/>
      <c r="AG173" s="771"/>
      <c r="AH173" s="771"/>
      <c r="AI173" s="771"/>
    </row>
    <row r="174" spans="15:35" x14ac:dyDescent="0.2">
      <c r="O174" s="100"/>
      <c r="P174" s="100"/>
      <c r="Q174" s="115"/>
      <c r="R174" s="115"/>
      <c r="S174" s="115"/>
      <c r="T174" s="100"/>
      <c r="U174" s="100"/>
      <c r="V174" s="115"/>
      <c r="W174" s="115"/>
      <c r="X174" s="115"/>
      <c r="Y174" s="115"/>
      <c r="Z174" s="115"/>
      <c r="AA174" s="115"/>
      <c r="AB174" s="115"/>
      <c r="AC174" s="115"/>
      <c r="AD174" s="771"/>
      <c r="AE174" s="771"/>
      <c r="AF174" s="771"/>
      <c r="AG174" s="771"/>
      <c r="AH174" s="771"/>
      <c r="AI174" s="771"/>
    </row>
    <row r="175" spans="15:35" x14ac:dyDescent="0.2">
      <c r="O175" s="100"/>
      <c r="P175" s="100"/>
      <c r="Q175" s="115"/>
      <c r="R175" s="115"/>
      <c r="S175" s="115"/>
      <c r="T175" s="100"/>
      <c r="U175" s="100"/>
      <c r="V175" s="115"/>
      <c r="W175" s="115"/>
      <c r="X175" s="115"/>
      <c r="Y175" s="115"/>
      <c r="Z175" s="115"/>
      <c r="AA175" s="115"/>
      <c r="AB175" s="115"/>
      <c r="AC175" s="115"/>
      <c r="AD175" s="771"/>
      <c r="AE175" s="771"/>
      <c r="AF175" s="771"/>
      <c r="AG175" s="771"/>
      <c r="AH175" s="771"/>
      <c r="AI175" s="771"/>
    </row>
    <row r="176" spans="15:35" x14ac:dyDescent="0.2">
      <c r="O176" s="100"/>
      <c r="P176" s="100"/>
      <c r="Q176" s="115"/>
      <c r="R176" s="115"/>
      <c r="S176" s="115"/>
      <c r="T176" s="100"/>
      <c r="U176" s="100"/>
      <c r="V176" s="115"/>
      <c r="W176" s="115"/>
      <c r="X176" s="115"/>
      <c r="Y176" s="115"/>
      <c r="Z176" s="115"/>
      <c r="AA176" s="115"/>
      <c r="AB176" s="115"/>
      <c r="AC176" s="115"/>
      <c r="AD176" s="771"/>
      <c r="AE176" s="771"/>
      <c r="AF176" s="771"/>
      <c r="AG176" s="771"/>
      <c r="AH176" s="771"/>
      <c r="AI176" s="771"/>
    </row>
    <row r="177" spans="15:35" x14ac:dyDescent="0.2">
      <c r="O177" s="100"/>
      <c r="P177" s="100"/>
      <c r="Q177" s="115"/>
      <c r="R177" s="115"/>
      <c r="S177" s="115"/>
      <c r="T177" s="100"/>
      <c r="U177" s="100"/>
      <c r="V177" s="115"/>
      <c r="W177" s="115"/>
      <c r="X177" s="115"/>
      <c r="Y177" s="115"/>
      <c r="Z177" s="115"/>
      <c r="AA177" s="115"/>
      <c r="AB177" s="115"/>
      <c r="AC177" s="115"/>
      <c r="AD177" s="771"/>
      <c r="AE177" s="771"/>
      <c r="AF177" s="771"/>
      <c r="AG177" s="771"/>
      <c r="AH177" s="771"/>
      <c r="AI177" s="771"/>
    </row>
    <row r="178" spans="15:35" x14ac:dyDescent="0.2">
      <c r="O178" s="100"/>
      <c r="P178" s="100"/>
      <c r="Q178" s="115"/>
      <c r="R178" s="115"/>
      <c r="S178" s="115"/>
      <c r="T178" s="100"/>
      <c r="U178" s="100"/>
      <c r="V178" s="115"/>
      <c r="W178" s="115"/>
      <c r="X178" s="115"/>
      <c r="Y178" s="115"/>
      <c r="Z178" s="115"/>
      <c r="AA178" s="115"/>
      <c r="AB178" s="115"/>
      <c r="AC178" s="115"/>
      <c r="AD178" s="771"/>
      <c r="AE178" s="771"/>
      <c r="AF178" s="771"/>
      <c r="AG178" s="771"/>
      <c r="AH178" s="771"/>
      <c r="AI178" s="771"/>
    </row>
    <row r="179" spans="15:35" x14ac:dyDescent="0.2">
      <c r="O179" s="100"/>
      <c r="P179" s="100"/>
      <c r="Q179" s="115"/>
      <c r="R179" s="115"/>
      <c r="S179" s="115"/>
      <c r="T179" s="100"/>
      <c r="U179" s="100"/>
      <c r="V179" s="115"/>
      <c r="W179" s="115"/>
      <c r="X179" s="115"/>
      <c r="Y179" s="115"/>
      <c r="Z179" s="115"/>
      <c r="AA179" s="115"/>
      <c r="AB179" s="115"/>
      <c r="AC179" s="115"/>
      <c r="AD179" s="771"/>
      <c r="AE179" s="771"/>
      <c r="AF179" s="771"/>
      <c r="AG179" s="771"/>
      <c r="AH179" s="771"/>
      <c r="AI179" s="771"/>
    </row>
    <row r="180" spans="15:35" x14ac:dyDescent="0.2">
      <c r="O180" s="100"/>
      <c r="P180" s="100"/>
      <c r="Q180" s="115"/>
      <c r="R180" s="115"/>
      <c r="S180" s="115"/>
      <c r="T180" s="100"/>
      <c r="U180" s="100"/>
      <c r="V180" s="115"/>
      <c r="W180" s="115"/>
      <c r="X180" s="115"/>
      <c r="Y180" s="115"/>
      <c r="Z180" s="115"/>
      <c r="AA180" s="115"/>
      <c r="AB180" s="115"/>
      <c r="AC180" s="115"/>
      <c r="AD180" s="771"/>
      <c r="AE180" s="771"/>
      <c r="AF180" s="771"/>
      <c r="AG180" s="771"/>
      <c r="AH180" s="771"/>
      <c r="AI180" s="771"/>
    </row>
    <row r="181" spans="15:35" x14ac:dyDescent="0.2">
      <c r="O181" s="100"/>
      <c r="P181" s="100"/>
      <c r="Q181" s="115"/>
      <c r="R181" s="115"/>
      <c r="S181" s="115"/>
      <c r="T181" s="100"/>
      <c r="U181" s="100"/>
      <c r="V181" s="115"/>
      <c r="W181" s="115"/>
      <c r="X181" s="115"/>
      <c r="Y181" s="115"/>
      <c r="Z181" s="115"/>
      <c r="AA181" s="115"/>
      <c r="AB181" s="115"/>
      <c r="AC181" s="115"/>
      <c r="AD181" s="771"/>
      <c r="AE181" s="771"/>
      <c r="AF181" s="771"/>
      <c r="AG181" s="771"/>
      <c r="AH181" s="771"/>
      <c r="AI181" s="771"/>
    </row>
    <row r="182" spans="15:35" x14ac:dyDescent="0.2">
      <c r="O182" s="100"/>
      <c r="P182" s="100"/>
      <c r="Q182" s="115"/>
      <c r="R182" s="115"/>
      <c r="S182" s="115"/>
      <c r="T182" s="100"/>
      <c r="U182" s="100"/>
      <c r="V182" s="115"/>
      <c r="W182" s="115"/>
      <c r="X182" s="115"/>
      <c r="Y182" s="115"/>
      <c r="Z182" s="115"/>
      <c r="AA182" s="115"/>
      <c r="AB182" s="115"/>
      <c r="AC182" s="115"/>
      <c r="AD182" s="771"/>
      <c r="AE182" s="771"/>
      <c r="AF182" s="771"/>
      <c r="AG182" s="771"/>
      <c r="AH182" s="771"/>
      <c r="AI182" s="771"/>
    </row>
    <row r="183" spans="15:35" x14ac:dyDescent="0.2">
      <c r="O183" s="100"/>
      <c r="P183" s="100"/>
      <c r="Q183" s="115"/>
      <c r="R183" s="115"/>
      <c r="S183" s="115"/>
      <c r="T183" s="100"/>
      <c r="U183" s="100"/>
      <c r="V183" s="115"/>
      <c r="W183" s="115"/>
      <c r="X183" s="115"/>
      <c r="Y183" s="115"/>
      <c r="Z183" s="115"/>
      <c r="AA183" s="115"/>
      <c r="AB183" s="115"/>
      <c r="AC183" s="115"/>
      <c r="AD183" s="771"/>
      <c r="AE183" s="771"/>
      <c r="AF183" s="771"/>
      <c r="AG183" s="771"/>
      <c r="AH183" s="771"/>
      <c r="AI183" s="771"/>
    </row>
    <row r="184" spans="15:35" x14ac:dyDescent="0.2">
      <c r="O184" s="100"/>
      <c r="P184" s="100"/>
      <c r="Q184" s="115"/>
      <c r="R184" s="115"/>
      <c r="S184" s="115"/>
      <c r="T184" s="100"/>
      <c r="U184" s="100"/>
      <c r="V184" s="115"/>
      <c r="W184" s="115"/>
      <c r="X184" s="115"/>
      <c r="Y184" s="115"/>
      <c r="Z184" s="115"/>
      <c r="AA184" s="115"/>
      <c r="AB184" s="115"/>
      <c r="AC184" s="115"/>
      <c r="AD184" s="771"/>
      <c r="AE184" s="771"/>
      <c r="AF184" s="771"/>
      <c r="AG184" s="771"/>
      <c r="AH184" s="771"/>
      <c r="AI184" s="771"/>
    </row>
    <row r="185" spans="15:35" x14ac:dyDescent="0.2">
      <c r="O185" s="100"/>
      <c r="P185" s="100"/>
      <c r="Q185" s="115"/>
      <c r="R185" s="115"/>
      <c r="S185" s="115"/>
      <c r="T185" s="100"/>
      <c r="U185" s="100"/>
      <c r="V185" s="115"/>
      <c r="W185" s="115"/>
      <c r="X185" s="115"/>
      <c r="Y185" s="115"/>
      <c r="Z185" s="115"/>
      <c r="AA185" s="115"/>
      <c r="AB185" s="115"/>
      <c r="AC185" s="115"/>
      <c r="AD185" s="771"/>
      <c r="AE185" s="771"/>
      <c r="AF185" s="771"/>
      <c r="AG185" s="771"/>
      <c r="AH185" s="771"/>
      <c r="AI185" s="771"/>
    </row>
    <row r="186" spans="15:35" x14ac:dyDescent="0.2">
      <c r="O186" s="100"/>
      <c r="P186" s="100"/>
      <c r="Q186" s="115"/>
      <c r="R186" s="115"/>
      <c r="S186" s="115"/>
      <c r="T186" s="100"/>
      <c r="U186" s="100"/>
      <c r="V186" s="115"/>
      <c r="W186" s="115"/>
      <c r="X186" s="115"/>
      <c r="Y186" s="115"/>
      <c r="Z186" s="115"/>
      <c r="AA186" s="115"/>
      <c r="AB186" s="115"/>
      <c r="AC186" s="115"/>
      <c r="AD186" s="771"/>
      <c r="AE186" s="771"/>
      <c r="AF186" s="771"/>
      <c r="AG186" s="771"/>
      <c r="AH186" s="771"/>
      <c r="AI186" s="771"/>
    </row>
    <row r="187" spans="15:35" x14ac:dyDescent="0.2">
      <c r="O187" s="100"/>
      <c r="P187" s="100"/>
      <c r="Q187" s="115"/>
      <c r="R187" s="115"/>
      <c r="S187" s="115"/>
      <c r="T187" s="100"/>
      <c r="U187" s="100"/>
      <c r="V187" s="115"/>
      <c r="W187" s="115"/>
      <c r="X187" s="115"/>
      <c r="Y187" s="115"/>
      <c r="Z187" s="115"/>
      <c r="AA187" s="115"/>
      <c r="AB187" s="115"/>
      <c r="AC187" s="115"/>
      <c r="AD187" s="771"/>
      <c r="AE187" s="771"/>
      <c r="AF187" s="771"/>
      <c r="AG187" s="771"/>
      <c r="AH187" s="771"/>
      <c r="AI187" s="771"/>
    </row>
    <row r="188" spans="15:35" x14ac:dyDescent="0.2">
      <c r="O188" s="100"/>
      <c r="P188" s="100"/>
      <c r="Q188" s="115"/>
      <c r="R188" s="115"/>
      <c r="S188" s="115"/>
      <c r="T188" s="100"/>
      <c r="U188" s="100"/>
      <c r="V188" s="115"/>
      <c r="W188" s="115"/>
      <c r="X188" s="115"/>
      <c r="Y188" s="115"/>
      <c r="Z188" s="115"/>
      <c r="AA188" s="115"/>
      <c r="AB188" s="115"/>
      <c r="AC188" s="115"/>
      <c r="AD188" s="771"/>
      <c r="AE188" s="771"/>
      <c r="AF188" s="771"/>
      <c r="AG188" s="771"/>
      <c r="AH188" s="771"/>
      <c r="AI188" s="771"/>
    </row>
    <row r="189" spans="15:35" x14ac:dyDescent="0.2">
      <c r="O189" s="100"/>
      <c r="P189" s="100"/>
      <c r="Q189" s="115"/>
      <c r="R189" s="115"/>
      <c r="S189" s="115"/>
      <c r="T189" s="100"/>
      <c r="U189" s="100"/>
      <c r="V189" s="115"/>
      <c r="W189" s="115"/>
      <c r="X189" s="115"/>
      <c r="Y189" s="115"/>
      <c r="Z189" s="115"/>
      <c r="AA189" s="115"/>
      <c r="AB189" s="115"/>
      <c r="AC189" s="115"/>
      <c r="AD189" s="771"/>
      <c r="AE189" s="771"/>
      <c r="AF189" s="771"/>
      <c r="AG189" s="771"/>
      <c r="AH189" s="771"/>
      <c r="AI189" s="771"/>
    </row>
    <row r="190" spans="15:35" x14ac:dyDescent="0.2">
      <c r="O190" s="100"/>
      <c r="P190" s="100"/>
      <c r="Q190" s="115"/>
      <c r="R190" s="115"/>
      <c r="S190" s="115"/>
      <c r="T190" s="100"/>
      <c r="U190" s="100"/>
      <c r="V190" s="115"/>
      <c r="W190" s="115"/>
      <c r="X190" s="115"/>
      <c r="Y190" s="115"/>
      <c r="Z190" s="115"/>
      <c r="AA190" s="115"/>
      <c r="AB190" s="115"/>
      <c r="AC190" s="115"/>
      <c r="AD190" s="771"/>
      <c r="AE190" s="771"/>
      <c r="AF190" s="771"/>
      <c r="AG190" s="771"/>
      <c r="AH190" s="771"/>
      <c r="AI190" s="771"/>
    </row>
    <row r="191" spans="15:35" x14ac:dyDescent="0.2">
      <c r="O191" s="100"/>
      <c r="P191" s="100"/>
      <c r="Q191" s="115"/>
      <c r="R191" s="115"/>
      <c r="S191" s="115"/>
      <c r="T191" s="100"/>
      <c r="U191" s="100"/>
      <c r="V191" s="115"/>
      <c r="W191" s="115"/>
      <c r="X191" s="115"/>
      <c r="Y191" s="115"/>
      <c r="Z191" s="115"/>
      <c r="AA191" s="115"/>
      <c r="AB191" s="115"/>
      <c r="AC191" s="115"/>
      <c r="AD191" s="771"/>
      <c r="AE191" s="771"/>
      <c r="AF191" s="771"/>
      <c r="AG191" s="771"/>
      <c r="AH191" s="771"/>
      <c r="AI191" s="771"/>
    </row>
    <row r="192" spans="15:35" x14ac:dyDescent="0.2">
      <c r="O192" s="100"/>
      <c r="P192" s="100"/>
      <c r="Q192" s="115"/>
      <c r="R192" s="115"/>
      <c r="S192" s="115"/>
      <c r="T192" s="100"/>
      <c r="U192" s="100"/>
      <c r="V192" s="115"/>
      <c r="W192" s="115"/>
      <c r="X192" s="115"/>
      <c r="Y192" s="115"/>
      <c r="Z192" s="115"/>
      <c r="AA192" s="115"/>
      <c r="AB192" s="115"/>
      <c r="AC192" s="115"/>
      <c r="AD192" s="771"/>
      <c r="AE192" s="771"/>
      <c r="AF192" s="771"/>
      <c r="AG192" s="771"/>
      <c r="AH192" s="771"/>
      <c r="AI192" s="771"/>
    </row>
    <row r="193" spans="15:35" x14ac:dyDescent="0.2">
      <c r="O193" s="100"/>
      <c r="P193" s="100"/>
      <c r="Q193" s="115"/>
      <c r="R193" s="115"/>
      <c r="S193" s="115"/>
      <c r="T193" s="100"/>
      <c r="U193" s="100"/>
      <c r="V193" s="115"/>
      <c r="W193" s="115"/>
      <c r="X193" s="115"/>
      <c r="Y193" s="115"/>
      <c r="Z193" s="115"/>
      <c r="AA193" s="115"/>
      <c r="AB193" s="115"/>
      <c r="AC193" s="115"/>
      <c r="AD193" s="771"/>
      <c r="AE193" s="771"/>
      <c r="AF193" s="771"/>
      <c r="AG193" s="771"/>
      <c r="AH193" s="771"/>
      <c r="AI193" s="771"/>
    </row>
    <row r="194" spans="15:35" x14ac:dyDescent="0.2">
      <c r="O194" s="100"/>
      <c r="P194" s="100"/>
      <c r="Q194" s="115"/>
      <c r="R194" s="115"/>
      <c r="S194" s="115"/>
      <c r="T194" s="100"/>
      <c r="U194" s="100"/>
      <c r="V194" s="115"/>
      <c r="W194" s="115"/>
      <c r="X194" s="115"/>
      <c r="Y194" s="115"/>
      <c r="Z194" s="115"/>
      <c r="AA194" s="115"/>
      <c r="AB194" s="115"/>
      <c r="AC194" s="115"/>
      <c r="AD194" s="771"/>
      <c r="AE194" s="771"/>
      <c r="AF194" s="771"/>
      <c r="AG194" s="771"/>
      <c r="AH194" s="771"/>
      <c r="AI194" s="771"/>
    </row>
    <row r="195" spans="15:35" x14ac:dyDescent="0.2">
      <c r="O195" s="100"/>
      <c r="P195" s="100"/>
      <c r="Q195" s="115"/>
      <c r="R195" s="115"/>
      <c r="S195" s="115"/>
      <c r="T195" s="100"/>
      <c r="U195" s="100"/>
      <c r="V195" s="115"/>
      <c r="W195" s="115"/>
      <c r="X195" s="115"/>
      <c r="Y195" s="115"/>
      <c r="Z195" s="115"/>
      <c r="AA195" s="115"/>
      <c r="AB195" s="115"/>
      <c r="AC195" s="115"/>
      <c r="AD195" s="771"/>
      <c r="AE195" s="771"/>
      <c r="AF195" s="771"/>
      <c r="AG195" s="771"/>
      <c r="AH195" s="771"/>
      <c r="AI195" s="771"/>
    </row>
    <row r="196" spans="15:35" x14ac:dyDescent="0.2">
      <c r="O196" s="100"/>
      <c r="P196" s="100"/>
      <c r="Q196" s="115"/>
      <c r="R196" s="115"/>
      <c r="S196" s="115"/>
      <c r="T196" s="100"/>
      <c r="U196" s="100"/>
      <c r="V196" s="115"/>
      <c r="W196" s="115"/>
      <c r="X196" s="115"/>
      <c r="Y196" s="115"/>
      <c r="Z196" s="115"/>
      <c r="AA196" s="115"/>
      <c r="AB196" s="115"/>
      <c r="AC196" s="115"/>
      <c r="AD196" s="771"/>
      <c r="AE196" s="771"/>
      <c r="AF196" s="771"/>
      <c r="AG196" s="771"/>
      <c r="AH196" s="771"/>
      <c r="AI196" s="771"/>
    </row>
    <row r="197" spans="15:35" x14ac:dyDescent="0.2">
      <c r="O197" s="100"/>
      <c r="P197" s="100"/>
      <c r="Q197" s="115"/>
      <c r="R197" s="115"/>
      <c r="S197" s="115"/>
      <c r="T197" s="100"/>
      <c r="U197" s="100"/>
      <c r="V197" s="115"/>
      <c r="W197" s="115"/>
      <c r="X197" s="115"/>
      <c r="Y197" s="115"/>
      <c r="Z197" s="115"/>
      <c r="AA197" s="115"/>
      <c r="AB197" s="115"/>
      <c r="AC197" s="115"/>
      <c r="AD197" s="771"/>
      <c r="AE197" s="771"/>
      <c r="AF197" s="771"/>
      <c r="AG197" s="771"/>
      <c r="AH197" s="771"/>
      <c r="AI197" s="771"/>
    </row>
    <row r="198" spans="15:35" x14ac:dyDescent="0.2">
      <c r="O198" s="100"/>
      <c r="P198" s="100"/>
      <c r="Q198" s="115"/>
      <c r="R198" s="115"/>
      <c r="S198" s="115"/>
      <c r="T198" s="100"/>
      <c r="U198" s="100"/>
      <c r="V198" s="115"/>
      <c r="W198" s="115"/>
      <c r="X198" s="115"/>
      <c r="Y198" s="115"/>
      <c r="Z198" s="115"/>
      <c r="AA198" s="115"/>
      <c r="AB198" s="115"/>
      <c r="AC198" s="115"/>
      <c r="AD198" s="771"/>
      <c r="AE198" s="771"/>
      <c r="AF198" s="771"/>
      <c r="AG198" s="771"/>
      <c r="AH198" s="771"/>
      <c r="AI198" s="771"/>
    </row>
    <row r="199" spans="15:35" x14ac:dyDescent="0.2">
      <c r="O199" s="100"/>
      <c r="P199" s="100"/>
      <c r="Q199" s="115"/>
      <c r="R199" s="115"/>
      <c r="S199" s="115"/>
      <c r="T199" s="100"/>
      <c r="U199" s="100"/>
      <c r="V199" s="115"/>
      <c r="W199" s="115"/>
      <c r="X199" s="115"/>
      <c r="Y199" s="115"/>
      <c r="Z199" s="115"/>
      <c r="AA199" s="115"/>
      <c r="AB199" s="115"/>
      <c r="AC199" s="115"/>
      <c r="AD199" s="771"/>
      <c r="AE199" s="771"/>
      <c r="AF199" s="771"/>
      <c r="AG199" s="771"/>
      <c r="AH199" s="771"/>
      <c r="AI199" s="771"/>
    </row>
    <row r="200" spans="15:35" x14ac:dyDescent="0.2">
      <c r="O200" s="100"/>
      <c r="P200" s="100"/>
      <c r="Q200" s="115"/>
      <c r="R200" s="115"/>
      <c r="S200" s="115"/>
      <c r="T200" s="100"/>
      <c r="U200" s="100"/>
      <c r="V200" s="115"/>
      <c r="W200" s="115"/>
      <c r="X200" s="115"/>
      <c r="Y200" s="115"/>
      <c r="Z200" s="115"/>
      <c r="AA200" s="115"/>
      <c r="AB200" s="115"/>
      <c r="AC200" s="115"/>
      <c r="AD200" s="771"/>
      <c r="AE200" s="771"/>
      <c r="AF200" s="771"/>
      <c r="AG200" s="771"/>
      <c r="AH200" s="771"/>
      <c r="AI200" s="771"/>
    </row>
    <row r="201" spans="15:35" x14ac:dyDescent="0.2">
      <c r="O201" s="100"/>
      <c r="P201" s="100"/>
      <c r="Q201" s="115"/>
      <c r="R201" s="115"/>
      <c r="S201" s="115"/>
      <c r="T201" s="100"/>
      <c r="U201" s="100"/>
      <c r="V201" s="115"/>
      <c r="W201" s="115"/>
      <c r="X201" s="115"/>
      <c r="Y201" s="115"/>
      <c r="Z201" s="115"/>
      <c r="AA201" s="115"/>
      <c r="AB201" s="115"/>
      <c r="AC201" s="115"/>
      <c r="AD201" s="771"/>
      <c r="AE201" s="771"/>
      <c r="AF201" s="771"/>
      <c r="AG201" s="771"/>
      <c r="AH201" s="771"/>
      <c r="AI201" s="771"/>
    </row>
    <row r="202" spans="15:35" x14ac:dyDescent="0.2">
      <c r="O202" s="100"/>
      <c r="P202" s="100"/>
      <c r="Q202" s="115"/>
      <c r="R202" s="115"/>
      <c r="S202" s="115"/>
      <c r="T202" s="100"/>
      <c r="U202" s="100"/>
      <c r="V202" s="115"/>
      <c r="W202" s="115"/>
      <c r="X202" s="115"/>
      <c r="Y202" s="115"/>
      <c r="Z202" s="115"/>
      <c r="AA202" s="115"/>
      <c r="AB202" s="115"/>
      <c r="AC202" s="115"/>
      <c r="AD202" s="771"/>
      <c r="AE202" s="771"/>
      <c r="AF202" s="771"/>
      <c r="AG202" s="771"/>
      <c r="AH202" s="771"/>
      <c r="AI202" s="771"/>
    </row>
    <row r="203" spans="15:35" x14ac:dyDescent="0.2">
      <c r="O203" s="100"/>
      <c r="P203" s="100"/>
      <c r="Q203" s="115"/>
      <c r="R203" s="115"/>
      <c r="S203" s="115"/>
      <c r="T203" s="100"/>
      <c r="U203" s="100"/>
      <c r="V203" s="115"/>
      <c r="W203" s="115"/>
      <c r="X203" s="115"/>
      <c r="Y203" s="115"/>
      <c r="Z203" s="115"/>
      <c r="AA203" s="115"/>
      <c r="AB203" s="115"/>
      <c r="AC203" s="115"/>
      <c r="AD203" s="771"/>
      <c r="AE203" s="771"/>
      <c r="AF203" s="771"/>
      <c r="AG203" s="771"/>
      <c r="AH203" s="771"/>
      <c r="AI203" s="771"/>
    </row>
    <row r="204" spans="15:35" x14ac:dyDescent="0.2">
      <c r="O204" s="100"/>
      <c r="P204" s="100"/>
      <c r="Q204" s="115"/>
      <c r="R204" s="115"/>
      <c r="S204" s="115"/>
      <c r="T204" s="100"/>
      <c r="U204" s="100"/>
      <c r="V204" s="115"/>
      <c r="W204" s="115"/>
      <c r="X204" s="115"/>
      <c r="Y204" s="115"/>
      <c r="Z204" s="115"/>
      <c r="AA204" s="115"/>
      <c r="AB204" s="115"/>
      <c r="AC204" s="115"/>
      <c r="AD204" s="771"/>
      <c r="AE204" s="771"/>
      <c r="AF204" s="771"/>
      <c r="AG204" s="771"/>
      <c r="AH204" s="771"/>
      <c r="AI204" s="771"/>
    </row>
    <row r="205" spans="15:35" x14ac:dyDescent="0.2">
      <c r="O205" s="100"/>
      <c r="P205" s="100"/>
      <c r="Q205" s="115"/>
      <c r="R205" s="115"/>
      <c r="S205" s="115"/>
      <c r="T205" s="100"/>
      <c r="U205" s="100"/>
      <c r="V205" s="115"/>
      <c r="W205" s="115"/>
      <c r="X205" s="115"/>
      <c r="Y205" s="115"/>
      <c r="Z205" s="115"/>
      <c r="AA205" s="115"/>
      <c r="AB205" s="115"/>
      <c r="AC205" s="115"/>
      <c r="AD205" s="771"/>
      <c r="AE205" s="771"/>
      <c r="AF205" s="771"/>
      <c r="AG205" s="771"/>
      <c r="AH205" s="771"/>
      <c r="AI205" s="771"/>
    </row>
    <row r="206" spans="15:35" x14ac:dyDescent="0.2">
      <c r="O206" s="100"/>
      <c r="P206" s="100"/>
      <c r="Q206" s="115"/>
      <c r="R206" s="115"/>
      <c r="S206" s="115"/>
      <c r="T206" s="100"/>
      <c r="U206" s="100"/>
      <c r="V206" s="115"/>
      <c r="W206" s="115"/>
      <c r="X206" s="115"/>
      <c r="Y206" s="115"/>
      <c r="Z206" s="115"/>
      <c r="AA206" s="115"/>
      <c r="AB206" s="115"/>
      <c r="AC206" s="115"/>
      <c r="AD206" s="771"/>
      <c r="AE206" s="771"/>
      <c r="AF206" s="771"/>
      <c r="AG206" s="771"/>
      <c r="AH206" s="771"/>
      <c r="AI206" s="771"/>
    </row>
    <row r="207" spans="15:35" x14ac:dyDescent="0.2">
      <c r="O207" s="100"/>
      <c r="P207" s="100"/>
      <c r="Q207" s="115"/>
      <c r="R207" s="115"/>
      <c r="S207" s="115"/>
      <c r="T207" s="100"/>
      <c r="U207" s="100"/>
      <c r="V207" s="115"/>
      <c r="W207" s="115"/>
      <c r="X207" s="115"/>
      <c r="Y207" s="115"/>
      <c r="Z207" s="115"/>
      <c r="AA207" s="115"/>
      <c r="AB207" s="115"/>
      <c r="AC207" s="115"/>
      <c r="AD207" s="771"/>
      <c r="AE207" s="771"/>
      <c r="AF207" s="771"/>
      <c r="AG207" s="771"/>
      <c r="AH207" s="771"/>
      <c r="AI207" s="771"/>
    </row>
    <row r="208" spans="15:35" x14ac:dyDescent="0.2">
      <c r="O208" s="100"/>
      <c r="P208" s="100"/>
      <c r="Q208" s="115"/>
      <c r="R208" s="115"/>
      <c r="S208" s="115"/>
      <c r="T208" s="100"/>
      <c r="U208" s="100"/>
      <c r="V208" s="115"/>
      <c r="W208" s="115"/>
      <c r="X208" s="115"/>
      <c r="Y208" s="115"/>
      <c r="Z208" s="115"/>
      <c r="AA208" s="115"/>
      <c r="AB208" s="115"/>
      <c r="AC208" s="115"/>
      <c r="AD208" s="771"/>
      <c r="AE208" s="771"/>
      <c r="AF208" s="771"/>
      <c r="AG208" s="771"/>
      <c r="AH208" s="771"/>
      <c r="AI208" s="771"/>
    </row>
    <row r="209" spans="15:35" x14ac:dyDescent="0.2">
      <c r="O209" s="100"/>
      <c r="P209" s="100"/>
      <c r="Q209" s="115"/>
      <c r="R209" s="115"/>
      <c r="S209" s="115"/>
      <c r="T209" s="100"/>
      <c r="U209" s="100"/>
      <c r="V209" s="115"/>
      <c r="W209" s="115"/>
      <c r="X209" s="115"/>
      <c r="Y209" s="115"/>
      <c r="Z209" s="115"/>
      <c r="AA209" s="115"/>
      <c r="AB209" s="115"/>
      <c r="AC209" s="115"/>
      <c r="AD209" s="771"/>
      <c r="AE209" s="771"/>
      <c r="AF209" s="771"/>
      <c r="AG209" s="771"/>
      <c r="AH209" s="771"/>
      <c r="AI209" s="771"/>
    </row>
    <row r="210" spans="15:35" x14ac:dyDescent="0.2">
      <c r="O210" s="100"/>
      <c r="P210" s="100"/>
      <c r="Q210" s="115"/>
      <c r="R210" s="115"/>
      <c r="S210" s="115"/>
      <c r="T210" s="100"/>
      <c r="U210" s="100"/>
      <c r="V210" s="115"/>
      <c r="W210" s="115"/>
      <c r="X210" s="115"/>
      <c r="Y210" s="115"/>
      <c r="Z210" s="115"/>
      <c r="AA210" s="115"/>
      <c r="AB210" s="115"/>
      <c r="AC210" s="115"/>
      <c r="AD210" s="771"/>
      <c r="AE210" s="771"/>
      <c r="AF210" s="771"/>
      <c r="AG210" s="771"/>
      <c r="AH210" s="771"/>
      <c r="AI210" s="771"/>
    </row>
    <row r="211" spans="15:35" x14ac:dyDescent="0.2">
      <c r="O211" s="100"/>
      <c r="P211" s="100"/>
      <c r="Q211" s="115"/>
      <c r="R211" s="115"/>
      <c r="S211" s="115"/>
      <c r="T211" s="100"/>
      <c r="U211" s="100"/>
      <c r="V211" s="115"/>
      <c r="W211" s="115"/>
      <c r="X211" s="115"/>
      <c r="Y211" s="115"/>
      <c r="Z211" s="115"/>
      <c r="AA211" s="115"/>
      <c r="AB211" s="115"/>
      <c r="AC211" s="115"/>
      <c r="AD211" s="771"/>
      <c r="AE211" s="771"/>
      <c r="AF211" s="771"/>
      <c r="AG211" s="771"/>
      <c r="AH211" s="771"/>
      <c r="AI211" s="771"/>
    </row>
    <row r="212" spans="15:35" x14ac:dyDescent="0.2">
      <c r="O212" s="100"/>
      <c r="P212" s="100"/>
      <c r="Q212" s="115"/>
      <c r="R212" s="115"/>
      <c r="S212" s="115"/>
      <c r="T212" s="100"/>
      <c r="U212" s="100"/>
      <c r="V212" s="115"/>
      <c r="W212" s="115"/>
      <c r="X212" s="115"/>
      <c r="Y212" s="115"/>
      <c r="Z212" s="115"/>
      <c r="AA212" s="115"/>
      <c r="AB212" s="115"/>
      <c r="AC212" s="115"/>
      <c r="AD212" s="771"/>
      <c r="AE212" s="771"/>
      <c r="AF212" s="771"/>
      <c r="AG212" s="771"/>
      <c r="AH212" s="771"/>
      <c r="AI212" s="771"/>
    </row>
    <row r="213" spans="15:35" x14ac:dyDescent="0.2">
      <c r="O213" s="100"/>
      <c r="P213" s="100"/>
      <c r="Q213" s="115"/>
      <c r="R213" s="115"/>
      <c r="S213" s="115"/>
      <c r="T213" s="100"/>
      <c r="U213" s="100"/>
      <c r="V213" s="115"/>
      <c r="W213" s="115"/>
      <c r="X213" s="115"/>
      <c r="Y213" s="115"/>
      <c r="Z213" s="115"/>
      <c r="AA213" s="115"/>
      <c r="AB213" s="115"/>
      <c r="AC213" s="115"/>
      <c r="AD213" s="771"/>
      <c r="AE213" s="771"/>
      <c r="AF213" s="771"/>
      <c r="AG213" s="771"/>
      <c r="AH213" s="771"/>
      <c r="AI213" s="771"/>
    </row>
    <row r="214" spans="15:35" x14ac:dyDescent="0.2">
      <c r="O214" s="100"/>
      <c r="P214" s="100"/>
      <c r="Q214" s="115"/>
      <c r="R214" s="115"/>
      <c r="S214" s="115"/>
      <c r="T214" s="100"/>
      <c r="U214" s="100"/>
      <c r="V214" s="115"/>
      <c r="W214" s="115"/>
      <c r="X214" s="115"/>
      <c r="Y214" s="115"/>
      <c r="Z214" s="115"/>
      <c r="AA214" s="115"/>
      <c r="AB214" s="115"/>
      <c r="AC214" s="115"/>
      <c r="AD214" s="771"/>
      <c r="AE214" s="771"/>
      <c r="AF214" s="771"/>
      <c r="AG214" s="771"/>
      <c r="AH214" s="771"/>
      <c r="AI214" s="771"/>
    </row>
    <row r="215" spans="15:35" x14ac:dyDescent="0.2">
      <c r="O215" s="100"/>
      <c r="P215" s="100"/>
      <c r="Q215" s="115"/>
      <c r="R215" s="115"/>
      <c r="S215" s="115"/>
      <c r="T215" s="100"/>
      <c r="U215" s="100"/>
      <c r="V215" s="115"/>
      <c r="W215" s="115"/>
      <c r="X215" s="115"/>
      <c r="Y215" s="115"/>
      <c r="Z215" s="115"/>
      <c r="AA215" s="115"/>
      <c r="AB215" s="115"/>
      <c r="AC215" s="115"/>
      <c r="AD215" s="771"/>
      <c r="AE215" s="771"/>
      <c r="AF215" s="771"/>
      <c r="AG215" s="771"/>
      <c r="AH215" s="771"/>
      <c r="AI215" s="771"/>
    </row>
    <row r="216" spans="15:35" x14ac:dyDescent="0.2">
      <c r="O216" s="100"/>
      <c r="P216" s="100"/>
      <c r="Q216" s="115"/>
      <c r="R216" s="115"/>
      <c r="S216" s="115"/>
      <c r="T216" s="100"/>
      <c r="U216" s="100"/>
      <c r="V216" s="115"/>
      <c r="W216" s="115"/>
      <c r="X216" s="115"/>
      <c r="Y216" s="115"/>
      <c r="Z216" s="115"/>
      <c r="AA216" s="115"/>
      <c r="AB216" s="115"/>
      <c r="AC216" s="115"/>
      <c r="AD216" s="771"/>
      <c r="AE216" s="771"/>
      <c r="AF216" s="771"/>
      <c r="AG216" s="771"/>
      <c r="AH216" s="771"/>
      <c r="AI216" s="771"/>
    </row>
    <row r="217" spans="15:35" x14ac:dyDescent="0.2">
      <c r="O217" s="100"/>
      <c r="P217" s="100"/>
      <c r="Q217" s="115"/>
      <c r="R217" s="115"/>
      <c r="S217" s="115"/>
      <c r="T217" s="100"/>
      <c r="U217" s="100"/>
      <c r="V217" s="115"/>
      <c r="W217" s="115"/>
      <c r="X217" s="115"/>
      <c r="Y217" s="115"/>
      <c r="Z217" s="115"/>
      <c r="AA217" s="115"/>
      <c r="AB217" s="115"/>
      <c r="AC217" s="115"/>
      <c r="AD217" s="771"/>
      <c r="AE217" s="771"/>
      <c r="AF217" s="771"/>
      <c r="AG217" s="771"/>
      <c r="AH217" s="771"/>
      <c r="AI217" s="771"/>
    </row>
    <row r="218" spans="15:35" x14ac:dyDescent="0.2">
      <c r="O218" s="100"/>
      <c r="P218" s="100"/>
      <c r="Q218" s="115"/>
      <c r="R218" s="115"/>
      <c r="S218" s="115"/>
      <c r="T218" s="100"/>
      <c r="U218" s="100"/>
      <c r="V218" s="115"/>
      <c r="W218" s="115"/>
      <c r="X218" s="115"/>
      <c r="Y218" s="115"/>
      <c r="Z218" s="115"/>
      <c r="AA218" s="115"/>
      <c r="AB218" s="115"/>
      <c r="AC218" s="115"/>
      <c r="AD218" s="771"/>
      <c r="AE218" s="771"/>
      <c r="AF218" s="771"/>
      <c r="AG218" s="771"/>
      <c r="AH218" s="771"/>
      <c r="AI218" s="771"/>
    </row>
    <row r="219" spans="15:35" x14ac:dyDescent="0.2">
      <c r="O219" s="100"/>
      <c r="P219" s="100"/>
      <c r="Q219" s="115"/>
      <c r="R219" s="115"/>
      <c r="S219" s="115"/>
      <c r="T219" s="100"/>
      <c r="U219" s="100"/>
      <c r="V219" s="115"/>
      <c r="W219" s="115"/>
      <c r="X219" s="115"/>
      <c r="Y219" s="115"/>
      <c r="Z219" s="115"/>
      <c r="AA219" s="115"/>
      <c r="AB219" s="115"/>
      <c r="AC219" s="115"/>
      <c r="AD219" s="771"/>
      <c r="AE219" s="771"/>
      <c r="AF219" s="771"/>
      <c r="AG219" s="771"/>
      <c r="AH219" s="771"/>
      <c r="AI219" s="771"/>
    </row>
    <row r="220" spans="15:35" x14ac:dyDescent="0.2">
      <c r="O220" s="100"/>
      <c r="P220" s="100"/>
      <c r="Q220" s="115"/>
      <c r="R220" s="115"/>
      <c r="S220" s="115"/>
      <c r="T220" s="100"/>
      <c r="U220" s="100"/>
      <c r="V220" s="115"/>
      <c r="W220" s="115"/>
      <c r="X220" s="115"/>
      <c r="Y220" s="115"/>
      <c r="Z220" s="115"/>
      <c r="AA220" s="115"/>
      <c r="AB220" s="115"/>
      <c r="AC220" s="115"/>
      <c r="AD220" s="771"/>
      <c r="AE220" s="771"/>
      <c r="AF220" s="771"/>
      <c r="AG220" s="771"/>
      <c r="AH220" s="771"/>
      <c r="AI220" s="771"/>
    </row>
    <row r="221" spans="15:35" x14ac:dyDescent="0.2">
      <c r="O221" s="100"/>
      <c r="P221" s="100"/>
      <c r="Q221" s="115"/>
      <c r="R221" s="115"/>
      <c r="S221" s="115"/>
      <c r="T221" s="100"/>
      <c r="U221" s="100"/>
      <c r="V221" s="115"/>
      <c r="W221" s="115"/>
      <c r="X221" s="115"/>
      <c r="Y221" s="115"/>
      <c r="Z221" s="115"/>
      <c r="AA221" s="115"/>
      <c r="AB221" s="115"/>
      <c r="AC221" s="115"/>
      <c r="AD221" s="771"/>
      <c r="AE221" s="771"/>
      <c r="AF221" s="771"/>
      <c r="AG221" s="771"/>
      <c r="AH221" s="771"/>
      <c r="AI221" s="771"/>
    </row>
    <row r="222" spans="15:35" x14ac:dyDescent="0.2">
      <c r="O222" s="100"/>
      <c r="P222" s="100"/>
      <c r="Q222" s="115"/>
      <c r="R222" s="115"/>
      <c r="S222" s="115"/>
      <c r="T222" s="100"/>
      <c r="U222" s="100"/>
      <c r="V222" s="115"/>
      <c r="W222" s="115"/>
      <c r="X222" s="115"/>
      <c r="Y222" s="115"/>
      <c r="Z222" s="115"/>
      <c r="AA222" s="115"/>
      <c r="AB222" s="115"/>
      <c r="AC222" s="115"/>
      <c r="AD222" s="771"/>
      <c r="AE222" s="771"/>
      <c r="AF222" s="771"/>
      <c r="AG222" s="771"/>
      <c r="AH222" s="771"/>
      <c r="AI222" s="771"/>
    </row>
    <row r="223" spans="15:35" x14ac:dyDescent="0.2">
      <c r="O223" s="100"/>
      <c r="P223" s="100"/>
      <c r="Q223" s="115"/>
      <c r="R223" s="115"/>
      <c r="S223" s="115"/>
      <c r="T223" s="100"/>
      <c r="U223" s="100"/>
      <c r="V223" s="115"/>
      <c r="W223" s="115"/>
      <c r="X223" s="115"/>
      <c r="Y223" s="115"/>
      <c r="Z223" s="115"/>
      <c r="AA223" s="115"/>
      <c r="AB223" s="115"/>
      <c r="AC223" s="115"/>
      <c r="AD223" s="771"/>
      <c r="AE223" s="771"/>
      <c r="AF223" s="771"/>
      <c r="AG223" s="771"/>
      <c r="AH223" s="771"/>
      <c r="AI223" s="771"/>
    </row>
    <row r="224" spans="15:35" x14ac:dyDescent="0.2">
      <c r="O224" s="100"/>
      <c r="P224" s="100"/>
      <c r="Q224" s="115"/>
      <c r="R224" s="115"/>
      <c r="S224" s="115"/>
      <c r="T224" s="100"/>
      <c r="U224" s="100"/>
      <c r="V224" s="115"/>
      <c r="W224" s="115"/>
      <c r="X224" s="115"/>
      <c r="Y224" s="115"/>
      <c r="Z224" s="115"/>
      <c r="AA224" s="115"/>
      <c r="AB224" s="115"/>
      <c r="AC224" s="115"/>
      <c r="AD224" s="771"/>
      <c r="AE224" s="771"/>
      <c r="AF224" s="771"/>
      <c r="AG224" s="771"/>
      <c r="AH224" s="771"/>
      <c r="AI224" s="771"/>
    </row>
    <row r="225" spans="15:35" x14ac:dyDescent="0.2">
      <c r="O225" s="100"/>
      <c r="P225" s="100"/>
      <c r="Q225" s="115"/>
      <c r="R225" s="115"/>
      <c r="S225" s="115"/>
      <c r="T225" s="100"/>
      <c r="U225" s="100"/>
      <c r="V225" s="115"/>
      <c r="W225" s="115"/>
      <c r="X225" s="115"/>
      <c r="Y225" s="115"/>
      <c r="Z225" s="115"/>
      <c r="AA225" s="115"/>
      <c r="AB225" s="115"/>
      <c r="AC225" s="115"/>
      <c r="AD225" s="771"/>
      <c r="AE225" s="771"/>
      <c r="AF225" s="771"/>
      <c r="AG225" s="771"/>
      <c r="AH225" s="771"/>
      <c r="AI225" s="771"/>
    </row>
    <row r="226" spans="15:35" x14ac:dyDescent="0.2">
      <c r="O226" s="100"/>
      <c r="P226" s="100"/>
      <c r="Q226" s="115"/>
      <c r="R226" s="115"/>
      <c r="S226" s="115"/>
      <c r="T226" s="100"/>
      <c r="U226" s="100"/>
      <c r="V226" s="115"/>
      <c r="W226" s="115"/>
      <c r="X226" s="115"/>
      <c r="Y226" s="115"/>
      <c r="Z226" s="115"/>
      <c r="AA226" s="115"/>
      <c r="AB226" s="115"/>
      <c r="AC226" s="115"/>
      <c r="AD226" s="771"/>
      <c r="AE226" s="771"/>
      <c r="AF226" s="771"/>
      <c r="AG226" s="771"/>
      <c r="AH226" s="771"/>
      <c r="AI226" s="771"/>
    </row>
    <row r="227" spans="15:35" x14ac:dyDescent="0.2">
      <c r="O227" s="100"/>
      <c r="P227" s="100"/>
      <c r="Q227" s="115"/>
      <c r="R227" s="115"/>
      <c r="S227" s="115"/>
      <c r="T227" s="100"/>
      <c r="U227" s="100"/>
      <c r="V227" s="115"/>
      <c r="W227" s="115"/>
      <c r="X227" s="115"/>
      <c r="Y227" s="115"/>
      <c r="Z227" s="115"/>
      <c r="AA227" s="115"/>
      <c r="AB227" s="115"/>
      <c r="AC227" s="115"/>
      <c r="AD227" s="771"/>
      <c r="AE227" s="771"/>
      <c r="AF227" s="771"/>
      <c r="AG227" s="771"/>
      <c r="AH227" s="771"/>
      <c r="AI227" s="771"/>
    </row>
    <row r="228" spans="15:35" x14ac:dyDescent="0.2">
      <c r="O228" s="100"/>
      <c r="P228" s="100"/>
      <c r="Q228" s="115"/>
      <c r="R228" s="115"/>
      <c r="S228" s="115"/>
      <c r="T228" s="100"/>
      <c r="U228" s="100"/>
      <c r="V228" s="115"/>
      <c r="W228" s="115"/>
      <c r="X228" s="115"/>
      <c r="Y228" s="115"/>
      <c r="Z228" s="115"/>
      <c r="AA228" s="115"/>
      <c r="AB228" s="115"/>
      <c r="AC228" s="115"/>
      <c r="AD228" s="771"/>
      <c r="AE228" s="771"/>
      <c r="AF228" s="771"/>
      <c r="AG228" s="771"/>
      <c r="AH228" s="771"/>
      <c r="AI228" s="771"/>
    </row>
    <row r="229" spans="15:35" x14ac:dyDescent="0.2">
      <c r="O229" s="100"/>
      <c r="P229" s="100"/>
      <c r="Q229" s="115"/>
      <c r="R229" s="115"/>
      <c r="S229" s="115"/>
      <c r="T229" s="100"/>
      <c r="U229" s="100"/>
      <c r="V229" s="115"/>
      <c r="W229" s="115"/>
      <c r="X229" s="115"/>
      <c r="Y229" s="115"/>
      <c r="Z229" s="115"/>
      <c r="AA229" s="115"/>
      <c r="AB229" s="115"/>
      <c r="AC229" s="115"/>
      <c r="AD229" s="771"/>
      <c r="AE229" s="771"/>
      <c r="AF229" s="771"/>
      <c r="AG229" s="771"/>
      <c r="AH229" s="771"/>
      <c r="AI229" s="771"/>
    </row>
    <row r="230" spans="15:35" x14ac:dyDescent="0.2">
      <c r="O230" s="100"/>
      <c r="P230" s="100"/>
      <c r="Q230" s="115"/>
      <c r="R230" s="115"/>
      <c r="S230" s="115"/>
      <c r="T230" s="100"/>
      <c r="U230" s="100"/>
      <c r="V230" s="115"/>
      <c r="W230" s="115"/>
      <c r="X230" s="115"/>
      <c r="Y230" s="115"/>
      <c r="Z230" s="115"/>
      <c r="AA230" s="115"/>
      <c r="AB230" s="115"/>
      <c r="AC230" s="115"/>
      <c r="AD230" s="771"/>
      <c r="AE230" s="771"/>
      <c r="AF230" s="771"/>
      <c r="AG230" s="771"/>
      <c r="AH230" s="771"/>
      <c r="AI230" s="771"/>
    </row>
    <row r="231" spans="15:35" x14ac:dyDescent="0.2">
      <c r="O231" s="100"/>
      <c r="P231" s="100"/>
      <c r="Q231" s="115"/>
      <c r="R231" s="115"/>
      <c r="S231" s="115"/>
      <c r="T231" s="100"/>
      <c r="U231" s="100"/>
      <c r="V231" s="115"/>
      <c r="W231" s="115"/>
      <c r="X231" s="115"/>
      <c r="Y231" s="115"/>
      <c r="Z231" s="115"/>
      <c r="AA231" s="115"/>
      <c r="AB231" s="115"/>
      <c r="AC231" s="115"/>
      <c r="AD231" s="771"/>
      <c r="AE231" s="771"/>
      <c r="AF231" s="771"/>
      <c r="AG231" s="771"/>
      <c r="AH231" s="771"/>
      <c r="AI231" s="771"/>
    </row>
    <row r="232" spans="15:35" x14ac:dyDescent="0.2">
      <c r="O232" s="100"/>
      <c r="P232" s="100"/>
      <c r="Q232" s="115"/>
      <c r="R232" s="115"/>
      <c r="S232" s="115"/>
      <c r="T232" s="100"/>
      <c r="U232" s="100"/>
      <c r="V232" s="115"/>
      <c r="W232" s="115"/>
      <c r="X232" s="115"/>
      <c r="Y232" s="115"/>
      <c r="Z232" s="115"/>
      <c r="AA232" s="115"/>
      <c r="AB232" s="115"/>
      <c r="AC232" s="115"/>
      <c r="AD232" s="771"/>
      <c r="AE232" s="771"/>
      <c r="AF232" s="771"/>
      <c r="AG232" s="771"/>
      <c r="AH232" s="771"/>
      <c r="AI232" s="771"/>
    </row>
    <row r="233" spans="15:35" x14ac:dyDescent="0.2">
      <c r="O233" s="100"/>
      <c r="P233" s="100"/>
      <c r="Q233" s="115"/>
      <c r="R233" s="115"/>
      <c r="S233" s="115"/>
      <c r="T233" s="100"/>
      <c r="U233" s="100"/>
      <c r="V233" s="115"/>
      <c r="W233" s="115"/>
      <c r="X233" s="115"/>
      <c r="Y233" s="115"/>
      <c r="Z233" s="115"/>
      <c r="AA233" s="115"/>
      <c r="AB233" s="115"/>
      <c r="AC233" s="115"/>
      <c r="AD233" s="771"/>
      <c r="AE233" s="771"/>
      <c r="AF233" s="771"/>
      <c r="AG233" s="771"/>
      <c r="AH233" s="771"/>
      <c r="AI233" s="771"/>
    </row>
    <row r="234" spans="15:35" x14ac:dyDescent="0.2">
      <c r="O234" s="100"/>
      <c r="P234" s="100"/>
      <c r="Q234" s="115"/>
      <c r="R234" s="115"/>
      <c r="S234" s="115"/>
      <c r="T234" s="100"/>
      <c r="U234" s="100"/>
      <c r="V234" s="115"/>
      <c r="W234" s="115"/>
      <c r="X234" s="115"/>
      <c r="Y234" s="115"/>
      <c r="Z234" s="115"/>
      <c r="AA234" s="115"/>
      <c r="AB234" s="115"/>
      <c r="AC234" s="115"/>
      <c r="AD234" s="771"/>
      <c r="AE234" s="771"/>
      <c r="AF234" s="771"/>
      <c r="AG234" s="771"/>
      <c r="AH234" s="771"/>
      <c r="AI234" s="771"/>
    </row>
    <row r="235" spans="15:35" x14ac:dyDescent="0.2">
      <c r="O235" s="100"/>
      <c r="P235" s="100"/>
      <c r="Q235" s="115"/>
      <c r="R235" s="115"/>
      <c r="S235" s="115"/>
      <c r="T235" s="100"/>
      <c r="U235" s="100"/>
      <c r="V235" s="115"/>
      <c r="W235" s="115"/>
      <c r="X235" s="115"/>
      <c r="Y235" s="115"/>
      <c r="Z235" s="115"/>
      <c r="AA235" s="115"/>
      <c r="AB235" s="115"/>
      <c r="AC235" s="115"/>
      <c r="AD235" s="771"/>
      <c r="AE235" s="771"/>
      <c r="AF235" s="771"/>
      <c r="AG235" s="771"/>
      <c r="AH235" s="771"/>
      <c r="AI235" s="771"/>
    </row>
    <row r="236" spans="15:35" x14ac:dyDescent="0.2">
      <c r="O236" s="100"/>
      <c r="P236" s="100"/>
      <c r="Q236" s="115"/>
      <c r="R236" s="115"/>
      <c r="S236" s="115"/>
      <c r="T236" s="100"/>
      <c r="U236" s="100"/>
      <c r="V236" s="115"/>
      <c r="W236" s="115"/>
      <c r="X236" s="115"/>
      <c r="Y236" s="115"/>
      <c r="Z236" s="115"/>
      <c r="AA236" s="115"/>
      <c r="AB236" s="115"/>
      <c r="AC236" s="115"/>
      <c r="AD236" s="771"/>
      <c r="AE236" s="771"/>
      <c r="AF236" s="771"/>
      <c r="AG236" s="771"/>
      <c r="AH236" s="771"/>
      <c r="AI236" s="771"/>
    </row>
    <row r="237" spans="15:35" x14ac:dyDescent="0.2">
      <c r="O237" s="100"/>
      <c r="P237" s="100"/>
      <c r="Q237" s="115"/>
      <c r="R237" s="115"/>
      <c r="S237" s="115"/>
      <c r="T237" s="100"/>
      <c r="U237" s="100"/>
      <c r="V237" s="115"/>
      <c r="W237" s="115"/>
      <c r="X237" s="115"/>
      <c r="Y237" s="115"/>
      <c r="Z237" s="115"/>
      <c r="AA237" s="115"/>
      <c r="AB237" s="115"/>
      <c r="AC237" s="115"/>
      <c r="AD237" s="771"/>
      <c r="AE237" s="771"/>
      <c r="AF237" s="771"/>
      <c r="AG237" s="771"/>
      <c r="AH237" s="771"/>
      <c r="AI237" s="771"/>
    </row>
    <row r="238" spans="15:35" x14ac:dyDescent="0.2">
      <c r="O238" s="100"/>
      <c r="P238" s="100"/>
      <c r="Q238" s="115"/>
      <c r="R238" s="115"/>
      <c r="S238" s="115"/>
      <c r="T238" s="100"/>
      <c r="U238" s="100"/>
      <c r="V238" s="115"/>
      <c r="W238" s="115"/>
      <c r="X238" s="115"/>
      <c r="Y238" s="115"/>
      <c r="Z238" s="115"/>
      <c r="AA238" s="115"/>
      <c r="AB238" s="115"/>
      <c r="AC238" s="115"/>
      <c r="AD238" s="771"/>
      <c r="AE238" s="771"/>
      <c r="AF238" s="771"/>
      <c r="AG238" s="771"/>
      <c r="AH238" s="771"/>
      <c r="AI238" s="771"/>
    </row>
    <row r="239" spans="15:35" x14ac:dyDescent="0.2">
      <c r="O239" s="100"/>
      <c r="P239" s="100"/>
      <c r="Q239" s="115"/>
      <c r="R239" s="115"/>
      <c r="S239" s="115"/>
      <c r="T239" s="100"/>
      <c r="U239" s="100"/>
      <c r="V239" s="115"/>
      <c r="W239" s="115"/>
      <c r="X239" s="115"/>
      <c r="Y239" s="115"/>
      <c r="Z239" s="115"/>
      <c r="AA239" s="115"/>
      <c r="AB239" s="115"/>
      <c r="AC239" s="115"/>
      <c r="AD239" s="771"/>
      <c r="AE239" s="771"/>
      <c r="AF239" s="771"/>
      <c r="AG239" s="771"/>
      <c r="AH239" s="771"/>
      <c r="AI239" s="771"/>
    </row>
    <row r="240" spans="15:35" x14ac:dyDescent="0.2">
      <c r="O240" s="100"/>
      <c r="P240" s="100"/>
      <c r="Q240" s="115"/>
      <c r="R240" s="115"/>
      <c r="S240" s="115"/>
      <c r="T240" s="100"/>
      <c r="U240" s="100"/>
      <c r="V240" s="115"/>
      <c r="W240" s="115"/>
      <c r="X240" s="115"/>
      <c r="Y240" s="115"/>
      <c r="Z240" s="115"/>
      <c r="AA240" s="115"/>
      <c r="AB240" s="115"/>
      <c r="AC240" s="115"/>
      <c r="AD240" s="771"/>
      <c r="AE240" s="771"/>
      <c r="AF240" s="771"/>
      <c r="AG240" s="771"/>
      <c r="AH240" s="771"/>
      <c r="AI240" s="771"/>
    </row>
    <row r="241" spans="15:35" x14ac:dyDescent="0.2">
      <c r="O241" s="100"/>
      <c r="P241" s="100"/>
      <c r="Q241" s="115"/>
      <c r="R241" s="115"/>
      <c r="S241" s="115"/>
      <c r="T241" s="100"/>
      <c r="U241" s="100"/>
      <c r="V241" s="115"/>
      <c r="W241" s="115"/>
      <c r="X241" s="115"/>
      <c r="Y241" s="115"/>
      <c r="Z241" s="115"/>
      <c r="AA241" s="115"/>
      <c r="AB241" s="115"/>
      <c r="AC241" s="115"/>
      <c r="AD241" s="771"/>
      <c r="AE241" s="771"/>
      <c r="AF241" s="771"/>
      <c r="AG241" s="771"/>
      <c r="AH241" s="771"/>
      <c r="AI241" s="771"/>
    </row>
    <row r="242" spans="15:35" x14ac:dyDescent="0.2">
      <c r="O242" s="100"/>
      <c r="P242" s="100"/>
      <c r="Q242" s="115"/>
      <c r="R242" s="115"/>
      <c r="S242" s="115"/>
      <c r="T242" s="100"/>
      <c r="U242" s="100"/>
      <c r="V242" s="115"/>
      <c r="W242" s="115"/>
      <c r="X242" s="115"/>
      <c r="Y242" s="115"/>
      <c r="Z242" s="115"/>
      <c r="AA242" s="115"/>
      <c r="AB242" s="115"/>
      <c r="AC242" s="115"/>
      <c r="AD242" s="771"/>
      <c r="AE242" s="771"/>
      <c r="AF242" s="771"/>
      <c r="AG242" s="771"/>
      <c r="AH242" s="771"/>
      <c r="AI242" s="771"/>
    </row>
    <row r="243" spans="15:35" x14ac:dyDescent="0.2">
      <c r="O243" s="100"/>
      <c r="P243" s="100"/>
      <c r="Q243" s="115"/>
      <c r="R243" s="115"/>
      <c r="S243" s="115"/>
      <c r="T243" s="100"/>
      <c r="U243" s="100"/>
      <c r="V243" s="115"/>
      <c r="W243" s="115"/>
      <c r="X243" s="115"/>
      <c r="Y243" s="115"/>
      <c r="Z243" s="115"/>
      <c r="AA243" s="115"/>
      <c r="AB243" s="115"/>
      <c r="AC243" s="115"/>
      <c r="AD243" s="771"/>
      <c r="AE243" s="771"/>
      <c r="AF243" s="771"/>
      <c r="AG243" s="771"/>
      <c r="AH243" s="771"/>
      <c r="AI243" s="771"/>
    </row>
    <row r="244" spans="15:35" x14ac:dyDescent="0.2">
      <c r="O244" s="100"/>
      <c r="P244" s="100"/>
      <c r="Q244" s="115"/>
      <c r="R244" s="115"/>
      <c r="S244" s="115"/>
      <c r="T244" s="100"/>
      <c r="U244" s="100"/>
      <c r="V244" s="115"/>
      <c r="W244" s="115"/>
      <c r="X244" s="115"/>
      <c r="Y244" s="115"/>
      <c r="Z244" s="115"/>
      <c r="AA244" s="115"/>
      <c r="AB244" s="115"/>
      <c r="AC244" s="115"/>
      <c r="AD244" s="771"/>
      <c r="AE244" s="771"/>
      <c r="AF244" s="771"/>
      <c r="AG244" s="771"/>
      <c r="AH244" s="771"/>
      <c r="AI244" s="771"/>
    </row>
    <row r="245" spans="15:35" x14ac:dyDescent="0.2">
      <c r="O245" s="100"/>
      <c r="P245" s="100"/>
      <c r="Q245" s="115"/>
      <c r="R245" s="115"/>
      <c r="S245" s="115"/>
      <c r="T245" s="100"/>
      <c r="U245" s="100"/>
      <c r="V245" s="115"/>
      <c r="W245" s="115"/>
      <c r="X245" s="115"/>
      <c r="Y245" s="115"/>
      <c r="Z245" s="115"/>
      <c r="AA245" s="115"/>
      <c r="AB245" s="115"/>
      <c r="AC245" s="115"/>
      <c r="AD245" s="771"/>
      <c r="AE245" s="771"/>
      <c r="AF245" s="771"/>
      <c r="AG245" s="771"/>
      <c r="AH245" s="771"/>
      <c r="AI245" s="771"/>
    </row>
    <row r="246" spans="15:35" x14ac:dyDescent="0.2">
      <c r="O246" s="100"/>
      <c r="P246" s="100"/>
      <c r="Q246" s="115"/>
      <c r="R246" s="115"/>
      <c r="S246" s="115"/>
      <c r="T246" s="100"/>
      <c r="U246" s="100"/>
      <c r="V246" s="115"/>
      <c r="W246" s="115"/>
      <c r="X246" s="115"/>
      <c r="Y246" s="115"/>
      <c r="Z246" s="115"/>
      <c r="AA246" s="115"/>
      <c r="AB246" s="115"/>
      <c r="AC246" s="115"/>
      <c r="AD246" s="771"/>
      <c r="AE246" s="771"/>
      <c r="AF246" s="771"/>
      <c r="AG246" s="771"/>
      <c r="AH246" s="771"/>
      <c r="AI246" s="771"/>
    </row>
    <row r="247" spans="15:35" x14ac:dyDescent="0.2">
      <c r="O247" s="100"/>
      <c r="P247" s="100"/>
      <c r="Q247" s="115"/>
      <c r="R247" s="115"/>
      <c r="S247" s="115"/>
      <c r="T247" s="100"/>
      <c r="U247" s="100"/>
      <c r="V247" s="115"/>
      <c r="W247" s="115"/>
      <c r="X247" s="115"/>
      <c r="Y247" s="115"/>
      <c r="Z247" s="115"/>
      <c r="AA247" s="115"/>
      <c r="AB247" s="115"/>
      <c r="AC247" s="115"/>
      <c r="AD247" s="771"/>
      <c r="AE247" s="771"/>
      <c r="AF247" s="771"/>
      <c r="AG247" s="771"/>
      <c r="AH247" s="771"/>
      <c r="AI247" s="771"/>
    </row>
    <row r="248" spans="15:35" x14ac:dyDescent="0.2">
      <c r="O248" s="100"/>
      <c r="P248" s="100"/>
      <c r="Q248" s="115"/>
      <c r="R248" s="115"/>
      <c r="S248" s="115"/>
      <c r="T248" s="100"/>
      <c r="U248" s="100"/>
      <c r="V248" s="115"/>
      <c r="W248" s="115"/>
      <c r="X248" s="115"/>
      <c r="Y248" s="115"/>
      <c r="Z248" s="115"/>
      <c r="AA248" s="115"/>
      <c r="AB248" s="115"/>
      <c r="AC248" s="115"/>
      <c r="AD248" s="771"/>
      <c r="AE248" s="771"/>
      <c r="AF248" s="771"/>
      <c r="AG248" s="771"/>
      <c r="AH248" s="771"/>
      <c r="AI248" s="771"/>
    </row>
    <row r="249" spans="15:35" x14ac:dyDescent="0.2">
      <c r="O249" s="100"/>
      <c r="P249" s="100"/>
      <c r="Q249" s="115"/>
      <c r="R249" s="115"/>
      <c r="S249" s="115"/>
      <c r="T249" s="100"/>
      <c r="U249" s="100"/>
      <c r="V249" s="115"/>
      <c r="W249" s="115"/>
      <c r="X249" s="115"/>
      <c r="Y249" s="115"/>
      <c r="Z249" s="115"/>
      <c r="AA249" s="115"/>
      <c r="AB249" s="115"/>
      <c r="AC249" s="115"/>
      <c r="AD249" s="771"/>
      <c r="AE249" s="771"/>
      <c r="AF249" s="771"/>
      <c r="AG249" s="771"/>
      <c r="AH249" s="771"/>
      <c r="AI249" s="771"/>
    </row>
    <row r="250" spans="15:35" x14ac:dyDescent="0.2">
      <c r="O250" s="100"/>
      <c r="P250" s="100"/>
      <c r="Q250" s="115"/>
      <c r="R250" s="115"/>
      <c r="S250" s="115"/>
      <c r="T250" s="100"/>
      <c r="U250" s="100"/>
      <c r="V250" s="115"/>
      <c r="W250" s="115"/>
      <c r="X250" s="115"/>
      <c r="Y250" s="115"/>
      <c r="Z250" s="115"/>
      <c r="AA250" s="115"/>
      <c r="AB250" s="115"/>
      <c r="AC250" s="115"/>
      <c r="AD250" s="771"/>
      <c r="AE250" s="771"/>
      <c r="AF250" s="771"/>
      <c r="AG250" s="771"/>
      <c r="AH250" s="771"/>
      <c r="AI250" s="771"/>
    </row>
    <row r="251" spans="15:35" x14ac:dyDescent="0.2">
      <c r="O251" s="100"/>
      <c r="P251" s="100"/>
      <c r="Q251" s="115"/>
      <c r="R251" s="115"/>
      <c r="S251" s="115"/>
      <c r="T251" s="100"/>
      <c r="U251" s="100"/>
      <c r="V251" s="115"/>
      <c r="W251" s="115"/>
      <c r="X251" s="115"/>
      <c r="Y251" s="115"/>
      <c r="Z251" s="115"/>
      <c r="AA251" s="115"/>
      <c r="AB251" s="115"/>
      <c r="AC251" s="115"/>
      <c r="AD251" s="771"/>
      <c r="AE251" s="771"/>
      <c r="AF251" s="771"/>
      <c r="AG251" s="771"/>
      <c r="AH251" s="771"/>
      <c r="AI251" s="771"/>
    </row>
    <row r="252" spans="15:35" x14ac:dyDescent="0.2">
      <c r="O252" s="100"/>
      <c r="P252" s="100"/>
      <c r="Q252" s="115"/>
      <c r="R252" s="115"/>
      <c r="S252" s="115"/>
      <c r="T252" s="100"/>
      <c r="U252" s="100"/>
      <c r="V252" s="115"/>
      <c r="W252" s="115"/>
      <c r="X252" s="115"/>
      <c r="Y252" s="115"/>
      <c r="Z252" s="115"/>
      <c r="AA252" s="115"/>
      <c r="AB252" s="115"/>
      <c r="AC252" s="115"/>
      <c r="AD252" s="771"/>
      <c r="AE252" s="771"/>
      <c r="AF252" s="771"/>
      <c r="AG252" s="771"/>
      <c r="AH252" s="771"/>
      <c r="AI252" s="771"/>
    </row>
    <row r="253" spans="15:35" x14ac:dyDescent="0.2">
      <c r="O253" s="100"/>
      <c r="P253" s="100"/>
      <c r="Q253" s="115"/>
      <c r="R253" s="115"/>
      <c r="S253" s="115"/>
      <c r="T253" s="100"/>
      <c r="U253" s="100"/>
      <c r="V253" s="115"/>
      <c r="W253" s="115"/>
      <c r="X253" s="115"/>
      <c r="Y253" s="115"/>
      <c r="Z253" s="115"/>
      <c r="AA253" s="115"/>
      <c r="AB253" s="115"/>
      <c r="AC253" s="115"/>
      <c r="AD253" s="771"/>
      <c r="AE253" s="771"/>
      <c r="AF253" s="771"/>
      <c r="AG253" s="771"/>
      <c r="AH253" s="771"/>
      <c r="AI253" s="771"/>
    </row>
    <row r="254" spans="15:35" x14ac:dyDescent="0.2">
      <c r="O254" s="100"/>
      <c r="P254" s="100"/>
      <c r="Q254" s="115"/>
      <c r="R254" s="115"/>
      <c r="S254" s="115"/>
      <c r="T254" s="100"/>
      <c r="U254" s="100"/>
      <c r="V254" s="115"/>
      <c r="W254" s="115"/>
      <c r="X254" s="115"/>
      <c r="Y254" s="115"/>
      <c r="Z254" s="115"/>
      <c r="AA254" s="115"/>
      <c r="AB254" s="115"/>
      <c r="AC254" s="115"/>
      <c r="AD254" s="771"/>
      <c r="AE254" s="771"/>
      <c r="AF254" s="771"/>
      <c r="AG254" s="771"/>
      <c r="AH254" s="771"/>
      <c r="AI254" s="771"/>
    </row>
    <row r="255" spans="15:35" x14ac:dyDescent="0.2">
      <c r="O255" s="100"/>
      <c r="P255" s="100"/>
      <c r="Q255" s="115"/>
      <c r="R255" s="115"/>
      <c r="S255" s="115"/>
      <c r="T255" s="100"/>
      <c r="U255" s="100"/>
      <c r="V255" s="115"/>
      <c r="W255" s="115"/>
      <c r="X255" s="115"/>
      <c r="Y255" s="115"/>
      <c r="Z255" s="115"/>
      <c r="AA255" s="115"/>
      <c r="AB255" s="115"/>
      <c r="AC255" s="115"/>
      <c r="AD255" s="771"/>
      <c r="AE255" s="771"/>
      <c r="AF255" s="771"/>
      <c r="AG255" s="771"/>
      <c r="AH255" s="771"/>
      <c r="AI255" s="771"/>
    </row>
    <row r="256" spans="15:35" x14ac:dyDescent="0.2">
      <c r="O256" s="100"/>
      <c r="P256" s="100"/>
      <c r="Q256" s="115"/>
      <c r="R256" s="115"/>
      <c r="S256" s="115"/>
      <c r="T256" s="100"/>
      <c r="U256" s="100"/>
      <c r="V256" s="115"/>
      <c r="W256" s="115"/>
      <c r="X256" s="115"/>
      <c r="Y256" s="115"/>
      <c r="Z256" s="115"/>
      <c r="AA256" s="115"/>
      <c r="AB256" s="115"/>
      <c r="AC256" s="115"/>
      <c r="AD256" s="771"/>
      <c r="AE256" s="771"/>
      <c r="AF256" s="771"/>
      <c r="AG256" s="771"/>
      <c r="AH256" s="771"/>
      <c r="AI256" s="771"/>
    </row>
    <row r="257" spans="15:35" x14ac:dyDescent="0.2">
      <c r="O257" s="100"/>
      <c r="P257" s="100"/>
      <c r="Q257" s="115"/>
      <c r="R257" s="115"/>
      <c r="S257" s="115"/>
      <c r="T257" s="100"/>
      <c r="U257" s="100"/>
      <c r="V257" s="115"/>
      <c r="W257" s="115"/>
      <c r="X257" s="115"/>
      <c r="Y257" s="115"/>
      <c r="Z257" s="115"/>
      <c r="AA257" s="115"/>
      <c r="AB257" s="115"/>
      <c r="AC257" s="115"/>
      <c r="AD257" s="771"/>
      <c r="AE257" s="771"/>
      <c r="AF257" s="771"/>
      <c r="AG257" s="771"/>
      <c r="AH257" s="771"/>
      <c r="AI257" s="771"/>
    </row>
    <row r="258" spans="15:35" x14ac:dyDescent="0.2">
      <c r="O258" s="100"/>
      <c r="P258" s="100"/>
      <c r="Q258" s="115"/>
      <c r="R258" s="115"/>
      <c r="S258" s="115"/>
      <c r="T258" s="100"/>
      <c r="U258" s="100"/>
      <c r="V258" s="115"/>
      <c r="W258" s="115"/>
      <c r="X258" s="115"/>
      <c r="Y258" s="115"/>
      <c r="Z258" s="115"/>
      <c r="AA258" s="115"/>
      <c r="AB258" s="115"/>
      <c r="AC258" s="115"/>
      <c r="AD258" s="771"/>
      <c r="AE258" s="771"/>
      <c r="AF258" s="771"/>
      <c r="AG258" s="771"/>
      <c r="AH258" s="771"/>
      <c r="AI258" s="771"/>
    </row>
    <row r="259" spans="15:35" x14ac:dyDescent="0.2">
      <c r="O259" s="100"/>
      <c r="P259" s="100"/>
      <c r="Q259" s="115"/>
      <c r="R259" s="115"/>
      <c r="S259" s="115"/>
      <c r="T259" s="100"/>
      <c r="U259" s="100"/>
      <c r="V259" s="115"/>
      <c r="W259" s="115"/>
      <c r="X259" s="115"/>
      <c r="Y259" s="115"/>
      <c r="Z259" s="115"/>
      <c r="AA259" s="115"/>
      <c r="AB259" s="115"/>
      <c r="AC259" s="115"/>
      <c r="AD259" s="771"/>
      <c r="AE259" s="771"/>
      <c r="AF259" s="771"/>
      <c r="AG259" s="771"/>
      <c r="AH259" s="771"/>
      <c r="AI259" s="771"/>
    </row>
    <row r="260" spans="15:35" x14ac:dyDescent="0.2">
      <c r="O260" s="100"/>
      <c r="P260" s="100"/>
      <c r="Q260" s="115"/>
      <c r="R260" s="115"/>
      <c r="S260" s="115"/>
      <c r="T260" s="100"/>
      <c r="U260" s="100"/>
      <c r="V260" s="115"/>
      <c r="W260" s="115"/>
      <c r="X260" s="115"/>
      <c r="Y260" s="115"/>
      <c r="Z260" s="115"/>
      <c r="AA260" s="115"/>
      <c r="AB260" s="115"/>
      <c r="AC260" s="115"/>
      <c r="AD260" s="771"/>
      <c r="AE260" s="771"/>
      <c r="AF260" s="771"/>
      <c r="AG260" s="771"/>
      <c r="AH260" s="771"/>
      <c r="AI260" s="771"/>
    </row>
    <row r="261" spans="15:35" x14ac:dyDescent="0.2">
      <c r="O261" s="100"/>
      <c r="P261" s="100"/>
      <c r="Q261" s="115"/>
      <c r="R261" s="115"/>
      <c r="S261" s="115"/>
      <c r="T261" s="100"/>
      <c r="U261" s="100"/>
      <c r="V261" s="115"/>
      <c r="W261" s="115"/>
      <c r="X261" s="115"/>
      <c r="Y261" s="115"/>
      <c r="Z261" s="115"/>
      <c r="AA261" s="115"/>
      <c r="AB261" s="115"/>
      <c r="AC261" s="115"/>
      <c r="AD261" s="771"/>
      <c r="AE261" s="771"/>
      <c r="AF261" s="771"/>
      <c r="AG261" s="771"/>
      <c r="AH261" s="771"/>
      <c r="AI261" s="771"/>
    </row>
    <row r="262" spans="15:35" x14ac:dyDescent="0.2">
      <c r="O262" s="100"/>
      <c r="P262" s="100"/>
      <c r="Q262" s="115"/>
      <c r="R262" s="115"/>
      <c r="S262" s="115"/>
      <c r="T262" s="100"/>
      <c r="U262" s="100"/>
      <c r="V262" s="115"/>
      <c r="W262" s="115"/>
      <c r="X262" s="115"/>
      <c r="Y262" s="115"/>
      <c r="Z262" s="115"/>
      <c r="AA262" s="115"/>
      <c r="AB262" s="115"/>
      <c r="AC262" s="115"/>
      <c r="AD262" s="771"/>
      <c r="AE262" s="771"/>
      <c r="AF262" s="771"/>
      <c r="AG262" s="771"/>
      <c r="AH262" s="771"/>
      <c r="AI262" s="771"/>
    </row>
    <row r="263" spans="15:35" x14ac:dyDescent="0.2">
      <c r="O263" s="100"/>
      <c r="P263" s="100"/>
      <c r="Q263" s="115"/>
      <c r="R263" s="115"/>
      <c r="S263" s="115"/>
      <c r="T263" s="100"/>
      <c r="U263" s="100"/>
      <c r="V263" s="115"/>
      <c r="W263" s="115"/>
      <c r="X263" s="115"/>
      <c r="Y263" s="115"/>
      <c r="Z263" s="115"/>
      <c r="AA263" s="115"/>
      <c r="AB263" s="115"/>
      <c r="AC263" s="115"/>
      <c r="AD263" s="771"/>
      <c r="AE263" s="771"/>
      <c r="AF263" s="771"/>
      <c r="AG263" s="771"/>
      <c r="AH263" s="771"/>
      <c r="AI263" s="771"/>
    </row>
    <row r="264" spans="15:35" x14ac:dyDescent="0.2">
      <c r="O264" s="100"/>
      <c r="P264" s="100"/>
      <c r="Q264" s="115"/>
      <c r="R264" s="115"/>
      <c r="S264" s="115"/>
      <c r="T264" s="100"/>
      <c r="U264" s="100"/>
      <c r="V264" s="115"/>
      <c r="W264" s="115"/>
      <c r="X264" s="115"/>
      <c r="Y264" s="115"/>
      <c r="Z264" s="115"/>
      <c r="AA264" s="115"/>
      <c r="AB264" s="115"/>
      <c r="AC264" s="115"/>
      <c r="AD264" s="771"/>
      <c r="AE264" s="771"/>
      <c r="AF264" s="771"/>
      <c r="AG264" s="771"/>
      <c r="AH264" s="771"/>
      <c r="AI264" s="771"/>
    </row>
    <row r="265" spans="15:35" x14ac:dyDescent="0.2">
      <c r="O265" s="100"/>
      <c r="P265" s="100"/>
      <c r="Q265" s="115"/>
      <c r="R265" s="115"/>
      <c r="S265" s="115"/>
      <c r="T265" s="100"/>
      <c r="U265" s="100"/>
      <c r="V265" s="115"/>
      <c r="W265" s="115"/>
      <c r="X265" s="115"/>
      <c r="Y265" s="115"/>
      <c r="Z265" s="115"/>
      <c r="AA265" s="115"/>
      <c r="AB265" s="115"/>
      <c r="AC265" s="115"/>
      <c r="AD265" s="771"/>
      <c r="AE265" s="771"/>
      <c r="AF265" s="771"/>
      <c r="AG265" s="771"/>
      <c r="AH265" s="771"/>
      <c r="AI265" s="771"/>
    </row>
    <row r="266" spans="15:35" x14ac:dyDescent="0.2">
      <c r="O266" s="100"/>
      <c r="P266" s="100"/>
      <c r="Q266" s="115"/>
      <c r="R266" s="115"/>
      <c r="S266" s="115"/>
      <c r="T266" s="100"/>
      <c r="U266" s="100"/>
      <c r="V266" s="115"/>
      <c r="W266" s="115"/>
      <c r="X266" s="115"/>
      <c r="Y266" s="115"/>
      <c r="Z266" s="115"/>
      <c r="AA266" s="115"/>
      <c r="AB266" s="115"/>
      <c r="AC266" s="115"/>
      <c r="AD266" s="771"/>
      <c r="AE266" s="771"/>
      <c r="AF266" s="771"/>
      <c r="AG266" s="771"/>
      <c r="AH266" s="771"/>
      <c r="AI266" s="771"/>
    </row>
    <row r="267" spans="15:35" x14ac:dyDescent="0.2">
      <c r="O267" s="100"/>
      <c r="P267" s="100"/>
      <c r="Q267" s="115"/>
      <c r="R267" s="115"/>
      <c r="S267" s="115"/>
      <c r="T267" s="100"/>
      <c r="U267" s="100"/>
      <c r="V267" s="115"/>
      <c r="W267" s="115"/>
      <c r="X267" s="115"/>
      <c r="Y267" s="115"/>
      <c r="Z267" s="115"/>
      <c r="AA267" s="115"/>
      <c r="AB267" s="115"/>
      <c r="AC267" s="115"/>
      <c r="AD267" s="771"/>
      <c r="AE267" s="771"/>
      <c r="AF267" s="771"/>
      <c r="AG267" s="771"/>
      <c r="AH267" s="771"/>
      <c r="AI267" s="771"/>
    </row>
    <row r="268" spans="15:35" x14ac:dyDescent="0.2">
      <c r="O268" s="100"/>
      <c r="P268" s="100"/>
      <c r="Q268" s="115"/>
      <c r="R268" s="115"/>
      <c r="S268" s="115"/>
      <c r="T268" s="100"/>
      <c r="U268" s="100"/>
      <c r="V268" s="115"/>
      <c r="W268" s="115"/>
      <c r="X268" s="115"/>
      <c r="Y268" s="115"/>
      <c r="Z268" s="115"/>
      <c r="AA268" s="115"/>
      <c r="AB268" s="115"/>
      <c r="AC268" s="115"/>
      <c r="AD268" s="771"/>
      <c r="AE268" s="771"/>
      <c r="AF268" s="771"/>
      <c r="AG268" s="771"/>
      <c r="AH268" s="771"/>
      <c r="AI268" s="771"/>
    </row>
    <row r="269" spans="15:35" x14ac:dyDescent="0.2">
      <c r="O269" s="100"/>
      <c r="P269" s="100"/>
      <c r="Q269" s="115"/>
      <c r="R269" s="115"/>
      <c r="S269" s="115"/>
      <c r="T269" s="100"/>
      <c r="U269" s="100"/>
      <c r="V269" s="115"/>
      <c r="W269" s="115"/>
      <c r="X269" s="115"/>
      <c r="Y269" s="115"/>
      <c r="Z269" s="115"/>
      <c r="AA269" s="115"/>
      <c r="AB269" s="115"/>
      <c r="AC269" s="115"/>
      <c r="AD269" s="771"/>
      <c r="AE269" s="771"/>
      <c r="AF269" s="771"/>
      <c r="AG269" s="771"/>
      <c r="AH269" s="771"/>
      <c r="AI269" s="771"/>
    </row>
    <row r="270" spans="15:35" x14ac:dyDescent="0.2">
      <c r="O270" s="100"/>
      <c r="P270" s="100"/>
      <c r="Q270" s="115"/>
      <c r="R270" s="115"/>
      <c r="S270" s="115"/>
      <c r="T270" s="100"/>
      <c r="U270" s="100"/>
      <c r="V270" s="115"/>
      <c r="W270" s="115"/>
      <c r="X270" s="115"/>
      <c r="Y270" s="115"/>
      <c r="Z270" s="115"/>
      <c r="AA270" s="115"/>
      <c r="AB270" s="115"/>
      <c r="AC270" s="115"/>
      <c r="AD270" s="771"/>
      <c r="AE270" s="771"/>
      <c r="AF270" s="771"/>
      <c r="AG270" s="771"/>
      <c r="AH270" s="771"/>
      <c r="AI270" s="771"/>
    </row>
    <row r="271" spans="15:35" x14ac:dyDescent="0.2">
      <c r="O271" s="100"/>
      <c r="P271" s="100"/>
      <c r="Q271" s="115"/>
      <c r="R271" s="115"/>
      <c r="S271" s="115"/>
      <c r="T271" s="100"/>
      <c r="U271" s="100"/>
      <c r="V271" s="115"/>
      <c r="W271" s="115"/>
      <c r="X271" s="115"/>
      <c r="Y271" s="115"/>
      <c r="Z271" s="115"/>
      <c r="AA271" s="115"/>
      <c r="AB271" s="115"/>
      <c r="AC271" s="115"/>
      <c r="AD271" s="771"/>
      <c r="AE271" s="771"/>
      <c r="AF271" s="771"/>
      <c r="AG271" s="771"/>
      <c r="AH271" s="771"/>
      <c r="AI271" s="771"/>
    </row>
    <row r="272" spans="15:35" x14ac:dyDescent="0.2">
      <c r="O272" s="100"/>
      <c r="P272" s="100"/>
      <c r="Q272" s="115"/>
      <c r="R272" s="115"/>
      <c r="S272" s="115"/>
      <c r="T272" s="100"/>
      <c r="U272" s="100"/>
      <c r="V272" s="115"/>
      <c r="W272" s="115"/>
      <c r="X272" s="115"/>
      <c r="Y272" s="115"/>
      <c r="Z272" s="115"/>
      <c r="AA272" s="115"/>
      <c r="AB272" s="115"/>
      <c r="AC272" s="115"/>
      <c r="AD272" s="771"/>
      <c r="AE272" s="771"/>
      <c r="AF272" s="771"/>
      <c r="AG272" s="771"/>
      <c r="AH272" s="771"/>
      <c r="AI272" s="771"/>
    </row>
    <row r="273" spans="15:35" x14ac:dyDescent="0.2">
      <c r="O273" s="100"/>
      <c r="P273" s="100"/>
      <c r="Q273" s="115"/>
      <c r="R273" s="115"/>
      <c r="S273" s="115"/>
      <c r="T273" s="100"/>
      <c r="U273" s="100"/>
      <c r="V273" s="115"/>
      <c r="W273" s="115"/>
      <c r="X273" s="115"/>
      <c r="Y273" s="115"/>
      <c r="Z273" s="115"/>
      <c r="AA273" s="115"/>
      <c r="AB273" s="115"/>
      <c r="AC273" s="115"/>
      <c r="AD273" s="771"/>
      <c r="AE273" s="771"/>
      <c r="AF273" s="771"/>
      <c r="AG273" s="771"/>
      <c r="AH273" s="771"/>
      <c r="AI273" s="771"/>
    </row>
    <row r="274" spans="15:35" x14ac:dyDescent="0.2">
      <c r="O274" s="100"/>
      <c r="P274" s="100"/>
      <c r="Q274" s="115"/>
      <c r="R274" s="115"/>
      <c r="S274" s="115"/>
      <c r="T274" s="100"/>
      <c r="U274" s="100"/>
      <c r="V274" s="115"/>
      <c r="W274" s="115"/>
      <c r="X274" s="115"/>
      <c r="Y274" s="115"/>
      <c r="Z274" s="115"/>
      <c r="AA274" s="115"/>
      <c r="AB274" s="115"/>
      <c r="AC274" s="115"/>
      <c r="AD274" s="771"/>
      <c r="AE274" s="771"/>
      <c r="AF274" s="771"/>
      <c r="AG274" s="771"/>
      <c r="AH274" s="771"/>
      <c r="AI274" s="771"/>
    </row>
    <row r="275" spans="15:35" x14ac:dyDescent="0.2">
      <c r="O275" s="100"/>
      <c r="P275" s="100"/>
      <c r="Q275" s="115"/>
      <c r="R275" s="115"/>
      <c r="S275" s="115"/>
      <c r="T275" s="100"/>
      <c r="U275" s="100"/>
      <c r="V275" s="115"/>
      <c r="W275" s="115"/>
      <c r="X275" s="115"/>
      <c r="Y275" s="115"/>
      <c r="Z275" s="115"/>
      <c r="AA275" s="115"/>
      <c r="AB275" s="115"/>
      <c r="AC275" s="115"/>
      <c r="AD275" s="771"/>
      <c r="AE275" s="771"/>
      <c r="AF275" s="771"/>
      <c r="AG275" s="771"/>
      <c r="AH275" s="771"/>
      <c r="AI275" s="771"/>
    </row>
    <row r="276" spans="15:35" x14ac:dyDescent="0.2">
      <c r="O276" s="100"/>
      <c r="P276" s="100"/>
      <c r="Q276" s="115"/>
      <c r="R276" s="115"/>
      <c r="S276" s="115"/>
      <c r="T276" s="100"/>
      <c r="U276" s="100"/>
      <c r="V276" s="115"/>
      <c r="W276" s="115"/>
      <c r="X276" s="115"/>
      <c r="Y276" s="115"/>
      <c r="Z276" s="115"/>
      <c r="AA276" s="115"/>
      <c r="AB276" s="115"/>
      <c r="AC276" s="115"/>
      <c r="AD276" s="771"/>
      <c r="AE276" s="771"/>
      <c r="AF276" s="771"/>
      <c r="AG276" s="771"/>
      <c r="AH276" s="771"/>
      <c r="AI276" s="771"/>
    </row>
    <row r="277" spans="15:35" x14ac:dyDescent="0.2">
      <c r="O277" s="100"/>
      <c r="P277" s="100"/>
      <c r="Q277" s="115"/>
      <c r="R277" s="115"/>
      <c r="S277" s="115"/>
      <c r="T277" s="100"/>
      <c r="U277" s="100"/>
      <c r="V277" s="115"/>
      <c r="W277" s="115"/>
      <c r="X277" s="115"/>
      <c r="Y277" s="115"/>
      <c r="Z277" s="115"/>
      <c r="AA277" s="115"/>
      <c r="AB277" s="115"/>
      <c r="AC277" s="115"/>
      <c r="AD277" s="771"/>
      <c r="AE277" s="771"/>
      <c r="AF277" s="771"/>
      <c r="AG277" s="771"/>
      <c r="AH277" s="771"/>
      <c r="AI277" s="771"/>
    </row>
    <row r="278" spans="15:35" x14ac:dyDescent="0.2">
      <c r="O278" s="100"/>
      <c r="P278" s="100"/>
      <c r="Q278" s="115"/>
      <c r="R278" s="115"/>
      <c r="S278" s="115"/>
      <c r="T278" s="100"/>
      <c r="U278" s="100"/>
      <c r="V278" s="115"/>
      <c r="W278" s="115"/>
      <c r="X278" s="115"/>
      <c r="Y278" s="115"/>
      <c r="Z278" s="115"/>
      <c r="AA278" s="115"/>
      <c r="AB278" s="115"/>
      <c r="AC278" s="115"/>
      <c r="AD278" s="771"/>
      <c r="AE278" s="771"/>
      <c r="AF278" s="771"/>
      <c r="AG278" s="771"/>
      <c r="AH278" s="771"/>
      <c r="AI278" s="771"/>
    </row>
    <row r="279" spans="15:35" x14ac:dyDescent="0.2">
      <c r="O279" s="100"/>
      <c r="P279" s="100"/>
      <c r="Q279" s="115"/>
      <c r="R279" s="115"/>
      <c r="S279" s="115"/>
      <c r="T279" s="100"/>
      <c r="U279" s="100"/>
      <c r="V279" s="115"/>
      <c r="W279" s="115"/>
      <c r="X279" s="115"/>
      <c r="Y279" s="115"/>
      <c r="Z279" s="115"/>
      <c r="AA279" s="115"/>
      <c r="AB279" s="115"/>
      <c r="AC279" s="115"/>
      <c r="AD279" s="771"/>
      <c r="AE279" s="771"/>
      <c r="AF279" s="771"/>
      <c r="AG279" s="771"/>
      <c r="AH279" s="771"/>
      <c r="AI279" s="771"/>
    </row>
    <row r="280" spans="15:35" x14ac:dyDescent="0.2">
      <c r="O280" s="100"/>
      <c r="P280" s="100"/>
      <c r="Q280" s="115"/>
      <c r="R280" s="115"/>
      <c r="S280" s="115"/>
      <c r="T280" s="100"/>
      <c r="U280" s="100"/>
      <c r="V280" s="115"/>
      <c r="W280" s="115"/>
      <c r="X280" s="115"/>
      <c r="Y280" s="115"/>
      <c r="Z280" s="115"/>
      <c r="AA280" s="115"/>
      <c r="AB280" s="115"/>
      <c r="AC280" s="115"/>
      <c r="AD280" s="771"/>
      <c r="AE280" s="771"/>
      <c r="AF280" s="771"/>
      <c r="AG280" s="771"/>
      <c r="AH280" s="771"/>
      <c r="AI280" s="771"/>
    </row>
    <row r="281" spans="15:35" x14ac:dyDescent="0.2">
      <c r="O281" s="100"/>
      <c r="P281" s="100"/>
      <c r="Q281" s="115"/>
      <c r="R281" s="115"/>
      <c r="S281" s="115"/>
      <c r="T281" s="100"/>
      <c r="U281" s="100"/>
      <c r="V281" s="115"/>
      <c r="W281" s="115"/>
      <c r="X281" s="115"/>
      <c r="Y281" s="115"/>
      <c r="Z281" s="115"/>
      <c r="AA281" s="115"/>
      <c r="AB281" s="115"/>
      <c r="AC281" s="115"/>
      <c r="AD281" s="771"/>
      <c r="AE281" s="771"/>
      <c r="AF281" s="771"/>
      <c r="AG281" s="771"/>
      <c r="AH281" s="771"/>
      <c r="AI281" s="771"/>
    </row>
    <row r="282" spans="15:35" x14ac:dyDescent="0.2">
      <c r="O282" s="100"/>
      <c r="P282" s="100"/>
      <c r="Q282" s="115"/>
      <c r="R282" s="115"/>
      <c r="S282" s="115"/>
      <c r="T282" s="100"/>
      <c r="U282" s="100"/>
      <c r="V282" s="115"/>
      <c r="W282" s="115"/>
      <c r="X282" s="115"/>
      <c r="Y282" s="115"/>
      <c r="Z282" s="115"/>
      <c r="AA282" s="115"/>
      <c r="AB282" s="115"/>
      <c r="AC282" s="115"/>
      <c r="AD282" s="771"/>
      <c r="AE282" s="771"/>
      <c r="AF282" s="771"/>
      <c r="AG282" s="771"/>
      <c r="AH282" s="771"/>
      <c r="AI282" s="771"/>
    </row>
    <row r="283" spans="15:35" x14ac:dyDescent="0.2">
      <c r="O283" s="100"/>
      <c r="P283" s="100"/>
      <c r="Q283" s="115"/>
      <c r="R283" s="115"/>
      <c r="S283" s="115"/>
      <c r="T283" s="100"/>
      <c r="U283" s="100"/>
      <c r="V283" s="115"/>
      <c r="W283" s="115"/>
      <c r="X283" s="115"/>
      <c r="Y283" s="115"/>
      <c r="Z283" s="115"/>
      <c r="AA283" s="115"/>
      <c r="AB283" s="115"/>
      <c r="AC283" s="115"/>
      <c r="AD283" s="771"/>
      <c r="AE283" s="771"/>
      <c r="AF283" s="771"/>
      <c r="AG283" s="771"/>
      <c r="AH283" s="771"/>
      <c r="AI283" s="771"/>
    </row>
    <row r="284" spans="15:35" x14ac:dyDescent="0.2">
      <c r="O284" s="100"/>
      <c r="P284" s="100"/>
      <c r="Q284" s="115"/>
      <c r="R284" s="115"/>
      <c r="S284" s="115"/>
      <c r="T284" s="100"/>
      <c r="U284" s="100"/>
      <c r="V284" s="115"/>
      <c r="W284" s="115"/>
      <c r="X284" s="115"/>
      <c r="Y284" s="115"/>
      <c r="Z284" s="115"/>
      <c r="AA284" s="115"/>
      <c r="AB284" s="115"/>
      <c r="AC284" s="115"/>
      <c r="AD284" s="771"/>
      <c r="AE284" s="771"/>
      <c r="AF284" s="771"/>
      <c r="AG284" s="771"/>
      <c r="AH284" s="771"/>
      <c r="AI284" s="771"/>
    </row>
    <row r="285" spans="15:35" x14ac:dyDescent="0.2">
      <c r="O285" s="100"/>
      <c r="P285" s="100"/>
      <c r="Q285" s="115"/>
      <c r="R285" s="115"/>
      <c r="S285" s="115"/>
      <c r="T285" s="100"/>
      <c r="U285" s="100"/>
      <c r="V285" s="115"/>
      <c r="W285" s="115"/>
      <c r="X285" s="115"/>
      <c r="Y285" s="115"/>
      <c r="Z285" s="115"/>
      <c r="AA285" s="115"/>
      <c r="AB285" s="115"/>
      <c r="AC285" s="115"/>
      <c r="AD285" s="771"/>
      <c r="AE285" s="771"/>
      <c r="AF285" s="771"/>
      <c r="AG285" s="771"/>
      <c r="AH285" s="771"/>
      <c r="AI285" s="771"/>
    </row>
    <row r="286" spans="15:35" x14ac:dyDescent="0.2">
      <c r="O286" s="100"/>
      <c r="P286" s="100"/>
      <c r="Q286" s="115"/>
      <c r="R286" s="115"/>
      <c r="S286" s="115"/>
      <c r="T286" s="100"/>
      <c r="U286" s="100"/>
      <c r="V286" s="115"/>
      <c r="W286" s="115"/>
      <c r="X286" s="115"/>
      <c r="Y286" s="115"/>
      <c r="Z286" s="115"/>
      <c r="AA286" s="115"/>
      <c r="AB286" s="115"/>
      <c r="AC286" s="115"/>
      <c r="AD286" s="771"/>
      <c r="AE286" s="771"/>
      <c r="AF286" s="771"/>
      <c r="AG286" s="771"/>
      <c r="AH286" s="771"/>
      <c r="AI286" s="771"/>
    </row>
    <row r="287" spans="15:35" x14ac:dyDescent="0.2">
      <c r="O287" s="100"/>
      <c r="P287" s="100"/>
      <c r="Q287" s="115"/>
      <c r="R287" s="115"/>
      <c r="S287" s="115"/>
      <c r="T287" s="100"/>
      <c r="U287" s="100"/>
      <c r="V287" s="115"/>
      <c r="W287" s="115"/>
      <c r="X287" s="115"/>
      <c r="Y287" s="115"/>
      <c r="Z287" s="115"/>
      <c r="AA287" s="115"/>
      <c r="AB287" s="115"/>
      <c r="AC287" s="115"/>
      <c r="AD287" s="771"/>
      <c r="AE287" s="771"/>
      <c r="AF287" s="771"/>
      <c r="AG287" s="771"/>
      <c r="AH287" s="771"/>
      <c r="AI287" s="771"/>
    </row>
    <row r="288" spans="15:35" x14ac:dyDescent="0.2">
      <c r="O288" s="100"/>
      <c r="P288" s="100"/>
      <c r="Q288" s="115"/>
      <c r="R288" s="115"/>
      <c r="S288" s="115"/>
      <c r="T288" s="100"/>
      <c r="U288" s="100"/>
      <c r="V288" s="115"/>
      <c r="W288" s="115"/>
      <c r="X288" s="115"/>
      <c r="Y288" s="115"/>
      <c r="Z288" s="115"/>
      <c r="AA288" s="115"/>
      <c r="AB288" s="115"/>
      <c r="AC288" s="115"/>
      <c r="AD288" s="771"/>
      <c r="AE288" s="771"/>
      <c r="AF288" s="771"/>
      <c r="AG288" s="771"/>
      <c r="AH288" s="771"/>
      <c r="AI288" s="771"/>
    </row>
    <row r="289" spans="15:35" x14ac:dyDescent="0.2">
      <c r="O289" s="100"/>
      <c r="P289" s="100"/>
      <c r="Q289" s="115"/>
      <c r="R289" s="115"/>
      <c r="S289" s="115"/>
      <c r="T289" s="100"/>
      <c r="U289" s="100"/>
      <c r="V289" s="115"/>
      <c r="W289" s="115"/>
      <c r="X289" s="115"/>
      <c r="Y289" s="115"/>
      <c r="Z289" s="115"/>
      <c r="AA289" s="115"/>
      <c r="AB289" s="115"/>
      <c r="AC289" s="115"/>
      <c r="AD289" s="771"/>
      <c r="AE289" s="771"/>
      <c r="AF289" s="771"/>
      <c r="AG289" s="771"/>
      <c r="AH289" s="771"/>
      <c r="AI289" s="771"/>
    </row>
    <row r="290" spans="15:35" x14ac:dyDescent="0.2">
      <c r="O290" s="100"/>
      <c r="P290" s="100"/>
      <c r="Q290" s="115"/>
      <c r="R290" s="115"/>
      <c r="S290" s="115"/>
      <c r="T290" s="100"/>
      <c r="U290" s="100"/>
      <c r="V290" s="115"/>
      <c r="W290" s="115"/>
      <c r="X290" s="115"/>
      <c r="Y290" s="115"/>
      <c r="Z290" s="115"/>
      <c r="AA290" s="115"/>
      <c r="AB290" s="115"/>
      <c r="AC290" s="115"/>
      <c r="AD290" s="771"/>
      <c r="AE290" s="771"/>
      <c r="AF290" s="771"/>
      <c r="AG290" s="771"/>
      <c r="AH290" s="771"/>
      <c r="AI290" s="771"/>
    </row>
    <row r="291" spans="15:35" x14ac:dyDescent="0.2">
      <c r="O291" s="100"/>
      <c r="P291" s="100"/>
      <c r="Q291" s="115"/>
      <c r="R291" s="115"/>
      <c r="S291" s="115"/>
      <c r="T291" s="100"/>
      <c r="U291" s="100"/>
      <c r="V291" s="115"/>
      <c r="W291" s="115"/>
      <c r="X291" s="115"/>
      <c r="Y291" s="115"/>
      <c r="Z291" s="115"/>
      <c r="AA291" s="115"/>
      <c r="AB291" s="115"/>
      <c r="AC291" s="115"/>
      <c r="AD291" s="771"/>
      <c r="AE291" s="771"/>
      <c r="AF291" s="771"/>
      <c r="AG291" s="771"/>
      <c r="AH291" s="771"/>
      <c r="AI291" s="771"/>
    </row>
    <row r="292" spans="15:35" x14ac:dyDescent="0.2">
      <c r="O292" s="100"/>
      <c r="P292" s="100"/>
      <c r="Q292" s="115"/>
      <c r="R292" s="115"/>
      <c r="S292" s="115"/>
      <c r="T292" s="100"/>
      <c r="U292" s="100"/>
      <c r="V292" s="115"/>
      <c r="W292" s="115"/>
      <c r="X292" s="115"/>
      <c r="Y292" s="115"/>
      <c r="Z292" s="115"/>
      <c r="AA292" s="115"/>
      <c r="AB292" s="115"/>
      <c r="AC292" s="115"/>
      <c r="AD292" s="771"/>
      <c r="AE292" s="771"/>
      <c r="AF292" s="771"/>
      <c r="AG292" s="771"/>
      <c r="AH292" s="771"/>
      <c r="AI292" s="771"/>
    </row>
    <row r="293" spans="15:35" x14ac:dyDescent="0.2">
      <c r="O293" s="100"/>
      <c r="P293" s="100"/>
      <c r="Q293" s="115"/>
      <c r="R293" s="115"/>
      <c r="S293" s="115"/>
      <c r="T293" s="100"/>
      <c r="U293" s="100"/>
      <c r="V293" s="115"/>
      <c r="W293" s="115"/>
      <c r="X293" s="115"/>
      <c r="Y293" s="115"/>
      <c r="Z293" s="115"/>
      <c r="AA293" s="115"/>
      <c r="AB293" s="115"/>
      <c r="AC293" s="115"/>
      <c r="AD293" s="771"/>
      <c r="AE293" s="771"/>
      <c r="AF293" s="771"/>
      <c r="AG293" s="771"/>
      <c r="AH293" s="771"/>
      <c r="AI293" s="771"/>
    </row>
    <row r="294" spans="15:35" x14ac:dyDescent="0.2">
      <c r="O294" s="100"/>
      <c r="P294" s="100"/>
      <c r="Q294" s="115"/>
      <c r="R294" s="115"/>
      <c r="S294" s="115"/>
      <c r="T294" s="100"/>
      <c r="U294" s="100"/>
      <c r="V294" s="115"/>
      <c r="W294" s="115"/>
      <c r="X294" s="115"/>
      <c r="Y294" s="115"/>
      <c r="Z294" s="115"/>
      <c r="AA294" s="115"/>
      <c r="AB294" s="115"/>
      <c r="AC294" s="115"/>
      <c r="AD294" s="771"/>
      <c r="AE294" s="771"/>
      <c r="AF294" s="771"/>
      <c r="AG294" s="771"/>
      <c r="AH294" s="771"/>
      <c r="AI294" s="771"/>
    </row>
    <row r="295" spans="15:35" x14ac:dyDescent="0.2">
      <c r="O295" s="100"/>
      <c r="P295" s="100"/>
      <c r="Q295" s="115"/>
      <c r="R295" s="115"/>
      <c r="S295" s="115"/>
      <c r="T295" s="100"/>
      <c r="U295" s="100"/>
      <c r="V295" s="115"/>
      <c r="W295" s="115"/>
      <c r="X295" s="115"/>
      <c r="Y295" s="115"/>
      <c r="Z295" s="115"/>
      <c r="AA295" s="115"/>
      <c r="AB295" s="115"/>
      <c r="AC295" s="115"/>
      <c r="AD295" s="771"/>
      <c r="AE295" s="771"/>
      <c r="AF295" s="771"/>
      <c r="AG295" s="771"/>
      <c r="AH295" s="771"/>
      <c r="AI295" s="771"/>
    </row>
    <row r="296" spans="15:35" x14ac:dyDescent="0.2">
      <c r="O296" s="100"/>
      <c r="P296" s="100"/>
      <c r="Q296" s="115"/>
      <c r="R296" s="115"/>
      <c r="S296" s="115"/>
      <c r="T296" s="100"/>
      <c r="U296" s="100"/>
      <c r="V296" s="115"/>
      <c r="W296" s="115"/>
      <c r="X296" s="115"/>
      <c r="Y296" s="115"/>
      <c r="Z296" s="115"/>
      <c r="AA296" s="115"/>
      <c r="AB296" s="115"/>
      <c r="AC296" s="115"/>
      <c r="AD296" s="771"/>
      <c r="AE296" s="771"/>
      <c r="AF296" s="771"/>
      <c r="AG296" s="771"/>
      <c r="AH296" s="771"/>
      <c r="AI296" s="771"/>
    </row>
    <row r="297" spans="15:35" x14ac:dyDescent="0.2">
      <c r="O297" s="100"/>
      <c r="P297" s="100"/>
      <c r="Q297" s="115"/>
      <c r="R297" s="115"/>
      <c r="S297" s="115"/>
      <c r="T297" s="100"/>
      <c r="U297" s="100"/>
      <c r="V297" s="115"/>
      <c r="W297" s="115"/>
      <c r="X297" s="115"/>
      <c r="Y297" s="115"/>
      <c r="Z297" s="115"/>
      <c r="AA297" s="115"/>
      <c r="AB297" s="115"/>
      <c r="AC297" s="115"/>
      <c r="AD297" s="771"/>
      <c r="AE297" s="771"/>
      <c r="AF297" s="771"/>
      <c r="AG297" s="771"/>
      <c r="AH297" s="771"/>
      <c r="AI297" s="771"/>
    </row>
    <row r="298" spans="15:35" x14ac:dyDescent="0.2">
      <c r="O298" s="100"/>
      <c r="P298" s="100"/>
      <c r="Q298" s="115"/>
      <c r="R298" s="115"/>
      <c r="S298" s="115"/>
      <c r="T298" s="100"/>
      <c r="U298" s="100"/>
      <c r="V298" s="115"/>
      <c r="W298" s="115"/>
      <c r="X298" s="115"/>
      <c r="Y298" s="115"/>
      <c r="Z298" s="115"/>
      <c r="AA298" s="115"/>
      <c r="AB298" s="115"/>
      <c r="AC298" s="115"/>
      <c r="AD298" s="771"/>
      <c r="AE298" s="771"/>
      <c r="AF298" s="771"/>
      <c r="AG298" s="771"/>
      <c r="AH298" s="771"/>
      <c r="AI298" s="771"/>
    </row>
    <row r="299" spans="15:35" x14ac:dyDescent="0.2">
      <c r="O299" s="100"/>
      <c r="P299" s="100"/>
      <c r="Q299" s="115"/>
      <c r="R299" s="115"/>
      <c r="S299" s="115"/>
      <c r="T299" s="100"/>
      <c r="U299" s="100"/>
      <c r="V299" s="115"/>
      <c r="W299" s="115"/>
      <c r="X299" s="115"/>
      <c r="Y299" s="115"/>
      <c r="Z299" s="115"/>
      <c r="AA299" s="115"/>
      <c r="AB299" s="115"/>
      <c r="AC299" s="115"/>
      <c r="AD299" s="771"/>
      <c r="AE299" s="771"/>
      <c r="AF299" s="771"/>
      <c r="AG299" s="771"/>
      <c r="AH299" s="771"/>
      <c r="AI299" s="771"/>
    </row>
    <row r="300" spans="15:35" x14ac:dyDescent="0.2">
      <c r="O300" s="100"/>
      <c r="P300" s="100"/>
      <c r="Q300" s="115"/>
      <c r="R300" s="115"/>
      <c r="S300" s="115"/>
      <c r="T300" s="100"/>
      <c r="U300" s="100"/>
      <c r="V300" s="115"/>
      <c r="W300" s="115"/>
      <c r="X300" s="115"/>
      <c r="Y300" s="115"/>
      <c r="Z300" s="115"/>
      <c r="AA300" s="115"/>
      <c r="AB300" s="115"/>
      <c r="AC300" s="115"/>
      <c r="AD300" s="771"/>
      <c r="AE300" s="771"/>
      <c r="AF300" s="771"/>
      <c r="AG300" s="771"/>
      <c r="AH300" s="771"/>
      <c r="AI300" s="771"/>
    </row>
    <row r="301" spans="15:35" x14ac:dyDescent="0.2">
      <c r="O301" s="100"/>
      <c r="P301" s="100"/>
      <c r="Q301" s="115"/>
      <c r="R301" s="115"/>
      <c r="S301" s="115"/>
      <c r="T301" s="100"/>
      <c r="U301" s="100"/>
      <c r="V301" s="115"/>
      <c r="W301" s="115"/>
      <c r="X301" s="115"/>
      <c r="Y301" s="115"/>
      <c r="Z301" s="115"/>
      <c r="AA301" s="115"/>
      <c r="AB301" s="115"/>
      <c r="AC301" s="115"/>
      <c r="AD301" s="771"/>
      <c r="AE301" s="771"/>
      <c r="AF301" s="771"/>
      <c r="AG301" s="771"/>
      <c r="AH301" s="771"/>
      <c r="AI301" s="771"/>
    </row>
    <row r="302" spans="15:35" x14ac:dyDescent="0.2">
      <c r="O302" s="100"/>
      <c r="P302" s="100"/>
      <c r="Q302" s="115"/>
      <c r="R302" s="115"/>
      <c r="S302" s="115"/>
      <c r="T302" s="100"/>
      <c r="U302" s="100"/>
      <c r="V302" s="115"/>
      <c r="W302" s="115"/>
      <c r="X302" s="115"/>
      <c r="Y302" s="115"/>
      <c r="Z302" s="115"/>
      <c r="AA302" s="115"/>
      <c r="AB302" s="115"/>
      <c r="AC302" s="115"/>
      <c r="AD302" s="771"/>
      <c r="AE302" s="771"/>
      <c r="AF302" s="771"/>
      <c r="AG302" s="771"/>
      <c r="AH302" s="771"/>
      <c r="AI302" s="771"/>
    </row>
    <row r="303" spans="15:35" x14ac:dyDescent="0.2">
      <c r="O303" s="100"/>
      <c r="P303" s="100"/>
      <c r="Q303" s="115"/>
      <c r="R303" s="115"/>
      <c r="S303" s="115"/>
      <c r="T303" s="100"/>
      <c r="U303" s="100"/>
      <c r="V303" s="115"/>
      <c r="W303" s="115"/>
      <c r="X303" s="115"/>
      <c r="Y303" s="115"/>
      <c r="Z303" s="115"/>
      <c r="AA303" s="115"/>
      <c r="AB303" s="115"/>
      <c r="AC303" s="115"/>
      <c r="AD303" s="771"/>
      <c r="AE303" s="771"/>
      <c r="AF303" s="771"/>
      <c r="AG303" s="771"/>
      <c r="AH303" s="771"/>
      <c r="AI303" s="771"/>
    </row>
    <row r="304" spans="15:35" x14ac:dyDescent="0.2">
      <c r="O304" s="100"/>
      <c r="P304" s="100"/>
      <c r="Q304" s="115"/>
      <c r="R304" s="115"/>
      <c r="S304" s="115"/>
      <c r="T304" s="100"/>
      <c r="U304" s="100"/>
      <c r="V304" s="115"/>
      <c r="W304" s="115"/>
      <c r="X304" s="115"/>
      <c r="Y304" s="115"/>
      <c r="Z304" s="115"/>
      <c r="AA304" s="115"/>
      <c r="AB304" s="115"/>
      <c r="AC304" s="115"/>
      <c r="AD304" s="771"/>
      <c r="AE304" s="771"/>
      <c r="AF304" s="771"/>
      <c r="AG304" s="771"/>
      <c r="AH304" s="771"/>
      <c r="AI304" s="771"/>
    </row>
    <row r="305" spans="15:35" x14ac:dyDescent="0.2">
      <c r="O305" s="100"/>
      <c r="P305" s="100"/>
      <c r="Q305" s="115"/>
      <c r="R305" s="115"/>
      <c r="S305" s="115"/>
      <c r="T305" s="100"/>
      <c r="U305" s="100"/>
      <c r="V305" s="115"/>
      <c r="W305" s="115"/>
      <c r="X305" s="115"/>
      <c r="Y305" s="115"/>
      <c r="Z305" s="115"/>
      <c r="AA305" s="115"/>
      <c r="AB305" s="115"/>
      <c r="AC305" s="115"/>
      <c r="AD305" s="771"/>
      <c r="AE305" s="771"/>
      <c r="AF305" s="771"/>
      <c r="AG305" s="771"/>
      <c r="AH305" s="771"/>
      <c r="AI305" s="771"/>
    </row>
    <row r="306" spans="15:35" x14ac:dyDescent="0.2">
      <c r="O306" s="100"/>
      <c r="P306" s="100"/>
      <c r="Q306" s="115"/>
      <c r="R306" s="115"/>
      <c r="S306" s="115"/>
      <c r="T306" s="100"/>
      <c r="U306" s="100"/>
      <c r="V306" s="115"/>
      <c r="W306" s="115"/>
      <c r="X306" s="115"/>
      <c r="Y306" s="115"/>
      <c r="Z306" s="115"/>
      <c r="AA306" s="115"/>
      <c r="AB306" s="115"/>
      <c r="AC306" s="115"/>
      <c r="AD306" s="771"/>
      <c r="AE306" s="771"/>
      <c r="AF306" s="771"/>
      <c r="AG306" s="771"/>
      <c r="AH306" s="771"/>
      <c r="AI306" s="771"/>
    </row>
    <row r="307" spans="15:35" x14ac:dyDescent="0.2">
      <c r="O307" s="100"/>
      <c r="P307" s="100"/>
      <c r="Q307" s="115"/>
      <c r="R307" s="115"/>
      <c r="S307" s="115"/>
      <c r="T307" s="100"/>
      <c r="U307" s="100"/>
      <c r="V307" s="115"/>
      <c r="W307" s="115"/>
      <c r="X307" s="115"/>
      <c r="Y307" s="115"/>
      <c r="Z307" s="115"/>
      <c r="AA307" s="115"/>
      <c r="AB307" s="115"/>
      <c r="AC307" s="115"/>
      <c r="AD307" s="771"/>
      <c r="AE307" s="771"/>
      <c r="AF307" s="771"/>
      <c r="AG307" s="771"/>
      <c r="AH307" s="771"/>
      <c r="AI307" s="771"/>
    </row>
    <row r="308" spans="15:35" x14ac:dyDescent="0.2">
      <c r="O308" s="100"/>
      <c r="P308" s="100"/>
      <c r="Q308" s="115"/>
      <c r="R308" s="115"/>
      <c r="S308" s="115"/>
      <c r="T308" s="100"/>
      <c r="U308" s="100"/>
      <c r="V308" s="115"/>
      <c r="W308" s="115"/>
      <c r="X308" s="115"/>
      <c r="Y308" s="115"/>
      <c r="Z308" s="115"/>
      <c r="AA308" s="115"/>
      <c r="AB308" s="115"/>
      <c r="AC308" s="115"/>
      <c r="AD308" s="771"/>
      <c r="AE308" s="771"/>
      <c r="AF308" s="771"/>
      <c r="AG308" s="771"/>
      <c r="AH308" s="771"/>
      <c r="AI308" s="771"/>
    </row>
    <row r="309" spans="15:35" x14ac:dyDescent="0.2">
      <c r="O309" s="100"/>
      <c r="P309" s="100"/>
      <c r="Q309" s="115"/>
      <c r="R309" s="115"/>
      <c r="S309" s="115"/>
      <c r="T309" s="100"/>
      <c r="U309" s="100"/>
      <c r="V309" s="115"/>
      <c r="W309" s="115"/>
      <c r="X309" s="115"/>
      <c r="Y309" s="115"/>
      <c r="Z309" s="115"/>
      <c r="AA309" s="115"/>
      <c r="AB309" s="115"/>
      <c r="AC309" s="115"/>
      <c r="AD309" s="771"/>
      <c r="AE309" s="771"/>
      <c r="AF309" s="771"/>
      <c r="AG309" s="771"/>
      <c r="AH309" s="771"/>
      <c r="AI309" s="771"/>
    </row>
    <row r="310" spans="15:35" x14ac:dyDescent="0.2">
      <c r="O310" s="100"/>
      <c r="P310" s="100"/>
      <c r="Q310" s="115"/>
      <c r="R310" s="115"/>
      <c r="S310" s="115"/>
      <c r="T310" s="100"/>
      <c r="U310" s="100"/>
      <c r="V310" s="115"/>
      <c r="W310" s="115"/>
      <c r="X310" s="115"/>
      <c r="Y310" s="115"/>
      <c r="Z310" s="115"/>
      <c r="AA310" s="115"/>
      <c r="AB310" s="115"/>
      <c r="AC310" s="115"/>
      <c r="AD310" s="771"/>
      <c r="AE310" s="771"/>
      <c r="AF310" s="771"/>
      <c r="AG310" s="771"/>
      <c r="AH310" s="771"/>
      <c r="AI310" s="771"/>
    </row>
    <row r="311" spans="15:35" x14ac:dyDescent="0.2">
      <c r="O311" s="100"/>
      <c r="P311" s="100"/>
      <c r="Q311" s="115"/>
      <c r="R311" s="115"/>
      <c r="S311" s="115"/>
      <c r="T311" s="100"/>
      <c r="U311" s="100"/>
      <c r="V311" s="115"/>
      <c r="W311" s="115"/>
      <c r="X311" s="115"/>
      <c r="Y311" s="115"/>
      <c r="Z311" s="115"/>
      <c r="AA311" s="115"/>
      <c r="AB311" s="115"/>
      <c r="AC311" s="115"/>
      <c r="AD311" s="771"/>
      <c r="AE311" s="771"/>
      <c r="AF311" s="771"/>
      <c r="AG311" s="771"/>
      <c r="AH311" s="771"/>
      <c r="AI311" s="771"/>
    </row>
    <row r="312" spans="15:35" x14ac:dyDescent="0.2">
      <c r="O312" s="100"/>
      <c r="P312" s="100"/>
      <c r="Q312" s="115"/>
      <c r="R312" s="115"/>
      <c r="S312" s="115"/>
      <c r="T312" s="100"/>
      <c r="U312" s="100"/>
      <c r="V312" s="115"/>
      <c r="W312" s="115"/>
      <c r="X312" s="115"/>
      <c r="Y312" s="115"/>
      <c r="Z312" s="115"/>
      <c r="AA312" s="115"/>
      <c r="AB312" s="115"/>
      <c r="AC312" s="115"/>
      <c r="AD312" s="771"/>
      <c r="AE312" s="771"/>
      <c r="AF312" s="771"/>
      <c r="AG312" s="771"/>
      <c r="AH312" s="771"/>
      <c r="AI312" s="771"/>
    </row>
    <row r="313" spans="15:35" x14ac:dyDescent="0.2">
      <c r="O313" s="100"/>
      <c r="P313" s="100"/>
      <c r="Q313" s="115"/>
      <c r="R313" s="115"/>
      <c r="S313" s="115"/>
      <c r="T313" s="100"/>
      <c r="U313" s="100"/>
      <c r="V313" s="115"/>
      <c r="W313" s="115"/>
      <c r="X313" s="115"/>
      <c r="Y313" s="115"/>
      <c r="Z313" s="115"/>
      <c r="AA313" s="115"/>
      <c r="AB313" s="115"/>
      <c r="AC313" s="115"/>
      <c r="AD313" s="771"/>
      <c r="AE313" s="771"/>
      <c r="AF313" s="771"/>
      <c r="AG313" s="771"/>
      <c r="AH313" s="771"/>
      <c r="AI313" s="771"/>
    </row>
    <row r="314" spans="15:35" x14ac:dyDescent="0.2">
      <c r="O314" s="100"/>
      <c r="P314" s="100"/>
      <c r="Q314" s="115"/>
      <c r="R314" s="115"/>
      <c r="S314" s="115"/>
      <c r="T314" s="100"/>
      <c r="U314" s="100"/>
      <c r="V314" s="115"/>
      <c r="W314" s="115"/>
      <c r="X314" s="115"/>
      <c r="Y314" s="115"/>
      <c r="Z314" s="115"/>
      <c r="AA314" s="115"/>
      <c r="AB314" s="115"/>
      <c r="AC314" s="115"/>
      <c r="AD314" s="771"/>
      <c r="AE314" s="771"/>
      <c r="AF314" s="771"/>
      <c r="AG314" s="771"/>
      <c r="AH314" s="771"/>
      <c r="AI314" s="771"/>
    </row>
    <row r="315" spans="15:35" x14ac:dyDescent="0.2">
      <c r="O315" s="100"/>
      <c r="P315" s="100"/>
      <c r="Q315" s="115"/>
      <c r="R315" s="115"/>
      <c r="S315" s="115"/>
      <c r="T315" s="100"/>
      <c r="U315" s="100"/>
      <c r="V315" s="115"/>
      <c r="W315" s="115"/>
      <c r="X315" s="115"/>
      <c r="Y315" s="115"/>
      <c r="Z315" s="115"/>
      <c r="AA315" s="115"/>
      <c r="AB315" s="115"/>
      <c r="AC315" s="115"/>
      <c r="AD315" s="771"/>
      <c r="AE315" s="771"/>
      <c r="AF315" s="771"/>
      <c r="AG315" s="771"/>
      <c r="AH315" s="771"/>
      <c r="AI315" s="771"/>
    </row>
    <row r="316" spans="15:35" x14ac:dyDescent="0.2">
      <c r="O316" s="100"/>
      <c r="P316" s="100"/>
      <c r="Q316" s="115"/>
      <c r="R316" s="115"/>
      <c r="S316" s="115"/>
      <c r="T316" s="100"/>
      <c r="U316" s="100"/>
      <c r="V316" s="115"/>
      <c r="W316" s="115"/>
      <c r="X316" s="115"/>
      <c r="Y316" s="115"/>
      <c r="Z316" s="115"/>
      <c r="AA316" s="115"/>
      <c r="AB316" s="115"/>
      <c r="AC316" s="115"/>
      <c r="AD316" s="771"/>
      <c r="AE316" s="771"/>
      <c r="AF316" s="771"/>
      <c r="AG316" s="771"/>
      <c r="AH316" s="771"/>
      <c r="AI316" s="771"/>
    </row>
    <row r="317" spans="15:35" x14ac:dyDescent="0.2">
      <c r="O317" s="100"/>
      <c r="P317" s="100"/>
      <c r="Q317" s="115"/>
      <c r="R317" s="115"/>
      <c r="S317" s="115"/>
      <c r="T317" s="100"/>
      <c r="U317" s="100"/>
      <c r="V317" s="115"/>
      <c r="W317" s="115"/>
      <c r="X317" s="115"/>
      <c r="Y317" s="115"/>
      <c r="Z317" s="115"/>
      <c r="AA317" s="115"/>
      <c r="AB317" s="115"/>
      <c r="AC317" s="115"/>
      <c r="AD317" s="771"/>
      <c r="AE317" s="771"/>
      <c r="AF317" s="771"/>
      <c r="AG317" s="771"/>
      <c r="AH317" s="771"/>
      <c r="AI317" s="771"/>
    </row>
    <row r="318" spans="15:35" x14ac:dyDescent="0.2">
      <c r="O318" s="100"/>
      <c r="P318" s="100"/>
      <c r="Q318" s="115"/>
      <c r="R318" s="115"/>
      <c r="S318" s="115"/>
      <c r="T318" s="100"/>
      <c r="U318" s="100"/>
      <c r="V318" s="115"/>
      <c r="W318" s="115"/>
      <c r="X318" s="115"/>
      <c r="Y318" s="115"/>
      <c r="Z318" s="115"/>
      <c r="AA318" s="115"/>
      <c r="AB318" s="115"/>
      <c r="AC318" s="115"/>
      <c r="AD318" s="771"/>
      <c r="AE318" s="771"/>
      <c r="AF318" s="771"/>
      <c r="AG318" s="771"/>
      <c r="AH318" s="771"/>
      <c r="AI318" s="771"/>
    </row>
    <row r="319" spans="15:35" x14ac:dyDescent="0.2">
      <c r="O319" s="100"/>
      <c r="P319" s="100"/>
      <c r="Q319" s="115"/>
      <c r="R319" s="115"/>
      <c r="S319" s="115"/>
      <c r="T319" s="100"/>
      <c r="U319" s="100"/>
      <c r="V319" s="115"/>
      <c r="W319" s="115"/>
      <c r="X319" s="115"/>
      <c r="Y319" s="115"/>
      <c r="Z319" s="115"/>
      <c r="AA319" s="115"/>
      <c r="AB319" s="115"/>
      <c r="AC319" s="115"/>
      <c r="AD319" s="771"/>
      <c r="AE319" s="771"/>
      <c r="AF319" s="771"/>
      <c r="AG319" s="771"/>
      <c r="AH319" s="771"/>
      <c r="AI319" s="771"/>
    </row>
    <row r="320" spans="15:35" x14ac:dyDescent="0.2">
      <c r="O320" s="100"/>
      <c r="P320" s="100"/>
      <c r="Q320" s="115"/>
      <c r="R320" s="115"/>
      <c r="S320" s="115"/>
      <c r="T320" s="100"/>
      <c r="U320" s="100"/>
      <c r="V320" s="115"/>
      <c r="W320" s="115"/>
      <c r="X320" s="115"/>
      <c r="Y320" s="115"/>
      <c r="Z320" s="115"/>
      <c r="AA320" s="115"/>
      <c r="AB320" s="115"/>
      <c r="AC320" s="115"/>
      <c r="AD320" s="771"/>
      <c r="AE320" s="771"/>
      <c r="AF320" s="771"/>
      <c r="AG320" s="771"/>
      <c r="AH320" s="771"/>
      <c r="AI320" s="771"/>
    </row>
    <row r="321" spans="15:35" x14ac:dyDescent="0.2">
      <c r="O321" s="100"/>
      <c r="P321" s="100"/>
      <c r="Q321" s="115"/>
      <c r="R321" s="115"/>
      <c r="S321" s="115"/>
      <c r="T321" s="100"/>
      <c r="U321" s="100"/>
      <c r="V321" s="115"/>
      <c r="W321" s="115"/>
      <c r="X321" s="115"/>
      <c r="Y321" s="115"/>
      <c r="Z321" s="115"/>
      <c r="AA321" s="115"/>
      <c r="AB321" s="115"/>
      <c r="AC321" s="115"/>
      <c r="AD321" s="771"/>
      <c r="AE321" s="771"/>
      <c r="AF321" s="771"/>
      <c r="AG321" s="771"/>
      <c r="AH321" s="771"/>
      <c r="AI321" s="771"/>
    </row>
    <row r="322" spans="15:35" x14ac:dyDescent="0.2">
      <c r="O322" s="100"/>
      <c r="P322" s="100"/>
      <c r="Q322" s="115"/>
      <c r="R322" s="115"/>
      <c r="S322" s="115"/>
      <c r="T322" s="100"/>
      <c r="U322" s="100"/>
      <c r="V322" s="115"/>
      <c r="W322" s="115"/>
      <c r="X322" s="115"/>
      <c r="Y322" s="115"/>
      <c r="Z322" s="115"/>
      <c r="AA322" s="115"/>
      <c r="AB322" s="115"/>
      <c r="AC322" s="115"/>
      <c r="AD322" s="771"/>
      <c r="AE322" s="771"/>
      <c r="AF322" s="771"/>
      <c r="AG322" s="771"/>
      <c r="AH322" s="771"/>
      <c r="AI322" s="771"/>
    </row>
    <row r="323" spans="15:35" x14ac:dyDescent="0.2">
      <c r="O323" s="100"/>
      <c r="P323" s="100"/>
      <c r="Q323" s="115"/>
      <c r="R323" s="115"/>
      <c r="S323" s="115"/>
      <c r="T323" s="100"/>
      <c r="U323" s="100"/>
      <c r="V323" s="115"/>
      <c r="W323" s="115"/>
      <c r="X323" s="115"/>
      <c r="Y323" s="115"/>
      <c r="Z323" s="115"/>
      <c r="AA323" s="115"/>
      <c r="AB323" s="115"/>
      <c r="AC323" s="115"/>
      <c r="AD323" s="771"/>
      <c r="AE323" s="771"/>
      <c r="AF323" s="771"/>
      <c r="AG323" s="771"/>
      <c r="AH323" s="771"/>
      <c r="AI323" s="771"/>
    </row>
    <row r="324" spans="15:35" x14ac:dyDescent="0.2">
      <c r="O324" s="100"/>
      <c r="P324" s="100"/>
      <c r="Q324" s="115"/>
      <c r="R324" s="115"/>
      <c r="S324" s="115"/>
      <c r="T324" s="100"/>
      <c r="U324" s="100"/>
      <c r="V324" s="115"/>
      <c r="W324" s="115"/>
      <c r="X324" s="115"/>
      <c r="Y324" s="115"/>
      <c r="Z324" s="115"/>
      <c r="AA324" s="115"/>
      <c r="AB324" s="115"/>
      <c r="AC324" s="115"/>
      <c r="AD324" s="771"/>
      <c r="AE324" s="771"/>
      <c r="AF324" s="771"/>
      <c r="AG324" s="771"/>
      <c r="AH324" s="771"/>
      <c r="AI324" s="771"/>
    </row>
    <row r="325" spans="15:35" x14ac:dyDescent="0.2">
      <c r="O325" s="100"/>
      <c r="P325" s="100"/>
      <c r="Q325" s="115"/>
      <c r="R325" s="115"/>
      <c r="S325" s="115"/>
      <c r="T325" s="100"/>
      <c r="U325" s="100"/>
      <c r="V325" s="115"/>
      <c r="W325" s="115"/>
      <c r="X325" s="115"/>
      <c r="Y325" s="115"/>
      <c r="Z325" s="115"/>
      <c r="AA325" s="115"/>
      <c r="AB325" s="115"/>
      <c r="AC325" s="115"/>
      <c r="AD325" s="771"/>
      <c r="AE325" s="771"/>
      <c r="AF325" s="771"/>
      <c r="AG325" s="771"/>
      <c r="AH325" s="771"/>
      <c r="AI325" s="771"/>
    </row>
    <row r="326" spans="15:35" x14ac:dyDescent="0.2">
      <c r="O326" s="100"/>
      <c r="P326" s="100"/>
      <c r="Q326" s="115"/>
      <c r="R326" s="115"/>
      <c r="S326" s="115"/>
      <c r="T326" s="100"/>
      <c r="U326" s="100"/>
      <c r="V326" s="115"/>
      <c r="W326" s="115"/>
      <c r="X326" s="115"/>
      <c r="Y326" s="115"/>
      <c r="Z326" s="115"/>
      <c r="AA326" s="115"/>
      <c r="AB326" s="115"/>
      <c r="AC326" s="115"/>
      <c r="AD326" s="771"/>
      <c r="AE326" s="771"/>
      <c r="AF326" s="771"/>
      <c r="AG326" s="771"/>
      <c r="AH326" s="771"/>
      <c r="AI326" s="771"/>
    </row>
    <row r="327" spans="15:35" x14ac:dyDescent="0.2">
      <c r="O327" s="100"/>
      <c r="P327" s="100"/>
      <c r="Q327" s="115"/>
      <c r="R327" s="115"/>
      <c r="S327" s="115"/>
      <c r="T327" s="100"/>
      <c r="U327" s="100"/>
      <c r="V327" s="115"/>
      <c r="W327" s="115"/>
      <c r="X327" s="115"/>
      <c r="Y327" s="115"/>
      <c r="Z327" s="115"/>
      <c r="AA327" s="115"/>
      <c r="AB327" s="115"/>
      <c r="AC327" s="115"/>
      <c r="AD327" s="771"/>
      <c r="AE327" s="771"/>
      <c r="AF327" s="771"/>
      <c r="AG327" s="771"/>
      <c r="AH327" s="771"/>
      <c r="AI327" s="771"/>
    </row>
    <row r="328" spans="15:35" x14ac:dyDescent="0.2">
      <c r="O328" s="100"/>
      <c r="P328" s="100"/>
      <c r="Q328" s="115"/>
      <c r="R328" s="115"/>
      <c r="S328" s="115"/>
      <c r="T328" s="100"/>
      <c r="U328" s="100"/>
      <c r="V328" s="115"/>
      <c r="W328" s="115"/>
      <c r="X328" s="115"/>
      <c r="Y328" s="115"/>
      <c r="Z328" s="115"/>
      <c r="AA328" s="115"/>
      <c r="AB328" s="115"/>
      <c r="AC328" s="115"/>
      <c r="AD328" s="771"/>
      <c r="AE328" s="771"/>
      <c r="AF328" s="771"/>
      <c r="AG328" s="771"/>
      <c r="AH328" s="771"/>
      <c r="AI328" s="771"/>
    </row>
    <row r="329" spans="15:35" x14ac:dyDescent="0.2">
      <c r="O329" s="100"/>
      <c r="P329" s="100"/>
      <c r="Q329" s="115"/>
      <c r="R329" s="115"/>
      <c r="S329" s="115"/>
      <c r="T329" s="100"/>
      <c r="U329" s="100"/>
      <c r="V329" s="115"/>
      <c r="W329" s="115"/>
      <c r="X329" s="115"/>
      <c r="Y329" s="115"/>
      <c r="Z329" s="115"/>
      <c r="AA329" s="115"/>
      <c r="AB329" s="115"/>
      <c r="AC329" s="115"/>
      <c r="AD329" s="771"/>
      <c r="AE329" s="771"/>
      <c r="AF329" s="771"/>
      <c r="AG329" s="771"/>
      <c r="AH329" s="771"/>
      <c r="AI329" s="771"/>
    </row>
    <row r="330" spans="15:35" x14ac:dyDescent="0.2">
      <c r="O330" s="100"/>
      <c r="P330" s="100"/>
      <c r="Q330" s="115"/>
      <c r="R330" s="115"/>
      <c r="S330" s="115"/>
      <c r="T330" s="100"/>
      <c r="U330" s="100"/>
      <c r="V330" s="115"/>
      <c r="W330" s="115"/>
      <c r="X330" s="115"/>
      <c r="Y330" s="115"/>
      <c r="Z330" s="115"/>
      <c r="AA330" s="115"/>
      <c r="AB330" s="115"/>
      <c r="AC330" s="115"/>
      <c r="AD330" s="771"/>
      <c r="AE330" s="771"/>
      <c r="AF330" s="771"/>
      <c r="AG330" s="771"/>
      <c r="AH330" s="771"/>
      <c r="AI330" s="771"/>
    </row>
    <row r="331" spans="15:35" x14ac:dyDescent="0.2">
      <c r="O331" s="100"/>
      <c r="P331" s="100"/>
      <c r="Q331" s="115"/>
      <c r="R331" s="115"/>
      <c r="S331" s="115"/>
      <c r="T331" s="100"/>
      <c r="U331" s="100"/>
      <c r="V331" s="115"/>
      <c r="W331" s="115"/>
      <c r="X331" s="115"/>
      <c r="Y331" s="115"/>
      <c r="Z331" s="115"/>
      <c r="AA331" s="115"/>
      <c r="AB331" s="115"/>
      <c r="AC331" s="115"/>
      <c r="AD331" s="771"/>
      <c r="AE331" s="771"/>
      <c r="AF331" s="771"/>
      <c r="AG331" s="771"/>
      <c r="AH331" s="771"/>
      <c r="AI331" s="771"/>
    </row>
    <row r="332" spans="15:35" x14ac:dyDescent="0.2">
      <c r="O332" s="100"/>
      <c r="P332" s="100"/>
      <c r="Q332" s="115"/>
      <c r="R332" s="115"/>
      <c r="S332" s="115"/>
      <c r="T332" s="100"/>
      <c r="U332" s="100"/>
      <c r="V332" s="115"/>
      <c r="W332" s="115"/>
      <c r="X332" s="115"/>
      <c r="Y332" s="115"/>
      <c r="Z332" s="115"/>
      <c r="AA332" s="115"/>
      <c r="AB332" s="115"/>
      <c r="AC332" s="115"/>
      <c r="AD332" s="771"/>
      <c r="AE332" s="771"/>
      <c r="AF332" s="771"/>
      <c r="AG332" s="771"/>
      <c r="AH332" s="771"/>
      <c r="AI332" s="771"/>
    </row>
    <row r="333" spans="15:35" x14ac:dyDescent="0.2">
      <c r="O333" s="100"/>
      <c r="P333" s="100"/>
      <c r="Q333" s="115"/>
      <c r="R333" s="115"/>
      <c r="S333" s="115"/>
      <c r="T333" s="100"/>
      <c r="U333" s="100"/>
      <c r="V333" s="115"/>
      <c r="W333" s="115"/>
      <c r="X333" s="115"/>
      <c r="Y333" s="115"/>
      <c r="Z333" s="115"/>
      <c r="AA333" s="115"/>
      <c r="AB333" s="115"/>
      <c r="AC333" s="115"/>
      <c r="AD333" s="771"/>
      <c r="AE333" s="771"/>
      <c r="AF333" s="771"/>
      <c r="AG333" s="771"/>
      <c r="AH333" s="771"/>
      <c r="AI333" s="771"/>
    </row>
    <row r="334" spans="15:35" x14ac:dyDescent="0.2">
      <c r="O334" s="100"/>
      <c r="P334" s="100"/>
      <c r="Q334" s="115"/>
      <c r="R334" s="115"/>
      <c r="S334" s="115"/>
      <c r="T334" s="100"/>
      <c r="U334" s="100"/>
      <c r="V334" s="115"/>
      <c r="W334" s="115"/>
      <c r="X334" s="115"/>
      <c r="Y334" s="115"/>
      <c r="Z334" s="115"/>
      <c r="AA334" s="115"/>
      <c r="AB334" s="115"/>
      <c r="AC334" s="115"/>
      <c r="AD334" s="771"/>
      <c r="AE334" s="771"/>
      <c r="AF334" s="771"/>
      <c r="AG334" s="771"/>
      <c r="AH334" s="771"/>
      <c r="AI334" s="771"/>
    </row>
    <row r="335" spans="15:35" x14ac:dyDescent="0.2">
      <c r="O335" s="100"/>
      <c r="P335" s="100"/>
      <c r="Q335" s="115"/>
      <c r="R335" s="115"/>
      <c r="S335" s="115"/>
      <c r="T335" s="100"/>
      <c r="U335" s="100"/>
      <c r="V335" s="115"/>
      <c r="W335" s="115"/>
      <c r="X335" s="115"/>
      <c r="Y335" s="115"/>
      <c r="Z335" s="115"/>
      <c r="AA335" s="115"/>
      <c r="AB335" s="115"/>
      <c r="AC335" s="115"/>
      <c r="AD335" s="771"/>
      <c r="AE335" s="771"/>
      <c r="AF335" s="771"/>
      <c r="AG335" s="771"/>
      <c r="AH335" s="771"/>
      <c r="AI335" s="771"/>
    </row>
    <row r="336" spans="15:35" x14ac:dyDescent="0.2">
      <c r="O336" s="100"/>
      <c r="P336" s="100"/>
      <c r="Q336" s="115"/>
      <c r="R336" s="115"/>
      <c r="S336" s="115"/>
      <c r="T336" s="100"/>
      <c r="U336" s="100"/>
      <c r="V336" s="115"/>
      <c r="W336" s="115"/>
      <c r="X336" s="115"/>
      <c r="Y336" s="115"/>
      <c r="Z336" s="115"/>
      <c r="AA336" s="115"/>
      <c r="AB336" s="115"/>
      <c r="AC336" s="115"/>
      <c r="AD336" s="771"/>
      <c r="AE336" s="771"/>
      <c r="AF336" s="771"/>
      <c r="AG336" s="771"/>
      <c r="AH336" s="771"/>
      <c r="AI336" s="771"/>
    </row>
    <row r="337" spans="15:35" x14ac:dyDescent="0.2">
      <c r="O337" s="100"/>
      <c r="P337" s="100"/>
      <c r="Q337" s="115"/>
      <c r="R337" s="115"/>
      <c r="S337" s="115"/>
      <c r="T337" s="100"/>
      <c r="U337" s="100"/>
      <c r="V337" s="115"/>
      <c r="W337" s="115"/>
      <c r="X337" s="115"/>
      <c r="Y337" s="115"/>
      <c r="Z337" s="115"/>
      <c r="AA337" s="115"/>
      <c r="AB337" s="115"/>
      <c r="AC337" s="115"/>
      <c r="AD337" s="771"/>
      <c r="AE337" s="771"/>
      <c r="AF337" s="771"/>
      <c r="AG337" s="771"/>
      <c r="AH337" s="771"/>
      <c r="AI337" s="771"/>
    </row>
    <row r="338" spans="15:35" x14ac:dyDescent="0.2">
      <c r="O338" s="100"/>
      <c r="P338" s="100"/>
      <c r="Q338" s="115"/>
      <c r="R338" s="115"/>
      <c r="S338" s="115"/>
      <c r="T338" s="100"/>
      <c r="U338" s="100"/>
      <c r="V338" s="115"/>
      <c r="W338" s="115"/>
      <c r="X338" s="115"/>
      <c r="Y338" s="115"/>
      <c r="Z338" s="115"/>
      <c r="AA338" s="115"/>
      <c r="AB338" s="115"/>
      <c r="AC338" s="115"/>
      <c r="AD338" s="771"/>
      <c r="AE338" s="771"/>
      <c r="AF338" s="771"/>
      <c r="AG338" s="771"/>
      <c r="AH338" s="771"/>
      <c r="AI338" s="771"/>
    </row>
    <row r="339" spans="15:35" x14ac:dyDescent="0.2">
      <c r="O339" s="100"/>
      <c r="P339" s="100"/>
      <c r="Q339" s="115"/>
      <c r="R339" s="115"/>
      <c r="S339" s="115"/>
      <c r="T339" s="100"/>
      <c r="U339" s="100"/>
      <c r="V339" s="115"/>
      <c r="W339" s="115"/>
      <c r="X339" s="115"/>
      <c r="Y339" s="115"/>
      <c r="Z339" s="115"/>
      <c r="AA339" s="115"/>
      <c r="AB339" s="115"/>
      <c r="AC339" s="115"/>
      <c r="AD339" s="771"/>
      <c r="AE339" s="771"/>
      <c r="AF339" s="771"/>
      <c r="AG339" s="771"/>
      <c r="AH339" s="771"/>
      <c r="AI339" s="771"/>
    </row>
    <row r="340" spans="15:35" x14ac:dyDescent="0.2">
      <c r="O340" s="100"/>
      <c r="P340" s="100"/>
      <c r="Q340" s="115"/>
      <c r="R340" s="115"/>
      <c r="S340" s="115"/>
      <c r="T340" s="100"/>
      <c r="U340" s="100"/>
      <c r="V340" s="115"/>
      <c r="W340" s="115"/>
      <c r="X340" s="115"/>
      <c r="Y340" s="115"/>
      <c r="Z340" s="115"/>
      <c r="AA340" s="115"/>
      <c r="AB340" s="115"/>
      <c r="AC340" s="115"/>
      <c r="AD340" s="771"/>
      <c r="AE340" s="771"/>
      <c r="AF340" s="771"/>
      <c r="AG340" s="771"/>
      <c r="AH340" s="771"/>
      <c r="AI340" s="771"/>
    </row>
    <row r="341" spans="15:35" x14ac:dyDescent="0.2">
      <c r="O341" s="100"/>
      <c r="P341" s="100"/>
      <c r="Q341" s="115"/>
      <c r="R341" s="115"/>
      <c r="S341" s="115"/>
      <c r="T341" s="100"/>
      <c r="U341" s="100"/>
      <c r="V341" s="115"/>
      <c r="W341" s="115"/>
      <c r="X341" s="115"/>
      <c r="Y341" s="115"/>
      <c r="Z341" s="115"/>
      <c r="AA341" s="115"/>
      <c r="AB341" s="115"/>
      <c r="AC341" s="115"/>
      <c r="AD341" s="771"/>
      <c r="AE341" s="771"/>
      <c r="AF341" s="771"/>
      <c r="AG341" s="771"/>
      <c r="AH341" s="771"/>
      <c r="AI341" s="771"/>
    </row>
    <row r="342" spans="15:35" x14ac:dyDescent="0.2">
      <c r="O342" s="100"/>
      <c r="P342" s="100"/>
      <c r="Q342" s="115"/>
      <c r="R342" s="115"/>
      <c r="S342" s="115"/>
      <c r="T342" s="100"/>
      <c r="U342" s="100"/>
      <c r="V342" s="115"/>
      <c r="W342" s="115"/>
      <c r="X342" s="115"/>
      <c r="Y342" s="115"/>
      <c r="Z342" s="115"/>
      <c r="AA342" s="115"/>
      <c r="AB342" s="115"/>
      <c r="AC342" s="115"/>
      <c r="AD342" s="771"/>
      <c r="AE342" s="771"/>
      <c r="AF342" s="771"/>
      <c r="AG342" s="771"/>
      <c r="AH342" s="771"/>
      <c r="AI342" s="771"/>
    </row>
    <row r="343" spans="15:35" x14ac:dyDescent="0.2">
      <c r="O343" s="100"/>
      <c r="P343" s="100"/>
      <c r="Q343" s="115"/>
      <c r="R343" s="115"/>
      <c r="S343" s="115"/>
      <c r="T343" s="100"/>
      <c r="U343" s="100"/>
      <c r="V343" s="115"/>
      <c r="W343" s="115"/>
      <c r="X343" s="115"/>
      <c r="Y343" s="115"/>
      <c r="Z343" s="115"/>
      <c r="AA343" s="115"/>
      <c r="AB343" s="115"/>
      <c r="AC343" s="115"/>
      <c r="AD343" s="771"/>
      <c r="AE343" s="771"/>
      <c r="AF343" s="771"/>
      <c r="AG343" s="771"/>
      <c r="AH343" s="771"/>
      <c r="AI343" s="771"/>
    </row>
    <row r="344" spans="15:35" x14ac:dyDescent="0.2">
      <c r="O344" s="100"/>
      <c r="P344" s="100"/>
      <c r="Q344" s="115"/>
      <c r="R344" s="115"/>
      <c r="S344" s="115"/>
      <c r="T344" s="100"/>
      <c r="U344" s="100"/>
      <c r="V344" s="115"/>
      <c r="W344" s="115"/>
      <c r="X344" s="115"/>
      <c r="Y344" s="115"/>
      <c r="Z344" s="115"/>
      <c r="AA344" s="115"/>
      <c r="AB344" s="115"/>
      <c r="AC344" s="115"/>
      <c r="AD344" s="771"/>
      <c r="AE344" s="771"/>
      <c r="AF344" s="771"/>
      <c r="AG344" s="771"/>
      <c r="AH344" s="771"/>
      <c r="AI344" s="771"/>
    </row>
    <row r="345" spans="15:35" x14ac:dyDescent="0.2">
      <c r="O345" s="100"/>
      <c r="P345" s="100"/>
      <c r="Q345" s="115"/>
      <c r="R345" s="115"/>
      <c r="S345" s="115"/>
      <c r="T345" s="100"/>
      <c r="U345" s="100"/>
      <c r="V345" s="115"/>
      <c r="W345" s="115"/>
      <c r="X345" s="115"/>
      <c r="Y345" s="115"/>
      <c r="Z345" s="115"/>
      <c r="AA345" s="115"/>
      <c r="AB345" s="115"/>
      <c r="AC345" s="115"/>
      <c r="AD345" s="771"/>
      <c r="AE345" s="771"/>
      <c r="AF345" s="771"/>
      <c r="AG345" s="771"/>
      <c r="AH345" s="771"/>
      <c r="AI345" s="771"/>
    </row>
    <row r="346" spans="15:35" x14ac:dyDescent="0.2">
      <c r="O346" s="100"/>
      <c r="P346" s="100"/>
      <c r="Q346" s="115"/>
      <c r="R346" s="115"/>
      <c r="S346" s="115"/>
      <c r="T346" s="100"/>
      <c r="U346" s="100"/>
      <c r="V346" s="115"/>
      <c r="W346" s="115"/>
      <c r="X346" s="115"/>
      <c r="Y346" s="115"/>
      <c r="Z346" s="115"/>
      <c r="AA346" s="115"/>
      <c r="AB346" s="115"/>
      <c r="AC346" s="115"/>
      <c r="AD346" s="771"/>
      <c r="AE346" s="771"/>
      <c r="AF346" s="771"/>
      <c r="AG346" s="771"/>
      <c r="AH346" s="771"/>
      <c r="AI346" s="771"/>
    </row>
    <row r="347" spans="15:35" x14ac:dyDescent="0.2">
      <c r="O347" s="100"/>
      <c r="P347" s="100"/>
      <c r="Q347" s="115"/>
      <c r="R347" s="115"/>
      <c r="S347" s="115"/>
      <c r="T347" s="100"/>
      <c r="U347" s="100"/>
      <c r="V347" s="115"/>
      <c r="W347" s="115"/>
      <c r="X347" s="115"/>
      <c r="Y347" s="115"/>
      <c r="Z347" s="115"/>
      <c r="AA347" s="115"/>
      <c r="AB347" s="115"/>
      <c r="AC347" s="115"/>
      <c r="AD347" s="771"/>
      <c r="AE347" s="771"/>
      <c r="AF347" s="771"/>
      <c r="AG347" s="771"/>
      <c r="AH347" s="771"/>
      <c r="AI347" s="771"/>
    </row>
    <row r="348" spans="15:35" x14ac:dyDescent="0.2">
      <c r="O348" s="100"/>
      <c r="P348" s="100"/>
      <c r="Q348" s="115"/>
      <c r="R348" s="115"/>
      <c r="S348" s="115"/>
      <c r="T348" s="100"/>
      <c r="U348" s="100"/>
      <c r="V348" s="115"/>
      <c r="W348" s="115"/>
      <c r="X348" s="115"/>
      <c r="Y348" s="115"/>
      <c r="Z348" s="115"/>
      <c r="AA348" s="115"/>
      <c r="AB348" s="115"/>
      <c r="AC348" s="115"/>
      <c r="AD348" s="771"/>
      <c r="AE348" s="771"/>
      <c r="AF348" s="771"/>
      <c r="AG348" s="771"/>
      <c r="AH348" s="771"/>
      <c r="AI348" s="771"/>
    </row>
    <row r="349" spans="15:35" x14ac:dyDescent="0.2">
      <c r="O349" s="100"/>
      <c r="P349" s="100"/>
      <c r="Q349" s="115"/>
      <c r="R349" s="115"/>
      <c r="S349" s="115"/>
      <c r="T349" s="100"/>
      <c r="U349" s="100"/>
      <c r="V349" s="115"/>
      <c r="W349" s="115"/>
      <c r="X349" s="115"/>
      <c r="Y349" s="115"/>
      <c r="Z349" s="115"/>
      <c r="AA349" s="115"/>
      <c r="AB349" s="115"/>
      <c r="AC349" s="115"/>
      <c r="AD349" s="771"/>
      <c r="AE349" s="771"/>
      <c r="AF349" s="771"/>
      <c r="AG349" s="771"/>
      <c r="AH349" s="771"/>
      <c r="AI349" s="771"/>
    </row>
    <row r="350" spans="15:35" x14ac:dyDescent="0.2">
      <c r="O350" s="100"/>
      <c r="P350" s="100"/>
      <c r="Q350" s="115"/>
      <c r="R350" s="115"/>
      <c r="S350" s="115"/>
      <c r="T350" s="100"/>
      <c r="U350" s="100"/>
      <c r="V350" s="115"/>
      <c r="W350" s="115"/>
      <c r="X350" s="115"/>
      <c r="Y350" s="115"/>
      <c r="Z350" s="115"/>
      <c r="AA350" s="115"/>
      <c r="AB350" s="115"/>
      <c r="AC350" s="115"/>
      <c r="AD350" s="771"/>
      <c r="AE350" s="771"/>
      <c r="AF350" s="771"/>
      <c r="AG350" s="771"/>
      <c r="AH350" s="771"/>
      <c r="AI350" s="771"/>
    </row>
    <row r="351" spans="15:35" x14ac:dyDescent="0.2">
      <c r="O351" s="100"/>
      <c r="P351" s="100"/>
      <c r="Q351" s="115"/>
      <c r="R351" s="115"/>
      <c r="S351" s="115"/>
      <c r="T351" s="100"/>
      <c r="U351" s="100"/>
      <c r="V351" s="115"/>
      <c r="W351" s="115"/>
      <c r="X351" s="115"/>
      <c r="Y351" s="115"/>
      <c r="Z351" s="115"/>
      <c r="AA351" s="115"/>
      <c r="AB351" s="115"/>
      <c r="AC351" s="115"/>
      <c r="AD351" s="771"/>
      <c r="AE351" s="771"/>
      <c r="AF351" s="771"/>
      <c r="AG351" s="771"/>
      <c r="AH351" s="771"/>
      <c r="AI351" s="771"/>
    </row>
    <row r="352" spans="15:35" x14ac:dyDescent="0.2">
      <c r="O352" s="100"/>
      <c r="P352" s="100"/>
      <c r="Q352" s="115"/>
      <c r="R352" s="115"/>
      <c r="S352" s="115"/>
      <c r="T352" s="100"/>
      <c r="U352" s="100"/>
      <c r="V352" s="115"/>
      <c r="W352" s="115"/>
      <c r="X352" s="115"/>
      <c r="Y352" s="115"/>
      <c r="Z352" s="115"/>
      <c r="AA352" s="115"/>
      <c r="AB352" s="115"/>
      <c r="AC352" s="115"/>
      <c r="AD352" s="771"/>
      <c r="AE352" s="771"/>
      <c r="AF352" s="771"/>
      <c r="AG352" s="771"/>
      <c r="AH352" s="771"/>
      <c r="AI352" s="771"/>
    </row>
    <row r="353" spans="15:35" x14ac:dyDescent="0.2">
      <c r="O353" s="100"/>
      <c r="P353" s="100"/>
      <c r="Q353" s="115"/>
      <c r="R353" s="115"/>
      <c r="S353" s="115"/>
      <c r="T353" s="100"/>
      <c r="U353" s="100"/>
      <c r="V353" s="115"/>
      <c r="W353" s="115"/>
      <c r="X353" s="115"/>
      <c r="Y353" s="115"/>
      <c r="Z353" s="115"/>
      <c r="AA353" s="115"/>
      <c r="AB353" s="115"/>
      <c r="AC353" s="115"/>
      <c r="AD353" s="771"/>
      <c r="AE353" s="771"/>
      <c r="AF353" s="771"/>
      <c r="AG353" s="771"/>
      <c r="AH353" s="771"/>
      <c r="AI353" s="771"/>
    </row>
    <row r="354" spans="15:35" x14ac:dyDescent="0.2">
      <c r="O354" s="100"/>
      <c r="P354" s="100"/>
      <c r="Q354" s="115"/>
      <c r="R354" s="115"/>
      <c r="S354" s="115"/>
      <c r="T354" s="100"/>
      <c r="U354" s="100"/>
      <c r="V354" s="115"/>
      <c r="W354" s="115"/>
      <c r="X354" s="115"/>
      <c r="Y354" s="115"/>
      <c r="Z354" s="115"/>
      <c r="AA354" s="115"/>
      <c r="AB354" s="115"/>
      <c r="AC354" s="115"/>
      <c r="AD354" s="771"/>
      <c r="AE354" s="771"/>
      <c r="AF354" s="771"/>
      <c r="AG354" s="771"/>
      <c r="AH354" s="771"/>
      <c r="AI354" s="771"/>
    </row>
    <row r="355" spans="15:35" x14ac:dyDescent="0.2">
      <c r="O355" s="100"/>
      <c r="P355" s="100"/>
      <c r="Q355" s="115"/>
      <c r="R355" s="115"/>
      <c r="S355" s="115"/>
      <c r="T355" s="100"/>
      <c r="U355" s="100"/>
      <c r="V355" s="115"/>
      <c r="W355" s="115"/>
      <c r="X355" s="115"/>
      <c r="Y355" s="115"/>
      <c r="Z355" s="115"/>
      <c r="AA355" s="115"/>
      <c r="AB355" s="115"/>
      <c r="AC355" s="115"/>
      <c r="AD355" s="771"/>
      <c r="AE355" s="771"/>
      <c r="AF355" s="771"/>
      <c r="AG355" s="771"/>
      <c r="AH355" s="771"/>
      <c r="AI355" s="771"/>
    </row>
    <row r="356" spans="15:35" x14ac:dyDescent="0.2">
      <c r="O356" s="100"/>
      <c r="P356" s="100"/>
      <c r="Q356" s="115"/>
      <c r="R356" s="115"/>
      <c r="S356" s="115"/>
      <c r="T356" s="100"/>
      <c r="U356" s="100"/>
      <c r="V356" s="115"/>
      <c r="W356" s="115"/>
      <c r="X356" s="115"/>
      <c r="Y356" s="115"/>
      <c r="Z356" s="115"/>
      <c r="AA356" s="115"/>
      <c r="AB356" s="115"/>
      <c r="AC356" s="115"/>
      <c r="AD356" s="771"/>
      <c r="AE356" s="771"/>
      <c r="AF356" s="771"/>
      <c r="AG356" s="771"/>
      <c r="AH356" s="771"/>
      <c r="AI356" s="771"/>
    </row>
    <row r="357" spans="15:35" x14ac:dyDescent="0.2">
      <c r="O357" s="100"/>
      <c r="P357" s="100"/>
      <c r="Q357" s="115"/>
      <c r="R357" s="115"/>
      <c r="S357" s="115"/>
      <c r="T357" s="100"/>
      <c r="U357" s="100"/>
      <c r="V357" s="115"/>
      <c r="W357" s="115"/>
      <c r="X357" s="115"/>
      <c r="Y357" s="115"/>
      <c r="Z357" s="115"/>
      <c r="AA357" s="115"/>
      <c r="AB357" s="115"/>
      <c r="AC357" s="115"/>
      <c r="AD357" s="771"/>
      <c r="AE357" s="771"/>
      <c r="AF357" s="771"/>
      <c r="AG357" s="771"/>
      <c r="AH357" s="771"/>
      <c r="AI357" s="771"/>
    </row>
    <row r="358" spans="15:35" x14ac:dyDescent="0.2">
      <c r="O358" s="100"/>
      <c r="P358" s="100"/>
      <c r="Q358" s="115"/>
      <c r="R358" s="115"/>
      <c r="S358" s="115"/>
      <c r="T358" s="100"/>
      <c r="U358" s="100"/>
      <c r="V358" s="115"/>
      <c r="W358" s="115"/>
      <c r="X358" s="115"/>
      <c r="Y358" s="115"/>
      <c r="Z358" s="115"/>
      <c r="AA358" s="115"/>
      <c r="AB358" s="115"/>
      <c r="AC358" s="115"/>
      <c r="AD358" s="771"/>
      <c r="AE358" s="771"/>
      <c r="AF358" s="771"/>
      <c r="AG358" s="771"/>
      <c r="AH358" s="771"/>
      <c r="AI358" s="771"/>
    </row>
    <row r="359" spans="15:35" x14ac:dyDescent="0.2">
      <c r="O359" s="100"/>
      <c r="P359" s="100"/>
      <c r="Q359" s="115"/>
      <c r="R359" s="115"/>
      <c r="S359" s="115"/>
      <c r="T359" s="100"/>
      <c r="U359" s="100"/>
      <c r="V359" s="115"/>
      <c r="W359" s="115"/>
      <c r="X359" s="115"/>
      <c r="Y359" s="115"/>
      <c r="Z359" s="115"/>
      <c r="AA359" s="115"/>
      <c r="AB359" s="115"/>
      <c r="AC359" s="115"/>
      <c r="AD359" s="771"/>
      <c r="AE359" s="771"/>
      <c r="AF359" s="771"/>
      <c r="AG359" s="771"/>
      <c r="AH359" s="771"/>
      <c r="AI359" s="771"/>
    </row>
    <row r="360" spans="15:35" x14ac:dyDescent="0.2">
      <c r="O360" s="100"/>
      <c r="P360" s="100"/>
      <c r="Q360" s="115"/>
      <c r="R360" s="115"/>
      <c r="S360" s="115"/>
      <c r="T360" s="100"/>
      <c r="U360" s="100"/>
      <c r="V360" s="115"/>
      <c r="W360" s="115"/>
      <c r="X360" s="115"/>
      <c r="Y360" s="115"/>
      <c r="Z360" s="115"/>
      <c r="AA360" s="115"/>
      <c r="AB360" s="115"/>
      <c r="AC360" s="115"/>
      <c r="AD360" s="771"/>
      <c r="AE360" s="771"/>
      <c r="AF360" s="771"/>
      <c r="AG360" s="771"/>
      <c r="AH360" s="771"/>
      <c r="AI360" s="771"/>
    </row>
    <row r="361" spans="15:35" x14ac:dyDescent="0.2">
      <c r="O361" s="100"/>
      <c r="P361" s="100"/>
      <c r="Q361" s="115"/>
      <c r="R361" s="115"/>
      <c r="S361" s="115"/>
      <c r="T361" s="100"/>
      <c r="U361" s="100"/>
      <c r="V361" s="115"/>
      <c r="W361" s="115"/>
      <c r="X361" s="115"/>
      <c r="Y361" s="115"/>
      <c r="Z361" s="115"/>
      <c r="AA361" s="115"/>
      <c r="AB361" s="115"/>
      <c r="AC361" s="115"/>
      <c r="AD361" s="771"/>
      <c r="AE361" s="771"/>
      <c r="AF361" s="771"/>
      <c r="AG361" s="771"/>
      <c r="AH361" s="771"/>
      <c r="AI361" s="771"/>
    </row>
    <row r="362" spans="15:35" x14ac:dyDescent="0.2">
      <c r="O362" s="100"/>
      <c r="P362" s="100"/>
      <c r="Q362" s="115"/>
      <c r="R362" s="115"/>
      <c r="S362" s="115"/>
      <c r="T362" s="100"/>
      <c r="U362" s="100"/>
      <c r="V362" s="115"/>
      <c r="W362" s="115"/>
      <c r="X362" s="115"/>
      <c r="Y362" s="115"/>
      <c r="Z362" s="115"/>
      <c r="AA362" s="115"/>
      <c r="AB362" s="115"/>
      <c r="AC362" s="115"/>
      <c r="AD362" s="771"/>
      <c r="AE362" s="771"/>
      <c r="AF362" s="771"/>
      <c r="AG362" s="771"/>
      <c r="AH362" s="771"/>
      <c r="AI362" s="771"/>
    </row>
    <row r="363" spans="15:35" x14ac:dyDescent="0.2">
      <c r="O363" s="100"/>
      <c r="P363" s="100"/>
      <c r="Q363" s="115"/>
      <c r="R363" s="115"/>
      <c r="S363" s="115"/>
      <c r="T363" s="100"/>
      <c r="U363" s="100"/>
      <c r="V363" s="115"/>
      <c r="W363" s="115"/>
      <c r="X363" s="115"/>
      <c r="Y363" s="115"/>
      <c r="Z363" s="115"/>
      <c r="AA363" s="115"/>
      <c r="AB363" s="115"/>
      <c r="AC363" s="115"/>
      <c r="AD363" s="771"/>
      <c r="AE363" s="771"/>
      <c r="AF363" s="771"/>
      <c r="AG363" s="771"/>
      <c r="AH363" s="771"/>
      <c r="AI363" s="771"/>
    </row>
    <row r="364" spans="15:35" x14ac:dyDescent="0.2">
      <c r="O364" s="100"/>
      <c r="P364" s="100"/>
      <c r="Q364" s="115"/>
      <c r="R364" s="115"/>
      <c r="S364" s="115"/>
      <c r="T364" s="100"/>
      <c r="U364" s="100"/>
      <c r="V364" s="115"/>
      <c r="W364" s="115"/>
      <c r="X364" s="115"/>
      <c r="Y364" s="115"/>
      <c r="Z364" s="115"/>
      <c r="AA364" s="115"/>
      <c r="AB364" s="115"/>
      <c r="AC364" s="115"/>
      <c r="AD364" s="771"/>
      <c r="AE364" s="771"/>
      <c r="AF364" s="771"/>
      <c r="AG364" s="771"/>
      <c r="AH364" s="771"/>
      <c r="AI364" s="771"/>
    </row>
    <row r="365" spans="15:35" x14ac:dyDescent="0.2">
      <c r="O365" s="100"/>
      <c r="P365" s="100"/>
      <c r="Q365" s="115"/>
      <c r="R365" s="115"/>
      <c r="S365" s="115"/>
      <c r="T365" s="100"/>
      <c r="U365" s="100"/>
      <c r="V365" s="115"/>
      <c r="W365" s="115"/>
      <c r="X365" s="115"/>
      <c r="Y365" s="115"/>
      <c r="Z365" s="115"/>
      <c r="AA365" s="115"/>
      <c r="AB365" s="115"/>
      <c r="AC365" s="115"/>
      <c r="AD365" s="771"/>
      <c r="AE365" s="771"/>
      <c r="AF365" s="771"/>
      <c r="AG365" s="771"/>
      <c r="AH365" s="771"/>
      <c r="AI365" s="771"/>
    </row>
    <row r="366" spans="15:35" x14ac:dyDescent="0.2">
      <c r="O366" s="100"/>
      <c r="P366" s="100"/>
      <c r="Q366" s="115"/>
      <c r="R366" s="115"/>
      <c r="S366" s="115"/>
      <c r="T366" s="100"/>
      <c r="U366" s="100"/>
      <c r="V366" s="115"/>
      <c r="W366" s="115"/>
      <c r="X366" s="115"/>
      <c r="Y366" s="115"/>
      <c r="Z366" s="115"/>
      <c r="AA366" s="115"/>
      <c r="AB366" s="115"/>
      <c r="AC366" s="115"/>
      <c r="AD366" s="771"/>
      <c r="AE366" s="771"/>
      <c r="AF366" s="771"/>
      <c r="AG366" s="771"/>
      <c r="AH366" s="771"/>
      <c r="AI366" s="771"/>
    </row>
    <row r="367" spans="15:35" x14ac:dyDescent="0.2">
      <c r="O367" s="100"/>
      <c r="P367" s="100"/>
      <c r="Q367" s="115"/>
      <c r="R367" s="115"/>
      <c r="S367" s="115"/>
      <c r="T367" s="100"/>
      <c r="U367" s="100"/>
      <c r="V367" s="115"/>
      <c r="W367" s="115"/>
      <c r="X367" s="115"/>
      <c r="Y367" s="115"/>
      <c r="Z367" s="115"/>
      <c r="AA367" s="115"/>
      <c r="AB367" s="115"/>
      <c r="AC367" s="115"/>
      <c r="AD367" s="771"/>
      <c r="AE367" s="771"/>
      <c r="AF367" s="771"/>
      <c r="AG367" s="771"/>
      <c r="AH367" s="771"/>
      <c r="AI367" s="771"/>
    </row>
    <row r="368" spans="15:35" x14ac:dyDescent="0.2">
      <c r="O368" s="100"/>
      <c r="P368" s="100"/>
      <c r="Q368" s="115"/>
      <c r="R368" s="115"/>
      <c r="S368" s="115"/>
      <c r="T368" s="100"/>
      <c r="U368" s="100"/>
      <c r="V368" s="115"/>
      <c r="W368" s="115"/>
      <c r="X368" s="115"/>
      <c r="Y368" s="115"/>
      <c r="Z368" s="115"/>
      <c r="AA368" s="115"/>
      <c r="AB368" s="115"/>
      <c r="AC368" s="115"/>
      <c r="AD368" s="771"/>
      <c r="AE368" s="771"/>
      <c r="AF368" s="771"/>
      <c r="AG368" s="771"/>
      <c r="AH368" s="771"/>
      <c r="AI368" s="771"/>
    </row>
    <row r="369" spans="15:35" x14ac:dyDescent="0.2">
      <c r="O369" s="100"/>
      <c r="P369" s="100"/>
      <c r="Q369" s="115"/>
      <c r="R369" s="115"/>
      <c r="S369" s="115"/>
      <c r="T369" s="100"/>
      <c r="U369" s="100"/>
      <c r="V369" s="115"/>
      <c r="W369" s="115"/>
      <c r="X369" s="115"/>
      <c r="Y369" s="115"/>
      <c r="Z369" s="115"/>
      <c r="AA369" s="115"/>
      <c r="AB369" s="115"/>
      <c r="AC369" s="115"/>
      <c r="AD369" s="771"/>
      <c r="AE369" s="771"/>
      <c r="AF369" s="771"/>
      <c r="AG369" s="771"/>
      <c r="AH369" s="771"/>
      <c r="AI369" s="771"/>
    </row>
    <row r="370" spans="15:35" x14ac:dyDescent="0.2">
      <c r="O370" s="100"/>
      <c r="P370" s="100"/>
      <c r="Q370" s="115"/>
      <c r="R370" s="115"/>
      <c r="S370" s="115"/>
      <c r="T370" s="100"/>
      <c r="U370" s="100"/>
      <c r="V370" s="115"/>
      <c r="W370" s="115"/>
      <c r="X370" s="115"/>
      <c r="Y370" s="115"/>
      <c r="Z370" s="115"/>
      <c r="AA370" s="115"/>
      <c r="AB370" s="115"/>
      <c r="AC370" s="115"/>
      <c r="AD370" s="771"/>
      <c r="AE370" s="771"/>
      <c r="AF370" s="771"/>
      <c r="AG370" s="771"/>
      <c r="AH370" s="771"/>
      <c r="AI370" s="771"/>
    </row>
    <row r="371" spans="15:35" x14ac:dyDescent="0.2">
      <c r="O371" s="100"/>
      <c r="P371" s="100"/>
      <c r="Q371" s="115"/>
      <c r="R371" s="115"/>
      <c r="S371" s="115"/>
      <c r="T371" s="100"/>
      <c r="U371" s="100"/>
      <c r="V371" s="115"/>
      <c r="W371" s="115"/>
      <c r="X371" s="115"/>
      <c r="Y371" s="115"/>
      <c r="Z371" s="115"/>
      <c r="AA371" s="115"/>
      <c r="AB371" s="115"/>
      <c r="AC371" s="115"/>
      <c r="AD371" s="771"/>
      <c r="AE371" s="771"/>
      <c r="AF371" s="771"/>
      <c r="AG371" s="771"/>
      <c r="AH371" s="771"/>
      <c r="AI371" s="771"/>
    </row>
    <row r="372" spans="15:35" x14ac:dyDescent="0.2">
      <c r="O372" s="100"/>
      <c r="P372" s="100"/>
      <c r="Q372" s="115"/>
      <c r="R372" s="115"/>
      <c r="S372" s="115"/>
      <c r="T372" s="100"/>
      <c r="U372" s="100"/>
      <c r="V372" s="115"/>
      <c r="W372" s="115"/>
      <c r="X372" s="115"/>
      <c r="Y372" s="115"/>
      <c r="Z372" s="115"/>
      <c r="AA372" s="115"/>
      <c r="AB372" s="115"/>
      <c r="AC372" s="115"/>
      <c r="AD372" s="771"/>
      <c r="AE372" s="771"/>
      <c r="AF372" s="771"/>
      <c r="AG372" s="771"/>
      <c r="AH372" s="771"/>
      <c r="AI372" s="771"/>
    </row>
    <row r="373" spans="15:35" x14ac:dyDescent="0.2">
      <c r="O373" s="100"/>
      <c r="P373" s="100"/>
      <c r="Q373" s="115"/>
      <c r="R373" s="115"/>
      <c r="S373" s="115"/>
      <c r="T373" s="100"/>
      <c r="U373" s="100"/>
      <c r="V373" s="115"/>
      <c r="W373" s="115"/>
      <c r="X373" s="115"/>
      <c r="Y373" s="115"/>
      <c r="Z373" s="115"/>
      <c r="AA373" s="115"/>
      <c r="AB373" s="115"/>
      <c r="AC373" s="115"/>
      <c r="AD373" s="771"/>
      <c r="AE373" s="771"/>
      <c r="AF373" s="771"/>
      <c r="AG373" s="771"/>
      <c r="AH373" s="771"/>
      <c r="AI373" s="771"/>
    </row>
    <row r="374" spans="15:35" x14ac:dyDescent="0.2">
      <c r="O374" s="100"/>
      <c r="P374" s="100"/>
      <c r="Q374" s="115"/>
      <c r="R374" s="115"/>
      <c r="S374" s="115"/>
      <c r="T374" s="100"/>
      <c r="U374" s="100"/>
      <c r="V374" s="115"/>
      <c r="W374" s="115"/>
      <c r="X374" s="115"/>
      <c r="Y374" s="115"/>
      <c r="Z374" s="115"/>
      <c r="AA374" s="115"/>
      <c r="AB374" s="115"/>
      <c r="AC374" s="115"/>
      <c r="AD374" s="771"/>
      <c r="AE374" s="771"/>
      <c r="AF374" s="771"/>
      <c r="AG374" s="771"/>
      <c r="AH374" s="771"/>
      <c r="AI374" s="771"/>
    </row>
    <row r="375" spans="15:35" x14ac:dyDescent="0.2">
      <c r="O375" s="100"/>
      <c r="P375" s="100"/>
      <c r="Q375" s="115"/>
      <c r="R375" s="115"/>
      <c r="S375" s="115"/>
      <c r="T375" s="100"/>
      <c r="U375" s="100"/>
      <c r="V375" s="115"/>
      <c r="W375" s="115"/>
      <c r="X375" s="115"/>
      <c r="Y375" s="115"/>
      <c r="Z375" s="115"/>
      <c r="AA375" s="115"/>
      <c r="AB375" s="115"/>
      <c r="AC375" s="115"/>
      <c r="AD375" s="771"/>
      <c r="AE375" s="771"/>
      <c r="AF375" s="771"/>
      <c r="AG375" s="771"/>
      <c r="AH375" s="771"/>
      <c r="AI375" s="771"/>
    </row>
    <row r="376" spans="15:35" x14ac:dyDescent="0.2">
      <c r="O376" s="100"/>
      <c r="P376" s="100"/>
      <c r="Q376" s="115"/>
      <c r="R376" s="115"/>
      <c r="S376" s="115"/>
      <c r="T376" s="100"/>
      <c r="U376" s="100"/>
      <c r="V376" s="115"/>
      <c r="W376" s="115"/>
      <c r="X376" s="115"/>
      <c r="Y376" s="115"/>
      <c r="Z376" s="115"/>
      <c r="AA376" s="115"/>
      <c r="AB376" s="115"/>
      <c r="AC376" s="115"/>
      <c r="AD376" s="771"/>
      <c r="AE376" s="771"/>
      <c r="AF376" s="771"/>
      <c r="AG376" s="771"/>
      <c r="AH376" s="771"/>
      <c r="AI376" s="771"/>
    </row>
    <row r="377" spans="15:35" x14ac:dyDescent="0.2">
      <c r="O377" s="100"/>
      <c r="P377" s="100"/>
      <c r="Q377" s="115"/>
      <c r="R377" s="115"/>
      <c r="S377" s="115"/>
      <c r="T377" s="100"/>
      <c r="U377" s="100"/>
      <c r="V377" s="115"/>
      <c r="W377" s="115"/>
      <c r="X377" s="115"/>
      <c r="Y377" s="115"/>
      <c r="Z377" s="115"/>
      <c r="AA377" s="115"/>
      <c r="AB377" s="115"/>
      <c r="AC377" s="115"/>
      <c r="AD377" s="771"/>
      <c r="AE377" s="771"/>
      <c r="AF377" s="771"/>
      <c r="AG377" s="771"/>
      <c r="AH377" s="771"/>
      <c r="AI377" s="771"/>
    </row>
    <row r="378" spans="15:35" x14ac:dyDescent="0.2">
      <c r="O378" s="100"/>
      <c r="P378" s="100"/>
      <c r="Q378" s="115"/>
      <c r="R378" s="115"/>
      <c r="S378" s="115"/>
      <c r="T378" s="100"/>
      <c r="U378" s="100"/>
      <c r="V378" s="115"/>
      <c r="W378" s="115"/>
      <c r="X378" s="115"/>
      <c r="Y378" s="115"/>
      <c r="Z378" s="115"/>
      <c r="AA378" s="115"/>
      <c r="AB378" s="115"/>
      <c r="AC378" s="115"/>
      <c r="AD378" s="771"/>
      <c r="AE378" s="771"/>
      <c r="AF378" s="771"/>
      <c r="AG378" s="771"/>
      <c r="AH378" s="771"/>
      <c r="AI378" s="771"/>
    </row>
    <row r="379" spans="15:35" x14ac:dyDescent="0.2">
      <c r="O379" s="100"/>
      <c r="P379" s="100"/>
      <c r="Q379" s="115"/>
      <c r="R379" s="115"/>
      <c r="S379" s="115"/>
      <c r="T379" s="100"/>
      <c r="U379" s="100"/>
      <c r="V379" s="115"/>
      <c r="W379" s="115"/>
      <c r="X379" s="115"/>
      <c r="Y379" s="115"/>
      <c r="Z379" s="115"/>
      <c r="AA379" s="115"/>
      <c r="AB379" s="115"/>
      <c r="AC379" s="115"/>
      <c r="AD379" s="771"/>
      <c r="AE379" s="771"/>
      <c r="AF379" s="771"/>
      <c r="AG379" s="771"/>
      <c r="AH379" s="771"/>
      <c r="AI379" s="771"/>
    </row>
    <row r="380" spans="15:35" x14ac:dyDescent="0.2">
      <c r="O380" s="100"/>
      <c r="P380" s="100"/>
      <c r="Q380" s="115"/>
      <c r="R380" s="115"/>
      <c r="S380" s="115"/>
      <c r="T380" s="100"/>
      <c r="U380" s="100"/>
      <c r="V380" s="115"/>
      <c r="W380" s="115"/>
      <c r="X380" s="115"/>
      <c r="Y380" s="115"/>
      <c r="Z380" s="115"/>
      <c r="AA380" s="115"/>
      <c r="AB380" s="115"/>
      <c r="AC380" s="115"/>
      <c r="AD380" s="771"/>
      <c r="AE380" s="771"/>
      <c r="AF380" s="771"/>
      <c r="AG380" s="771"/>
      <c r="AH380" s="771"/>
      <c r="AI380" s="771"/>
    </row>
    <row r="381" spans="15:35" x14ac:dyDescent="0.2">
      <c r="O381" s="100"/>
      <c r="P381" s="100"/>
      <c r="Q381" s="115"/>
      <c r="R381" s="115"/>
      <c r="S381" s="115"/>
      <c r="T381" s="100"/>
      <c r="U381" s="100"/>
      <c r="V381" s="115"/>
      <c r="W381" s="115"/>
      <c r="X381" s="115"/>
      <c r="Y381" s="115"/>
      <c r="Z381" s="115"/>
      <c r="AA381" s="115"/>
      <c r="AB381" s="115"/>
      <c r="AC381" s="115"/>
      <c r="AD381" s="771"/>
      <c r="AE381" s="771"/>
      <c r="AF381" s="771"/>
      <c r="AG381" s="771"/>
      <c r="AH381" s="771"/>
      <c r="AI381" s="771"/>
    </row>
    <row r="382" spans="15:35" x14ac:dyDescent="0.2">
      <c r="O382" s="100"/>
      <c r="P382" s="100"/>
      <c r="Q382" s="115"/>
      <c r="R382" s="115"/>
      <c r="S382" s="115"/>
      <c r="T382" s="100"/>
      <c r="U382" s="100"/>
      <c r="V382" s="115"/>
      <c r="W382" s="115"/>
      <c r="X382" s="115"/>
      <c r="Y382" s="115"/>
      <c r="Z382" s="115"/>
      <c r="AA382" s="115"/>
      <c r="AB382" s="115"/>
      <c r="AC382" s="115"/>
      <c r="AD382" s="771"/>
      <c r="AE382" s="771"/>
      <c r="AF382" s="771"/>
      <c r="AG382" s="771"/>
      <c r="AH382" s="771"/>
      <c r="AI382" s="771"/>
    </row>
    <row r="383" spans="15:35" x14ac:dyDescent="0.2">
      <c r="O383" s="100"/>
      <c r="P383" s="100"/>
      <c r="Q383" s="115"/>
      <c r="R383" s="115"/>
      <c r="S383" s="115"/>
      <c r="T383" s="100"/>
      <c r="U383" s="100"/>
      <c r="V383" s="115"/>
      <c r="W383" s="115"/>
      <c r="X383" s="115"/>
      <c r="Y383" s="115"/>
      <c r="Z383" s="115"/>
      <c r="AA383" s="115"/>
      <c r="AB383" s="115"/>
      <c r="AC383" s="115"/>
      <c r="AD383" s="771"/>
      <c r="AE383" s="771"/>
      <c r="AF383" s="771"/>
      <c r="AG383" s="771"/>
      <c r="AH383" s="771"/>
      <c r="AI383" s="771"/>
    </row>
    <row r="384" spans="15:35" x14ac:dyDescent="0.2">
      <c r="O384" s="100"/>
      <c r="P384" s="100"/>
      <c r="Q384" s="115"/>
      <c r="R384" s="115"/>
      <c r="S384" s="115"/>
      <c r="T384" s="100"/>
      <c r="U384" s="100"/>
      <c r="V384" s="115"/>
      <c r="W384" s="115"/>
      <c r="X384" s="115"/>
      <c r="Y384" s="115"/>
      <c r="Z384" s="115"/>
      <c r="AA384" s="115"/>
      <c r="AB384" s="115"/>
      <c r="AC384" s="115"/>
      <c r="AD384" s="771"/>
      <c r="AE384" s="771"/>
      <c r="AF384" s="771"/>
      <c r="AG384" s="771"/>
      <c r="AH384" s="771"/>
      <c r="AI384" s="771"/>
    </row>
    <row r="385" spans="15:35" x14ac:dyDescent="0.2">
      <c r="O385" s="100"/>
      <c r="P385" s="100"/>
      <c r="Q385" s="115"/>
      <c r="R385" s="115"/>
      <c r="S385" s="115"/>
      <c r="T385" s="100"/>
      <c r="U385" s="100"/>
      <c r="V385" s="115"/>
      <c r="W385" s="115"/>
      <c r="X385" s="115"/>
      <c r="Y385" s="115"/>
      <c r="Z385" s="115"/>
      <c r="AA385" s="115"/>
      <c r="AB385" s="115"/>
      <c r="AC385" s="115"/>
      <c r="AD385" s="771"/>
      <c r="AE385" s="771"/>
      <c r="AF385" s="771"/>
      <c r="AG385" s="771"/>
      <c r="AH385" s="771"/>
      <c r="AI385" s="771"/>
    </row>
    <row r="386" spans="15:35" x14ac:dyDescent="0.2">
      <c r="O386" s="100"/>
      <c r="P386" s="100"/>
      <c r="Q386" s="115"/>
      <c r="R386" s="115"/>
      <c r="S386" s="115"/>
      <c r="T386" s="100"/>
      <c r="U386" s="100"/>
      <c r="V386" s="115"/>
      <c r="W386" s="115"/>
      <c r="X386" s="115"/>
      <c r="Y386" s="115"/>
      <c r="Z386" s="115"/>
      <c r="AA386" s="115"/>
      <c r="AB386" s="115"/>
      <c r="AC386" s="115"/>
      <c r="AD386" s="771"/>
      <c r="AE386" s="771"/>
      <c r="AF386" s="771"/>
      <c r="AG386" s="771"/>
      <c r="AH386" s="771"/>
      <c r="AI386" s="771"/>
    </row>
    <row r="387" spans="15:35" x14ac:dyDescent="0.2">
      <c r="O387" s="100"/>
      <c r="P387" s="100"/>
      <c r="Q387" s="115"/>
      <c r="R387" s="115"/>
      <c r="S387" s="115"/>
      <c r="T387" s="100"/>
      <c r="U387" s="100"/>
      <c r="V387" s="115"/>
      <c r="W387" s="115"/>
      <c r="X387" s="115"/>
      <c r="Y387" s="115"/>
      <c r="Z387" s="115"/>
      <c r="AA387" s="115"/>
      <c r="AB387" s="115"/>
      <c r="AC387" s="115"/>
      <c r="AD387" s="771"/>
      <c r="AE387" s="771"/>
      <c r="AF387" s="771"/>
      <c r="AG387" s="771"/>
      <c r="AH387" s="771"/>
      <c r="AI387" s="771"/>
    </row>
    <row r="388" spans="15:35" x14ac:dyDescent="0.2">
      <c r="O388" s="100"/>
      <c r="P388" s="100"/>
      <c r="Q388" s="115"/>
      <c r="R388" s="115"/>
      <c r="S388" s="115"/>
      <c r="T388" s="100"/>
      <c r="U388" s="100"/>
      <c r="V388" s="115"/>
      <c r="W388" s="115"/>
      <c r="X388" s="115"/>
      <c r="Y388" s="115"/>
      <c r="Z388" s="115"/>
      <c r="AA388" s="115"/>
      <c r="AB388" s="115"/>
      <c r="AC388" s="115"/>
      <c r="AD388" s="771"/>
      <c r="AE388" s="771"/>
      <c r="AF388" s="771"/>
      <c r="AG388" s="771"/>
      <c r="AH388" s="771"/>
      <c r="AI388" s="771"/>
    </row>
    <row r="389" spans="15:35" x14ac:dyDescent="0.2">
      <c r="O389" s="100"/>
      <c r="P389" s="100"/>
      <c r="Q389" s="115"/>
      <c r="R389" s="115"/>
      <c r="S389" s="115"/>
      <c r="T389" s="100"/>
      <c r="U389" s="100"/>
      <c r="V389" s="115"/>
      <c r="W389" s="115"/>
      <c r="X389" s="115"/>
      <c r="Y389" s="115"/>
      <c r="Z389" s="115"/>
      <c r="AA389" s="115"/>
      <c r="AB389" s="115"/>
      <c r="AC389" s="115"/>
      <c r="AD389" s="771"/>
      <c r="AE389" s="771"/>
      <c r="AF389" s="771"/>
      <c r="AG389" s="771"/>
      <c r="AH389" s="771"/>
      <c r="AI389" s="771"/>
    </row>
    <row r="390" spans="15:35" x14ac:dyDescent="0.2">
      <c r="O390" s="100"/>
      <c r="P390" s="100"/>
      <c r="Q390" s="115"/>
      <c r="R390" s="115"/>
      <c r="S390" s="115"/>
      <c r="T390" s="100"/>
      <c r="U390" s="100"/>
      <c r="V390" s="115"/>
      <c r="W390" s="115"/>
      <c r="X390" s="115"/>
      <c r="Y390" s="115"/>
      <c r="Z390" s="115"/>
      <c r="AA390" s="115"/>
      <c r="AB390" s="115"/>
      <c r="AC390" s="115"/>
      <c r="AD390" s="771"/>
      <c r="AE390" s="771"/>
      <c r="AF390" s="771"/>
      <c r="AG390" s="771"/>
      <c r="AH390" s="771"/>
      <c r="AI390" s="771"/>
    </row>
    <row r="391" spans="15:35" x14ac:dyDescent="0.2">
      <c r="O391" s="100"/>
      <c r="P391" s="100"/>
      <c r="Q391" s="115"/>
      <c r="R391" s="115"/>
      <c r="S391" s="115"/>
      <c r="T391" s="100"/>
      <c r="U391" s="100"/>
      <c r="V391" s="115"/>
      <c r="W391" s="115"/>
      <c r="X391" s="115"/>
      <c r="Y391" s="115"/>
      <c r="Z391" s="115"/>
      <c r="AA391" s="115"/>
      <c r="AB391" s="115"/>
      <c r="AC391" s="115"/>
      <c r="AD391" s="771"/>
      <c r="AE391" s="771"/>
      <c r="AF391" s="771"/>
      <c r="AG391" s="771"/>
      <c r="AH391" s="771"/>
      <c r="AI391" s="771"/>
    </row>
    <row r="392" spans="15:35" x14ac:dyDescent="0.2">
      <c r="O392" s="100"/>
      <c r="P392" s="100"/>
      <c r="Q392" s="115"/>
      <c r="R392" s="115"/>
      <c r="S392" s="115"/>
      <c r="T392" s="100"/>
      <c r="U392" s="100"/>
      <c r="V392" s="115"/>
      <c r="W392" s="115"/>
      <c r="X392" s="115"/>
      <c r="Y392" s="115"/>
      <c r="Z392" s="115"/>
      <c r="AA392" s="115"/>
      <c r="AB392" s="115"/>
      <c r="AC392" s="115"/>
      <c r="AD392" s="771"/>
      <c r="AE392" s="771"/>
      <c r="AF392" s="771"/>
      <c r="AG392" s="771"/>
      <c r="AH392" s="771"/>
      <c r="AI392" s="771"/>
    </row>
    <row r="393" spans="15:35" x14ac:dyDescent="0.2">
      <c r="O393" s="100"/>
      <c r="P393" s="100"/>
      <c r="Q393" s="115"/>
      <c r="R393" s="115"/>
      <c r="S393" s="115"/>
      <c r="T393" s="100"/>
      <c r="U393" s="100"/>
      <c r="V393" s="115"/>
      <c r="W393" s="115"/>
      <c r="X393" s="115"/>
      <c r="Y393" s="115"/>
      <c r="Z393" s="115"/>
      <c r="AA393" s="115"/>
      <c r="AB393" s="115"/>
      <c r="AC393" s="115"/>
      <c r="AD393" s="771"/>
      <c r="AE393" s="771"/>
      <c r="AF393" s="771"/>
      <c r="AG393" s="771"/>
      <c r="AH393" s="771"/>
      <c r="AI393" s="771"/>
    </row>
    <row r="394" spans="15:35" x14ac:dyDescent="0.2">
      <c r="O394" s="100"/>
      <c r="P394" s="100"/>
      <c r="Q394" s="115"/>
      <c r="R394" s="115"/>
      <c r="S394" s="115"/>
      <c r="T394" s="100"/>
      <c r="U394" s="100"/>
      <c r="V394" s="115"/>
      <c r="W394" s="115"/>
      <c r="X394" s="115"/>
      <c r="Y394" s="115"/>
      <c r="Z394" s="115"/>
      <c r="AA394" s="115"/>
      <c r="AB394" s="115"/>
      <c r="AC394" s="115"/>
      <c r="AD394" s="771"/>
      <c r="AE394" s="771"/>
      <c r="AF394" s="771"/>
      <c r="AG394" s="771"/>
      <c r="AH394" s="771"/>
      <c r="AI394" s="771"/>
    </row>
    <row r="395" spans="15:35" x14ac:dyDescent="0.2">
      <c r="O395" s="100"/>
      <c r="P395" s="100"/>
      <c r="Q395" s="115"/>
      <c r="R395" s="115"/>
      <c r="S395" s="115"/>
      <c r="T395" s="100"/>
      <c r="U395" s="100"/>
      <c r="V395" s="115"/>
      <c r="W395" s="115"/>
      <c r="X395" s="115"/>
      <c r="Y395" s="115"/>
      <c r="Z395" s="115"/>
      <c r="AA395" s="115"/>
      <c r="AB395" s="115"/>
      <c r="AC395" s="115"/>
      <c r="AD395" s="771"/>
      <c r="AE395" s="771"/>
      <c r="AF395" s="771"/>
      <c r="AG395" s="771"/>
      <c r="AH395" s="771"/>
      <c r="AI395" s="771"/>
    </row>
    <row r="396" spans="15:35" x14ac:dyDescent="0.2">
      <c r="O396" s="100"/>
      <c r="P396" s="100"/>
      <c r="Q396" s="115"/>
      <c r="R396" s="115"/>
      <c r="S396" s="115"/>
      <c r="T396" s="100"/>
      <c r="U396" s="100"/>
      <c r="V396" s="115"/>
      <c r="W396" s="115"/>
      <c r="X396" s="115"/>
      <c r="Y396" s="115"/>
      <c r="Z396" s="115"/>
      <c r="AA396" s="115"/>
      <c r="AB396" s="115"/>
      <c r="AC396" s="115"/>
      <c r="AD396" s="771"/>
      <c r="AE396" s="771"/>
      <c r="AF396" s="771"/>
      <c r="AG396" s="771"/>
      <c r="AH396" s="771"/>
      <c r="AI396" s="771"/>
    </row>
    <row r="397" spans="15:35" x14ac:dyDescent="0.2">
      <c r="O397" s="100"/>
      <c r="P397" s="100"/>
      <c r="Q397" s="115"/>
      <c r="R397" s="115"/>
      <c r="S397" s="115"/>
      <c r="T397" s="100"/>
      <c r="U397" s="100"/>
      <c r="V397" s="115"/>
      <c r="W397" s="115"/>
      <c r="X397" s="115"/>
      <c r="Y397" s="115"/>
      <c r="Z397" s="115"/>
      <c r="AA397" s="115"/>
      <c r="AB397" s="115"/>
      <c r="AC397" s="115"/>
      <c r="AD397" s="771"/>
      <c r="AE397" s="771"/>
      <c r="AF397" s="771"/>
      <c r="AG397" s="771"/>
      <c r="AH397" s="771"/>
      <c r="AI397" s="771"/>
    </row>
    <row r="398" spans="15:35" x14ac:dyDescent="0.2">
      <c r="O398" s="100"/>
      <c r="P398" s="100"/>
      <c r="Q398" s="115"/>
      <c r="R398" s="115"/>
      <c r="S398" s="115"/>
      <c r="T398" s="100"/>
      <c r="U398" s="100"/>
      <c r="V398" s="115"/>
      <c r="W398" s="115"/>
      <c r="X398" s="115"/>
      <c r="Y398" s="115"/>
      <c r="Z398" s="115"/>
      <c r="AA398" s="115"/>
      <c r="AB398" s="115"/>
      <c r="AC398" s="115"/>
      <c r="AD398" s="771"/>
      <c r="AE398" s="771"/>
      <c r="AF398" s="771"/>
      <c r="AG398" s="771"/>
      <c r="AH398" s="771"/>
      <c r="AI398" s="771"/>
    </row>
    <row r="399" spans="15:35" x14ac:dyDescent="0.2">
      <c r="O399" s="100"/>
      <c r="P399" s="100"/>
      <c r="Q399" s="115"/>
      <c r="R399" s="115"/>
      <c r="S399" s="115"/>
      <c r="T399" s="100"/>
      <c r="U399" s="100"/>
      <c r="V399" s="115"/>
      <c r="W399" s="115"/>
      <c r="X399" s="115"/>
      <c r="Y399" s="115"/>
      <c r="Z399" s="115"/>
      <c r="AA399" s="115"/>
      <c r="AB399" s="115"/>
      <c r="AC399" s="115"/>
      <c r="AD399" s="771"/>
      <c r="AE399" s="771"/>
      <c r="AF399" s="771"/>
      <c r="AG399" s="771"/>
      <c r="AH399" s="771"/>
      <c r="AI399" s="771"/>
    </row>
    <row r="400" spans="15:35" x14ac:dyDescent="0.2">
      <c r="O400" s="100"/>
      <c r="P400" s="100"/>
      <c r="Q400" s="115"/>
      <c r="R400" s="115"/>
      <c r="S400" s="115"/>
      <c r="T400" s="100"/>
      <c r="U400" s="100"/>
      <c r="V400" s="115"/>
      <c r="W400" s="115"/>
      <c r="X400" s="115"/>
      <c r="Y400" s="115"/>
      <c r="Z400" s="115"/>
      <c r="AA400" s="115"/>
      <c r="AB400" s="115"/>
      <c r="AC400" s="115"/>
      <c r="AD400" s="771"/>
      <c r="AE400" s="771"/>
      <c r="AF400" s="771"/>
      <c r="AG400" s="771"/>
      <c r="AH400" s="771"/>
      <c r="AI400" s="771"/>
    </row>
    <row r="401" spans="15:35" x14ac:dyDescent="0.2">
      <c r="O401" s="100"/>
      <c r="P401" s="100"/>
      <c r="Q401" s="115"/>
      <c r="R401" s="115"/>
      <c r="S401" s="115"/>
      <c r="T401" s="100"/>
      <c r="U401" s="100"/>
      <c r="V401" s="115"/>
      <c r="W401" s="115"/>
      <c r="X401" s="115"/>
      <c r="Y401" s="115"/>
      <c r="Z401" s="115"/>
      <c r="AA401" s="115"/>
      <c r="AB401" s="115"/>
      <c r="AC401" s="115"/>
      <c r="AD401" s="771"/>
      <c r="AE401" s="771"/>
      <c r="AF401" s="771"/>
      <c r="AG401" s="771"/>
      <c r="AH401" s="771"/>
      <c r="AI401" s="771"/>
    </row>
    <row r="402" spans="15:35" x14ac:dyDescent="0.2">
      <c r="O402" s="100"/>
      <c r="P402" s="100"/>
      <c r="Q402" s="115"/>
      <c r="R402" s="115"/>
      <c r="S402" s="115"/>
      <c r="T402" s="100"/>
      <c r="U402" s="100"/>
      <c r="V402" s="115"/>
      <c r="W402" s="115"/>
      <c r="X402" s="115"/>
      <c r="Y402" s="115"/>
      <c r="Z402" s="115"/>
      <c r="AA402" s="115"/>
      <c r="AB402" s="115"/>
      <c r="AC402" s="115"/>
      <c r="AD402" s="771"/>
      <c r="AE402" s="771"/>
      <c r="AF402" s="771"/>
      <c r="AG402" s="771"/>
      <c r="AH402" s="771"/>
      <c r="AI402" s="771"/>
    </row>
    <row r="403" spans="15:35" x14ac:dyDescent="0.2">
      <c r="O403" s="100"/>
      <c r="P403" s="100"/>
      <c r="Q403" s="115"/>
      <c r="R403" s="115"/>
      <c r="S403" s="115"/>
      <c r="T403" s="100"/>
      <c r="U403" s="100"/>
      <c r="V403" s="115"/>
      <c r="W403" s="115"/>
      <c r="X403" s="115"/>
      <c r="Y403" s="115"/>
      <c r="Z403" s="115"/>
      <c r="AA403" s="115"/>
      <c r="AB403" s="115"/>
      <c r="AC403" s="115"/>
      <c r="AD403" s="771"/>
      <c r="AE403" s="771"/>
      <c r="AF403" s="771"/>
      <c r="AG403" s="771"/>
      <c r="AH403" s="771"/>
      <c r="AI403" s="771"/>
    </row>
    <row r="404" spans="15:35" x14ac:dyDescent="0.2">
      <c r="O404" s="100"/>
      <c r="P404" s="100"/>
      <c r="Q404" s="115"/>
      <c r="R404" s="115"/>
      <c r="S404" s="115"/>
      <c r="T404" s="100"/>
      <c r="U404" s="100"/>
      <c r="V404" s="115"/>
      <c r="W404" s="115"/>
      <c r="X404" s="115"/>
      <c r="Y404" s="115"/>
      <c r="Z404" s="115"/>
      <c r="AA404" s="115"/>
      <c r="AB404" s="115"/>
      <c r="AC404" s="115"/>
      <c r="AD404" s="771"/>
      <c r="AE404" s="771"/>
      <c r="AF404" s="771"/>
      <c r="AG404" s="771"/>
      <c r="AH404" s="771"/>
      <c r="AI404" s="771"/>
    </row>
    <row r="405" spans="15:35" x14ac:dyDescent="0.2">
      <c r="O405" s="100"/>
      <c r="P405" s="100"/>
      <c r="Q405" s="115"/>
      <c r="R405" s="115"/>
      <c r="S405" s="115"/>
      <c r="T405" s="100"/>
      <c r="U405" s="100"/>
      <c r="V405" s="115"/>
      <c r="W405" s="115"/>
      <c r="X405" s="115"/>
      <c r="Y405" s="115"/>
      <c r="Z405" s="115"/>
      <c r="AA405" s="115"/>
      <c r="AB405" s="115"/>
      <c r="AC405" s="115"/>
      <c r="AD405" s="771"/>
      <c r="AE405" s="771"/>
      <c r="AF405" s="771"/>
      <c r="AG405" s="771"/>
      <c r="AH405" s="771"/>
      <c r="AI405" s="771"/>
    </row>
    <row r="406" spans="15:35" x14ac:dyDescent="0.2">
      <c r="O406" s="100"/>
      <c r="P406" s="100"/>
      <c r="Q406" s="115"/>
      <c r="R406" s="115"/>
      <c r="S406" s="115"/>
      <c r="T406" s="100"/>
      <c r="U406" s="100"/>
      <c r="V406" s="115"/>
      <c r="W406" s="115"/>
      <c r="X406" s="115"/>
      <c r="Y406" s="115"/>
      <c r="Z406" s="115"/>
      <c r="AA406" s="115"/>
      <c r="AB406" s="115"/>
      <c r="AC406" s="115"/>
      <c r="AD406" s="771"/>
      <c r="AE406" s="771"/>
      <c r="AF406" s="771"/>
      <c r="AG406" s="771"/>
      <c r="AH406" s="771"/>
      <c r="AI406" s="771"/>
    </row>
    <row r="407" spans="15:35" x14ac:dyDescent="0.2">
      <c r="O407" s="100"/>
      <c r="P407" s="100"/>
      <c r="Q407" s="115"/>
      <c r="R407" s="115"/>
      <c r="S407" s="115"/>
      <c r="T407" s="100"/>
      <c r="U407" s="100"/>
      <c r="V407" s="115"/>
      <c r="W407" s="115"/>
      <c r="X407" s="115"/>
      <c r="Y407" s="115"/>
      <c r="Z407" s="115"/>
      <c r="AA407" s="115"/>
      <c r="AB407" s="115"/>
      <c r="AC407" s="115"/>
      <c r="AD407" s="771"/>
      <c r="AE407" s="771"/>
      <c r="AF407" s="771"/>
      <c r="AG407" s="771"/>
      <c r="AH407" s="771"/>
      <c r="AI407" s="771"/>
    </row>
    <row r="408" spans="15:35" x14ac:dyDescent="0.2">
      <c r="O408" s="100"/>
      <c r="P408" s="100"/>
      <c r="Q408" s="115"/>
      <c r="R408" s="115"/>
      <c r="S408" s="115"/>
      <c r="T408" s="100"/>
      <c r="U408" s="100"/>
      <c r="V408" s="115"/>
      <c r="W408" s="115"/>
      <c r="X408" s="115"/>
      <c r="Y408" s="115"/>
      <c r="Z408" s="115"/>
      <c r="AA408" s="115"/>
      <c r="AB408" s="115"/>
      <c r="AC408" s="115"/>
      <c r="AD408" s="771"/>
      <c r="AE408" s="771"/>
      <c r="AF408" s="771"/>
      <c r="AG408" s="771"/>
      <c r="AH408" s="771"/>
      <c r="AI408" s="771"/>
    </row>
    <row r="409" spans="15:35" x14ac:dyDescent="0.2">
      <c r="O409" s="100"/>
      <c r="P409" s="100"/>
      <c r="Q409" s="115"/>
      <c r="R409" s="115"/>
      <c r="S409" s="115"/>
      <c r="T409" s="100"/>
      <c r="U409" s="100"/>
      <c r="V409" s="115"/>
      <c r="W409" s="115"/>
      <c r="X409" s="115"/>
      <c r="Y409" s="115"/>
      <c r="Z409" s="115"/>
      <c r="AA409" s="115"/>
      <c r="AB409" s="115"/>
      <c r="AC409" s="115"/>
      <c r="AD409" s="771"/>
      <c r="AE409" s="771"/>
      <c r="AF409" s="771"/>
      <c r="AG409" s="771"/>
      <c r="AH409" s="771"/>
      <c r="AI409" s="771"/>
    </row>
    <row r="410" spans="15:35" x14ac:dyDescent="0.2">
      <c r="O410" s="100"/>
      <c r="P410" s="100"/>
      <c r="Q410" s="115"/>
      <c r="R410" s="115"/>
      <c r="S410" s="115"/>
      <c r="T410" s="100"/>
      <c r="U410" s="100"/>
      <c r="V410" s="115"/>
      <c r="W410" s="115"/>
      <c r="X410" s="115"/>
      <c r="Y410" s="115"/>
      <c r="Z410" s="115"/>
      <c r="AA410" s="115"/>
      <c r="AB410" s="115"/>
      <c r="AC410" s="115"/>
      <c r="AD410" s="771"/>
      <c r="AE410" s="771"/>
      <c r="AF410" s="771"/>
      <c r="AG410" s="771"/>
      <c r="AH410" s="771"/>
      <c r="AI410" s="771"/>
    </row>
    <row r="411" spans="15:35" x14ac:dyDescent="0.2">
      <c r="O411" s="100"/>
      <c r="P411" s="100"/>
      <c r="Q411" s="115"/>
      <c r="R411" s="115"/>
      <c r="S411" s="115"/>
      <c r="T411" s="100"/>
      <c r="U411" s="100"/>
      <c r="V411" s="115"/>
      <c r="W411" s="115"/>
      <c r="X411" s="115"/>
      <c r="Y411" s="115"/>
      <c r="Z411" s="115"/>
      <c r="AA411" s="115"/>
      <c r="AB411" s="115"/>
      <c r="AC411" s="115"/>
      <c r="AD411" s="771"/>
      <c r="AE411" s="771"/>
      <c r="AF411" s="771"/>
      <c r="AG411" s="771"/>
      <c r="AH411" s="771"/>
      <c r="AI411" s="771"/>
    </row>
    <row r="412" spans="15:35" x14ac:dyDescent="0.2">
      <c r="O412" s="100"/>
      <c r="P412" s="100"/>
      <c r="Q412" s="115"/>
      <c r="R412" s="115"/>
      <c r="S412" s="115"/>
      <c r="T412" s="100"/>
      <c r="U412" s="100"/>
      <c r="V412" s="115"/>
      <c r="W412" s="115"/>
      <c r="X412" s="115"/>
      <c r="Y412" s="115"/>
      <c r="Z412" s="115"/>
      <c r="AA412" s="115"/>
      <c r="AB412" s="115"/>
      <c r="AC412" s="115"/>
      <c r="AD412" s="771"/>
      <c r="AE412" s="771"/>
      <c r="AF412" s="771"/>
      <c r="AG412" s="771"/>
      <c r="AH412" s="771"/>
      <c r="AI412" s="771"/>
    </row>
    <row r="413" spans="15:35" x14ac:dyDescent="0.2">
      <c r="O413" s="100"/>
      <c r="P413" s="100"/>
      <c r="Q413" s="115"/>
      <c r="R413" s="115"/>
      <c r="S413" s="115"/>
      <c r="T413" s="100"/>
      <c r="U413" s="100"/>
      <c r="V413" s="115"/>
      <c r="W413" s="115"/>
      <c r="X413" s="115"/>
      <c r="Y413" s="115"/>
      <c r="Z413" s="115"/>
      <c r="AA413" s="115"/>
      <c r="AB413" s="115"/>
      <c r="AC413" s="115"/>
      <c r="AD413" s="771"/>
      <c r="AE413" s="771"/>
      <c r="AF413" s="771"/>
      <c r="AG413" s="771"/>
      <c r="AH413" s="771"/>
      <c r="AI413" s="771"/>
    </row>
    <row r="414" spans="15:35" x14ac:dyDescent="0.2">
      <c r="O414" s="100"/>
      <c r="P414" s="100"/>
      <c r="Q414" s="115"/>
      <c r="R414" s="115"/>
      <c r="S414" s="115"/>
      <c r="T414" s="100"/>
      <c r="U414" s="100"/>
      <c r="V414" s="115"/>
      <c r="W414" s="115"/>
      <c r="X414" s="115"/>
      <c r="Y414" s="115"/>
      <c r="Z414" s="115"/>
      <c r="AA414" s="115"/>
      <c r="AB414" s="115"/>
      <c r="AC414" s="115"/>
      <c r="AD414" s="771"/>
      <c r="AE414" s="771"/>
      <c r="AF414" s="771"/>
      <c r="AG414" s="771"/>
      <c r="AH414" s="771"/>
      <c r="AI414" s="771"/>
    </row>
    <row r="415" spans="15:35" x14ac:dyDescent="0.2">
      <c r="O415" s="100"/>
      <c r="P415" s="100"/>
      <c r="Q415" s="115"/>
      <c r="R415" s="115"/>
      <c r="S415" s="115"/>
      <c r="T415" s="100"/>
      <c r="U415" s="100"/>
      <c r="V415" s="115"/>
      <c r="W415" s="115"/>
      <c r="X415" s="115"/>
      <c r="Y415" s="115"/>
      <c r="Z415" s="115"/>
      <c r="AA415" s="115"/>
      <c r="AB415" s="115"/>
      <c r="AC415" s="115"/>
      <c r="AD415" s="771"/>
      <c r="AE415" s="771"/>
      <c r="AF415" s="771"/>
      <c r="AG415" s="771"/>
      <c r="AH415" s="771"/>
      <c r="AI415" s="771"/>
    </row>
    <row r="416" spans="15:35" x14ac:dyDescent="0.2">
      <c r="O416" s="100"/>
      <c r="P416" s="100"/>
      <c r="Q416" s="115"/>
      <c r="R416" s="115"/>
      <c r="S416" s="115"/>
      <c r="T416" s="100"/>
      <c r="U416" s="100"/>
      <c r="V416" s="115"/>
      <c r="W416" s="115"/>
      <c r="X416" s="115"/>
      <c r="Y416" s="115"/>
      <c r="Z416" s="115"/>
      <c r="AA416" s="115"/>
      <c r="AB416" s="115"/>
      <c r="AC416" s="115"/>
      <c r="AD416" s="771"/>
      <c r="AE416" s="771"/>
      <c r="AF416" s="771"/>
      <c r="AG416" s="771"/>
      <c r="AH416" s="771"/>
      <c r="AI416" s="771"/>
    </row>
    <row r="417" spans="15:35" x14ac:dyDescent="0.2">
      <c r="O417" s="100"/>
      <c r="P417" s="100"/>
      <c r="Q417" s="115"/>
      <c r="R417" s="115"/>
      <c r="S417" s="115"/>
      <c r="T417" s="100"/>
      <c r="U417" s="100"/>
      <c r="V417" s="115"/>
      <c r="W417" s="115"/>
      <c r="X417" s="115"/>
      <c r="Y417" s="115"/>
      <c r="Z417" s="115"/>
      <c r="AA417" s="115"/>
      <c r="AB417" s="115"/>
      <c r="AC417" s="115"/>
      <c r="AD417" s="771"/>
      <c r="AE417" s="771"/>
      <c r="AF417" s="771"/>
      <c r="AG417" s="771"/>
      <c r="AH417" s="771"/>
      <c r="AI417" s="771"/>
    </row>
    <row r="418" spans="15:35" x14ac:dyDescent="0.2">
      <c r="O418" s="100"/>
      <c r="P418" s="100"/>
      <c r="Q418" s="115"/>
      <c r="R418" s="115"/>
      <c r="S418" s="115"/>
      <c r="T418" s="100"/>
      <c r="U418" s="100"/>
      <c r="V418" s="115"/>
      <c r="W418" s="115"/>
      <c r="X418" s="115"/>
      <c r="Y418" s="115"/>
      <c r="Z418" s="115"/>
      <c r="AA418" s="115"/>
      <c r="AB418" s="115"/>
      <c r="AC418" s="115"/>
      <c r="AD418" s="771"/>
      <c r="AE418" s="771"/>
      <c r="AF418" s="771"/>
      <c r="AG418" s="771"/>
      <c r="AH418" s="771"/>
      <c r="AI418" s="771"/>
    </row>
    <row r="419" spans="15:35" x14ac:dyDescent="0.2">
      <c r="O419" s="100"/>
      <c r="P419" s="100"/>
      <c r="Q419" s="115"/>
      <c r="R419" s="115"/>
      <c r="S419" s="115"/>
      <c r="T419" s="100"/>
      <c r="U419" s="100"/>
      <c r="V419" s="115"/>
      <c r="W419" s="115"/>
      <c r="X419" s="115"/>
      <c r="Y419" s="115"/>
      <c r="Z419" s="115"/>
      <c r="AA419" s="115"/>
      <c r="AB419" s="115"/>
      <c r="AC419" s="115"/>
      <c r="AD419" s="771"/>
      <c r="AE419" s="771"/>
      <c r="AF419" s="771"/>
      <c r="AG419" s="771"/>
      <c r="AH419" s="771"/>
      <c r="AI419" s="771"/>
    </row>
    <row r="420" spans="15:35" x14ac:dyDescent="0.2">
      <c r="O420" s="100"/>
      <c r="P420" s="100"/>
      <c r="Q420" s="115"/>
      <c r="R420" s="115"/>
      <c r="S420" s="115"/>
      <c r="T420" s="100"/>
      <c r="U420" s="100"/>
      <c r="V420" s="115"/>
      <c r="W420" s="115"/>
      <c r="X420" s="115"/>
      <c r="Y420" s="115"/>
      <c r="Z420" s="115"/>
      <c r="AA420" s="115"/>
      <c r="AB420" s="115"/>
      <c r="AC420" s="115"/>
      <c r="AD420" s="771"/>
      <c r="AE420" s="771"/>
      <c r="AF420" s="771"/>
      <c r="AG420" s="771"/>
      <c r="AH420" s="771"/>
      <c r="AI420" s="771"/>
    </row>
    <row r="421" spans="15:35" x14ac:dyDescent="0.2">
      <c r="O421" s="100"/>
      <c r="P421" s="100"/>
      <c r="Q421" s="115"/>
      <c r="R421" s="115"/>
      <c r="S421" s="115"/>
      <c r="T421" s="100"/>
      <c r="U421" s="100"/>
      <c r="V421" s="115"/>
      <c r="W421" s="115"/>
      <c r="X421" s="115"/>
      <c r="Y421" s="115"/>
      <c r="Z421" s="115"/>
      <c r="AA421" s="115"/>
      <c r="AB421" s="115"/>
      <c r="AC421" s="115"/>
      <c r="AD421" s="771"/>
      <c r="AE421" s="771"/>
      <c r="AF421" s="771"/>
      <c r="AG421" s="771"/>
      <c r="AH421" s="771"/>
      <c r="AI421" s="771"/>
    </row>
    <row r="422" spans="15:35" x14ac:dyDescent="0.2">
      <c r="O422" s="100"/>
      <c r="P422" s="100"/>
      <c r="Q422" s="115"/>
      <c r="R422" s="115"/>
      <c r="S422" s="115"/>
      <c r="T422" s="100"/>
      <c r="U422" s="100"/>
      <c r="V422" s="115"/>
      <c r="W422" s="115"/>
      <c r="X422" s="115"/>
      <c r="Y422" s="115"/>
      <c r="Z422" s="115"/>
      <c r="AA422" s="115"/>
      <c r="AB422" s="115"/>
      <c r="AC422" s="115"/>
      <c r="AD422" s="771"/>
      <c r="AE422" s="771"/>
      <c r="AF422" s="771"/>
      <c r="AG422" s="771"/>
      <c r="AH422" s="771"/>
      <c r="AI422" s="771"/>
    </row>
    <row r="423" spans="15:35" x14ac:dyDescent="0.2">
      <c r="O423" s="100"/>
      <c r="P423" s="100"/>
      <c r="Q423" s="115"/>
      <c r="R423" s="115"/>
      <c r="S423" s="115"/>
      <c r="T423" s="100"/>
      <c r="U423" s="100"/>
      <c r="V423" s="115"/>
      <c r="W423" s="115"/>
      <c r="X423" s="115"/>
      <c r="Y423" s="115"/>
      <c r="Z423" s="115"/>
      <c r="AA423" s="115"/>
      <c r="AB423" s="115"/>
      <c r="AC423" s="115"/>
      <c r="AD423" s="771"/>
      <c r="AE423" s="771"/>
      <c r="AF423" s="771"/>
      <c r="AG423" s="771"/>
      <c r="AH423" s="771"/>
      <c r="AI423" s="771"/>
    </row>
    <row r="424" spans="15:35" x14ac:dyDescent="0.2">
      <c r="O424" s="100"/>
      <c r="P424" s="100"/>
      <c r="Q424" s="115"/>
      <c r="R424" s="115"/>
      <c r="S424" s="115"/>
      <c r="T424" s="100"/>
      <c r="U424" s="100"/>
      <c r="V424" s="115"/>
      <c r="W424" s="115"/>
      <c r="X424" s="115"/>
      <c r="Y424" s="115"/>
      <c r="Z424" s="115"/>
      <c r="AA424" s="115"/>
      <c r="AB424" s="115"/>
      <c r="AC424" s="115"/>
      <c r="AD424" s="771"/>
      <c r="AE424" s="771"/>
      <c r="AF424" s="771"/>
      <c r="AG424" s="771"/>
      <c r="AH424" s="771"/>
      <c r="AI424" s="771"/>
    </row>
    <row r="425" spans="15:35" x14ac:dyDescent="0.2">
      <c r="O425" s="100"/>
      <c r="P425" s="100"/>
      <c r="Q425" s="115"/>
      <c r="R425" s="115"/>
      <c r="S425" s="115"/>
      <c r="T425" s="100"/>
      <c r="U425" s="100"/>
      <c r="V425" s="115"/>
      <c r="W425" s="115"/>
      <c r="X425" s="115"/>
      <c r="Y425" s="115"/>
      <c r="Z425" s="115"/>
      <c r="AA425" s="115"/>
      <c r="AB425" s="115"/>
      <c r="AC425" s="115"/>
      <c r="AD425" s="771"/>
      <c r="AE425" s="771"/>
      <c r="AF425" s="771"/>
      <c r="AG425" s="771"/>
      <c r="AH425" s="771"/>
      <c r="AI425" s="771"/>
    </row>
    <row r="426" spans="15:35" x14ac:dyDescent="0.2">
      <c r="O426" s="100"/>
      <c r="P426" s="100"/>
      <c r="Q426" s="115"/>
      <c r="R426" s="115"/>
      <c r="S426" s="115"/>
      <c r="T426" s="100"/>
      <c r="U426" s="100"/>
      <c r="V426" s="115"/>
      <c r="W426" s="115"/>
      <c r="X426" s="115"/>
      <c r="Y426" s="115"/>
      <c r="Z426" s="115"/>
      <c r="AA426" s="115"/>
      <c r="AB426" s="115"/>
      <c r="AC426" s="115"/>
      <c r="AD426" s="771"/>
      <c r="AE426" s="771"/>
      <c r="AF426" s="771"/>
      <c r="AG426" s="771"/>
      <c r="AH426" s="771"/>
      <c r="AI426" s="771"/>
    </row>
    <row r="427" spans="15:35" x14ac:dyDescent="0.2">
      <c r="O427" s="100"/>
      <c r="P427" s="100"/>
      <c r="Q427" s="115"/>
      <c r="R427" s="115"/>
      <c r="S427" s="115"/>
      <c r="T427" s="100"/>
      <c r="U427" s="100"/>
      <c r="V427" s="115"/>
      <c r="W427" s="115"/>
      <c r="X427" s="115"/>
      <c r="Y427" s="115"/>
      <c r="Z427" s="115"/>
      <c r="AA427" s="115"/>
      <c r="AB427" s="115"/>
      <c r="AC427" s="115"/>
      <c r="AD427" s="771"/>
      <c r="AE427" s="771"/>
      <c r="AF427" s="771"/>
      <c r="AG427" s="771"/>
      <c r="AH427" s="771"/>
      <c r="AI427" s="771"/>
    </row>
    <row r="428" spans="15:35" x14ac:dyDescent="0.2">
      <c r="O428" s="100"/>
      <c r="P428" s="100"/>
      <c r="Q428" s="115"/>
      <c r="R428" s="115"/>
      <c r="S428" s="115"/>
      <c r="T428" s="100"/>
      <c r="U428" s="100"/>
      <c r="V428" s="115"/>
      <c r="W428" s="115"/>
      <c r="X428" s="115"/>
      <c r="Y428" s="115"/>
      <c r="Z428" s="115"/>
      <c r="AA428" s="115"/>
      <c r="AB428" s="115"/>
      <c r="AC428" s="115"/>
      <c r="AD428" s="771"/>
      <c r="AE428" s="771"/>
      <c r="AF428" s="771"/>
      <c r="AG428" s="771"/>
      <c r="AH428" s="771"/>
      <c r="AI428" s="771"/>
    </row>
    <row r="429" spans="15:35" x14ac:dyDescent="0.2">
      <c r="O429" s="100"/>
      <c r="P429" s="100"/>
      <c r="Q429" s="115"/>
      <c r="R429" s="115"/>
      <c r="S429" s="115"/>
      <c r="T429" s="100"/>
      <c r="U429" s="100"/>
      <c r="V429" s="115"/>
      <c r="W429" s="115"/>
      <c r="X429" s="115"/>
      <c r="Y429" s="115"/>
      <c r="Z429" s="115"/>
      <c r="AA429" s="115"/>
      <c r="AB429" s="115"/>
      <c r="AC429" s="115"/>
      <c r="AD429" s="771"/>
      <c r="AE429" s="771"/>
      <c r="AF429" s="771"/>
      <c r="AG429" s="771"/>
      <c r="AH429" s="771"/>
      <c r="AI429" s="771"/>
    </row>
    <row r="430" spans="15:35" x14ac:dyDescent="0.2">
      <c r="O430" s="100"/>
      <c r="P430" s="100"/>
      <c r="Q430" s="115"/>
      <c r="R430" s="115"/>
      <c r="S430" s="115"/>
      <c r="T430" s="100"/>
      <c r="U430" s="100"/>
      <c r="V430" s="115"/>
      <c r="W430" s="115"/>
      <c r="X430" s="115"/>
      <c r="Y430" s="115"/>
      <c r="Z430" s="115"/>
      <c r="AA430" s="115"/>
      <c r="AB430" s="115"/>
      <c r="AC430" s="115"/>
      <c r="AD430" s="771"/>
      <c r="AE430" s="771"/>
      <c r="AF430" s="771"/>
      <c r="AG430" s="771"/>
      <c r="AH430" s="771"/>
      <c r="AI430" s="771"/>
    </row>
    <row r="431" spans="15:35" x14ac:dyDescent="0.2">
      <c r="O431" s="100"/>
      <c r="P431" s="100"/>
      <c r="Q431" s="115"/>
      <c r="R431" s="115"/>
      <c r="S431" s="115"/>
      <c r="T431" s="100"/>
      <c r="U431" s="100"/>
      <c r="V431" s="115"/>
      <c r="W431" s="115"/>
      <c r="X431" s="115"/>
      <c r="Y431" s="115"/>
      <c r="Z431" s="115"/>
      <c r="AA431" s="115"/>
      <c r="AB431" s="115"/>
      <c r="AC431" s="115"/>
      <c r="AD431" s="771"/>
      <c r="AE431" s="771"/>
      <c r="AF431" s="771"/>
      <c r="AG431" s="771"/>
      <c r="AH431" s="771"/>
      <c r="AI431" s="771"/>
    </row>
    <row r="432" spans="15:35" x14ac:dyDescent="0.2">
      <c r="O432" s="100"/>
      <c r="P432" s="100"/>
      <c r="Q432" s="115"/>
      <c r="R432" s="115"/>
      <c r="S432" s="115"/>
      <c r="T432" s="100"/>
      <c r="U432" s="100"/>
      <c r="V432" s="115"/>
      <c r="W432" s="115"/>
      <c r="X432" s="115"/>
      <c r="Y432" s="115"/>
      <c r="Z432" s="115"/>
      <c r="AA432" s="115"/>
      <c r="AB432" s="115"/>
      <c r="AC432" s="115"/>
      <c r="AD432" s="771"/>
      <c r="AE432" s="771"/>
      <c r="AF432" s="771"/>
      <c r="AG432" s="771"/>
      <c r="AH432" s="771"/>
      <c r="AI432" s="771"/>
    </row>
    <row r="433" spans="15:35" x14ac:dyDescent="0.2">
      <c r="O433" s="100"/>
      <c r="P433" s="100"/>
      <c r="Q433" s="115"/>
      <c r="R433" s="115"/>
      <c r="S433" s="115"/>
      <c r="T433" s="100"/>
      <c r="U433" s="100"/>
      <c r="V433" s="115"/>
      <c r="W433" s="115"/>
      <c r="X433" s="115"/>
      <c r="Y433" s="115"/>
      <c r="Z433" s="115"/>
      <c r="AA433" s="115"/>
      <c r="AB433" s="115"/>
      <c r="AC433" s="115"/>
      <c r="AD433" s="771"/>
      <c r="AE433" s="771"/>
      <c r="AF433" s="771"/>
      <c r="AG433" s="771"/>
      <c r="AH433" s="771"/>
      <c r="AI433" s="771"/>
    </row>
    <row r="434" spans="15:35" x14ac:dyDescent="0.2">
      <c r="O434" s="100"/>
      <c r="P434" s="100"/>
      <c r="Q434" s="115"/>
      <c r="R434" s="115"/>
      <c r="S434" s="115"/>
      <c r="T434" s="100"/>
      <c r="U434" s="100"/>
      <c r="V434" s="115"/>
      <c r="W434" s="115"/>
      <c r="X434" s="115"/>
      <c r="Y434" s="115"/>
      <c r="Z434" s="115"/>
      <c r="AA434" s="115"/>
      <c r="AB434" s="115"/>
      <c r="AC434" s="115"/>
      <c r="AD434" s="771"/>
      <c r="AE434" s="771"/>
      <c r="AF434" s="771"/>
      <c r="AG434" s="771"/>
      <c r="AH434" s="771"/>
      <c r="AI434" s="771"/>
    </row>
    <row r="435" spans="15:35" x14ac:dyDescent="0.2">
      <c r="O435" s="100"/>
      <c r="P435" s="100"/>
      <c r="Q435" s="115"/>
      <c r="R435" s="115"/>
      <c r="S435" s="115"/>
      <c r="T435" s="100"/>
      <c r="U435" s="100"/>
      <c r="V435" s="115"/>
      <c r="W435" s="115"/>
      <c r="X435" s="115"/>
      <c r="Y435" s="115"/>
      <c r="Z435" s="115"/>
      <c r="AA435" s="115"/>
      <c r="AB435" s="115"/>
      <c r="AC435" s="115"/>
      <c r="AD435" s="771"/>
      <c r="AE435" s="771"/>
      <c r="AF435" s="771"/>
      <c r="AG435" s="771"/>
      <c r="AH435" s="771"/>
      <c r="AI435" s="771"/>
    </row>
    <row r="436" spans="15:35" x14ac:dyDescent="0.2">
      <c r="O436" s="100"/>
      <c r="P436" s="100"/>
      <c r="Q436" s="115"/>
      <c r="R436" s="115"/>
      <c r="S436" s="115"/>
      <c r="T436" s="100"/>
      <c r="U436" s="100"/>
      <c r="V436" s="115"/>
      <c r="W436" s="115"/>
      <c r="X436" s="115"/>
      <c r="Y436" s="115"/>
      <c r="Z436" s="115"/>
      <c r="AA436" s="115"/>
      <c r="AB436" s="115"/>
      <c r="AC436" s="115"/>
      <c r="AD436" s="771"/>
      <c r="AE436" s="771"/>
      <c r="AF436" s="771"/>
      <c r="AG436" s="771"/>
      <c r="AH436" s="771"/>
      <c r="AI436" s="771"/>
    </row>
    <row r="437" spans="15:35" x14ac:dyDescent="0.2">
      <c r="O437" s="100"/>
      <c r="P437" s="100"/>
      <c r="Q437" s="115"/>
      <c r="R437" s="115"/>
      <c r="S437" s="115"/>
      <c r="T437" s="100"/>
      <c r="U437" s="100"/>
      <c r="V437" s="115"/>
      <c r="W437" s="115"/>
      <c r="X437" s="115"/>
      <c r="Y437" s="115"/>
      <c r="Z437" s="115"/>
      <c r="AA437" s="115"/>
      <c r="AB437" s="115"/>
      <c r="AC437" s="115"/>
      <c r="AD437" s="771"/>
      <c r="AE437" s="771"/>
      <c r="AF437" s="771"/>
      <c r="AG437" s="771"/>
      <c r="AH437" s="771"/>
      <c r="AI437" s="771"/>
    </row>
    <row r="438" spans="15:35" x14ac:dyDescent="0.2">
      <c r="O438" s="100"/>
      <c r="P438" s="100"/>
      <c r="Q438" s="115"/>
      <c r="R438" s="115"/>
      <c r="S438" s="115"/>
      <c r="T438" s="100"/>
      <c r="U438" s="100"/>
      <c r="V438" s="115"/>
      <c r="W438" s="115"/>
      <c r="X438" s="115"/>
      <c r="Y438" s="115"/>
      <c r="Z438" s="115"/>
      <c r="AA438" s="115"/>
      <c r="AB438" s="115"/>
      <c r="AC438" s="115"/>
      <c r="AD438" s="771"/>
      <c r="AE438" s="771"/>
      <c r="AF438" s="771"/>
      <c r="AG438" s="771"/>
      <c r="AH438" s="771"/>
      <c r="AI438" s="771"/>
    </row>
    <row r="439" spans="15:35" x14ac:dyDescent="0.2">
      <c r="O439" s="100"/>
      <c r="P439" s="100"/>
      <c r="Q439" s="115"/>
      <c r="R439" s="115"/>
      <c r="S439" s="115"/>
      <c r="T439" s="100"/>
      <c r="U439" s="100"/>
      <c r="V439" s="115"/>
      <c r="W439" s="115"/>
      <c r="X439" s="115"/>
      <c r="Y439" s="115"/>
      <c r="Z439" s="115"/>
      <c r="AA439" s="115"/>
      <c r="AB439" s="115"/>
      <c r="AC439" s="115"/>
      <c r="AD439" s="771"/>
      <c r="AE439" s="771"/>
      <c r="AF439" s="771"/>
      <c r="AG439" s="771"/>
      <c r="AH439" s="771"/>
      <c r="AI439" s="771"/>
    </row>
    <row r="440" spans="15:35" x14ac:dyDescent="0.2">
      <c r="O440" s="100"/>
      <c r="P440" s="100"/>
      <c r="Q440" s="115"/>
      <c r="R440" s="115"/>
      <c r="S440" s="115"/>
      <c r="T440" s="100"/>
      <c r="U440" s="100"/>
      <c r="V440" s="115"/>
      <c r="W440" s="115"/>
      <c r="X440" s="115"/>
      <c r="Y440" s="115"/>
      <c r="Z440" s="115"/>
      <c r="AA440" s="115"/>
      <c r="AB440" s="115"/>
      <c r="AC440" s="115"/>
      <c r="AD440" s="771"/>
      <c r="AE440" s="771"/>
      <c r="AF440" s="771"/>
      <c r="AG440" s="771"/>
      <c r="AH440" s="771"/>
      <c r="AI440" s="771"/>
    </row>
    <row r="441" spans="15:35" x14ac:dyDescent="0.2">
      <c r="O441" s="100"/>
      <c r="P441" s="100"/>
      <c r="Q441" s="115"/>
      <c r="R441" s="115"/>
      <c r="S441" s="115"/>
      <c r="T441" s="100"/>
      <c r="U441" s="100"/>
      <c r="V441" s="115"/>
      <c r="W441" s="115"/>
      <c r="X441" s="115"/>
      <c r="Y441" s="115"/>
      <c r="Z441" s="115"/>
      <c r="AA441" s="115"/>
      <c r="AB441" s="115"/>
      <c r="AC441" s="115"/>
      <c r="AD441" s="771"/>
      <c r="AE441" s="771"/>
      <c r="AF441" s="771"/>
      <c r="AG441" s="771"/>
      <c r="AH441" s="771"/>
      <c r="AI441" s="771"/>
    </row>
    <row r="442" spans="15:35" x14ac:dyDescent="0.2">
      <c r="O442" s="100"/>
      <c r="P442" s="100"/>
      <c r="Q442" s="115"/>
      <c r="R442" s="115"/>
      <c r="S442" s="115"/>
      <c r="T442" s="100"/>
      <c r="U442" s="100"/>
      <c r="V442" s="115"/>
      <c r="W442" s="115"/>
      <c r="X442" s="115"/>
      <c r="Y442" s="115"/>
      <c r="Z442" s="115"/>
      <c r="AA442" s="115"/>
      <c r="AB442" s="115"/>
      <c r="AC442" s="115"/>
      <c r="AD442" s="771"/>
      <c r="AE442" s="771"/>
      <c r="AF442" s="771"/>
      <c r="AG442" s="771"/>
      <c r="AH442" s="771"/>
      <c r="AI442" s="771"/>
    </row>
    <row r="443" spans="15:35" x14ac:dyDescent="0.2">
      <c r="O443" s="100"/>
      <c r="P443" s="100"/>
      <c r="Q443" s="115"/>
      <c r="R443" s="115"/>
      <c r="S443" s="115"/>
      <c r="T443" s="100"/>
      <c r="U443" s="100"/>
      <c r="V443" s="115"/>
      <c r="W443" s="115"/>
      <c r="X443" s="115"/>
      <c r="Y443" s="115"/>
      <c r="Z443" s="115"/>
      <c r="AA443" s="115"/>
      <c r="AB443" s="115"/>
      <c r="AC443" s="115"/>
      <c r="AD443" s="771"/>
      <c r="AE443" s="771"/>
      <c r="AF443" s="771"/>
      <c r="AG443" s="771"/>
      <c r="AH443" s="771"/>
      <c r="AI443" s="771"/>
    </row>
    <row r="444" spans="15:35" x14ac:dyDescent="0.2">
      <c r="O444" s="100"/>
      <c r="P444" s="100"/>
      <c r="Q444" s="115"/>
      <c r="R444" s="115"/>
      <c r="S444" s="115"/>
      <c r="T444" s="100"/>
      <c r="U444" s="100"/>
      <c r="V444" s="115"/>
      <c r="W444" s="115"/>
      <c r="X444" s="115"/>
      <c r="Y444" s="115"/>
      <c r="Z444" s="115"/>
      <c r="AA444" s="115"/>
      <c r="AB444" s="115"/>
      <c r="AC444" s="115"/>
      <c r="AD444" s="771"/>
      <c r="AE444" s="771"/>
      <c r="AF444" s="771"/>
      <c r="AG444" s="771"/>
      <c r="AH444" s="771"/>
      <c r="AI444" s="771"/>
    </row>
    <row r="445" spans="15:35" x14ac:dyDescent="0.2">
      <c r="O445" s="100"/>
      <c r="P445" s="100"/>
      <c r="Q445" s="115"/>
      <c r="R445" s="115"/>
      <c r="S445" s="115"/>
      <c r="T445" s="100"/>
      <c r="U445" s="100"/>
      <c r="V445" s="115"/>
      <c r="W445" s="115"/>
      <c r="X445" s="115"/>
      <c r="Y445" s="115"/>
      <c r="Z445" s="115"/>
      <c r="AA445" s="115"/>
      <c r="AB445" s="115"/>
      <c r="AC445" s="115"/>
      <c r="AD445" s="771"/>
      <c r="AE445" s="771"/>
      <c r="AF445" s="771"/>
      <c r="AG445" s="771"/>
      <c r="AH445" s="771"/>
      <c r="AI445" s="771"/>
    </row>
    <row r="446" spans="15:35" x14ac:dyDescent="0.2">
      <c r="O446" s="100"/>
      <c r="P446" s="100"/>
      <c r="Q446" s="115"/>
      <c r="R446" s="115"/>
      <c r="S446" s="115"/>
      <c r="T446" s="100"/>
      <c r="U446" s="100"/>
      <c r="V446" s="115"/>
      <c r="W446" s="115"/>
      <c r="X446" s="115"/>
      <c r="Y446" s="115"/>
      <c r="Z446" s="115"/>
      <c r="AA446" s="115"/>
      <c r="AB446" s="115"/>
      <c r="AC446" s="115"/>
      <c r="AD446" s="771"/>
      <c r="AE446" s="771"/>
      <c r="AF446" s="771"/>
      <c r="AG446" s="771"/>
      <c r="AH446" s="771"/>
      <c r="AI446" s="771"/>
    </row>
    <row r="447" spans="15:35" x14ac:dyDescent="0.2">
      <c r="O447" s="100"/>
      <c r="P447" s="100"/>
      <c r="Q447" s="115"/>
      <c r="R447" s="115"/>
      <c r="S447" s="115"/>
      <c r="T447" s="100"/>
      <c r="U447" s="100"/>
      <c r="V447" s="115"/>
      <c r="W447" s="115"/>
      <c r="X447" s="115"/>
      <c r="Y447" s="115"/>
      <c r="Z447" s="115"/>
      <c r="AA447" s="115"/>
      <c r="AB447" s="115"/>
      <c r="AC447" s="115"/>
      <c r="AD447" s="771"/>
      <c r="AE447" s="771"/>
      <c r="AF447" s="771"/>
      <c r="AG447" s="771"/>
      <c r="AH447" s="771"/>
      <c r="AI447" s="771"/>
    </row>
    <row r="448" spans="15:35" x14ac:dyDescent="0.2">
      <c r="O448" s="100"/>
      <c r="P448" s="100"/>
      <c r="Q448" s="115"/>
      <c r="R448" s="115"/>
      <c r="S448" s="115"/>
      <c r="T448" s="100"/>
      <c r="U448" s="100"/>
      <c r="V448" s="115"/>
      <c r="W448" s="115"/>
      <c r="X448" s="115"/>
      <c r="Y448" s="115"/>
      <c r="Z448" s="115"/>
      <c r="AA448" s="115"/>
      <c r="AB448" s="115"/>
      <c r="AC448" s="115"/>
      <c r="AD448" s="771"/>
      <c r="AE448" s="771"/>
      <c r="AF448" s="771"/>
      <c r="AG448" s="771"/>
      <c r="AH448" s="771"/>
      <c r="AI448" s="771"/>
    </row>
    <row r="449" spans="15:35" x14ac:dyDescent="0.2">
      <c r="O449" s="100"/>
      <c r="P449" s="100"/>
      <c r="Q449" s="115"/>
      <c r="R449" s="115"/>
      <c r="S449" s="115"/>
      <c r="T449" s="100"/>
      <c r="U449" s="100"/>
      <c r="V449" s="115"/>
      <c r="W449" s="115"/>
      <c r="X449" s="115"/>
      <c r="Y449" s="115"/>
      <c r="Z449" s="115"/>
      <c r="AA449" s="115"/>
      <c r="AB449" s="115"/>
      <c r="AC449" s="115"/>
      <c r="AD449" s="771"/>
      <c r="AE449" s="771"/>
      <c r="AF449" s="771"/>
      <c r="AG449" s="771"/>
      <c r="AH449" s="771"/>
      <c r="AI449" s="771"/>
    </row>
    <row r="450" spans="15:35" x14ac:dyDescent="0.2">
      <c r="O450" s="100"/>
      <c r="P450" s="100"/>
      <c r="Q450" s="115"/>
      <c r="R450" s="115"/>
      <c r="S450" s="115"/>
      <c r="T450" s="100"/>
      <c r="U450" s="100"/>
      <c r="V450" s="115"/>
      <c r="W450" s="115"/>
      <c r="X450" s="115"/>
      <c r="Y450" s="115"/>
      <c r="Z450" s="115"/>
      <c r="AA450" s="115"/>
      <c r="AB450" s="115"/>
      <c r="AC450" s="115"/>
      <c r="AD450" s="771"/>
      <c r="AE450" s="771"/>
      <c r="AF450" s="771"/>
      <c r="AG450" s="771"/>
      <c r="AH450" s="771"/>
      <c r="AI450" s="771"/>
    </row>
    <row r="451" spans="15:35" x14ac:dyDescent="0.2">
      <c r="O451" s="100"/>
      <c r="P451" s="100"/>
      <c r="Q451" s="115"/>
      <c r="R451" s="115"/>
      <c r="S451" s="115"/>
      <c r="T451" s="100"/>
      <c r="U451" s="100"/>
      <c r="V451" s="115"/>
      <c r="W451" s="115"/>
      <c r="X451" s="115"/>
      <c r="Y451" s="115"/>
      <c r="Z451" s="115"/>
      <c r="AA451" s="115"/>
      <c r="AB451" s="115"/>
      <c r="AC451" s="115"/>
      <c r="AD451" s="771"/>
      <c r="AE451" s="771"/>
      <c r="AF451" s="771"/>
      <c r="AG451" s="771"/>
      <c r="AH451" s="771"/>
      <c r="AI451" s="771"/>
    </row>
    <row r="452" spans="15:35" x14ac:dyDescent="0.2">
      <c r="O452" s="100"/>
      <c r="P452" s="100"/>
      <c r="Q452" s="115"/>
      <c r="R452" s="115"/>
      <c r="S452" s="115"/>
      <c r="T452" s="100"/>
      <c r="U452" s="100"/>
      <c r="V452" s="115"/>
      <c r="W452" s="115"/>
      <c r="X452" s="115"/>
      <c r="Y452" s="115"/>
      <c r="Z452" s="115"/>
      <c r="AA452" s="115"/>
      <c r="AB452" s="115"/>
      <c r="AC452" s="115"/>
      <c r="AD452" s="771"/>
      <c r="AE452" s="771"/>
      <c r="AF452" s="771"/>
      <c r="AG452" s="771"/>
      <c r="AH452" s="771"/>
      <c r="AI452" s="771"/>
    </row>
    <row r="453" spans="15:35" x14ac:dyDescent="0.2">
      <c r="O453" s="100"/>
      <c r="P453" s="100"/>
      <c r="Q453" s="115"/>
      <c r="R453" s="115"/>
      <c r="S453" s="115"/>
      <c r="T453" s="100"/>
      <c r="U453" s="100"/>
      <c r="V453" s="115"/>
      <c r="W453" s="115"/>
      <c r="X453" s="115"/>
      <c r="Y453" s="115"/>
      <c r="Z453" s="115"/>
      <c r="AA453" s="115"/>
      <c r="AB453" s="115"/>
      <c r="AC453" s="115"/>
      <c r="AD453" s="771"/>
      <c r="AE453" s="771"/>
      <c r="AF453" s="771"/>
      <c r="AG453" s="771"/>
      <c r="AH453" s="771"/>
      <c r="AI453" s="771"/>
    </row>
    <row r="454" spans="15:35" x14ac:dyDescent="0.2">
      <c r="O454" s="100"/>
      <c r="P454" s="100"/>
      <c r="Q454" s="115"/>
      <c r="R454" s="115"/>
      <c r="S454" s="115"/>
      <c r="T454" s="100"/>
      <c r="U454" s="100"/>
      <c r="V454" s="115"/>
      <c r="W454" s="115"/>
      <c r="X454" s="115"/>
      <c r="Y454" s="115"/>
      <c r="Z454" s="115"/>
      <c r="AA454" s="115"/>
      <c r="AB454" s="115"/>
      <c r="AC454" s="115"/>
      <c r="AD454" s="771"/>
      <c r="AE454" s="771"/>
      <c r="AF454" s="771"/>
      <c r="AG454" s="771"/>
      <c r="AH454" s="771"/>
      <c r="AI454" s="771"/>
    </row>
    <row r="455" spans="15:35" x14ac:dyDescent="0.2">
      <c r="O455" s="100"/>
      <c r="P455" s="100"/>
      <c r="Q455" s="115"/>
      <c r="R455" s="115"/>
      <c r="S455" s="115"/>
      <c r="T455" s="100"/>
      <c r="U455" s="100"/>
      <c r="V455" s="115"/>
      <c r="W455" s="115"/>
      <c r="X455" s="115"/>
      <c r="Y455" s="115"/>
      <c r="Z455" s="115"/>
      <c r="AA455" s="115"/>
      <c r="AB455" s="115"/>
      <c r="AC455" s="115"/>
      <c r="AD455" s="771"/>
      <c r="AE455" s="771"/>
      <c r="AF455" s="771"/>
      <c r="AG455" s="771"/>
      <c r="AH455" s="771"/>
      <c r="AI455" s="771"/>
    </row>
    <row r="456" spans="15:35" x14ac:dyDescent="0.2">
      <c r="O456" s="100"/>
      <c r="P456" s="100"/>
      <c r="Q456" s="115"/>
      <c r="R456" s="115"/>
      <c r="S456" s="115"/>
      <c r="T456" s="100"/>
      <c r="U456" s="100"/>
      <c r="V456" s="115"/>
      <c r="W456" s="115"/>
      <c r="X456" s="115"/>
      <c r="Y456" s="115"/>
      <c r="Z456" s="115"/>
      <c r="AA456" s="115"/>
      <c r="AB456" s="115"/>
      <c r="AC456" s="115"/>
      <c r="AD456" s="771"/>
      <c r="AE456" s="771"/>
      <c r="AF456" s="771"/>
      <c r="AG456" s="771"/>
      <c r="AH456" s="771"/>
      <c r="AI456" s="771"/>
    </row>
    <row r="457" spans="15:35" x14ac:dyDescent="0.2">
      <c r="O457" s="100"/>
      <c r="P457" s="100"/>
      <c r="Q457" s="115"/>
      <c r="R457" s="115"/>
      <c r="S457" s="115"/>
      <c r="T457" s="100"/>
      <c r="U457" s="100"/>
      <c r="V457" s="115"/>
      <c r="W457" s="115"/>
      <c r="X457" s="115"/>
      <c r="Y457" s="115"/>
      <c r="Z457" s="115"/>
      <c r="AA457" s="115"/>
      <c r="AB457" s="115"/>
      <c r="AC457" s="115"/>
      <c r="AD457" s="771"/>
      <c r="AE457" s="771"/>
      <c r="AF457" s="771"/>
      <c r="AG457" s="771"/>
      <c r="AH457" s="771"/>
      <c r="AI457" s="771"/>
    </row>
    <row r="458" spans="15:35" x14ac:dyDescent="0.2">
      <c r="O458" s="100"/>
      <c r="P458" s="100"/>
      <c r="Q458" s="115"/>
      <c r="R458" s="115"/>
      <c r="S458" s="115"/>
      <c r="T458" s="100"/>
      <c r="U458" s="100"/>
      <c r="V458" s="115"/>
      <c r="W458" s="115"/>
      <c r="X458" s="115"/>
      <c r="Y458" s="115"/>
      <c r="Z458" s="115"/>
      <c r="AA458" s="115"/>
      <c r="AB458" s="115"/>
      <c r="AC458" s="115"/>
      <c r="AD458" s="771"/>
      <c r="AE458" s="771"/>
      <c r="AF458" s="771"/>
      <c r="AG458" s="771"/>
      <c r="AH458" s="771"/>
      <c r="AI458" s="771"/>
    </row>
    <row r="459" spans="15:35" x14ac:dyDescent="0.2">
      <c r="O459" s="100"/>
      <c r="P459" s="100"/>
      <c r="Q459" s="115"/>
      <c r="R459" s="115"/>
      <c r="S459" s="115"/>
      <c r="T459" s="100"/>
      <c r="U459" s="100"/>
      <c r="V459" s="115"/>
      <c r="W459" s="115"/>
      <c r="X459" s="115"/>
      <c r="Y459" s="115"/>
      <c r="Z459" s="115"/>
      <c r="AA459" s="115"/>
      <c r="AB459" s="115"/>
      <c r="AC459" s="115"/>
      <c r="AD459" s="771"/>
      <c r="AE459" s="771"/>
      <c r="AF459" s="771"/>
      <c r="AG459" s="771"/>
      <c r="AH459" s="771"/>
      <c r="AI459" s="771"/>
    </row>
    <row r="460" spans="15:35" x14ac:dyDescent="0.2">
      <c r="O460" s="100"/>
      <c r="P460" s="100"/>
      <c r="Q460" s="115"/>
      <c r="R460" s="115"/>
      <c r="S460" s="115"/>
      <c r="T460" s="100"/>
      <c r="U460" s="100"/>
      <c r="V460" s="115"/>
      <c r="W460" s="115"/>
      <c r="X460" s="115"/>
      <c r="Y460" s="115"/>
      <c r="Z460" s="115"/>
      <c r="AA460" s="115"/>
      <c r="AB460" s="115"/>
      <c r="AC460" s="115"/>
      <c r="AD460" s="771"/>
      <c r="AE460" s="771"/>
      <c r="AF460" s="771"/>
      <c r="AG460" s="771"/>
      <c r="AH460" s="771"/>
      <c r="AI460" s="771"/>
    </row>
    <row r="461" spans="15:35" x14ac:dyDescent="0.2">
      <c r="O461" s="100"/>
      <c r="P461" s="100"/>
      <c r="Q461" s="115"/>
      <c r="R461" s="115"/>
      <c r="S461" s="115"/>
      <c r="T461" s="100"/>
      <c r="U461" s="100"/>
      <c r="V461" s="115"/>
      <c r="W461" s="115"/>
      <c r="X461" s="115"/>
      <c r="Y461" s="115"/>
      <c r="Z461" s="115"/>
      <c r="AA461" s="115"/>
      <c r="AB461" s="115"/>
      <c r="AC461" s="115"/>
      <c r="AD461" s="771"/>
      <c r="AE461" s="771"/>
      <c r="AF461" s="771"/>
      <c r="AG461" s="771"/>
      <c r="AH461" s="771"/>
      <c r="AI461" s="771"/>
    </row>
    <row r="462" spans="15:35" x14ac:dyDescent="0.2">
      <c r="O462" s="100"/>
      <c r="P462" s="100"/>
      <c r="Q462" s="115"/>
      <c r="R462" s="115"/>
      <c r="S462" s="115"/>
      <c r="T462" s="100"/>
      <c r="U462" s="100"/>
      <c r="V462" s="115"/>
      <c r="W462" s="115"/>
      <c r="X462" s="115"/>
      <c r="Y462" s="115"/>
      <c r="Z462" s="115"/>
      <c r="AA462" s="115"/>
      <c r="AB462" s="115"/>
      <c r="AC462" s="115"/>
      <c r="AD462" s="771"/>
      <c r="AE462" s="771"/>
      <c r="AF462" s="771"/>
      <c r="AG462" s="771"/>
      <c r="AH462" s="771"/>
      <c r="AI462" s="771"/>
    </row>
    <row r="463" spans="15:35" x14ac:dyDescent="0.2">
      <c r="O463" s="100"/>
      <c r="P463" s="100"/>
      <c r="Q463" s="115"/>
      <c r="R463" s="115"/>
      <c r="S463" s="115"/>
      <c r="T463" s="100"/>
      <c r="U463" s="100"/>
      <c r="V463" s="115"/>
      <c r="W463" s="115"/>
      <c r="X463" s="115"/>
      <c r="Y463" s="115"/>
      <c r="Z463" s="115"/>
      <c r="AA463" s="115"/>
      <c r="AB463" s="115"/>
      <c r="AC463" s="115"/>
      <c r="AD463" s="771"/>
      <c r="AE463" s="771"/>
      <c r="AF463" s="771"/>
      <c r="AG463" s="771"/>
      <c r="AH463" s="771"/>
      <c r="AI463" s="771"/>
    </row>
    <row r="464" spans="15:35" x14ac:dyDescent="0.2">
      <c r="O464" s="100"/>
      <c r="P464" s="100"/>
      <c r="Q464" s="115"/>
      <c r="R464" s="115"/>
      <c r="S464" s="115"/>
      <c r="T464" s="100"/>
      <c r="U464" s="100"/>
      <c r="V464" s="115"/>
      <c r="W464" s="115"/>
      <c r="X464" s="115"/>
      <c r="Y464" s="115"/>
      <c r="Z464" s="115"/>
      <c r="AA464" s="115"/>
      <c r="AB464" s="115"/>
      <c r="AC464" s="115"/>
      <c r="AD464" s="771"/>
      <c r="AE464" s="771"/>
      <c r="AF464" s="771"/>
      <c r="AG464" s="771"/>
      <c r="AH464" s="771"/>
      <c r="AI464" s="771"/>
    </row>
    <row r="465" spans="15:35" x14ac:dyDescent="0.2">
      <c r="O465" s="100"/>
      <c r="P465" s="100"/>
      <c r="Q465" s="115"/>
      <c r="R465" s="115"/>
      <c r="S465" s="115"/>
      <c r="T465" s="100"/>
      <c r="U465" s="100"/>
      <c r="V465" s="115"/>
      <c r="W465" s="115"/>
      <c r="X465" s="115"/>
      <c r="Y465" s="115"/>
      <c r="Z465" s="115"/>
      <c r="AA465" s="115"/>
      <c r="AB465" s="115"/>
      <c r="AC465" s="115"/>
      <c r="AD465" s="771"/>
      <c r="AE465" s="771"/>
      <c r="AF465" s="771"/>
      <c r="AG465" s="771"/>
      <c r="AH465" s="771"/>
      <c r="AI465" s="771"/>
    </row>
    <row r="466" spans="15:35" x14ac:dyDescent="0.2">
      <c r="O466" s="100"/>
      <c r="P466" s="100"/>
      <c r="Q466" s="115"/>
      <c r="R466" s="115"/>
      <c r="S466" s="115"/>
      <c r="T466" s="100"/>
      <c r="U466" s="100"/>
      <c r="V466" s="115"/>
      <c r="W466" s="115"/>
      <c r="X466" s="115"/>
      <c r="Y466" s="115"/>
      <c r="Z466" s="115"/>
      <c r="AA466" s="115"/>
      <c r="AB466" s="115"/>
      <c r="AC466" s="115"/>
      <c r="AD466" s="771"/>
      <c r="AE466" s="771"/>
      <c r="AF466" s="771"/>
      <c r="AG466" s="771"/>
      <c r="AH466" s="771"/>
      <c r="AI466" s="771"/>
    </row>
    <row r="467" spans="15:35" x14ac:dyDescent="0.2">
      <c r="O467" s="100"/>
      <c r="P467" s="100"/>
      <c r="Q467" s="115"/>
      <c r="R467" s="115"/>
      <c r="S467" s="115"/>
      <c r="T467" s="100"/>
      <c r="U467" s="100"/>
      <c r="V467" s="115"/>
      <c r="W467" s="115"/>
      <c r="X467" s="115"/>
      <c r="Y467" s="115"/>
      <c r="Z467" s="115"/>
      <c r="AA467" s="115"/>
      <c r="AB467" s="115"/>
      <c r="AC467" s="115"/>
      <c r="AD467" s="771"/>
      <c r="AE467" s="771"/>
      <c r="AF467" s="771"/>
      <c r="AG467" s="771"/>
      <c r="AH467" s="771"/>
      <c r="AI467" s="771"/>
    </row>
    <row r="468" spans="15:35" x14ac:dyDescent="0.2">
      <c r="O468" s="100"/>
      <c r="P468" s="100"/>
      <c r="Q468" s="115"/>
      <c r="R468" s="115"/>
      <c r="S468" s="115"/>
      <c r="T468" s="100"/>
      <c r="U468" s="100"/>
      <c r="V468" s="115"/>
      <c r="W468" s="115"/>
      <c r="X468" s="115"/>
      <c r="Y468" s="115"/>
      <c r="Z468" s="115"/>
      <c r="AA468" s="115"/>
      <c r="AB468" s="115"/>
      <c r="AC468" s="115"/>
      <c r="AD468" s="771"/>
      <c r="AE468" s="771"/>
      <c r="AF468" s="771"/>
      <c r="AG468" s="771"/>
      <c r="AH468" s="771"/>
      <c r="AI468" s="771"/>
    </row>
    <row r="469" spans="15:35" x14ac:dyDescent="0.2">
      <c r="O469" s="100"/>
      <c r="P469" s="100"/>
      <c r="Q469" s="115"/>
      <c r="R469" s="115"/>
      <c r="S469" s="115"/>
      <c r="T469" s="100"/>
      <c r="U469" s="100"/>
      <c r="V469" s="115"/>
      <c r="W469" s="115"/>
      <c r="X469" s="115"/>
      <c r="Y469" s="115"/>
      <c r="Z469" s="115"/>
      <c r="AA469" s="115"/>
      <c r="AB469" s="115"/>
      <c r="AC469" s="115"/>
      <c r="AD469" s="771"/>
      <c r="AE469" s="771"/>
      <c r="AF469" s="771"/>
      <c r="AG469" s="771"/>
      <c r="AH469" s="771"/>
      <c r="AI469" s="771"/>
    </row>
    <row r="470" spans="15:35" x14ac:dyDescent="0.2">
      <c r="O470" s="100"/>
      <c r="P470" s="100"/>
      <c r="Q470" s="115"/>
      <c r="R470" s="115"/>
      <c r="S470" s="115"/>
      <c r="T470" s="100"/>
      <c r="U470" s="100"/>
      <c r="V470" s="115"/>
      <c r="W470" s="115"/>
      <c r="X470" s="115"/>
      <c r="Y470" s="115"/>
      <c r="Z470" s="115"/>
      <c r="AA470" s="115"/>
      <c r="AB470" s="115"/>
      <c r="AC470" s="115"/>
      <c r="AD470" s="771"/>
      <c r="AE470" s="771"/>
      <c r="AF470" s="771"/>
      <c r="AG470" s="771"/>
      <c r="AH470" s="771"/>
      <c r="AI470" s="771"/>
    </row>
    <row r="471" spans="15:35" x14ac:dyDescent="0.2">
      <c r="O471" s="100"/>
      <c r="P471" s="100"/>
      <c r="Q471" s="115"/>
      <c r="R471" s="115"/>
      <c r="S471" s="115"/>
      <c r="T471" s="100"/>
      <c r="U471" s="100"/>
      <c r="V471" s="115"/>
      <c r="W471" s="115"/>
      <c r="X471" s="115"/>
      <c r="Y471" s="115"/>
      <c r="Z471" s="115"/>
      <c r="AA471" s="115"/>
      <c r="AB471" s="115"/>
      <c r="AC471" s="115"/>
      <c r="AD471" s="771"/>
      <c r="AE471" s="771"/>
      <c r="AF471" s="771"/>
      <c r="AG471" s="771"/>
      <c r="AH471" s="771"/>
      <c r="AI471" s="771"/>
    </row>
    <row r="472" spans="15:35" x14ac:dyDescent="0.2">
      <c r="O472" s="100"/>
      <c r="P472" s="100"/>
      <c r="Q472" s="115"/>
      <c r="R472" s="115"/>
      <c r="S472" s="115"/>
      <c r="T472" s="100"/>
      <c r="U472" s="100"/>
      <c r="V472" s="115"/>
      <c r="W472" s="115"/>
      <c r="X472" s="115"/>
      <c r="Y472" s="115"/>
      <c r="Z472" s="115"/>
      <c r="AA472" s="115"/>
      <c r="AB472" s="115"/>
      <c r="AC472" s="115"/>
      <c r="AD472" s="771"/>
      <c r="AE472" s="771"/>
      <c r="AF472" s="771"/>
      <c r="AG472" s="771"/>
      <c r="AH472" s="771"/>
      <c r="AI472" s="771"/>
    </row>
    <row r="473" spans="15:35" x14ac:dyDescent="0.2">
      <c r="O473" s="100"/>
      <c r="P473" s="100"/>
      <c r="Q473" s="115"/>
      <c r="R473" s="115"/>
      <c r="S473" s="115"/>
      <c r="T473" s="100"/>
      <c r="U473" s="100"/>
      <c r="V473" s="115"/>
      <c r="W473" s="115"/>
      <c r="X473" s="115"/>
      <c r="Y473" s="115"/>
      <c r="Z473" s="115"/>
      <c r="AA473" s="115"/>
      <c r="AB473" s="115"/>
      <c r="AC473" s="115"/>
      <c r="AD473" s="771"/>
      <c r="AE473" s="771"/>
      <c r="AF473" s="771"/>
      <c r="AG473" s="771"/>
      <c r="AH473" s="771"/>
      <c r="AI473" s="771"/>
    </row>
    <row r="474" spans="15:35" x14ac:dyDescent="0.2">
      <c r="O474" s="100"/>
      <c r="P474" s="100"/>
      <c r="Q474" s="115"/>
      <c r="R474" s="115"/>
      <c r="S474" s="115"/>
      <c r="T474" s="100"/>
      <c r="U474" s="100"/>
      <c r="V474" s="115"/>
      <c r="W474" s="115"/>
      <c r="X474" s="115"/>
      <c r="Y474" s="115"/>
      <c r="Z474" s="115"/>
      <c r="AA474" s="115"/>
      <c r="AB474" s="115"/>
      <c r="AC474" s="115"/>
      <c r="AD474" s="771"/>
      <c r="AE474" s="771"/>
      <c r="AF474" s="771"/>
      <c r="AG474" s="771"/>
      <c r="AH474" s="771"/>
      <c r="AI474" s="771"/>
    </row>
    <row r="475" spans="15:35" x14ac:dyDescent="0.2">
      <c r="O475" s="100"/>
      <c r="P475" s="100"/>
      <c r="Q475" s="115"/>
      <c r="R475" s="115"/>
      <c r="S475" s="115"/>
      <c r="T475" s="100"/>
      <c r="U475" s="100"/>
      <c r="V475" s="115"/>
      <c r="W475" s="115"/>
      <c r="X475" s="115"/>
      <c r="Y475" s="115"/>
      <c r="Z475" s="115"/>
      <c r="AA475" s="115"/>
      <c r="AB475" s="115"/>
      <c r="AC475" s="115"/>
      <c r="AD475" s="771"/>
      <c r="AE475" s="771"/>
      <c r="AF475" s="771"/>
      <c r="AG475" s="771"/>
      <c r="AH475" s="771"/>
      <c r="AI475" s="771"/>
    </row>
    <row r="476" spans="15:35" x14ac:dyDescent="0.2">
      <c r="O476" s="100"/>
      <c r="P476" s="100"/>
      <c r="Q476" s="115"/>
      <c r="R476" s="115"/>
      <c r="S476" s="115"/>
      <c r="T476" s="100"/>
      <c r="U476" s="100"/>
      <c r="V476" s="115"/>
      <c r="W476" s="115"/>
      <c r="X476" s="115"/>
      <c r="Y476" s="115"/>
      <c r="Z476" s="115"/>
      <c r="AA476" s="115"/>
      <c r="AB476" s="115"/>
      <c r="AC476" s="115"/>
      <c r="AD476" s="771"/>
      <c r="AE476" s="771"/>
      <c r="AF476" s="771"/>
      <c r="AG476" s="771"/>
      <c r="AH476" s="771"/>
      <c r="AI476" s="771"/>
    </row>
    <row r="477" spans="15:35" x14ac:dyDescent="0.2">
      <c r="O477" s="100"/>
      <c r="P477" s="100"/>
      <c r="Q477" s="115"/>
      <c r="R477" s="115"/>
      <c r="S477" s="115"/>
      <c r="T477" s="100"/>
      <c r="U477" s="100"/>
      <c r="V477" s="115"/>
      <c r="W477" s="115"/>
      <c r="X477" s="115"/>
      <c r="Y477" s="115"/>
      <c r="Z477" s="115"/>
      <c r="AA477" s="115"/>
      <c r="AB477" s="115"/>
      <c r="AC477" s="115"/>
      <c r="AD477" s="771"/>
      <c r="AE477" s="771"/>
      <c r="AF477" s="771"/>
      <c r="AG477" s="771"/>
      <c r="AH477" s="771"/>
      <c r="AI477" s="771"/>
    </row>
    <row r="478" spans="15:35" x14ac:dyDescent="0.2">
      <c r="O478" s="100"/>
      <c r="P478" s="100"/>
      <c r="Q478" s="115"/>
      <c r="R478" s="115"/>
      <c r="S478" s="115"/>
      <c r="T478" s="100"/>
      <c r="U478" s="100"/>
      <c r="V478" s="115"/>
      <c r="W478" s="115"/>
      <c r="X478" s="115"/>
      <c r="Y478" s="115"/>
      <c r="Z478" s="115"/>
      <c r="AA478" s="115"/>
      <c r="AB478" s="115"/>
      <c r="AC478" s="115"/>
      <c r="AD478" s="771"/>
      <c r="AE478" s="771"/>
      <c r="AF478" s="771"/>
      <c r="AG478" s="771"/>
      <c r="AH478" s="771"/>
      <c r="AI478" s="771"/>
    </row>
    <row r="479" spans="15:35" x14ac:dyDescent="0.2">
      <c r="O479" s="100"/>
      <c r="P479" s="100"/>
      <c r="Q479" s="115"/>
      <c r="R479" s="115"/>
      <c r="S479" s="115"/>
      <c r="T479" s="100"/>
      <c r="U479" s="100"/>
      <c r="V479" s="115"/>
      <c r="W479" s="115"/>
      <c r="X479" s="115"/>
      <c r="Y479" s="115"/>
      <c r="Z479" s="115"/>
      <c r="AA479" s="115"/>
      <c r="AB479" s="115"/>
      <c r="AC479" s="115"/>
      <c r="AD479" s="771"/>
      <c r="AE479" s="771"/>
      <c r="AF479" s="771"/>
      <c r="AG479" s="771"/>
      <c r="AH479" s="771"/>
      <c r="AI479" s="771"/>
    </row>
    <row r="480" spans="15:35" x14ac:dyDescent="0.2">
      <c r="O480" s="100"/>
      <c r="P480" s="100"/>
      <c r="Q480" s="115"/>
      <c r="R480" s="115"/>
      <c r="S480" s="115"/>
      <c r="T480" s="100"/>
      <c r="U480" s="100"/>
      <c r="V480" s="115"/>
      <c r="W480" s="115"/>
      <c r="X480" s="115"/>
      <c r="Y480" s="115"/>
      <c r="Z480" s="115"/>
      <c r="AA480" s="115"/>
      <c r="AB480" s="115"/>
      <c r="AC480" s="115"/>
      <c r="AD480" s="771"/>
      <c r="AE480" s="771"/>
      <c r="AF480" s="771"/>
      <c r="AG480" s="771"/>
      <c r="AH480" s="771"/>
      <c r="AI480" s="771"/>
    </row>
    <row r="481" spans="15:35" x14ac:dyDescent="0.2">
      <c r="O481" s="100"/>
      <c r="P481" s="100"/>
      <c r="Q481" s="115"/>
      <c r="R481" s="115"/>
      <c r="S481" s="115"/>
      <c r="T481" s="100"/>
      <c r="U481" s="100"/>
      <c r="V481" s="115"/>
      <c r="W481" s="115"/>
      <c r="X481" s="115"/>
      <c r="Y481" s="115"/>
      <c r="Z481" s="115"/>
      <c r="AA481" s="115"/>
      <c r="AB481" s="115"/>
      <c r="AC481" s="115"/>
      <c r="AD481" s="771"/>
      <c r="AE481" s="771"/>
      <c r="AF481" s="771"/>
      <c r="AG481" s="771"/>
      <c r="AH481" s="771"/>
      <c r="AI481" s="771"/>
    </row>
    <row r="482" spans="15:35" x14ac:dyDescent="0.2">
      <c r="O482" s="100"/>
      <c r="P482" s="100"/>
      <c r="Q482" s="115"/>
      <c r="R482" s="115"/>
      <c r="S482" s="115"/>
      <c r="T482" s="100"/>
      <c r="U482" s="100"/>
      <c r="V482" s="115"/>
      <c r="W482" s="115"/>
      <c r="X482" s="115"/>
      <c r="Y482" s="115"/>
      <c r="Z482" s="115"/>
      <c r="AA482" s="115"/>
      <c r="AB482" s="115"/>
      <c r="AC482" s="115"/>
      <c r="AD482" s="771"/>
      <c r="AE482" s="771"/>
      <c r="AF482" s="771"/>
      <c r="AG482" s="771"/>
      <c r="AH482" s="771"/>
      <c r="AI482" s="771"/>
    </row>
    <row r="483" spans="15:35" x14ac:dyDescent="0.2">
      <c r="O483" s="100"/>
      <c r="P483" s="100"/>
      <c r="Q483" s="115"/>
      <c r="R483" s="115"/>
      <c r="S483" s="115"/>
      <c r="T483" s="100"/>
      <c r="U483" s="100"/>
      <c r="V483" s="115"/>
      <c r="W483" s="115"/>
      <c r="X483" s="115"/>
      <c r="Y483" s="115"/>
      <c r="Z483" s="115"/>
      <c r="AA483" s="115"/>
      <c r="AB483" s="115"/>
      <c r="AC483" s="115"/>
      <c r="AD483" s="771"/>
      <c r="AE483" s="771"/>
      <c r="AF483" s="771"/>
      <c r="AG483" s="771"/>
      <c r="AH483" s="771"/>
      <c r="AI483" s="771"/>
    </row>
    <row r="484" spans="15:35" x14ac:dyDescent="0.2">
      <c r="O484" s="100"/>
      <c r="P484" s="100"/>
      <c r="Q484" s="115"/>
      <c r="R484" s="115"/>
      <c r="S484" s="115"/>
      <c r="T484" s="100"/>
      <c r="U484" s="100"/>
      <c r="V484" s="115"/>
      <c r="W484" s="115"/>
      <c r="X484" s="115"/>
      <c r="Y484" s="115"/>
      <c r="Z484" s="115"/>
      <c r="AA484" s="115"/>
      <c r="AB484" s="115"/>
      <c r="AC484" s="115"/>
      <c r="AD484" s="771"/>
      <c r="AE484" s="771"/>
      <c r="AF484" s="771"/>
      <c r="AG484" s="771"/>
      <c r="AH484" s="771"/>
      <c r="AI484" s="771"/>
    </row>
    <row r="485" spans="15:35" x14ac:dyDescent="0.2">
      <c r="O485" s="100"/>
      <c r="P485" s="100"/>
      <c r="Q485" s="115"/>
      <c r="R485" s="115"/>
      <c r="S485" s="115"/>
      <c r="T485" s="100"/>
      <c r="U485" s="100"/>
      <c r="V485" s="115"/>
      <c r="W485" s="115"/>
      <c r="X485" s="115"/>
      <c r="Y485" s="115"/>
      <c r="Z485" s="115"/>
      <c r="AA485" s="115"/>
      <c r="AB485" s="115"/>
      <c r="AC485" s="115"/>
      <c r="AD485" s="771"/>
      <c r="AE485" s="771"/>
      <c r="AF485" s="771"/>
      <c r="AG485" s="771"/>
      <c r="AH485" s="771"/>
      <c r="AI485" s="771"/>
    </row>
    <row r="486" spans="15:35" x14ac:dyDescent="0.2">
      <c r="O486" s="100"/>
      <c r="P486" s="100"/>
      <c r="Q486" s="115"/>
      <c r="R486" s="115"/>
      <c r="S486" s="115"/>
      <c r="T486" s="100"/>
      <c r="U486" s="100"/>
      <c r="V486" s="115"/>
      <c r="W486" s="115"/>
      <c r="X486" s="115"/>
      <c r="Y486" s="115"/>
      <c r="Z486" s="115"/>
      <c r="AA486" s="115"/>
      <c r="AB486" s="115"/>
      <c r="AC486" s="115"/>
      <c r="AD486" s="771"/>
      <c r="AE486" s="771"/>
      <c r="AF486" s="771"/>
      <c r="AG486" s="771"/>
      <c r="AH486" s="771"/>
      <c r="AI486" s="771"/>
    </row>
    <row r="487" spans="15:35" x14ac:dyDescent="0.2">
      <c r="O487" s="100"/>
      <c r="P487" s="100"/>
      <c r="Q487" s="115"/>
      <c r="R487" s="115"/>
      <c r="S487" s="115"/>
      <c r="T487" s="100"/>
      <c r="U487" s="100"/>
      <c r="V487" s="115"/>
      <c r="W487" s="115"/>
      <c r="X487" s="115"/>
      <c r="Y487" s="115"/>
      <c r="Z487" s="115"/>
      <c r="AA487" s="115"/>
      <c r="AB487" s="115"/>
      <c r="AC487" s="115"/>
      <c r="AD487" s="771"/>
      <c r="AE487" s="771"/>
      <c r="AF487" s="771"/>
      <c r="AG487" s="771"/>
      <c r="AH487" s="771"/>
      <c r="AI487" s="771"/>
    </row>
    <row r="488" spans="15:35" x14ac:dyDescent="0.2">
      <c r="O488" s="100"/>
      <c r="P488" s="100"/>
      <c r="Q488" s="115"/>
      <c r="R488" s="115"/>
      <c r="S488" s="115"/>
      <c r="T488" s="100"/>
      <c r="U488" s="100"/>
      <c r="V488" s="115"/>
      <c r="W488" s="115"/>
      <c r="X488" s="115"/>
      <c r="Y488" s="115"/>
      <c r="Z488" s="115"/>
      <c r="AA488" s="115"/>
      <c r="AB488" s="115"/>
      <c r="AC488" s="115"/>
      <c r="AD488" s="771"/>
      <c r="AE488" s="771"/>
      <c r="AF488" s="771"/>
      <c r="AG488" s="771"/>
      <c r="AH488" s="771"/>
      <c r="AI488" s="771"/>
    </row>
    <row r="489" spans="15:35" x14ac:dyDescent="0.2">
      <c r="O489" s="100"/>
      <c r="P489" s="100"/>
      <c r="Q489" s="115"/>
      <c r="R489" s="115"/>
      <c r="S489" s="115"/>
      <c r="T489" s="100"/>
      <c r="U489" s="100"/>
      <c r="V489" s="115"/>
      <c r="W489" s="115"/>
      <c r="X489" s="115"/>
      <c r="Y489" s="115"/>
      <c r="Z489" s="115"/>
      <c r="AA489" s="115"/>
      <c r="AB489" s="115"/>
      <c r="AC489" s="115"/>
      <c r="AD489" s="771"/>
      <c r="AE489" s="771"/>
      <c r="AF489" s="771"/>
      <c r="AG489" s="771"/>
      <c r="AH489" s="771"/>
      <c r="AI489" s="771"/>
    </row>
    <row r="490" spans="15:35" x14ac:dyDescent="0.2">
      <c r="O490" s="100"/>
      <c r="P490" s="100"/>
      <c r="Q490" s="115"/>
      <c r="R490" s="115"/>
      <c r="S490" s="115"/>
      <c r="T490" s="100"/>
      <c r="U490" s="100"/>
      <c r="V490" s="115"/>
      <c r="W490" s="115"/>
      <c r="X490" s="115"/>
      <c r="Y490" s="115"/>
      <c r="Z490" s="115"/>
      <c r="AA490" s="115"/>
      <c r="AB490" s="115"/>
      <c r="AC490" s="115"/>
      <c r="AD490" s="771"/>
      <c r="AE490" s="771"/>
      <c r="AF490" s="771"/>
      <c r="AG490" s="771"/>
      <c r="AH490" s="771"/>
      <c r="AI490" s="771"/>
    </row>
    <row r="491" spans="15:35" x14ac:dyDescent="0.2">
      <c r="O491" s="100"/>
      <c r="P491" s="100"/>
      <c r="Q491" s="115"/>
      <c r="R491" s="115"/>
      <c r="S491" s="115"/>
      <c r="T491" s="100"/>
      <c r="U491" s="100"/>
      <c r="V491" s="115"/>
      <c r="W491" s="115"/>
      <c r="X491" s="115"/>
      <c r="Y491" s="115"/>
      <c r="Z491" s="115"/>
      <c r="AA491" s="115"/>
      <c r="AB491" s="115"/>
      <c r="AC491" s="115"/>
      <c r="AD491" s="771"/>
      <c r="AE491" s="771"/>
      <c r="AF491" s="771"/>
      <c r="AG491" s="771"/>
      <c r="AH491" s="771"/>
      <c r="AI491" s="771"/>
    </row>
    <row r="492" spans="15:35" x14ac:dyDescent="0.2">
      <c r="O492" s="100"/>
      <c r="P492" s="100"/>
      <c r="Q492" s="115"/>
      <c r="R492" s="115"/>
      <c r="S492" s="115"/>
      <c r="T492" s="100"/>
      <c r="U492" s="100"/>
      <c r="V492" s="115"/>
      <c r="W492" s="115"/>
      <c r="X492" s="115"/>
      <c r="Y492" s="115"/>
      <c r="Z492" s="115"/>
      <c r="AA492" s="115"/>
      <c r="AB492" s="115"/>
      <c r="AC492" s="115"/>
      <c r="AD492" s="771"/>
      <c r="AE492" s="771"/>
      <c r="AF492" s="771"/>
      <c r="AG492" s="771"/>
      <c r="AH492" s="771"/>
      <c r="AI492" s="771"/>
    </row>
    <row r="493" spans="15:35" x14ac:dyDescent="0.2">
      <c r="O493" s="100"/>
      <c r="P493" s="100"/>
      <c r="Q493" s="115"/>
      <c r="R493" s="115"/>
      <c r="S493" s="115"/>
      <c r="T493" s="100"/>
      <c r="U493" s="100"/>
      <c r="V493" s="115"/>
      <c r="W493" s="115"/>
      <c r="X493" s="115"/>
      <c r="Y493" s="115"/>
      <c r="Z493" s="115"/>
      <c r="AA493" s="115"/>
      <c r="AB493" s="115"/>
      <c r="AC493" s="115"/>
      <c r="AD493" s="771"/>
      <c r="AE493" s="771"/>
      <c r="AF493" s="771"/>
      <c r="AG493" s="771"/>
      <c r="AH493" s="771"/>
      <c r="AI493" s="771"/>
    </row>
    <row r="494" spans="15:35" x14ac:dyDescent="0.2">
      <c r="O494" s="100"/>
      <c r="P494" s="100"/>
      <c r="Q494" s="115"/>
      <c r="R494" s="115"/>
      <c r="S494" s="115"/>
      <c r="T494" s="100"/>
      <c r="U494" s="100"/>
      <c r="V494" s="115"/>
      <c r="W494" s="115"/>
      <c r="X494" s="115"/>
      <c r="Y494" s="115"/>
      <c r="Z494" s="115"/>
      <c r="AA494" s="115"/>
      <c r="AB494" s="115"/>
      <c r="AC494" s="115"/>
      <c r="AD494" s="771"/>
      <c r="AE494" s="771"/>
      <c r="AF494" s="771"/>
      <c r="AG494" s="771"/>
      <c r="AH494" s="771"/>
      <c r="AI494" s="771"/>
    </row>
    <row r="495" spans="15:35" x14ac:dyDescent="0.2">
      <c r="O495" s="100"/>
      <c r="P495" s="100"/>
      <c r="Q495" s="115"/>
      <c r="R495" s="115"/>
      <c r="S495" s="115"/>
      <c r="T495" s="100"/>
      <c r="U495" s="100"/>
      <c r="V495" s="115"/>
      <c r="W495" s="115"/>
      <c r="X495" s="115"/>
      <c r="Y495" s="115"/>
      <c r="Z495" s="115"/>
      <c r="AA495" s="115"/>
      <c r="AB495" s="115"/>
      <c r="AC495" s="115"/>
      <c r="AD495" s="771"/>
      <c r="AE495" s="771"/>
      <c r="AF495" s="771"/>
      <c r="AG495" s="771"/>
      <c r="AH495" s="771"/>
      <c r="AI495" s="771"/>
    </row>
    <row r="496" spans="15:35" x14ac:dyDescent="0.2">
      <c r="O496" s="100"/>
      <c r="P496" s="100"/>
      <c r="Q496" s="115"/>
      <c r="R496" s="115"/>
      <c r="S496" s="115"/>
      <c r="T496" s="100"/>
      <c r="U496" s="100"/>
      <c r="V496" s="115"/>
      <c r="W496" s="115"/>
      <c r="X496" s="115"/>
      <c r="Y496" s="115"/>
      <c r="Z496" s="115"/>
      <c r="AA496" s="115"/>
      <c r="AB496" s="115"/>
      <c r="AC496" s="115"/>
      <c r="AD496" s="771"/>
      <c r="AE496" s="771"/>
      <c r="AF496" s="771"/>
      <c r="AG496" s="771"/>
      <c r="AH496" s="771"/>
      <c r="AI496" s="771"/>
    </row>
    <row r="497" spans="15:35" x14ac:dyDescent="0.2">
      <c r="O497" s="100"/>
      <c r="P497" s="100"/>
      <c r="Q497" s="115"/>
      <c r="R497" s="115"/>
      <c r="S497" s="115"/>
      <c r="T497" s="100"/>
      <c r="U497" s="100"/>
      <c r="V497" s="115"/>
      <c r="W497" s="115"/>
      <c r="X497" s="115"/>
      <c r="Y497" s="115"/>
      <c r="Z497" s="115"/>
      <c r="AA497" s="115"/>
      <c r="AB497" s="115"/>
      <c r="AC497" s="115"/>
      <c r="AD497" s="771"/>
      <c r="AE497" s="771"/>
      <c r="AF497" s="771"/>
      <c r="AG497" s="771"/>
      <c r="AH497" s="771"/>
      <c r="AI497" s="771"/>
    </row>
    <row r="498" spans="15:35" x14ac:dyDescent="0.2">
      <c r="O498" s="100"/>
      <c r="P498" s="100"/>
      <c r="Q498" s="115"/>
      <c r="R498" s="115"/>
      <c r="S498" s="115"/>
      <c r="T498" s="100"/>
      <c r="U498" s="100"/>
      <c r="V498" s="115"/>
      <c r="W498" s="115"/>
      <c r="X498" s="115"/>
      <c r="Y498" s="115"/>
      <c r="Z498" s="115"/>
      <c r="AA498" s="115"/>
      <c r="AB498" s="115"/>
      <c r="AC498" s="115"/>
      <c r="AD498" s="771"/>
      <c r="AE498" s="771"/>
      <c r="AF498" s="771"/>
      <c r="AG498" s="771"/>
      <c r="AH498" s="771"/>
      <c r="AI498" s="771"/>
    </row>
    <row r="499" spans="15:35" x14ac:dyDescent="0.2">
      <c r="O499" s="100"/>
      <c r="P499" s="100"/>
      <c r="Q499" s="115"/>
      <c r="R499" s="115"/>
      <c r="S499" s="115"/>
      <c r="T499" s="100"/>
      <c r="U499" s="100"/>
      <c r="V499" s="115"/>
      <c r="W499" s="115"/>
      <c r="X499" s="115"/>
      <c r="Y499" s="115"/>
      <c r="Z499" s="115"/>
      <c r="AA499" s="115"/>
      <c r="AB499" s="115"/>
      <c r="AC499" s="115"/>
      <c r="AD499" s="771"/>
      <c r="AE499" s="771"/>
      <c r="AF499" s="771"/>
      <c r="AG499" s="771"/>
      <c r="AH499" s="771"/>
      <c r="AI499" s="771"/>
    </row>
    <row r="500" spans="15:35" x14ac:dyDescent="0.2">
      <c r="O500" s="100"/>
      <c r="P500" s="100"/>
      <c r="Q500" s="115"/>
      <c r="R500" s="115"/>
      <c r="S500" s="115"/>
      <c r="T500" s="100"/>
      <c r="U500" s="100"/>
      <c r="V500" s="115"/>
      <c r="W500" s="115"/>
      <c r="X500" s="115"/>
      <c r="Y500" s="115"/>
      <c r="Z500" s="115"/>
      <c r="AA500" s="115"/>
      <c r="AB500" s="115"/>
      <c r="AC500" s="115"/>
      <c r="AD500" s="771"/>
      <c r="AE500" s="771"/>
      <c r="AF500" s="771"/>
      <c r="AG500" s="771"/>
      <c r="AH500" s="771"/>
      <c r="AI500" s="771"/>
    </row>
  </sheetData>
  <pageMargins left="0.7" right="0.7" top="0.75" bottom="0.75" header="0.3" footer="0.3"/>
  <pageSetup paperSize="9"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tabColor rgb="FFC00000"/>
  </sheetPr>
  <dimension ref="A1:AZ500"/>
  <sheetViews>
    <sheetView showGridLines="0" workbookViewId="0">
      <selection activeCell="M35" sqref="M35"/>
    </sheetView>
  </sheetViews>
  <sheetFormatPr defaultColWidth="9.33203125" defaultRowHeight="12" x14ac:dyDescent="0.2"/>
  <cols>
    <col min="1" max="1" width="1.5" customWidth="1"/>
    <col min="2" max="2" width="26" customWidth="1"/>
    <col min="3" max="3" width="4.6640625" customWidth="1"/>
    <col min="4" max="4" width="12.33203125" customWidth="1"/>
    <col min="5" max="5" width="14.1640625" style="74" customWidth="1"/>
    <col min="6" max="6" width="3.1640625" customWidth="1"/>
    <col min="7" max="23" width="10.1640625" customWidth="1"/>
    <col min="24" max="24" width="1.83203125" customWidth="1"/>
    <col min="25" max="42" width="11.6640625" style="1" customWidth="1"/>
    <col min="43" max="47" width="21.33203125" style="1" customWidth="1"/>
    <col min="48" max="52" width="9.1640625" style="1"/>
  </cols>
  <sheetData>
    <row r="1" spans="1:47" x14ac:dyDescent="0.2">
      <c r="B1" t="s">
        <v>456</v>
      </c>
      <c r="C1" t="s">
        <v>65</v>
      </c>
      <c r="D1" s="49">
        <v>1009</v>
      </c>
      <c r="E1" s="303"/>
      <c r="Y1" s="11" t="s">
        <v>117</v>
      </c>
    </row>
    <row r="2" spans="1:47" x14ac:dyDescent="0.2">
      <c r="B2" t="s">
        <v>224</v>
      </c>
      <c r="C2" t="s">
        <v>65</v>
      </c>
      <c r="D2" s="501">
        <v>1</v>
      </c>
      <c r="E2" s="303" t="s">
        <v>461</v>
      </c>
      <c r="Y2" s="83"/>
      <c r="Z2" s="84" t="s">
        <v>148</v>
      </c>
      <c r="AA2" s="84"/>
      <c r="AB2" s="131"/>
      <c r="AC2" s="116"/>
      <c r="AD2" s="138"/>
      <c r="AE2" s="138"/>
      <c r="AF2" s="139"/>
      <c r="AG2" s="142"/>
      <c r="AH2" s="138"/>
      <c r="AI2" s="138"/>
      <c r="AJ2" s="139"/>
      <c r="AK2" s="83"/>
      <c r="AL2" s="84"/>
      <c r="AM2" s="84"/>
      <c r="AN2" s="84"/>
      <c r="AO2" s="84"/>
      <c r="AP2" s="85"/>
      <c r="AQ2" s="83"/>
      <c r="AR2" s="84"/>
      <c r="AS2" s="84"/>
      <c r="AT2" s="84"/>
      <c r="AU2" s="85"/>
    </row>
    <row r="3" spans="1:47" x14ac:dyDescent="0.2">
      <c r="Y3" s="86"/>
      <c r="Z3" s="42" t="s">
        <v>149</v>
      </c>
      <c r="AA3" s="42"/>
      <c r="AB3" s="132"/>
      <c r="AC3" s="117" t="s">
        <v>125</v>
      </c>
      <c r="AD3" s="140" t="s">
        <v>125</v>
      </c>
      <c r="AE3" s="140" t="s">
        <v>125</v>
      </c>
      <c r="AF3" s="141" t="s">
        <v>125</v>
      </c>
      <c r="AG3" s="143" t="s">
        <v>125</v>
      </c>
      <c r="AH3" s="140" t="s">
        <v>125</v>
      </c>
      <c r="AI3" s="140" t="s">
        <v>125</v>
      </c>
      <c r="AJ3" s="141" t="s">
        <v>125</v>
      </c>
      <c r="AK3" s="86"/>
      <c r="AL3" s="42"/>
      <c r="AM3" s="42"/>
      <c r="AN3" s="42"/>
      <c r="AO3" s="42"/>
      <c r="AP3" s="87"/>
      <c r="AQ3" s="146"/>
      <c r="AR3" s="42"/>
      <c r="AS3" s="42"/>
      <c r="AT3" s="42"/>
      <c r="AU3" s="87"/>
    </row>
    <row r="4" spans="1:47" ht="15" x14ac:dyDescent="0.25">
      <c r="A4" s="490" t="s">
        <v>108</v>
      </c>
      <c r="B4" s="93"/>
      <c r="C4" s="93"/>
      <c r="D4" s="93"/>
      <c r="E4" s="95"/>
      <c r="Y4" s="86" t="s">
        <v>53</v>
      </c>
      <c r="Z4" s="42" t="s">
        <v>150</v>
      </c>
      <c r="AA4" s="42"/>
      <c r="AB4" s="87" t="s">
        <v>124</v>
      </c>
      <c r="AC4" s="117" t="s">
        <v>124</v>
      </c>
      <c r="AD4" s="140"/>
      <c r="AE4" s="140"/>
      <c r="AF4" s="141" t="s">
        <v>132</v>
      </c>
      <c r="AG4" s="145"/>
      <c r="AH4" s="140" t="s">
        <v>151</v>
      </c>
      <c r="AI4" s="140"/>
      <c r="AJ4" s="141" t="s">
        <v>131</v>
      </c>
      <c r="AK4" s="86" t="s">
        <v>126</v>
      </c>
      <c r="AL4" s="42" t="s">
        <v>127</v>
      </c>
      <c r="AM4" s="42" t="s">
        <v>130</v>
      </c>
      <c r="AN4" s="42" t="s">
        <v>131</v>
      </c>
      <c r="AO4" s="42" t="s">
        <v>129</v>
      </c>
      <c r="AP4" s="87" t="s">
        <v>132</v>
      </c>
      <c r="AQ4" s="133" t="s">
        <v>133</v>
      </c>
      <c r="AR4" s="1" t="s">
        <v>135</v>
      </c>
      <c r="AS4" s="1" t="s">
        <v>135</v>
      </c>
      <c r="AT4" s="1" t="s">
        <v>138</v>
      </c>
      <c r="AU4" s="134" t="s">
        <v>140</v>
      </c>
    </row>
    <row r="5" spans="1:47" x14ac:dyDescent="0.2">
      <c r="B5" t="s">
        <v>109</v>
      </c>
      <c r="C5" t="s">
        <v>65</v>
      </c>
      <c r="D5" s="20">
        <v>0</v>
      </c>
      <c r="O5" s="91"/>
      <c r="P5" s="1"/>
      <c r="T5" s="78"/>
      <c r="U5" s="78"/>
      <c r="V5" s="77"/>
      <c r="X5" s="78"/>
      <c r="Y5" s="86" t="s">
        <v>14</v>
      </c>
      <c r="Z5" s="42" t="s">
        <v>57</v>
      </c>
      <c r="AA5" s="42" t="s">
        <v>122</v>
      </c>
      <c r="AB5" s="87" t="s">
        <v>123</v>
      </c>
      <c r="AC5" s="117" t="s">
        <v>123</v>
      </c>
      <c r="AD5" s="140" t="s">
        <v>126</v>
      </c>
      <c r="AE5" s="140" t="s">
        <v>129</v>
      </c>
      <c r="AF5" s="141" t="s">
        <v>123</v>
      </c>
      <c r="AG5" s="145" t="s">
        <v>126</v>
      </c>
      <c r="AH5" s="140" t="s">
        <v>152</v>
      </c>
      <c r="AI5" s="140" t="s">
        <v>128</v>
      </c>
      <c r="AJ5" s="141" t="s">
        <v>123</v>
      </c>
      <c r="AK5" s="86" t="s">
        <v>123</v>
      </c>
      <c r="AL5" s="42" t="s">
        <v>123</v>
      </c>
      <c r="AM5" s="42" t="s">
        <v>123</v>
      </c>
      <c r="AN5" s="42" t="s">
        <v>123</v>
      </c>
      <c r="AO5" s="42" t="s">
        <v>123</v>
      </c>
      <c r="AP5" s="87" t="s">
        <v>123</v>
      </c>
      <c r="AQ5" s="133" t="s">
        <v>134</v>
      </c>
      <c r="AR5" s="1" t="s">
        <v>136</v>
      </c>
      <c r="AS5" s="1" t="s">
        <v>137</v>
      </c>
      <c r="AT5" s="1" t="s">
        <v>139</v>
      </c>
      <c r="AU5" s="134" t="s">
        <v>139</v>
      </c>
    </row>
    <row r="6" spans="1:47" x14ac:dyDescent="0.2">
      <c r="B6" t="s">
        <v>110</v>
      </c>
      <c r="C6" t="s">
        <v>65</v>
      </c>
      <c r="D6" t="s">
        <v>623</v>
      </c>
      <c r="O6" s="1"/>
      <c r="P6" s="1"/>
      <c r="T6" s="78"/>
      <c r="U6" s="78"/>
      <c r="V6" s="77"/>
      <c r="X6" s="78"/>
      <c r="Y6" s="97" t="s">
        <v>118</v>
      </c>
      <c r="Z6" s="96" t="s">
        <v>66</v>
      </c>
      <c r="AA6" s="96" t="s">
        <v>31</v>
      </c>
      <c r="AB6" s="135"/>
      <c r="AC6" s="118" t="s">
        <v>44</v>
      </c>
      <c r="AD6" s="136" t="s">
        <v>44</v>
      </c>
      <c r="AE6" s="136" t="s">
        <v>44</v>
      </c>
      <c r="AF6" s="137" t="s">
        <v>44</v>
      </c>
      <c r="AG6" s="144" t="s">
        <v>44</v>
      </c>
      <c r="AH6" s="136" t="s">
        <v>44</v>
      </c>
      <c r="AI6" s="136" t="s">
        <v>44</v>
      </c>
      <c r="AJ6" s="137" t="s">
        <v>44</v>
      </c>
      <c r="AK6" s="97"/>
      <c r="AL6" s="96"/>
      <c r="AM6" s="96"/>
      <c r="AN6" s="96"/>
      <c r="AO6" s="96"/>
      <c r="AP6" s="98"/>
      <c r="AQ6" s="97" t="s">
        <v>119</v>
      </c>
      <c r="AR6" s="96" t="s">
        <v>120</v>
      </c>
      <c r="AS6" s="96" t="s">
        <v>121</v>
      </c>
      <c r="AT6" s="96" t="s">
        <v>120</v>
      </c>
      <c r="AU6" s="98" t="s">
        <v>121</v>
      </c>
    </row>
    <row r="7" spans="1:47" x14ac:dyDescent="0.2">
      <c r="O7" s="1"/>
      <c r="P7" s="1"/>
      <c r="T7" s="78"/>
      <c r="U7" s="78"/>
      <c r="V7" s="77"/>
      <c r="X7" s="78"/>
      <c r="Y7" s="100">
        <v>1.0000000000000001E-5</v>
      </c>
      <c r="Z7" s="100">
        <v>4400</v>
      </c>
      <c r="AA7" s="100">
        <v>180</v>
      </c>
      <c r="AB7" s="100">
        <v>2</v>
      </c>
      <c r="AC7" s="123"/>
      <c r="AD7" s="119"/>
      <c r="AE7" s="119"/>
      <c r="AF7" s="120"/>
      <c r="AG7" s="129"/>
      <c r="AH7" s="126"/>
      <c r="AI7" s="126"/>
      <c r="AJ7" s="127"/>
      <c r="AK7" s="100">
        <v>2</v>
      </c>
      <c r="AL7" s="100"/>
      <c r="AM7" s="100"/>
      <c r="AN7" s="100"/>
      <c r="AO7" s="100"/>
      <c r="AP7" s="99"/>
      <c r="AQ7" s="99"/>
      <c r="AR7" s="99"/>
      <c r="AS7" s="99"/>
      <c r="AT7" s="99">
        <v>1.1263200000000001E-3</v>
      </c>
      <c r="AU7" s="99"/>
    </row>
    <row r="8" spans="1:47" ht="15" x14ac:dyDescent="0.25">
      <c r="A8" s="490" t="s">
        <v>111</v>
      </c>
      <c r="B8" s="93"/>
      <c r="C8" s="93"/>
      <c r="D8" s="93"/>
      <c r="E8" s="95"/>
      <c r="O8" s="1"/>
      <c r="P8" s="1"/>
      <c r="T8" s="78"/>
      <c r="U8" s="78"/>
      <c r="V8" s="77"/>
      <c r="X8" s="78"/>
      <c r="Y8" s="100">
        <v>3.7273800000000001</v>
      </c>
      <c r="Z8" s="100">
        <v>4289.49</v>
      </c>
      <c r="AA8" s="100">
        <v>178.91</v>
      </c>
      <c r="AB8" s="100">
        <v>2</v>
      </c>
      <c r="AC8" s="124">
        <v>16.495100000000001</v>
      </c>
      <c r="AD8" s="121"/>
      <c r="AE8" s="121"/>
      <c r="AF8" s="122"/>
      <c r="AG8" s="130"/>
      <c r="AH8" s="125"/>
      <c r="AI8" s="125"/>
      <c r="AJ8" s="128"/>
      <c r="AK8" s="100">
        <v>2</v>
      </c>
      <c r="AL8" s="100"/>
      <c r="AM8" s="100"/>
      <c r="AN8" s="100"/>
      <c r="AO8" s="100"/>
      <c r="AP8" s="99"/>
      <c r="AQ8" s="99"/>
      <c r="AR8" s="99"/>
      <c r="AS8" s="99"/>
      <c r="AT8" s="99">
        <v>1.12323E-3</v>
      </c>
      <c r="AU8" s="99"/>
    </row>
    <row r="9" spans="1:47" x14ac:dyDescent="0.2">
      <c r="B9" t="s">
        <v>8</v>
      </c>
      <c r="C9" t="s">
        <v>65</v>
      </c>
      <c r="D9" s="20">
        <v>0</v>
      </c>
      <c r="O9" s="1"/>
      <c r="P9" s="1"/>
      <c r="T9" s="78"/>
      <c r="U9" s="78"/>
      <c r="V9" s="77"/>
      <c r="X9" s="78"/>
      <c r="Y9" s="100">
        <v>7.4547600000000003</v>
      </c>
      <c r="Z9" s="100">
        <v>4174.83</v>
      </c>
      <c r="AA9" s="100">
        <v>177.64400000000001</v>
      </c>
      <c r="AB9" s="100">
        <v>2</v>
      </c>
      <c r="AC9" s="124">
        <v>33.061500000000002</v>
      </c>
      <c r="AD9" s="121"/>
      <c r="AE9" s="121"/>
      <c r="AF9" s="122"/>
      <c r="AG9" s="130"/>
      <c r="AH9" s="125"/>
      <c r="AI9" s="125"/>
      <c r="AJ9" s="128"/>
      <c r="AK9" s="100">
        <v>2</v>
      </c>
      <c r="AL9" s="100"/>
      <c r="AM9" s="100"/>
      <c r="AN9" s="100"/>
      <c r="AO9" s="100"/>
      <c r="AP9" s="99"/>
      <c r="AQ9" s="99"/>
      <c r="AR9" s="99"/>
      <c r="AS9" s="99"/>
      <c r="AT9" s="99">
        <v>1.1200699999999999E-3</v>
      </c>
      <c r="AU9" s="99"/>
    </row>
    <row r="10" spans="1:47" x14ac:dyDescent="0.2">
      <c r="B10" t="s">
        <v>112</v>
      </c>
      <c r="C10" t="s">
        <v>65</v>
      </c>
      <c r="D10" t="s">
        <v>624</v>
      </c>
      <c r="O10" s="1"/>
      <c r="P10" s="1"/>
      <c r="T10" s="78"/>
      <c r="U10" s="78"/>
      <c r="V10" s="77"/>
      <c r="X10" s="78"/>
      <c r="Y10" s="100">
        <v>11.1821</v>
      </c>
      <c r="Z10" s="100">
        <v>4055.79</v>
      </c>
      <c r="AA10" s="100">
        <v>176.31399999999999</v>
      </c>
      <c r="AB10" s="100">
        <v>2</v>
      </c>
      <c r="AC10" s="124">
        <v>49.755899999999997</v>
      </c>
      <c r="AD10" s="121"/>
      <c r="AE10" s="121"/>
      <c r="AF10" s="122"/>
      <c r="AG10" s="130"/>
      <c r="AH10" s="125"/>
      <c r="AI10" s="125"/>
      <c r="AJ10" s="128"/>
      <c r="AK10" s="100">
        <v>2</v>
      </c>
      <c r="AL10" s="100"/>
      <c r="AM10" s="100"/>
      <c r="AN10" s="100"/>
      <c r="AO10" s="100"/>
      <c r="AP10" s="99"/>
      <c r="AQ10" s="99"/>
      <c r="AR10" s="99"/>
      <c r="AS10" s="99"/>
      <c r="AT10" s="99">
        <v>1.1168300000000001E-3</v>
      </c>
      <c r="AU10" s="99"/>
    </row>
    <row r="11" spans="1:47" x14ac:dyDescent="0.2">
      <c r="B11" t="s">
        <v>240</v>
      </c>
      <c r="C11" t="s">
        <v>65</v>
      </c>
      <c r="D11" s="163">
        <v>2</v>
      </c>
      <c r="O11" s="1"/>
      <c r="P11" s="1"/>
      <c r="T11" s="78"/>
      <c r="U11" s="78"/>
      <c r="V11" s="77"/>
      <c r="X11" s="78"/>
      <c r="Y11" s="100">
        <v>14.9095</v>
      </c>
      <c r="Z11" s="100">
        <v>3931.84</v>
      </c>
      <c r="AA11" s="100">
        <v>174.90799999999999</v>
      </c>
      <c r="AB11" s="100">
        <v>2</v>
      </c>
      <c r="AC11" s="124">
        <v>66.903300000000002</v>
      </c>
      <c r="AD11" s="121"/>
      <c r="AE11" s="121"/>
      <c r="AF11" s="122"/>
      <c r="AG11" s="130"/>
      <c r="AH11" s="125"/>
      <c r="AI11" s="125"/>
      <c r="AJ11" s="128"/>
      <c r="AK11" s="100">
        <v>2</v>
      </c>
      <c r="AL11" s="100"/>
      <c r="AM11" s="100"/>
      <c r="AN11" s="100"/>
      <c r="AO11" s="100"/>
      <c r="AP11" s="99"/>
      <c r="AQ11" s="99"/>
      <c r="AR11" s="99"/>
      <c r="AS11" s="99"/>
      <c r="AT11" s="99">
        <v>1.1135299999999999E-3</v>
      </c>
      <c r="AU11" s="99"/>
    </row>
    <row r="12" spans="1:47" ht="15" x14ac:dyDescent="0.25">
      <c r="A12" s="490" t="s">
        <v>113</v>
      </c>
      <c r="B12" s="93"/>
      <c r="C12" s="93"/>
      <c r="D12" s="93"/>
      <c r="E12" s="95"/>
      <c r="O12" s="1"/>
      <c r="P12" s="1"/>
      <c r="T12" s="78"/>
      <c r="U12" s="78"/>
      <c r="V12" s="77"/>
      <c r="X12" s="78"/>
      <c r="Y12" s="100">
        <v>18.636900000000001</v>
      </c>
      <c r="Z12" s="100">
        <v>3802.9</v>
      </c>
      <c r="AA12" s="100">
        <v>173.42599999999999</v>
      </c>
      <c r="AB12" s="100">
        <v>2</v>
      </c>
      <c r="AC12" s="124">
        <v>84.020799999999994</v>
      </c>
      <c r="AD12" s="121"/>
      <c r="AE12" s="121"/>
      <c r="AF12" s="122"/>
      <c r="AG12" s="130"/>
      <c r="AH12" s="125"/>
      <c r="AI12" s="125"/>
      <c r="AJ12" s="128"/>
      <c r="AK12" s="100">
        <v>2</v>
      </c>
      <c r="AL12" s="100"/>
      <c r="AM12" s="100"/>
      <c r="AN12" s="100"/>
      <c r="AO12" s="100"/>
      <c r="AP12" s="99"/>
      <c r="AQ12" s="99"/>
      <c r="AR12" s="99"/>
      <c r="AS12" s="99"/>
      <c r="AT12" s="99">
        <v>1.11034E-3</v>
      </c>
      <c r="AU12" s="99"/>
    </row>
    <row r="13" spans="1:47" x14ac:dyDescent="0.2">
      <c r="B13" t="s">
        <v>72</v>
      </c>
      <c r="C13" t="s">
        <v>65</v>
      </c>
      <c r="D13" s="94">
        <v>4400</v>
      </c>
      <c r="E13" s="217" t="s">
        <v>66</v>
      </c>
      <c r="O13" s="1"/>
      <c r="P13" s="1"/>
      <c r="T13" s="78"/>
      <c r="U13" s="78"/>
      <c r="V13" s="77"/>
      <c r="X13" s="78"/>
      <c r="Y13" s="100">
        <v>22.3642</v>
      </c>
      <c r="Z13" s="100">
        <v>3668.42</v>
      </c>
      <c r="AA13" s="100">
        <v>171.85400000000001</v>
      </c>
      <c r="AB13" s="100">
        <v>2</v>
      </c>
      <c r="AC13" s="124">
        <v>101.742</v>
      </c>
      <c r="AD13" s="121"/>
      <c r="AE13" s="121"/>
      <c r="AF13" s="122"/>
      <c r="AG13" s="130"/>
      <c r="AH13" s="125"/>
      <c r="AI13" s="125"/>
      <c r="AJ13" s="128"/>
      <c r="AK13" s="100">
        <v>2</v>
      </c>
      <c r="AL13" s="100"/>
      <c r="AM13" s="100"/>
      <c r="AN13" s="100"/>
      <c r="AO13" s="100"/>
      <c r="AP13" s="99"/>
      <c r="AQ13" s="99"/>
      <c r="AR13" s="99"/>
      <c r="AS13" s="99"/>
      <c r="AT13" s="99">
        <v>1.10699E-3</v>
      </c>
      <c r="AU13" s="99"/>
    </row>
    <row r="14" spans="1:47" x14ac:dyDescent="0.2">
      <c r="B14" t="s">
        <v>71</v>
      </c>
      <c r="C14" t="s">
        <v>65</v>
      </c>
      <c r="D14" s="94">
        <v>180</v>
      </c>
      <c r="E14" s="217" t="s">
        <v>31</v>
      </c>
      <c r="O14" s="1"/>
      <c r="P14" s="1"/>
      <c r="T14" s="78"/>
      <c r="U14" s="78"/>
      <c r="V14" s="77"/>
      <c r="X14" s="78"/>
      <c r="Y14" s="100">
        <v>26.0916</v>
      </c>
      <c r="Z14" s="100">
        <v>3527.86</v>
      </c>
      <c r="AA14" s="100">
        <v>170.18</v>
      </c>
      <c r="AB14" s="100">
        <v>2</v>
      </c>
      <c r="AC14" s="124">
        <v>120.066</v>
      </c>
      <c r="AD14" s="121"/>
      <c r="AE14" s="121"/>
      <c r="AF14" s="122"/>
      <c r="AG14" s="130"/>
      <c r="AH14" s="125"/>
      <c r="AI14" s="125"/>
      <c r="AJ14" s="128"/>
      <c r="AK14" s="100">
        <v>2</v>
      </c>
      <c r="AL14" s="100"/>
      <c r="AM14" s="100"/>
      <c r="AN14" s="100"/>
      <c r="AO14" s="100"/>
      <c r="AP14" s="99"/>
      <c r="AQ14" s="99"/>
      <c r="AR14" s="99"/>
      <c r="AS14" s="99"/>
      <c r="AT14" s="99">
        <v>1.1036100000000001E-3</v>
      </c>
      <c r="AU14" s="99"/>
    </row>
    <row r="15" spans="1:47" x14ac:dyDescent="0.2">
      <c r="B15" t="s">
        <v>645</v>
      </c>
      <c r="C15" t="s">
        <v>65</v>
      </c>
      <c r="D15" s="94">
        <v>0</v>
      </c>
      <c r="E15" s="217" t="s">
        <v>607</v>
      </c>
      <c r="O15" s="1"/>
      <c r="P15" s="1"/>
      <c r="T15" s="78"/>
      <c r="U15" s="78"/>
      <c r="V15" s="77"/>
      <c r="X15" s="78"/>
      <c r="Y15" s="100">
        <v>29.818999999999999</v>
      </c>
      <c r="Z15" s="100">
        <v>3380.56</v>
      </c>
      <c r="AA15" s="100">
        <v>168.39</v>
      </c>
      <c r="AB15" s="100">
        <v>2</v>
      </c>
      <c r="AC15" s="124">
        <v>139.18799999999999</v>
      </c>
      <c r="AD15" s="121"/>
      <c r="AE15" s="121"/>
      <c r="AF15" s="122"/>
      <c r="AG15" s="130"/>
      <c r="AH15" s="125"/>
      <c r="AI15" s="125"/>
      <c r="AJ15" s="128"/>
      <c r="AK15" s="100">
        <v>2</v>
      </c>
      <c r="AL15" s="100"/>
      <c r="AM15" s="100"/>
      <c r="AN15" s="100"/>
      <c r="AO15" s="100"/>
      <c r="AP15" s="99"/>
      <c r="AQ15" s="99"/>
      <c r="AR15" s="99"/>
      <c r="AS15" s="99"/>
      <c r="AT15" s="99">
        <v>1.10019E-3</v>
      </c>
      <c r="AU15" s="99"/>
    </row>
    <row r="16" spans="1:47" x14ac:dyDescent="0.2">
      <c r="B16" t="s">
        <v>646</v>
      </c>
      <c r="C16" t="s">
        <v>65</v>
      </c>
      <c r="D16" s="94">
        <v>24.100000381000001</v>
      </c>
      <c r="E16" s="217" t="s">
        <v>607</v>
      </c>
      <c r="O16" s="1"/>
      <c r="P16" s="1"/>
      <c r="T16" s="78"/>
      <c r="U16" s="78"/>
      <c r="V16" s="77"/>
      <c r="X16" s="78"/>
      <c r="Y16" s="100">
        <v>33.546399999999998</v>
      </c>
      <c r="Z16" s="100">
        <v>3225.69</v>
      </c>
      <c r="AA16" s="100">
        <v>166.46600000000001</v>
      </c>
      <c r="AB16" s="100">
        <v>2</v>
      </c>
      <c r="AC16" s="124">
        <v>159.36799999999999</v>
      </c>
      <c r="AD16" s="121"/>
      <c r="AE16" s="121"/>
      <c r="AF16" s="122"/>
      <c r="AG16" s="130"/>
      <c r="AH16" s="125"/>
      <c r="AI16" s="125"/>
      <c r="AJ16" s="128"/>
      <c r="AK16" s="100">
        <v>2</v>
      </c>
      <c r="AL16" s="100"/>
      <c r="AM16" s="100"/>
      <c r="AN16" s="100"/>
      <c r="AO16" s="100"/>
      <c r="AP16" s="99"/>
      <c r="AQ16" s="99"/>
      <c r="AR16" s="99"/>
      <c r="AS16" s="99"/>
      <c r="AT16" s="99">
        <v>1.0967500000000001E-3</v>
      </c>
      <c r="AU16" s="99"/>
    </row>
    <row r="17" spans="1:47" x14ac:dyDescent="0.2">
      <c r="B17" t="s">
        <v>457</v>
      </c>
      <c r="C17" t="s">
        <v>65</v>
      </c>
      <c r="D17" s="94" t="s">
        <v>447</v>
      </c>
      <c r="E17" s="217"/>
      <c r="O17" s="1"/>
      <c r="P17" s="1"/>
      <c r="T17" s="78"/>
      <c r="U17" s="78"/>
      <c r="V17" s="77"/>
      <c r="X17" s="78"/>
      <c r="Y17" s="100">
        <v>37.273699999999998</v>
      </c>
      <c r="Z17" s="100">
        <v>3062.7</v>
      </c>
      <c r="AA17" s="100">
        <v>164.39</v>
      </c>
      <c r="AB17" s="100">
        <v>2</v>
      </c>
      <c r="AC17" s="124">
        <v>180.46199999999999</v>
      </c>
      <c r="AD17" s="121"/>
      <c r="AE17" s="121"/>
      <c r="AF17" s="122"/>
      <c r="AG17" s="130"/>
      <c r="AH17" s="125"/>
      <c r="AI17" s="125"/>
      <c r="AJ17" s="128"/>
      <c r="AK17" s="100">
        <v>2</v>
      </c>
      <c r="AL17" s="100"/>
      <c r="AM17" s="100"/>
      <c r="AN17" s="100"/>
      <c r="AO17" s="100"/>
      <c r="AP17" s="99"/>
      <c r="AQ17" s="99"/>
      <c r="AR17" s="99"/>
      <c r="AS17" s="99"/>
      <c r="AT17" s="99">
        <v>1.09329E-3</v>
      </c>
      <c r="AU17" s="99"/>
    </row>
    <row r="18" spans="1:47" x14ac:dyDescent="0.2">
      <c r="E18" s="217"/>
      <c r="O18" s="1"/>
      <c r="P18" s="1"/>
      <c r="T18" s="78"/>
      <c r="U18" s="78"/>
      <c r="V18" s="77"/>
      <c r="X18" s="78"/>
      <c r="Y18" s="100">
        <v>41.001100000000001</v>
      </c>
      <c r="Z18" s="100">
        <v>2889.45</v>
      </c>
      <c r="AA18" s="100">
        <v>162.12100000000001</v>
      </c>
      <c r="AB18" s="100">
        <v>2</v>
      </c>
      <c r="AC18" s="124">
        <v>204.10599999999999</v>
      </c>
      <c r="AD18" s="121"/>
      <c r="AE18" s="121"/>
      <c r="AF18" s="122"/>
      <c r="AG18" s="130"/>
      <c r="AH18" s="125"/>
      <c r="AI18" s="125"/>
      <c r="AJ18" s="128"/>
      <c r="AK18" s="100">
        <v>2</v>
      </c>
      <c r="AL18" s="100"/>
      <c r="AM18" s="100"/>
      <c r="AN18" s="100"/>
      <c r="AO18" s="100"/>
      <c r="AP18" s="99"/>
      <c r="AQ18" s="99"/>
      <c r="AR18" s="99"/>
      <c r="AS18" s="99"/>
      <c r="AT18" s="99">
        <v>1.0897400000000001E-3</v>
      </c>
      <c r="AU18" s="99"/>
    </row>
    <row r="19" spans="1:47" ht="15" x14ac:dyDescent="0.25">
      <c r="A19" s="490" t="s">
        <v>114</v>
      </c>
      <c r="B19" s="93"/>
      <c r="C19" s="93"/>
      <c r="D19" s="93"/>
      <c r="E19" s="218"/>
      <c r="O19" s="1"/>
      <c r="P19" s="1"/>
      <c r="T19" s="78"/>
      <c r="U19" s="78"/>
      <c r="V19" s="77"/>
      <c r="X19" s="78"/>
      <c r="Y19" s="100">
        <v>44.728499999999997</v>
      </c>
      <c r="Z19" s="100">
        <v>2704.46</v>
      </c>
      <c r="AA19" s="100">
        <v>159.61799999999999</v>
      </c>
      <c r="AB19" s="100">
        <v>2</v>
      </c>
      <c r="AC19" s="124">
        <v>230.03100000000001</v>
      </c>
      <c r="AD19" s="121"/>
      <c r="AE19" s="121"/>
      <c r="AF19" s="122"/>
      <c r="AG19" s="130"/>
      <c r="AH19" s="125"/>
      <c r="AI19" s="125"/>
      <c r="AJ19" s="128"/>
      <c r="AK19" s="100">
        <v>2</v>
      </c>
      <c r="AL19" s="100"/>
      <c r="AM19" s="100"/>
      <c r="AN19" s="100"/>
      <c r="AO19" s="100"/>
      <c r="AP19" s="99"/>
      <c r="AQ19" s="99"/>
      <c r="AR19" s="99"/>
      <c r="AS19" s="99"/>
      <c r="AT19" s="99">
        <v>1.08625E-3</v>
      </c>
      <c r="AU19" s="99"/>
    </row>
    <row r="20" spans="1:47" ht="15.75" x14ac:dyDescent="0.25">
      <c r="B20" t="s">
        <v>115</v>
      </c>
      <c r="D20" s="500">
        <v>70.820091247999997</v>
      </c>
      <c r="E20" s="217" t="s">
        <v>118</v>
      </c>
      <c r="O20" s="1"/>
      <c r="P20" s="1"/>
      <c r="T20" s="78"/>
      <c r="U20" s="78"/>
      <c r="V20" s="77"/>
      <c r="X20" s="78"/>
      <c r="Y20" s="100">
        <v>48.4559</v>
      </c>
      <c r="Z20" s="100">
        <v>2505.23</v>
      </c>
      <c r="AA20" s="100">
        <v>156.82</v>
      </c>
      <c r="AB20" s="100">
        <v>2</v>
      </c>
      <c r="AC20" s="124">
        <v>259.53800000000001</v>
      </c>
      <c r="AD20" s="121"/>
      <c r="AE20" s="121"/>
      <c r="AF20" s="122"/>
      <c r="AG20" s="130"/>
      <c r="AH20" s="125"/>
      <c r="AI20" s="125"/>
      <c r="AJ20" s="128"/>
      <c r="AK20" s="100">
        <v>2</v>
      </c>
      <c r="AL20" s="100"/>
      <c r="AM20" s="100"/>
      <c r="AN20" s="100"/>
      <c r="AO20" s="100"/>
      <c r="AP20" s="99"/>
      <c r="AQ20" s="99"/>
      <c r="AR20" s="99"/>
      <c r="AS20" s="99"/>
      <c r="AT20" s="99">
        <v>1.0827600000000001E-3</v>
      </c>
      <c r="AU20" s="99"/>
    </row>
    <row r="21" spans="1:47" x14ac:dyDescent="0.2">
      <c r="E21" s="217"/>
      <c r="O21" s="1"/>
      <c r="P21" s="1"/>
      <c r="T21" s="78"/>
      <c r="U21" s="78"/>
      <c r="V21" s="77"/>
      <c r="X21" s="78"/>
      <c r="Y21" s="100">
        <v>52.183199999999999</v>
      </c>
      <c r="Z21" s="100">
        <v>2288.12</v>
      </c>
      <c r="AA21" s="100">
        <v>153.63300000000001</v>
      </c>
      <c r="AB21" s="100">
        <v>2</v>
      </c>
      <c r="AC21" s="124">
        <v>294.26499999999999</v>
      </c>
      <c r="AD21" s="121"/>
      <c r="AE21" s="121"/>
      <c r="AF21" s="122"/>
      <c r="AG21" s="130"/>
      <c r="AH21" s="125"/>
      <c r="AI21" s="125"/>
      <c r="AJ21" s="128"/>
      <c r="AK21" s="100">
        <v>2</v>
      </c>
      <c r="AL21" s="100"/>
      <c r="AM21" s="100"/>
      <c r="AN21" s="100"/>
      <c r="AO21" s="100"/>
      <c r="AP21" s="99"/>
      <c r="AQ21" s="99"/>
      <c r="AR21" s="99"/>
      <c r="AS21" s="99"/>
      <c r="AT21" s="99">
        <v>1.07928E-3</v>
      </c>
      <c r="AU21" s="99"/>
    </row>
    <row r="22" spans="1:47" x14ac:dyDescent="0.2">
      <c r="E22" s="217"/>
      <c r="O22" s="1"/>
      <c r="P22" s="1"/>
      <c r="T22" s="78"/>
      <c r="U22" s="78"/>
      <c r="V22" s="77"/>
      <c r="X22" s="78"/>
      <c r="Y22" s="100">
        <v>55.910600000000002</v>
      </c>
      <c r="Z22" s="100">
        <v>2047.54</v>
      </c>
      <c r="AA22" s="100">
        <v>149.904</v>
      </c>
      <c r="AB22" s="100">
        <v>2</v>
      </c>
      <c r="AC22" s="124">
        <v>337.01600000000002</v>
      </c>
      <c r="AD22" s="121"/>
      <c r="AE22" s="121"/>
      <c r="AF22" s="122"/>
      <c r="AG22" s="130"/>
      <c r="AH22" s="125"/>
      <c r="AI22" s="125"/>
      <c r="AJ22" s="128"/>
      <c r="AK22" s="100">
        <v>2</v>
      </c>
      <c r="AL22" s="100"/>
      <c r="AM22" s="100"/>
      <c r="AN22" s="100"/>
      <c r="AO22" s="100"/>
      <c r="AP22" s="99"/>
      <c r="AQ22" s="99"/>
      <c r="AR22" s="99"/>
      <c r="AS22" s="99"/>
      <c r="AT22" s="99">
        <v>1.0758300000000001E-3</v>
      </c>
      <c r="AU22" s="99"/>
    </row>
    <row r="23" spans="1:47" ht="15" x14ac:dyDescent="0.25">
      <c r="A23" s="490" t="s">
        <v>116</v>
      </c>
      <c r="B23" s="93"/>
      <c r="C23" s="93"/>
      <c r="D23" s="93"/>
      <c r="E23" s="218"/>
      <c r="O23" s="1"/>
      <c r="P23" s="1"/>
      <c r="T23" s="78"/>
      <c r="U23" s="78"/>
      <c r="V23" s="77"/>
      <c r="X23" s="78"/>
      <c r="Y23" s="100">
        <v>59.637999999999998</v>
      </c>
      <c r="Z23" s="100">
        <v>1773.54</v>
      </c>
      <c r="AA23" s="100">
        <v>145.34700000000001</v>
      </c>
      <c r="AB23" s="100">
        <v>2</v>
      </c>
      <c r="AC23" s="124">
        <v>393.62099999999998</v>
      </c>
      <c r="AD23" s="121"/>
      <c r="AE23" s="121"/>
      <c r="AF23" s="122"/>
      <c r="AG23" s="130"/>
      <c r="AH23" s="125"/>
      <c r="AI23" s="125"/>
      <c r="AJ23" s="128"/>
      <c r="AK23" s="100">
        <v>2</v>
      </c>
      <c r="AL23" s="100"/>
      <c r="AM23" s="100"/>
      <c r="AN23" s="100"/>
      <c r="AO23" s="100"/>
      <c r="AP23" s="99"/>
      <c r="AQ23" s="99"/>
      <c r="AR23" s="99"/>
      <c r="AS23" s="99"/>
      <c r="AT23" s="99">
        <v>1.07241E-3</v>
      </c>
      <c r="AU23" s="99"/>
    </row>
    <row r="24" spans="1:47" x14ac:dyDescent="0.2">
      <c r="B24" t="s">
        <v>234</v>
      </c>
      <c r="C24" t="s">
        <v>65</v>
      </c>
      <c r="D24" s="163">
        <v>15</v>
      </c>
      <c r="E24" s="217" t="s">
        <v>455</v>
      </c>
      <c r="O24" s="1"/>
      <c r="P24" s="1"/>
      <c r="T24" s="78"/>
      <c r="U24" s="78"/>
      <c r="V24" s="77"/>
      <c r="X24" s="78"/>
      <c r="Y24" s="100">
        <v>63.365299999999998</v>
      </c>
      <c r="Z24" s="100">
        <v>1448.59</v>
      </c>
      <c r="AA24" s="100">
        <v>139.38300000000001</v>
      </c>
      <c r="AB24" s="100">
        <v>2</v>
      </c>
      <c r="AC24" s="124">
        <v>475.10899999999998</v>
      </c>
      <c r="AD24" s="121"/>
      <c r="AE24" s="121"/>
      <c r="AF24" s="122"/>
      <c r="AG24" s="130"/>
      <c r="AH24" s="125"/>
      <c r="AI24" s="125"/>
      <c r="AJ24" s="128"/>
      <c r="AK24" s="100">
        <v>2</v>
      </c>
      <c r="AL24" s="100"/>
      <c r="AM24" s="100"/>
      <c r="AN24" s="100"/>
      <c r="AO24" s="100"/>
      <c r="AP24" s="99"/>
      <c r="AQ24" s="99"/>
      <c r="AR24" s="99"/>
      <c r="AS24" s="99"/>
      <c r="AT24" s="99">
        <v>1.0690400000000001E-3</v>
      </c>
      <c r="AU24" s="99"/>
    </row>
    <row r="25" spans="1:47" x14ac:dyDescent="0.2">
      <c r="B25" t="s">
        <v>235</v>
      </c>
      <c r="C25" t="s">
        <v>65</v>
      </c>
      <c r="D25" s="163">
        <v>24.999999609</v>
      </c>
      <c r="E25" s="217" t="s">
        <v>0</v>
      </c>
      <c r="O25" s="1"/>
      <c r="P25" s="1"/>
      <c r="V25" s="78"/>
      <c r="Y25" s="100">
        <v>67.092699999999994</v>
      </c>
      <c r="Z25" s="100">
        <v>1024.6199999999999</v>
      </c>
      <c r="AA25" s="100">
        <v>130.18899999999999</v>
      </c>
      <c r="AB25" s="100">
        <v>2</v>
      </c>
      <c r="AC25" s="124">
        <v>617.673</v>
      </c>
      <c r="AD25" s="121"/>
      <c r="AE25" s="121"/>
      <c r="AF25" s="122"/>
      <c r="AG25" s="130"/>
      <c r="AH25" s="125"/>
      <c r="AI25" s="125"/>
      <c r="AJ25" s="128"/>
      <c r="AK25" s="100">
        <v>2</v>
      </c>
      <c r="AL25" s="100"/>
      <c r="AM25" s="100"/>
      <c r="AN25" s="100"/>
      <c r="AO25" s="100"/>
      <c r="AP25" s="99"/>
      <c r="AQ25" s="99"/>
      <c r="AR25" s="99"/>
      <c r="AS25" s="99"/>
      <c r="AT25" s="99">
        <v>1.06576E-3</v>
      </c>
      <c r="AU25" s="99"/>
    </row>
    <row r="26" spans="1:47" x14ac:dyDescent="0.2">
      <c r="B26" t="s">
        <v>236</v>
      </c>
      <c r="C26" t="s">
        <v>65</v>
      </c>
      <c r="D26" s="179">
        <v>404690000</v>
      </c>
      <c r="E26" s="217" t="s">
        <v>620</v>
      </c>
      <c r="O26" s="1"/>
      <c r="P26" s="1"/>
      <c r="Y26" s="100">
        <v>70.819999999999993</v>
      </c>
      <c r="Z26" s="100">
        <v>0</v>
      </c>
      <c r="AA26" s="100">
        <v>62.3354</v>
      </c>
      <c r="AB26" s="100">
        <v>2</v>
      </c>
      <c r="AC26" s="124">
        <v>1299.72</v>
      </c>
      <c r="AD26" s="121"/>
      <c r="AE26" s="121"/>
      <c r="AF26" s="122"/>
      <c r="AG26" s="130"/>
      <c r="AH26" s="125"/>
      <c r="AI26" s="125"/>
      <c r="AJ26" s="128"/>
      <c r="AK26" s="100">
        <v>2</v>
      </c>
      <c r="AL26" s="100"/>
      <c r="AM26" s="100"/>
      <c r="AN26" s="100"/>
      <c r="AO26" s="100"/>
      <c r="AP26" s="99"/>
      <c r="AQ26" s="99"/>
      <c r="AR26" s="99"/>
      <c r="AS26" s="99"/>
      <c r="AT26" s="99">
        <v>1.0625299999999999E-3</v>
      </c>
      <c r="AU26" s="99"/>
    </row>
    <row r="27" spans="1:47" x14ac:dyDescent="0.2">
      <c r="B27" t="s">
        <v>237</v>
      </c>
      <c r="C27" t="s">
        <v>65</v>
      </c>
      <c r="D27" s="163">
        <v>31</v>
      </c>
      <c r="E27" s="217"/>
      <c r="O27" s="1"/>
      <c r="P27" s="1"/>
      <c r="Y27" s="100"/>
      <c r="Z27" s="100"/>
      <c r="AA27" s="100"/>
      <c r="AB27" s="100"/>
      <c r="AC27" s="124"/>
      <c r="AD27" s="121"/>
      <c r="AE27" s="121"/>
      <c r="AF27" s="122"/>
      <c r="AG27" s="130"/>
      <c r="AH27" s="125"/>
      <c r="AI27" s="125"/>
      <c r="AJ27" s="128"/>
      <c r="AK27" s="100"/>
      <c r="AL27" s="100"/>
      <c r="AM27" s="100"/>
      <c r="AN27" s="100"/>
      <c r="AO27" s="100"/>
      <c r="AP27" s="99"/>
      <c r="AQ27" s="99"/>
      <c r="AR27" s="99"/>
      <c r="AS27" s="99"/>
      <c r="AT27" s="99"/>
      <c r="AU27" s="99"/>
    </row>
    <row r="28" spans="1:47" x14ac:dyDescent="0.2">
      <c r="B28" t="s">
        <v>238</v>
      </c>
      <c r="C28" t="s">
        <v>65</v>
      </c>
      <c r="D28" s="163">
        <v>3</v>
      </c>
      <c r="E28" s="217" t="s">
        <v>24</v>
      </c>
      <c r="O28" s="1"/>
      <c r="P28" s="1"/>
      <c r="Y28" s="100"/>
      <c r="Z28" s="100"/>
      <c r="AA28" s="100"/>
      <c r="AB28" s="100"/>
      <c r="AC28" s="124"/>
      <c r="AD28" s="121"/>
      <c r="AE28" s="121"/>
      <c r="AF28" s="122"/>
      <c r="AG28" s="130"/>
      <c r="AH28" s="125"/>
      <c r="AI28" s="125"/>
      <c r="AJ28" s="128"/>
      <c r="AK28" s="100"/>
      <c r="AL28" s="100"/>
      <c r="AM28" s="100"/>
      <c r="AN28" s="100"/>
      <c r="AO28" s="100"/>
      <c r="AP28" s="99"/>
      <c r="AQ28" s="99"/>
      <c r="AR28" s="99"/>
      <c r="AS28" s="99"/>
      <c r="AT28" s="99"/>
      <c r="AU28" s="99"/>
    </row>
    <row r="29" spans="1:47" x14ac:dyDescent="0.2">
      <c r="B29" t="s">
        <v>239</v>
      </c>
      <c r="C29" t="s">
        <v>65</v>
      </c>
      <c r="D29" s="163">
        <v>20.000000152999998</v>
      </c>
      <c r="E29" s="217" t="s">
        <v>0</v>
      </c>
      <c r="O29" s="1"/>
      <c r="P29" s="1"/>
      <c r="Y29" s="100"/>
      <c r="Z29" s="100"/>
      <c r="AA29" s="100"/>
      <c r="AB29" s="100"/>
      <c r="AC29" s="124"/>
      <c r="AD29" s="121"/>
      <c r="AE29" s="121"/>
      <c r="AF29" s="122"/>
      <c r="AG29" s="130"/>
      <c r="AH29" s="125"/>
      <c r="AI29" s="125"/>
      <c r="AJ29" s="128"/>
      <c r="AK29" s="100"/>
      <c r="AL29" s="100"/>
      <c r="AM29" s="100"/>
      <c r="AN29" s="100"/>
      <c r="AO29" s="100"/>
      <c r="AP29" s="99"/>
      <c r="AQ29" s="99"/>
      <c r="AR29" s="99"/>
      <c r="AS29" s="99"/>
      <c r="AT29" s="99"/>
      <c r="AU29" s="99"/>
    </row>
    <row r="30" spans="1:47" x14ac:dyDescent="0.2">
      <c r="D30" s="163"/>
      <c r="E30" s="217"/>
      <c r="O30" s="1"/>
      <c r="P30" s="1"/>
      <c r="Y30" s="100"/>
      <c r="Z30" s="100"/>
      <c r="AA30" s="100"/>
      <c r="AB30" s="100"/>
      <c r="AC30" s="124"/>
      <c r="AD30" s="121"/>
      <c r="AE30" s="121"/>
      <c r="AF30" s="122"/>
      <c r="AG30" s="130"/>
      <c r="AH30" s="125"/>
      <c r="AI30" s="125"/>
      <c r="AJ30" s="128"/>
      <c r="AK30" s="100"/>
      <c r="AL30" s="100"/>
      <c r="AM30" s="100"/>
      <c r="AN30" s="100"/>
      <c r="AO30" s="100"/>
      <c r="AP30" s="99"/>
      <c r="AQ30" s="99"/>
      <c r="AR30" s="99"/>
      <c r="AS30" s="99"/>
      <c r="AT30" s="99"/>
      <c r="AU30" s="99"/>
    </row>
    <row r="31" spans="1:47" x14ac:dyDescent="0.2">
      <c r="D31" s="163"/>
      <c r="E31" s="217"/>
      <c r="O31" s="1"/>
      <c r="P31" s="1"/>
      <c r="Y31" s="100"/>
      <c r="Z31" s="100"/>
      <c r="AA31" s="100"/>
      <c r="AB31" s="100"/>
      <c r="AC31" s="124"/>
      <c r="AD31" s="121"/>
      <c r="AE31" s="121"/>
      <c r="AF31" s="122"/>
      <c r="AG31" s="130"/>
      <c r="AH31" s="125"/>
      <c r="AI31" s="125"/>
      <c r="AJ31" s="128"/>
      <c r="AK31" s="100"/>
      <c r="AL31" s="100"/>
      <c r="AM31" s="100"/>
      <c r="AN31" s="100"/>
      <c r="AO31" s="100"/>
      <c r="AP31" s="99"/>
      <c r="AQ31" s="99"/>
      <c r="AR31" s="99"/>
      <c r="AS31" s="99"/>
      <c r="AT31" s="99"/>
      <c r="AU31" s="99"/>
    </row>
    <row r="32" spans="1:47" ht="15.75" x14ac:dyDescent="0.25">
      <c r="D32" s="163"/>
      <c r="E32" s="217"/>
      <c r="G32" s="836" t="s">
        <v>241</v>
      </c>
      <c r="O32" s="1"/>
      <c r="P32" s="1"/>
      <c r="Y32" s="100"/>
      <c r="Z32" s="100"/>
      <c r="AA32" s="100"/>
      <c r="AB32" s="100"/>
      <c r="AC32" s="124"/>
      <c r="AD32" s="121"/>
      <c r="AE32" s="121"/>
      <c r="AF32" s="122"/>
      <c r="AG32" s="130"/>
      <c r="AH32" s="125"/>
      <c r="AI32" s="125"/>
      <c r="AJ32" s="128"/>
      <c r="AK32" s="100"/>
      <c r="AL32" s="100"/>
      <c r="AM32" s="100"/>
      <c r="AN32" s="100"/>
      <c r="AO32" s="100"/>
      <c r="AP32" s="99"/>
      <c r="AQ32" s="99"/>
      <c r="AR32" s="99"/>
      <c r="AS32" s="99"/>
      <c r="AT32" s="99"/>
      <c r="AU32" s="99"/>
    </row>
    <row r="33" spans="7:46" x14ac:dyDescent="0.2">
      <c r="G33" s="224" t="s">
        <v>43</v>
      </c>
      <c r="H33" s="225" t="s">
        <v>42</v>
      </c>
      <c r="I33" s="220" t="s">
        <v>53</v>
      </c>
      <c r="J33" s="221" t="s">
        <v>242</v>
      </c>
      <c r="Y33" s="100"/>
      <c r="Z33" s="100"/>
      <c r="AA33" s="100"/>
      <c r="AB33" s="100"/>
      <c r="AC33" s="100"/>
      <c r="AD33" s="100"/>
      <c r="AE33" s="100"/>
      <c r="AF33" s="100"/>
      <c r="AG33" s="100"/>
      <c r="AH33" s="100"/>
      <c r="AI33" s="100"/>
      <c r="AJ33" s="100"/>
      <c r="AK33" s="100"/>
      <c r="AL33" s="100"/>
      <c r="AM33" s="100"/>
      <c r="AN33" s="100"/>
      <c r="AO33" s="100"/>
      <c r="AP33" s="99"/>
      <c r="AQ33" s="99"/>
      <c r="AR33" s="99"/>
      <c r="AS33" s="99"/>
      <c r="AT33" s="99"/>
    </row>
    <row r="34" spans="7:46" x14ac:dyDescent="0.2">
      <c r="G34" s="226"/>
      <c r="H34" s="227"/>
      <c r="I34" s="222" t="s">
        <v>118</v>
      </c>
      <c r="J34" s="223" t="s">
        <v>66</v>
      </c>
      <c r="Y34" s="100"/>
      <c r="Z34" s="100"/>
      <c r="AA34" s="100"/>
      <c r="AB34" s="100"/>
      <c r="AC34" s="100"/>
      <c r="AD34" s="100"/>
      <c r="AE34" s="100"/>
      <c r="AF34" s="100"/>
      <c r="AG34" s="100"/>
      <c r="AH34" s="100"/>
      <c r="AI34" s="100"/>
      <c r="AJ34" s="100"/>
      <c r="AK34" s="100"/>
      <c r="AL34" s="100"/>
      <c r="AM34" s="100"/>
      <c r="AN34" s="100"/>
      <c r="AO34" s="100"/>
      <c r="AP34" s="99"/>
      <c r="AQ34" s="99"/>
      <c r="AR34" s="99"/>
      <c r="AS34" s="99"/>
      <c r="AT34" s="99"/>
    </row>
    <row r="35" spans="7:46" x14ac:dyDescent="0.2">
      <c r="G35" s="228"/>
      <c r="H35" s="477"/>
      <c r="I35" s="478">
        <v>8.42</v>
      </c>
      <c r="J35" s="479">
        <v>4100</v>
      </c>
      <c r="Y35" s="100"/>
      <c r="Z35" s="100"/>
      <c r="AA35" s="100"/>
      <c r="AB35" s="100"/>
      <c r="AC35" s="100"/>
      <c r="AD35" s="100"/>
      <c r="AE35" s="100"/>
      <c r="AF35" s="100"/>
      <c r="AG35" s="100"/>
      <c r="AH35" s="100"/>
      <c r="AI35" s="100"/>
      <c r="AJ35" s="100"/>
      <c r="AK35" s="100"/>
      <c r="AL35" s="100"/>
      <c r="AM35" s="100"/>
      <c r="AN35" s="100"/>
      <c r="AO35" s="100"/>
      <c r="AP35" s="99"/>
      <c r="AQ35" s="99"/>
      <c r="AR35" s="99"/>
      <c r="AS35" s="99"/>
      <c r="AT35" s="99"/>
    </row>
    <row r="36" spans="7:46" x14ac:dyDescent="0.2">
      <c r="G36" s="229"/>
      <c r="H36" s="499"/>
      <c r="I36" s="231">
        <v>14.15</v>
      </c>
      <c r="J36" s="480">
        <v>3975</v>
      </c>
      <c r="Y36" s="100"/>
      <c r="Z36" s="100"/>
      <c r="AA36" s="100"/>
      <c r="AB36" s="100"/>
      <c r="AC36" s="100"/>
      <c r="AD36" s="100"/>
      <c r="AE36" s="100"/>
      <c r="AF36" s="100"/>
      <c r="AG36" s="100"/>
      <c r="AH36" s="100"/>
      <c r="AI36" s="100"/>
      <c r="AJ36" s="100"/>
      <c r="AK36" s="100"/>
      <c r="AL36" s="100"/>
      <c r="AM36" s="100"/>
      <c r="AN36" s="100"/>
      <c r="AO36" s="100"/>
      <c r="AP36" s="99"/>
      <c r="AQ36" s="99"/>
      <c r="AR36" s="99"/>
      <c r="AS36" s="99"/>
      <c r="AT36" s="99"/>
    </row>
    <row r="37" spans="7:46" x14ac:dyDescent="0.2">
      <c r="G37" s="229"/>
      <c r="H37" s="499"/>
      <c r="I37" s="231">
        <v>23.89</v>
      </c>
      <c r="J37" s="480">
        <v>3631</v>
      </c>
      <c r="Y37" s="100"/>
      <c r="Z37" s="100"/>
      <c r="AA37" s="100"/>
      <c r="AB37" s="100"/>
      <c r="AC37" s="100"/>
      <c r="AD37" s="100"/>
      <c r="AE37" s="100"/>
      <c r="AF37" s="100"/>
      <c r="AG37" s="100"/>
      <c r="AH37" s="100"/>
      <c r="AI37" s="100"/>
      <c r="AJ37" s="100"/>
      <c r="AK37" s="100"/>
      <c r="AL37" s="100"/>
      <c r="AM37" s="100"/>
      <c r="AN37" s="100"/>
      <c r="AO37" s="100"/>
      <c r="AP37" s="99"/>
      <c r="AQ37" s="99"/>
      <c r="AR37" s="99"/>
      <c r="AS37" s="99"/>
      <c r="AT37" s="99"/>
    </row>
    <row r="38" spans="7:46" x14ac:dyDescent="0.2">
      <c r="G38" s="229"/>
      <c r="H38" s="499"/>
      <c r="I38" s="231"/>
      <c r="J38" s="480"/>
      <c r="Y38" s="100"/>
      <c r="Z38" s="100"/>
      <c r="AA38" s="100"/>
      <c r="AB38" s="100"/>
      <c r="AC38" s="100"/>
      <c r="AD38" s="100"/>
      <c r="AE38" s="100"/>
      <c r="AF38" s="100"/>
      <c r="AG38" s="100"/>
      <c r="AH38" s="100"/>
      <c r="AI38" s="100"/>
      <c r="AJ38" s="100"/>
      <c r="AK38" s="100"/>
      <c r="AL38" s="100"/>
      <c r="AM38" s="100"/>
      <c r="AN38" s="100"/>
      <c r="AO38" s="100"/>
      <c r="AP38" s="99"/>
      <c r="AQ38" s="99"/>
      <c r="AR38" s="99"/>
      <c r="AS38" s="99"/>
      <c r="AT38" s="99"/>
    </row>
    <row r="39" spans="7:46" x14ac:dyDescent="0.2">
      <c r="G39" s="229"/>
      <c r="H39" s="499"/>
      <c r="I39" s="231"/>
      <c r="J39" s="480"/>
      <c r="Y39" s="100"/>
      <c r="Z39" s="100"/>
      <c r="AA39" s="100"/>
      <c r="AB39" s="100"/>
      <c r="AC39" s="100"/>
      <c r="AD39" s="100"/>
      <c r="AE39" s="100"/>
      <c r="AF39" s="100"/>
      <c r="AG39" s="100"/>
      <c r="AH39" s="100"/>
      <c r="AI39" s="100"/>
      <c r="AJ39" s="100"/>
      <c r="AK39" s="100"/>
      <c r="AL39" s="100"/>
      <c r="AM39" s="100"/>
      <c r="AN39" s="100"/>
      <c r="AO39" s="100"/>
      <c r="AP39" s="99"/>
      <c r="AQ39" s="99"/>
      <c r="AR39" s="99"/>
      <c r="AS39" s="99"/>
      <c r="AT39" s="99"/>
    </row>
    <row r="40" spans="7:46" x14ac:dyDescent="0.2">
      <c r="G40" s="189"/>
      <c r="J40" s="190"/>
      <c r="Y40" s="100"/>
      <c r="Z40" s="100"/>
      <c r="AA40" s="100"/>
      <c r="AB40" s="100"/>
      <c r="AC40" s="100"/>
      <c r="AD40" s="100"/>
      <c r="AE40" s="100"/>
      <c r="AF40" s="100"/>
      <c r="AG40" s="100"/>
      <c r="AH40" s="100"/>
      <c r="AI40" s="100"/>
      <c r="AJ40" s="100"/>
      <c r="AK40" s="100"/>
      <c r="AL40" s="100"/>
      <c r="AM40" s="100"/>
      <c r="AN40" s="100"/>
      <c r="AO40" s="100"/>
      <c r="AP40" s="99"/>
      <c r="AQ40" s="99"/>
      <c r="AR40" s="99"/>
      <c r="AS40" s="99"/>
      <c r="AT40" s="99"/>
    </row>
    <row r="41" spans="7:46" x14ac:dyDescent="0.2">
      <c r="G41" s="189"/>
      <c r="J41" s="190"/>
      <c r="Y41" s="100"/>
      <c r="Z41" s="100"/>
      <c r="AA41" s="100"/>
      <c r="AB41" s="100"/>
      <c r="AC41" s="100"/>
      <c r="AD41" s="100"/>
      <c r="AE41" s="100"/>
      <c r="AF41" s="100"/>
      <c r="AG41" s="100"/>
      <c r="AH41" s="100"/>
      <c r="AI41" s="100"/>
      <c r="AJ41" s="100"/>
      <c r="AK41" s="100"/>
      <c r="AL41" s="100"/>
      <c r="AM41" s="100"/>
      <c r="AN41" s="100"/>
      <c r="AO41" s="100"/>
      <c r="AP41" s="99"/>
      <c r="AQ41" s="99"/>
      <c r="AR41" s="99"/>
      <c r="AS41" s="99"/>
      <c r="AT41" s="99"/>
    </row>
    <row r="42" spans="7:46" x14ac:dyDescent="0.2">
      <c r="G42" s="189"/>
      <c r="J42" s="190"/>
      <c r="Y42" s="100"/>
      <c r="Z42" s="100"/>
      <c r="AA42" s="100"/>
      <c r="AB42" s="100"/>
      <c r="AC42" s="100"/>
      <c r="AD42" s="100"/>
      <c r="AE42" s="100"/>
      <c r="AF42" s="100"/>
      <c r="AG42" s="100"/>
      <c r="AH42" s="100"/>
      <c r="AI42" s="100"/>
      <c r="AJ42" s="100"/>
      <c r="AK42" s="100"/>
      <c r="AL42" s="100"/>
      <c r="AM42" s="100"/>
      <c r="AN42" s="100"/>
      <c r="AO42" s="100"/>
      <c r="AP42" s="99"/>
      <c r="AQ42" s="99"/>
      <c r="AR42" s="99"/>
      <c r="AS42" s="99"/>
      <c r="AT42" s="99"/>
    </row>
    <row r="43" spans="7:46" x14ac:dyDescent="0.2">
      <c r="G43" s="189"/>
      <c r="J43" s="190"/>
      <c r="Y43" s="100"/>
      <c r="Z43" s="100"/>
      <c r="AA43" s="100"/>
      <c r="AB43" s="100"/>
      <c r="AC43" s="100"/>
      <c r="AD43" s="100"/>
      <c r="AE43" s="100"/>
      <c r="AF43" s="100"/>
      <c r="AG43" s="100"/>
      <c r="AH43" s="100"/>
      <c r="AI43" s="100"/>
      <c r="AJ43" s="100"/>
      <c r="AK43" s="100"/>
      <c r="AL43" s="100"/>
      <c r="AM43" s="100"/>
      <c r="AN43" s="100"/>
      <c r="AO43" s="100"/>
      <c r="AP43" s="99"/>
      <c r="AQ43" s="99"/>
      <c r="AR43" s="99"/>
      <c r="AS43" s="99"/>
      <c r="AT43" s="99"/>
    </row>
    <row r="44" spans="7:46" x14ac:dyDescent="0.2">
      <c r="G44" s="192"/>
      <c r="H44" s="193"/>
      <c r="I44" s="193"/>
      <c r="J44" s="489"/>
      <c r="Y44" s="100"/>
      <c r="Z44" s="100"/>
      <c r="AA44" s="100"/>
      <c r="AB44" s="100"/>
      <c r="AC44" s="100"/>
      <c r="AD44" s="100"/>
      <c r="AE44" s="100"/>
      <c r="AF44" s="100"/>
      <c r="AG44" s="100"/>
      <c r="AH44" s="100"/>
      <c r="AI44" s="100"/>
      <c r="AJ44" s="100"/>
      <c r="AK44" s="100"/>
      <c r="AL44" s="100"/>
      <c r="AM44" s="100"/>
      <c r="AN44" s="100"/>
      <c r="AO44" s="100"/>
      <c r="AP44" s="99"/>
      <c r="AQ44" s="99"/>
      <c r="AR44" s="99"/>
      <c r="AS44" s="99"/>
      <c r="AT44" s="99"/>
    </row>
    <row r="45" spans="7:46" x14ac:dyDescent="0.2">
      <c r="Y45" s="100"/>
      <c r="Z45" s="100"/>
      <c r="AA45" s="100"/>
      <c r="AB45" s="100"/>
      <c r="AC45" s="100"/>
      <c r="AD45" s="100"/>
      <c r="AE45" s="100"/>
      <c r="AF45" s="100"/>
      <c r="AG45" s="100"/>
      <c r="AH45" s="100"/>
      <c r="AI45" s="100"/>
      <c r="AJ45" s="100"/>
      <c r="AK45" s="100"/>
      <c r="AL45" s="100"/>
      <c r="AM45" s="100"/>
      <c r="AN45" s="100"/>
      <c r="AO45" s="100"/>
      <c r="AP45" s="99"/>
      <c r="AQ45" s="99"/>
      <c r="AR45" s="99"/>
      <c r="AS45" s="99"/>
      <c r="AT45" s="99"/>
    </row>
    <row r="46" spans="7:46" x14ac:dyDescent="0.2">
      <c r="Y46" s="100"/>
      <c r="Z46" s="100"/>
      <c r="AA46" s="100"/>
      <c r="AB46" s="100"/>
      <c r="AC46" s="100"/>
      <c r="AD46" s="100"/>
      <c r="AE46" s="100"/>
      <c r="AF46" s="100"/>
      <c r="AG46" s="100"/>
      <c r="AH46" s="100"/>
      <c r="AI46" s="100"/>
      <c r="AJ46" s="100"/>
      <c r="AK46" s="100"/>
      <c r="AL46" s="100"/>
      <c r="AM46" s="100"/>
      <c r="AN46" s="100"/>
      <c r="AO46" s="100"/>
      <c r="AP46" s="99"/>
      <c r="AQ46" s="99"/>
      <c r="AR46" s="99"/>
      <c r="AS46" s="99"/>
      <c r="AT46" s="99"/>
    </row>
    <row r="47" spans="7:46" x14ac:dyDescent="0.2">
      <c r="Y47" s="100"/>
      <c r="Z47" s="100"/>
      <c r="AA47" s="100"/>
      <c r="AB47" s="100"/>
      <c r="AC47" s="100"/>
      <c r="AD47" s="100"/>
      <c r="AE47" s="100"/>
      <c r="AF47" s="100"/>
      <c r="AG47" s="100"/>
      <c r="AH47" s="100"/>
      <c r="AI47" s="100"/>
      <c r="AJ47" s="100"/>
      <c r="AK47" s="100"/>
      <c r="AL47" s="100"/>
      <c r="AM47" s="100"/>
      <c r="AN47" s="100"/>
      <c r="AO47" s="100"/>
      <c r="AP47" s="99"/>
      <c r="AQ47" s="99"/>
      <c r="AR47" s="99"/>
      <c r="AS47" s="99"/>
      <c r="AT47" s="99"/>
    </row>
    <row r="48" spans="7:46" x14ac:dyDescent="0.2">
      <c r="Y48" s="100"/>
      <c r="Z48" s="100"/>
      <c r="AA48" s="100"/>
      <c r="AB48" s="100"/>
      <c r="AC48" s="100"/>
      <c r="AD48" s="100"/>
      <c r="AE48" s="100"/>
      <c r="AF48" s="100"/>
      <c r="AG48" s="100"/>
      <c r="AH48" s="100"/>
      <c r="AI48" s="100"/>
      <c r="AJ48" s="100"/>
      <c r="AK48" s="100"/>
      <c r="AL48" s="100"/>
      <c r="AM48" s="100"/>
      <c r="AN48" s="100"/>
      <c r="AO48" s="100"/>
      <c r="AP48" s="99"/>
      <c r="AQ48" s="99"/>
      <c r="AR48" s="99"/>
      <c r="AS48" s="99"/>
      <c r="AT48" s="99"/>
    </row>
    <row r="49" spans="25:46" x14ac:dyDescent="0.2">
      <c r="Y49" s="100"/>
      <c r="Z49" s="100"/>
      <c r="AA49" s="100"/>
      <c r="AB49" s="100"/>
      <c r="AC49" s="100"/>
      <c r="AD49" s="100"/>
      <c r="AE49" s="100"/>
      <c r="AF49" s="100"/>
      <c r="AG49" s="100"/>
      <c r="AH49" s="100"/>
      <c r="AI49" s="100"/>
      <c r="AJ49" s="100"/>
      <c r="AK49" s="100"/>
      <c r="AL49" s="100"/>
      <c r="AM49" s="100"/>
      <c r="AN49" s="100"/>
      <c r="AO49" s="100"/>
      <c r="AP49" s="99"/>
      <c r="AQ49" s="99"/>
      <c r="AR49" s="99"/>
      <c r="AS49" s="99"/>
      <c r="AT49" s="99"/>
    </row>
    <row r="50" spans="25:46" x14ac:dyDescent="0.2">
      <c r="Y50" s="100"/>
      <c r="Z50" s="100"/>
      <c r="AA50" s="100"/>
      <c r="AB50" s="100"/>
      <c r="AC50" s="100"/>
      <c r="AD50" s="100"/>
      <c r="AE50" s="100"/>
      <c r="AF50" s="100"/>
      <c r="AG50" s="100"/>
      <c r="AH50" s="100"/>
      <c r="AI50" s="100"/>
      <c r="AJ50" s="100"/>
      <c r="AK50" s="100"/>
      <c r="AL50" s="100"/>
      <c r="AM50" s="100"/>
      <c r="AN50" s="100"/>
      <c r="AO50" s="100"/>
      <c r="AP50" s="99"/>
      <c r="AQ50" s="99"/>
      <c r="AR50" s="99"/>
      <c r="AS50" s="99"/>
      <c r="AT50" s="99"/>
    </row>
    <row r="51" spans="25:46" x14ac:dyDescent="0.2">
      <c r="Y51" s="100"/>
      <c r="Z51" s="100"/>
      <c r="AA51" s="100"/>
      <c r="AB51" s="100"/>
      <c r="AC51" s="100"/>
      <c r="AD51" s="100"/>
      <c r="AE51" s="100"/>
      <c r="AF51" s="100"/>
      <c r="AG51" s="100"/>
      <c r="AH51" s="100"/>
      <c r="AI51" s="100"/>
      <c r="AJ51" s="100"/>
      <c r="AK51" s="100"/>
      <c r="AL51" s="100"/>
      <c r="AM51" s="100"/>
      <c r="AN51" s="100"/>
      <c r="AO51" s="100"/>
      <c r="AP51" s="99"/>
      <c r="AQ51" s="99"/>
      <c r="AR51" s="99"/>
      <c r="AS51" s="99"/>
      <c r="AT51" s="99"/>
    </row>
    <row r="52" spans="25:46" x14ac:dyDescent="0.2">
      <c r="Y52" s="100"/>
      <c r="Z52" s="100"/>
      <c r="AA52" s="100"/>
      <c r="AB52" s="100"/>
      <c r="AC52" s="100"/>
      <c r="AD52" s="100"/>
      <c r="AE52" s="100"/>
      <c r="AF52" s="100"/>
      <c r="AG52" s="100"/>
      <c r="AH52" s="100"/>
      <c r="AI52" s="100"/>
      <c r="AJ52" s="100"/>
      <c r="AK52" s="100"/>
      <c r="AL52" s="100"/>
      <c r="AM52" s="100"/>
      <c r="AN52" s="100"/>
      <c r="AO52" s="100"/>
      <c r="AP52" s="99"/>
      <c r="AQ52" s="99"/>
      <c r="AR52" s="99"/>
      <c r="AS52" s="99"/>
      <c r="AT52" s="99"/>
    </row>
    <row r="53" spans="25:46" x14ac:dyDescent="0.2">
      <c r="Y53" s="100"/>
      <c r="Z53" s="100"/>
      <c r="AA53" s="100"/>
      <c r="AB53" s="100"/>
      <c r="AC53" s="100"/>
      <c r="AD53" s="100"/>
      <c r="AE53" s="100"/>
      <c r="AF53" s="100"/>
      <c r="AG53" s="100"/>
      <c r="AH53" s="100"/>
      <c r="AI53" s="100"/>
      <c r="AJ53" s="100"/>
      <c r="AK53" s="100"/>
      <c r="AL53" s="100"/>
      <c r="AM53" s="100"/>
      <c r="AN53" s="100"/>
      <c r="AO53" s="100"/>
      <c r="AP53" s="99"/>
      <c r="AQ53" s="99"/>
      <c r="AR53" s="99"/>
      <c r="AS53" s="99"/>
      <c r="AT53" s="99"/>
    </row>
    <row r="54" spans="25:46" x14ac:dyDescent="0.2">
      <c r="Y54" s="100"/>
      <c r="Z54" s="100"/>
      <c r="AA54" s="100"/>
      <c r="AB54" s="100"/>
      <c r="AC54" s="100"/>
      <c r="AD54" s="100"/>
      <c r="AE54" s="100"/>
      <c r="AF54" s="100"/>
      <c r="AG54" s="100"/>
      <c r="AH54" s="100"/>
      <c r="AI54" s="100"/>
      <c r="AJ54" s="100"/>
      <c r="AK54" s="100"/>
      <c r="AL54" s="100"/>
      <c r="AM54" s="100"/>
      <c r="AN54" s="100"/>
      <c r="AO54" s="100"/>
      <c r="AP54" s="99"/>
      <c r="AQ54" s="99"/>
      <c r="AR54" s="99"/>
      <c r="AS54" s="99"/>
      <c r="AT54" s="99"/>
    </row>
    <row r="55" spans="25:46" x14ac:dyDescent="0.2">
      <c r="Y55" s="100"/>
      <c r="Z55" s="100"/>
      <c r="AA55" s="100"/>
      <c r="AB55" s="100"/>
      <c r="AC55" s="100"/>
      <c r="AD55" s="100"/>
      <c r="AE55" s="100"/>
      <c r="AF55" s="100"/>
      <c r="AG55" s="100"/>
      <c r="AH55" s="100"/>
      <c r="AI55" s="100"/>
      <c r="AJ55" s="100"/>
      <c r="AK55" s="100"/>
      <c r="AL55" s="100"/>
      <c r="AM55" s="100"/>
      <c r="AN55" s="100"/>
      <c r="AO55" s="100"/>
      <c r="AP55" s="99"/>
      <c r="AQ55" s="99"/>
      <c r="AR55" s="99"/>
      <c r="AS55" s="99"/>
      <c r="AT55" s="99"/>
    </row>
    <row r="56" spans="25:46" x14ac:dyDescent="0.2">
      <c r="Y56" s="100"/>
      <c r="Z56" s="100"/>
      <c r="AA56" s="100"/>
      <c r="AB56" s="100"/>
      <c r="AC56" s="100"/>
      <c r="AD56" s="100"/>
      <c r="AE56" s="100"/>
      <c r="AF56" s="100"/>
      <c r="AG56" s="100"/>
      <c r="AH56" s="100"/>
      <c r="AI56" s="100"/>
      <c r="AJ56" s="100"/>
      <c r="AK56" s="100"/>
      <c r="AL56" s="100"/>
      <c r="AM56" s="100"/>
      <c r="AN56" s="100"/>
      <c r="AO56" s="100"/>
      <c r="AP56" s="99"/>
      <c r="AQ56" s="99"/>
      <c r="AR56" s="99"/>
      <c r="AS56" s="99"/>
      <c r="AT56" s="99"/>
    </row>
    <row r="57" spans="25:46" x14ac:dyDescent="0.2">
      <c r="Y57" s="100"/>
      <c r="Z57" s="100"/>
      <c r="AA57" s="100"/>
      <c r="AB57" s="100"/>
      <c r="AC57" s="100"/>
      <c r="AD57" s="100"/>
      <c r="AE57" s="100"/>
      <c r="AF57" s="100"/>
      <c r="AG57" s="100"/>
      <c r="AH57" s="100"/>
      <c r="AI57" s="100"/>
      <c r="AJ57" s="100"/>
      <c r="AK57" s="100"/>
      <c r="AL57" s="100"/>
      <c r="AM57" s="100"/>
      <c r="AN57" s="100"/>
      <c r="AO57" s="100"/>
      <c r="AP57" s="99"/>
      <c r="AQ57" s="99"/>
      <c r="AR57" s="99"/>
      <c r="AS57" s="99"/>
      <c r="AT57" s="99"/>
    </row>
    <row r="58" spans="25:46" x14ac:dyDescent="0.2">
      <c r="Y58" s="100"/>
      <c r="Z58" s="100"/>
      <c r="AA58" s="100"/>
      <c r="AB58" s="100"/>
      <c r="AC58" s="100"/>
      <c r="AD58" s="100"/>
      <c r="AE58" s="100"/>
      <c r="AF58" s="100"/>
      <c r="AG58" s="100"/>
      <c r="AH58" s="100"/>
      <c r="AI58" s="100"/>
      <c r="AJ58" s="100"/>
      <c r="AK58" s="100"/>
      <c r="AL58" s="100"/>
      <c r="AM58" s="100"/>
      <c r="AN58" s="100"/>
      <c r="AO58" s="100"/>
      <c r="AP58" s="99"/>
      <c r="AQ58" s="99"/>
      <c r="AR58" s="99"/>
      <c r="AS58" s="99"/>
      <c r="AT58" s="99"/>
    </row>
    <row r="59" spans="25:46" x14ac:dyDescent="0.2">
      <c r="Y59" s="100"/>
      <c r="Z59" s="100"/>
      <c r="AA59" s="100"/>
      <c r="AB59" s="100"/>
      <c r="AC59" s="100"/>
      <c r="AD59" s="100"/>
      <c r="AE59" s="100"/>
      <c r="AF59" s="100"/>
      <c r="AG59" s="100"/>
      <c r="AH59" s="100"/>
      <c r="AI59" s="100"/>
      <c r="AJ59" s="100"/>
      <c r="AK59" s="100"/>
      <c r="AL59" s="100"/>
      <c r="AM59" s="100"/>
      <c r="AN59" s="100"/>
      <c r="AO59" s="100"/>
      <c r="AP59" s="99"/>
      <c r="AQ59" s="99"/>
      <c r="AR59" s="99"/>
      <c r="AS59" s="99"/>
      <c r="AT59" s="99"/>
    </row>
    <row r="60" spans="25:46" x14ac:dyDescent="0.2">
      <c r="Y60" s="100"/>
      <c r="Z60" s="100"/>
      <c r="AA60" s="100"/>
      <c r="AB60" s="100"/>
      <c r="AC60" s="100"/>
      <c r="AD60" s="100"/>
      <c r="AE60" s="100"/>
      <c r="AF60" s="100"/>
      <c r="AG60" s="100"/>
      <c r="AH60" s="100"/>
      <c r="AI60" s="100"/>
      <c r="AJ60" s="100"/>
      <c r="AK60" s="100"/>
      <c r="AL60" s="100"/>
      <c r="AM60" s="100"/>
      <c r="AN60" s="100"/>
      <c r="AO60" s="100"/>
      <c r="AP60" s="99"/>
      <c r="AQ60" s="99"/>
      <c r="AR60" s="99"/>
      <c r="AS60" s="99"/>
      <c r="AT60" s="99"/>
    </row>
    <row r="61" spans="25:46" x14ac:dyDescent="0.2">
      <c r="Y61" s="100"/>
      <c r="Z61" s="100"/>
      <c r="AA61" s="100"/>
      <c r="AB61" s="100"/>
      <c r="AC61" s="100"/>
      <c r="AD61" s="100"/>
      <c r="AE61" s="100"/>
      <c r="AF61" s="100"/>
      <c r="AG61" s="100"/>
      <c r="AH61" s="100"/>
      <c r="AI61" s="100"/>
      <c r="AJ61" s="100"/>
      <c r="AK61" s="100"/>
      <c r="AL61" s="100"/>
      <c r="AM61" s="100"/>
      <c r="AN61" s="100"/>
      <c r="AO61" s="100"/>
      <c r="AP61" s="99"/>
      <c r="AQ61" s="99"/>
      <c r="AR61" s="99"/>
      <c r="AS61" s="99"/>
      <c r="AT61" s="99"/>
    </row>
    <row r="62" spans="25:46" x14ac:dyDescent="0.2">
      <c r="Y62" s="100"/>
      <c r="Z62" s="100"/>
      <c r="AA62" s="100"/>
      <c r="AB62" s="100"/>
      <c r="AC62" s="100"/>
      <c r="AD62" s="100"/>
      <c r="AE62" s="100"/>
      <c r="AF62" s="100"/>
      <c r="AG62" s="100"/>
      <c r="AH62" s="100"/>
      <c r="AI62" s="100"/>
      <c r="AJ62" s="100"/>
      <c r="AK62" s="100"/>
      <c r="AL62" s="100"/>
      <c r="AM62" s="100"/>
      <c r="AN62" s="100"/>
      <c r="AO62" s="100"/>
      <c r="AP62" s="99"/>
      <c r="AQ62" s="99"/>
      <c r="AR62" s="99"/>
      <c r="AS62" s="99"/>
      <c r="AT62" s="99"/>
    </row>
    <row r="63" spans="25:46" x14ac:dyDescent="0.2">
      <c r="Y63" s="100"/>
      <c r="Z63" s="100"/>
      <c r="AA63" s="100"/>
      <c r="AB63" s="100"/>
      <c r="AC63" s="100"/>
      <c r="AD63" s="100"/>
      <c r="AE63" s="100"/>
      <c r="AF63" s="100"/>
      <c r="AG63" s="100"/>
      <c r="AH63" s="100"/>
      <c r="AI63" s="100"/>
      <c r="AJ63" s="100"/>
      <c r="AK63" s="100"/>
      <c r="AL63" s="100"/>
      <c r="AM63" s="100"/>
      <c r="AN63" s="100"/>
      <c r="AO63" s="100"/>
      <c r="AP63" s="99"/>
      <c r="AQ63" s="99"/>
      <c r="AR63" s="99"/>
      <c r="AS63" s="99"/>
      <c r="AT63" s="99"/>
    </row>
    <row r="64" spans="25:46" x14ac:dyDescent="0.2">
      <c r="Y64" s="100"/>
      <c r="Z64" s="100"/>
      <c r="AA64" s="100"/>
      <c r="AB64" s="100"/>
      <c r="AC64" s="100"/>
      <c r="AD64" s="100"/>
      <c r="AE64" s="100"/>
      <c r="AF64" s="100"/>
      <c r="AG64" s="100"/>
      <c r="AH64" s="100"/>
      <c r="AI64" s="100"/>
      <c r="AJ64" s="100"/>
      <c r="AK64" s="100"/>
      <c r="AL64" s="100"/>
      <c r="AM64" s="100"/>
      <c r="AN64" s="100"/>
      <c r="AO64" s="100"/>
      <c r="AP64" s="99"/>
      <c r="AQ64" s="99"/>
      <c r="AR64" s="99"/>
      <c r="AS64" s="99"/>
      <c r="AT64" s="99"/>
    </row>
    <row r="65" spans="25:46" x14ac:dyDescent="0.2">
      <c r="Y65" s="100"/>
      <c r="Z65" s="100"/>
      <c r="AA65" s="100"/>
      <c r="AB65" s="100"/>
      <c r="AC65" s="100"/>
      <c r="AD65" s="100"/>
      <c r="AE65" s="100"/>
      <c r="AF65" s="100"/>
      <c r="AG65" s="100"/>
      <c r="AH65" s="100"/>
      <c r="AI65" s="100"/>
      <c r="AJ65" s="100"/>
      <c r="AK65" s="100"/>
      <c r="AL65" s="100"/>
      <c r="AM65" s="100"/>
      <c r="AN65" s="100"/>
      <c r="AO65" s="100"/>
      <c r="AP65" s="99"/>
      <c r="AQ65" s="99"/>
      <c r="AR65" s="99"/>
      <c r="AS65" s="99"/>
      <c r="AT65" s="99"/>
    </row>
    <row r="66" spans="25:46" x14ac:dyDescent="0.2">
      <c r="Y66" s="100"/>
      <c r="Z66" s="100"/>
      <c r="AA66" s="100"/>
      <c r="AB66" s="100"/>
      <c r="AC66" s="100"/>
      <c r="AD66" s="100"/>
      <c r="AE66" s="100"/>
      <c r="AF66" s="100"/>
      <c r="AG66" s="100"/>
      <c r="AH66" s="100"/>
      <c r="AI66" s="100"/>
      <c r="AJ66" s="100"/>
      <c r="AK66" s="100"/>
      <c r="AL66" s="100"/>
      <c r="AM66" s="100"/>
      <c r="AN66" s="100"/>
      <c r="AO66" s="100"/>
      <c r="AP66" s="99"/>
      <c r="AQ66" s="99"/>
      <c r="AR66" s="99"/>
      <c r="AS66" s="99"/>
      <c r="AT66" s="99"/>
    </row>
    <row r="67" spans="25:46" x14ac:dyDescent="0.2">
      <c r="Y67" s="100"/>
      <c r="Z67" s="100"/>
      <c r="AA67" s="100"/>
      <c r="AB67" s="100"/>
      <c r="AC67" s="100"/>
      <c r="AD67" s="100"/>
      <c r="AE67" s="100"/>
      <c r="AF67" s="100"/>
      <c r="AG67" s="100"/>
      <c r="AH67" s="100"/>
      <c r="AI67" s="100"/>
      <c r="AJ67" s="100"/>
      <c r="AK67" s="100"/>
      <c r="AL67" s="100"/>
      <c r="AM67" s="100"/>
      <c r="AN67" s="100"/>
      <c r="AO67" s="100"/>
      <c r="AP67" s="99"/>
      <c r="AQ67" s="99"/>
      <c r="AR67" s="99"/>
      <c r="AS67" s="99"/>
      <c r="AT67" s="99"/>
    </row>
    <row r="68" spans="25:46" x14ac:dyDescent="0.2">
      <c r="Y68" s="100"/>
      <c r="Z68" s="100"/>
      <c r="AA68" s="100"/>
      <c r="AB68" s="100"/>
      <c r="AC68" s="100"/>
      <c r="AD68" s="100"/>
      <c r="AE68" s="100"/>
      <c r="AF68" s="100"/>
      <c r="AG68" s="100"/>
      <c r="AH68" s="100"/>
      <c r="AI68" s="100"/>
      <c r="AJ68" s="100"/>
      <c r="AK68" s="100"/>
      <c r="AL68" s="100"/>
      <c r="AM68" s="100"/>
      <c r="AN68" s="100"/>
      <c r="AO68" s="100"/>
      <c r="AP68" s="99"/>
      <c r="AQ68" s="99"/>
      <c r="AR68" s="99"/>
      <c r="AS68" s="99"/>
      <c r="AT68" s="99"/>
    </row>
    <row r="69" spans="25:46" x14ac:dyDescent="0.2">
      <c r="Y69" s="100"/>
      <c r="Z69" s="100"/>
      <c r="AA69" s="100"/>
      <c r="AB69" s="100"/>
      <c r="AC69" s="100"/>
      <c r="AD69" s="100"/>
      <c r="AE69" s="100"/>
      <c r="AF69" s="100"/>
      <c r="AG69" s="100"/>
      <c r="AH69" s="100"/>
      <c r="AI69" s="100"/>
      <c r="AJ69" s="100"/>
      <c r="AK69" s="100"/>
      <c r="AL69" s="100"/>
      <c r="AM69" s="100"/>
      <c r="AN69" s="100"/>
      <c r="AO69" s="100"/>
      <c r="AP69" s="99"/>
      <c r="AQ69" s="99"/>
      <c r="AR69" s="99"/>
      <c r="AS69" s="99"/>
      <c r="AT69" s="99"/>
    </row>
    <row r="70" spans="25:46" x14ac:dyDescent="0.2">
      <c r="Y70" s="100"/>
      <c r="Z70" s="100"/>
      <c r="AA70" s="100"/>
      <c r="AB70" s="100"/>
      <c r="AC70" s="100"/>
      <c r="AD70" s="100"/>
      <c r="AE70" s="100"/>
      <c r="AF70" s="100"/>
      <c r="AG70" s="100"/>
      <c r="AH70" s="100"/>
      <c r="AI70" s="100"/>
      <c r="AJ70" s="100"/>
      <c r="AK70" s="100"/>
      <c r="AL70" s="100"/>
      <c r="AM70" s="100"/>
      <c r="AN70" s="100"/>
      <c r="AO70" s="100"/>
      <c r="AP70" s="99"/>
      <c r="AQ70" s="99"/>
      <c r="AR70" s="99"/>
      <c r="AS70" s="99"/>
      <c r="AT70" s="99"/>
    </row>
    <row r="71" spans="25:46" x14ac:dyDescent="0.2">
      <c r="Y71" s="100"/>
      <c r="Z71" s="100"/>
      <c r="AA71" s="100"/>
      <c r="AB71" s="100"/>
      <c r="AC71" s="100"/>
      <c r="AD71" s="100"/>
      <c r="AE71" s="100"/>
      <c r="AF71" s="100"/>
      <c r="AG71" s="100"/>
      <c r="AH71" s="100"/>
      <c r="AI71" s="100"/>
      <c r="AJ71" s="100"/>
      <c r="AK71" s="100"/>
      <c r="AL71" s="100"/>
      <c r="AM71" s="100"/>
      <c r="AN71" s="100"/>
      <c r="AO71" s="100"/>
      <c r="AP71" s="99"/>
      <c r="AQ71" s="99"/>
      <c r="AR71" s="99"/>
      <c r="AS71" s="99"/>
      <c r="AT71" s="99"/>
    </row>
    <row r="72" spans="25:46" x14ac:dyDescent="0.2">
      <c r="Y72" s="100"/>
      <c r="Z72" s="100"/>
      <c r="AA72" s="100"/>
      <c r="AB72" s="100"/>
      <c r="AC72" s="100"/>
      <c r="AD72" s="100"/>
      <c r="AE72" s="100"/>
      <c r="AF72" s="100"/>
      <c r="AG72" s="100"/>
      <c r="AH72" s="100"/>
      <c r="AI72" s="100"/>
      <c r="AJ72" s="100"/>
      <c r="AK72" s="100"/>
      <c r="AL72" s="100"/>
      <c r="AM72" s="100"/>
      <c r="AN72" s="100"/>
      <c r="AO72" s="100"/>
      <c r="AP72" s="99"/>
      <c r="AQ72" s="99"/>
      <c r="AR72" s="99"/>
      <c r="AS72" s="99"/>
      <c r="AT72" s="99"/>
    </row>
    <row r="73" spans="25:46" x14ac:dyDescent="0.2">
      <c r="Y73" s="100"/>
      <c r="Z73" s="100"/>
      <c r="AA73" s="100"/>
      <c r="AB73" s="100"/>
      <c r="AC73" s="100"/>
      <c r="AD73" s="100"/>
      <c r="AE73" s="100"/>
      <c r="AF73" s="100"/>
      <c r="AG73" s="100"/>
      <c r="AH73" s="100"/>
      <c r="AI73" s="100"/>
      <c r="AJ73" s="100"/>
      <c r="AK73" s="100"/>
      <c r="AL73" s="100"/>
      <c r="AM73" s="100"/>
      <c r="AN73" s="100"/>
      <c r="AO73" s="100"/>
      <c r="AP73" s="99"/>
      <c r="AQ73" s="99"/>
      <c r="AR73" s="99"/>
      <c r="AS73" s="99"/>
      <c r="AT73" s="99"/>
    </row>
    <row r="74" spans="25:46" x14ac:dyDescent="0.2">
      <c r="Y74" s="100"/>
      <c r="Z74" s="100"/>
      <c r="AA74" s="100"/>
      <c r="AB74" s="100"/>
      <c r="AC74" s="100"/>
      <c r="AD74" s="100"/>
      <c r="AE74" s="100"/>
      <c r="AF74" s="100"/>
      <c r="AG74" s="100"/>
      <c r="AH74" s="100"/>
      <c r="AI74" s="100"/>
      <c r="AJ74" s="100"/>
      <c r="AK74" s="100"/>
      <c r="AL74" s="100"/>
      <c r="AM74" s="100"/>
      <c r="AN74" s="100"/>
      <c r="AO74" s="100"/>
      <c r="AP74" s="99"/>
      <c r="AQ74" s="99"/>
      <c r="AR74" s="99"/>
      <c r="AS74" s="99"/>
      <c r="AT74" s="99"/>
    </row>
    <row r="75" spans="25:46" x14ac:dyDescent="0.2">
      <c r="Y75" s="100"/>
      <c r="Z75" s="100"/>
      <c r="AA75" s="100"/>
      <c r="AB75" s="100"/>
      <c r="AC75" s="100"/>
      <c r="AD75" s="100"/>
      <c r="AE75" s="100"/>
      <c r="AF75" s="100"/>
      <c r="AG75" s="100"/>
      <c r="AH75" s="100"/>
      <c r="AI75" s="100"/>
      <c r="AJ75" s="100"/>
      <c r="AK75" s="100"/>
      <c r="AL75" s="100"/>
      <c r="AM75" s="100"/>
      <c r="AN75" s="100"/>
      <c r="AO75" s="100"/>
      <c r="AP75" s="99"/>
      <c r="AQ75" s="99"/>
      <c r="AR75" s="99"/>
      <c r="AS75" s="99"/>
      <c r="AT75" s="99"/>
    </row>
    <row r="76" spans="25:46" x14ac:dyDescent="0.2">
      <c r="Y76" s="100"/>
      <c r="Z76" s="100"/>
      <c r="AA76" s="100"/>
      <c r="AB76" s="100"/>
      <c r="AC76" s="100"/>
      <c r="AD76" s="100"/>
      <c r="AE76" s="100"/>
      <c r="AF76" s="100"/>
      <c r="AG76" s="100"/>
      <c r="AH76" s="100"/>
      <c r="AI76" s="100"/>
      <c r="AJ76" s="100"/>
      <c r="AK76" s="100"/>
      <c r="AL76" s="100"/>
      <c r="AM76" s="100"/>
      <c r="AN76" s="100"/>
      <c r="AO76" s="100"/>
      <c r="AP76" s="99"/>
      <c r="AQ76" s="99"/>
      <c r="AR76" s="99"/>
      <c r="AS76" s="99"/>
      <c r="AT76" s="99"/>
    </row>
    <row r="77" spans="25:46" x14ac:dyDescent="0.2">
      <c r="Y77" s="100"/>
      <c r="Z77" s="100"/>
      <c r="AA77" s="100"/>
      <c r="AB77" s="100"/>
      <c r="AC77" s="100"/>
      <c r="AD77" s="100"/>
      <c r="AE77" s="100"/>
      <c r="AF77" s="100"/>
      <c r="AG77" s="100"/>
      <c r="AH77" s="100"/>
      <c r="AI77" s="100"/>
      <c r="AJ77" s="100"/>
      <c r="AK77" s="100"/>
      <c r="AL77" s="100"/>
      <c r="AM77" s="100"/>
      <c r="AN77" s="100"/>
      <c r="AO77" s="100"/>
      <c r="AP77" s="99"/>
      <c r="AQ77" s="99"/>
      <c r="AR77" s="99"/>
      <c r="AS77" s="99"/>
      <c r="AT77" s="99"/>
    </row>
    <row r="78" spans="25:46" x14ac:dyDescent="0.2">
      <c r="Y78" s="100"/>
      <c r="Z78" s="100"/>
      <c r="AA78" s="100"/>
      <c r="AB78" s="100"/>
      <c r="AC78" s="100"/>
      <c r="AD78" s="100"/>
      <c r="AE78" s="100"/>
      <c r="AF78" s="100"/>
      <c r="AG78" s="100"/>
      <c r="AH78" s="100"/>
      <c r="AI78" s="100"/>
      <c r="AJ78" s="100"/>
      <c r="AK78" s="100"/>
      <c r="AL78" s="100"/>
      <c r="AM78" s="100"/>
      <c r="AN78" s="100"/>
      <c r="AO78" s="100"/>
      <c r="AP78" s="99"/>
      <c r="AQ78" s="99"/>
      <c r="AR78" s="99"/>
      <c r="AS78" s="99"/>
      <c r="AT78" s="99"/>
    </row>
    <row r="79" spans="25:46" x14ac:dyDescent="0.2">
      <c r="Y79" s="100"/>
      <c r="Z79" s="100"/>
      <c r="AA79" s="100"/>
      <c r="AB79" s="100"/>
      <c r="AC79" s="100"/>
      <c r="AD79" s="100"/>
      <c r="AE79" s="100"/>
      <c r="AF79" s="100"/>
      <c r="AG79" s="100"/>
      <c r="AH79" s="100"/>
      <c r="AI79" s="100"/>
      <c r="AJ79" s="100"/>
      <c r="AK79" s="100"/>
      <c r="AL79" s="100"/>
      <c r="AM79" s="100"/>
      <c r="AN79" s="100"/>
      <c r="AO79" s="100"/>
      <c r="AP79" s="99"/>
      <c r="AQ79" s="99"/>
      <c r="AR79" s="99"/>
      <c r="AS79" s="99"/>
      <c r="AT79" s="99"/>
    </row>
    <row r="80" spans="25:46" x14ac:dyDescent="0.2">
      <c r="Y80" s="100"/>
      <c r="Z80" s="100"/>
      <c r="AA80" s="100"/>
      <c r="AB80" s="100"/>
      <c r="AC80" s="100"/>
      <c r="AD80" s="100"/>
      <c r="AE80" s="100"/>
      <c r="AF80" s="100"/>
      <c r="AG80" s="100"/>
      <c r="AH80" s="100"/>
      <c r="AI80" s="100"/>
      <c r="AJ80" s="100"/>
      <c r="AK80" s="100"/>
      <c r="AL80" s="100"/>
      <c r="AM80" s="100"/>
      <c r="AN80" s="100"/>
      <c r="AO80" s="100"/>
      <c r="AP80" s="99"/>
      <c r="AQ80" s="99"/>
      <c r="AR80" s="99"/>
      <c r="AS80" s="99"/>
      <c r="AT80" s="99"/>
    </row>
    <row r="81" spans="25:46" x14ac:dyDescent="0.2">
      <c r="Y81" s="100"/>
      <c r="Z81" s="100"/>
      <c r="AA81" s="100"/>
      <c r="AB81" s="100"/>
      <c r="AC81" s="100"/>
      <c r="AD81" s="100"/>
      <c r="AE81" s="100"/>
      <c r="AF81" s="100"/>
      <c r="AG81" s="100"/>
      <c r="AH81" s="100"/>
      <c r="AI81" s="100"/>
      <c r="AJ81" s="100"/>
      <c r="AK81" s="100"/>
      <c r="AL81" s="100"/>
      <c r="AM81" s="100"/>
      <c r="AN81" s="100"/>
      <c r="AO81" s="100"/>
      <c r="AP81" s="99"/>
      <c r="AQ81" s="99"/>
      <c r="AR81" s="99"/>
      <c r="AS81" s="99"/>
      <c r="AT81" s="99"/>
    </row>
    <row r="82" spans="25:46" x14ac:dyDescent="0.2">
      <c r="Y82" s="100"/>
      <c r="Z82" s="100"/>
      <c r="AA82" s="100"/>
      <c r="AB82" s="100"/>
      <c r="AC82" s="100"/>
      <c r="AD82" s="100"/>
      <c r="AE82" s="100"/>
      <c r="AF82" s="100"/>
      <c r="AG82" s="100"/>
      <c r="AH82" s="100"/>
      <c r="AI82" s="100"/>
      <c r="AJ82" s="100"/>
      <c r="AK82" s="100"/>
      <c r="AL82" s="100"/>
      <c r="AM82" s="100"/>
      <c r="AN82" s="100"/>
      <c r="AO82" s="100"/>
      <c r="AP82" s="99"/>
      <c r="AQ82" s="99"/>
      <c r="AR82" s="99"/>
      <c r="AS82" s="99"/>
      <c r="AT82" s="99"/>
    </row>
    <row r="83" spans="25:46" x14ac:dyDescent="0.2">
      <c r="Y83" s="100"/>
      <c r="Z83" s="100"/>
      <c r="AA83" s="100"/>
      <c r="AB83" s="100"/>
      <c r="AC83" s="100"/>
      <c r="AD83" s="100"/>
      <c r="AE83" s="100"/>
      <c r="AF83" s="100"/>
      <c r="AG83" s="100"/>
      <c r="AH83" s="100"/>
      <c r="AI83" s="100"/>
      <c r="AJ83" s="100"/>
      <c r="AK83" s="100"/>
      <c r="AL83" s="100"/>
      <c r="AM83" s="100"/>
      <c r="AN83" s="100"/>
      <c r="AO83" s="100"/>
      <c r="AP83" s="99"/>
      <c r="AQ83" s="99"/>
      <c r="AR83" s="99"/>
      <c r="AS83" s="99"/>
      <c r="AT83" s="99"/>
    </row>
    <row r="84" spans="25:46" x14ac:dyDescent="0.2">
      <c r="Y84" s="100"/>
      <c r="Z84" s="100"/>
      <c r="AA84" s="100"/>
      <c r="AB84" s="100"/>
      <c r="AC84" s="100"/>
      <c r="AD84" s="100"/>
      <c r="AE84" s="100"/>
      <c r="AF84" s="100"/>
      <c r="AG84" s="100"/>
      <c r="AH84" s="100"/>
      <c r="AI84" s="100"/>
      <c r="AJ84" s="100"/>
      <c r="AK84" s="100"/>
      <c r="AL84" s="100"/>
      <c r="AM84" s="100"/>
      <c r="AN84" s="100"/>
      <c r="AO84" s="100"/>
      <c r="AP84" s="99"/>
      <c r="AQ84" s="99"/>
      <c r="AR84" s="99"/>
      <c r="AS84" s="99"/>
      <c r="AT84" s="99"/>
    </row>
    <row r="85" spans="25:46" x14ac:dyDescent="0.2">
      <c r="Y85" s="100"/>
      <c r="Z85" s="100"/>
      <c r="AA85" s="100"/>
      <c r="AB85" s="100"/>
      <c r="AC85" s="100"/>
      <c r="AD85" s="100"/>
      <c r="AE85" s="100"/>
      <c r="AF85" s="100"/>
      <c r="AG85" s="100"/>
      <c r="AH85" s="100"/>
      <c r="AI85" s="100"/>
      <c r="AJ85" s="100"/>
      <c r="AK85" s="100"/>
      <c r="AL85" s="100"/>
      <c r="AM85" s="100"/>
      <c r="AN85" s="100"/>
      <c r="AO85" s="100"/>
      <c r="AP85" s="99"/>
      <c r="AQ85" s="99"/>
      <c r="AR85" s="99"/>
      <c r="AS85" s="99"/>
      <c r="AT85" s="99"/>
    </row>
    <row r="86" spans="25:46" x14ac:dyDescent="0.2">
      <c r="Y86" s="100"/>
      <c r="Z86" s="100"/>
      <c r="AA86" s="100"/>
      <c r="AB86" s="100"/>
      <c r="AC86" s="100"/>
      <c r="AD86" s="100"/>
      <c r="AE86" s="100"/>
      <c r="AF86" s="100"/>
      <c r="AG86" s="100"/>
      <c r="AH86" s="100"/>
      <c r="AI86" s="100"/>
      <c r="AJ86" s="100"/>
      <c r="AK86" s="100"/>
      <c r="AL86" s="100"/>
      <c r="AM86" s="100"/>
      <c r="AN86" s="100"/>
      <c r="AO86" s="100"/>
      <c r="AP86" s="99"/>
      <c r="AQ86" s="99"/>
      <c r="AR86" s="99"/>
      <c r="AS86" s="99"/>
      <c r="AT86" s="99"/>
    </row>
    <row r="87" spans="25:46" x14ac:dyDescent="0.2">
      <c r="Y87" s="100"/>
      <c r="Z87" s="100"/>
      <c r="AA87" s="100"/>
      <c r="AB87" s="100"/>
      <c r="AC87" s="100"/>
      <c r="AD87" s="100"/>
      <c r="AE87" s="100"/>
      <c r="AF87" s="100"/>
      <c r="AG87" s="100"/>
      <c r="AH87" s="100"/>
      <c r="AI87" s="100"/>
      <c r="AJ87" s="100"/>
      <c r="AK87" s="100"/>
      <c r="AL87" s="100"/>
      <c r="AM87" s="100"/>
      <c r="AN87" s="100"/>
      <c r="AO87" s="100"/>
      <c r="AP87" s="99"/>
      <c r="AQ87" s="99"/>
      <c r="AR87" s="99"/>
      <c r="AS87" s="99"/>
      <c r="AT87" s="99"/>
    </row>
    <row r="88" spans="25:46" x14ac:dyDescent="0.2">
      <c r="Y88" s="100"/>
      <c r="Z88" s="100"/>
      <c r="AA88" s="100"/>
      <c r="AB88" s="100"/>
      <c r="AC88" s="100"/>
      <c r="AD88" s="100"/>
      <c r="AE88" s="100"/>
      <c r="AF88" s="100"/>
      <c r="AG88" s="100"/>
      <c r="AH88" s="100"/>
      <c r="AI88" s="100"/>
      <c r="AJ88" s="100"/>
      <c r="AK88" s="100"/>
      <c r="AL88" s="100"/>
      <c r="AM88" s="100"/>
      <c r="AN88" s="100"/>
      <c r="AO88" s="100"/>
      <c r="AP88" s="99"/>
      <c r="AQ88" s="99"/>
      <c r="AR88" s="99"/>
      <c r="AS88" s="99"/>
      <c r="AT88" s="99"/>
    </row>
    <row r="89" spans="25:46" x14ac:dyDescent="0.2">
      <c r="Y89" s="100"/>
      <c r="Z89" s="100"/>
      <c r="AA89" s="100"/>
      <c r="AB89" s="100"/>
      <c r="AC89" s="100"/>
      <c r="AD89" s="100"/>
      <c r="AE89" s="100"/>
      <c r="AF89" s="100"/>
      <c r="AG89" s="100"/>
      <c r="AH89" s="100"/>
      <c r="AI89" s="100"/>
      <c r="AJ89" s="100"/>
      <c r="AK89" s="100"/>
      <c r="AL89" s="100"/>
      <c r="AM89" s="100"/>
      <c r="AN89" s="100"/>
      <c r="AO89" s="100"/>
      <c r="AP89" s="99"/>
      <c r="AQ89" s="99"/>
      <c r="AR89" s="99"/>
      <c r="AS89" s="99"/>
      <c r="AT89" s="99"/>
    </row>
    <row r="90" spans="25:46" x14ac:dyDescent="0.2">
      <c r="Y90" s="100"/>
      <c r="Z90" s="100"/>
      <c r="AA90" s="100"/>
      <c r="AB90" s="100"/>
      <c r="AC90" s="100"/>
      <c r="AD90" s="100"/>
      <c r="AE90" s="100"/>
      <c r="AF90" s="100"/>
      <c r="AG90" s="100"/>
      <c r="AH90" s="100"/>
      <c r="AI90" s="100"/>
      <c r="AJ90" s="100"/>
      <c r="AK90" s="100"/>
      <c r="AL90" s="100"/>
      <c r="AM90" s="100"/>
      <c r="AN90" s="100"/>
      <c r="AO90" s="100"/>
      <c r="AP90" s="99"/>
      <c r="AQ90" s="99"/>
      <c r="AR90" s="99"/>
      <c r="AS90" s="99"/>
      <c r="AT90" s="99"/>
    </row>
    <row r="91" spans="25:46" x14ac:dyDescent="0.2">
      <c r="Y91" s="100"/>
      <c r="Z91" s="100"/>
      <c r="AA91" s="100"/>
      <c r="AB91" s="100"/>
      <c r="AC91" s="100"/>
      <c r="AD91" s="100"/>
      <c r="AE91" s="100"/>
      <c r="AF91" s="100"/>
      <c r="AG91" s="100"/>
      <c r="AH91" s="100"/>
      <c r="AI91" s="100"/>
      <c r="AJ91" s="100"/>
      <c r="AK91" s="100"/>
      <c r="AL91" s="100"/>
      <c r="AM91" s="100"/>
      <c r="AN91" s="100"/>
      <c r="AO91" s="100"/>
      <c r="AP91" s="99"/>
      <c r="AQ91" s="99"/>
      <c r="AR91" s="99"/>
      <c r="AS91" s="99"/>
      <c r="AT91" s="99"/>
    </row>
    <row r="92" spans="25:46" x14ac:dyDescent="0.2">
      <c r="Y92" s="100"/>
      <c r="Z92" s="100"/>
      <c r="AA92" s="100"/>
      <c r="AB92" s="100"/>
      <c r="AC92" s="100"/>
      <c r="AD92" s="100"/>
      <c r="AE92" s="100"/>
      <c r="AF92" s="100"/>
      <c r="AG92" s="100"/>
      <c r="AH92" s="100"/>
      <c r="AI92" s="100"/>
      <c r="AJ92" s="100"/>
      <c r="AK92" s="100"/>
      <c r="AL92" s="100"/>
      <c r="AM92" s="100"/>
      <c r="AN92" s="100"/>
      <c r="AO92" s="100"/>
      <c r="AP92" s="99"/>
      <c r="AQ92" s="99"/>
      <c r="AR92" s="99"/>
      <c r="AS92" s="99"/>
      <c r="AT92" s="99"/>
    </row>
    <row r="93" spans="25:46" x14ac:dyDescent="0.2">
      <c r="Y93" s="100"/>
      <c r="Z93" s="100"/>
      <c r="AA93" s="100"/>
      <c r="AB93" s="100"/>
      <c r="AC93" s="100"/>
      <c r="AD93" s="100"/>
      <c r="AE93" s="100"/>
      <c r="AF93" s="100"/>
      <c r="AG93" s="100"/>
      <c r="AH93" s="100"/>
      <c r="AI93" s="100"/>
      <c r="AJ93" s="100"/>
      <c r="AK93" s="100"/>
      <c r="AL93" s="100"/>
      <c r="AM93" s="100"/>
      <c r="AN93" s="100"/>
      <c r="AO93" s="100"/>
      <c r="AP93" s="99"/>
      <c r="AQ93" s="99"/>
      <c r="AR93" s="99"/>
      <c r="AS93" s="99"/>
      <c r="AT93" s="99"/>
    </row>
    <row r="94" spans="25:46" x14ac:dyDescent="0.2">
      <c r="Y94" s="100"/>
      <c r="Z94" s="100"/>
      <c r="AA94" s="100"/>
      <c r="AB94" s="100"/>
      <c r="AC94" s="100"/>
      <c r="AD94" s="100"/>
      <c r="AE94" s="100"/>
      <c r="AF94" s="100"/>
      <c r="AG94" s="100"/>
      <c r="AH94" s="100"/>
      <c r="AI94" s="100"/>
      <c r="AJ94" s="100"/>
      <c r="AK94" s="100"/>
      <c r="AL94" s="100"/>
      <c r="AM94" s="100"/>
      <c r="AN94" s="100"/>
      <c r="AO94" s="100"/>
      <c r="AP94" s="99"/>
      <c r="AQ94" s="99"/>
      <c r="AR94" s="99"/>
      <c r="AS94" s="99"/>
      <c r="AT94" s="99"/>
    </row>
    <row r="95" spans="25:46" x14ac:dyDescent="0.2">
      <c r="Y95" s="100"/>
      <c r="Z95" s="100"/>
      <c r="AA95" s="100"/>
      <c r="AB95" s="100"/>
      <c r="AC95" s="100"/>
      <c r="AD95" s="100"/>
      <c r="AE95" s="100"/>
      <c r="AF95" s="100"/>
      <c r="AG95" s="100"/>
      <c r="AH95" s="100"/>
      <c r="AI95" s="100"/>
      <c r="AJ95" s="100"/>
      <c r="AK95" s="100"/>
      <c r="AL95" s="100"/>
      <c r="AM95" s="100"/>
      <c r="AN95" s="100"/>
      <c r="AO95" s="100"/>
      <c r="AP95" s="99"/>
      <c r="AQ95" s="99"/>
      <c r="AR95" s="99"/>
      <c r="AS95" s="99"/>
      <c r="AT95" s="99"/>
    </row>
    <row r="96" spans="25:46" x14ac:dyDescent="0.2">
      <c r="Y96" s="100"/>
      <c r="Z96" s="100"/>
      <c r="AA96" s="100"/>
      <c r="AB96" s="100"/>
      <c r="AC96" s="100"/>
      <c r="AD96" s="100"/>
      <c r="AE96" s="100"/>
      <c r="AF96" s="100"/>
      <c r="AG96" s="100"/>
      <c r="AH96" s="100"/>
      <c r="AI96" s="100"/>
      <c r="AJ96" s="100"/>
      <c r="AK96" s="100"/>
      <c r="AL96" s="100"/>
      <c r="AM96" s="100"/>
      <c r="AN96" s="100"/>
      <c r="AO96" s="100"/>
      <c r="AP96" s="99"/>
      <c r="AQ96" s="99"/>
      <c r="AR96" s="99"/>
      <c r="AS96" s="99"/>
      <c r="AT96" s="99"/>
    </row>
    <row r="97" spans="25:46" x14ac:dyDescent="0.2">
      <c r="Y97" s="100"/>
      <c r="Z97" s="100"/>
      <c r="AA97" s="100"/>
      <c r="AB97" s="100"/>
      <c r="AC97" s="100"/>
      <c r="AD97" s="100"/>
      <c r="AE97" s="100"/>
      <c r="AF97" s="100"/>
      <c r="AG97" s="100"/>
      <c r="AH97" s="100"/>
      <c r="AI97" s="100"/>
      <c r="AJ97" s="100"/>
      <c r="AK97" s="100"/>
      <c r="AL97" s="100"/>
      <c r="AM97" s="100"/>
      <c r="AN97" s="100"/>
      <c r="AO97" s="100"/>
      <c r="AP97" s="99"/>
      <c r="AQ97" s="99"/>
      <c r="AR97" s="99"/>
      <c r="AS97" s="99"/>
      <c r="AT97" s="99"/>
    </row>
    <row r="98" spans="25:46" x14ac:dyDescent="0.2">
      <c r="Y98" s="100"/>
      <c r="Z98" s="100"/>
      <c r="AA98" s="100"/>
      <c r="AB98" s="100"/>
      <c r="AC98" s="100"/>
      <c r="AD98" s="100"/>
      <c r="AE98" s="100"/>
      <c r="AF98" s="100"/>
      <c r="AG98" s="100"/>
      <c r="AH98" s="100"/>
      <c r="AI98" s="100"/>
      <c r="AJ98" s="100"/>
      <c r="AK98" s="100"/>
      <c r="AL98" s="100"/>
      <c r="AM98" s="100"/>
      <c r="AN98" s="100"/>
      <c r="AO98" s="100"/>
      <c r="AP98" s="99"/>
      <c r="AQ98" s="99"/>
      <c r="AR98" s="99"/>
      <c r="AS98" s="99"/>
      <c r="AT98" s="99"/>
    </row>
    <row r="99" spans="25:46" x14ac:dyDescent="0.2">
      <c r="Y99" s="100"/>
      <c r="Z99" s="100"/>
      <c r="AA99" s="100"/>
      <c r="AB99" s="100"/>
      <c r="AC99" s="100"/>
      <c r="AD99" s="100"/>
      <c r="AE99" s="100"/>
      <c r="AF99" s="100"/>
      <c r="AG99" s="100"/>
      <c r="AH99" s="100"/>
      <c r="AI99" s="100"/>
      <c r="AJ99" s="100"/>
      <c r="AK99" s="100"/>
      <c r="AL99" s="100"/>
      <c r="AM99" s="100"/>
      <c r="AN99" s="100"/>
      <c r="AO99" s="100"/>
      <c r="AP99" s="99"/>
      <c r="AQ99" s="99"/>
      <c r="AR99" s="99"/>
      <c r="AS99" s="99"/>
      <c r="AT99" s="99"/>
    </row>
    <row r="100" spans="25:46" x14ac:dyDescent="0.2">
      <c r="Y100" s="100"/>
      <c r="Z100" s="100"/>
      <c r="AA100" s="100"/>
      <c r="AB100" s="100"/>
      <c r="AC100" s="100"/>
      <c r="AD100" s="100"/>
      <c r="AE100" s="100"/>
      <c r="AF100" s="100"/>
      <c r="AG100" s="100"/>
      <c r="AH100" s="100"/>
      <c r="AI100" s="100"/>
      <c r="AJ100" s="100"/>
      <c r="AK100" s="100"/>
      <c r="AL100" s="100"/>
      <c r="AM100" s="100"/>
      <c r="AN100" s="100"/>
      <c r="AO100" s="100"/>
      <c r="AP100" s="99"/>
      <c r="AQ100" s="99"/>
      <c r="AR100" s="99"/>
      <c r="AS100" s="99"/>
      <c r="AT100" s="99"/>
    </row>
    <row r="101" spans="25:46" x14ac:dyDescent="0.2">
      <c r="Y101" s="100"/>
      <c r="Z101" s="100"/>
      <c r="AA101" s="100"/>
      <c r="AB101" s="100"/>
      <c r="AC101" s="100"/>
      <c r="AD101" s="100"/>
      <c r="AE101" s="100"/>
      <c r="AF101" s="100"/>
      <c r="AG101" s="100"/>
      <c r="AH101" s="100"/>
      <c r="AI101" s="100"/>
      <c r="AJ101" s="100"/>
      <c r="AK101" s="100"/>
      <c r="AL101" s="100"/>
      <c r="AM101" s="100"/>
      <c r="AN101" s="100"/>
      <c r="AO101" s="100"/>
      <c r="AP101" s="99"/>
      <c r="AQ101" s="99"/>
      <c r="AR101" s="99"/>
      <c r="AS101" s="99"/>
      <c r="AT101" s="99"/>
    </row>
    <row r="102" spans="25:46" x14ac:dyDescent="0.2">
      <c r="Y102" s="100"/>
      <c r="Z102" s="100"/>
      <c r="AA102" s="100"/>
      <c r="AB102" s="100"/>
      <c r="AC102" s="100"/>
      <c r="AD102" s="100"/>
      <c r="AE102" s="100"/>
      <c r="AF102" s="100"/>
      <c r="AG102" s="100"/>
      <c r="AH102" s="100"/>
      <c r="AI102" s="100"/>
      <c r="AJ102" s="100"/>
      <c r="AK102" s="100"/>
      <c r="AL102" s="100"/>
      <c r="AM102" s="100"/>
      <c r="AN102" s="100"/>
      <c r="AO102" s="100"/>
      <c r="AP102" s="99"/>
      <c r="AQ102" s="99"/>
      <c r="AR102" s="99"/>
      <c r="AS102" s="99"/>
      <c r="AT102" s="99"/>
    </row>
    <row r="103" spans="25:46" x14ac:dyDescent="0.2">
      <c r="Y103" s="100"/>
      <c r="Z103" s="100"/>
      <c r="AA103" s="100"/>
      <c r="AB103" s="100"/>
      <c r="AC103" s="100"/>
      <c r="AD103" s="100"/>
      <c r="AE103" s="100"/>
      <c r="AF103" s="100"/>
      <c r="AG103" s="100"/>
      <c r="AH103" s="100"/>
      <c r="AI103" s="100"/>
      <c r="AJ103" s="100"/>
      <c r="AK103" s="100"/>
      <c r="AL103" s="100"/>
      <c r="AM103" s="100"/>
      <c r="AN103" s="100"/>
      <c r="AO103" s="100"/>
      <c r="AP103" s="99"/>
      <c r="AQ103" s="99"/>
      <c r="AR103" s="99"/>
      <c r="AS103" s="99"/>
      <c r="AT103" s="99"/>
    </row>
    <row r="104" spans="25:46" x14ac:dyDescent="0.2">
      <c r="Y104" s="100"/>
      <c r="Z104" s="100"/>
      <c r="AA104" s="100"/>
      <c r="AB104" s="100"/>
      <c r="AC104" s="100"/>
      <c r="AD104" s="100"/>
      <c r="AE104" s="100"/>
      <c r="AF104" s="100"/>
      <c r="AG104" s="100"/>
      <c r="AH104" s="100"/>
      <c r="AI104" s="100"/>
      <c r="AJ104" s="100"/>
      <c r="AK104" s="100"/>
      <c r="AL104" s="100"/>
      <c r="AM104" s="100"/>
      <c r="AN104" s="100"/>
      <c r="AO104" s="100"/>
      <c r="AP104" s="99"/>
      <c r="AQ104" s="99"/>
      <c r="AR104" s="99"/>
      <c r="AS104" s="99"/>
      <c r="AT104" s="99"/>
    </row>
    <row r="105" spans="25:46" x14ac:dyDescent="0.2">
      <c r="Y105" s="100"/>
      <c r="Z105" s="100"/>
      <c r="AA105" s="100"/>
      <c r="AB105" s="100"/>
      <c r="AC105" s="100"/>
      <c r="AD105" s="100"/>
      <c r="AE105" s="100"/>
      <c r="AF105" s="100"/>
      <c r="AG105" s="100"/>
      <c r="AH105" s="100"/>
      <c r="AI105" s="100"/>
      <c r="AJ105" s="100"/>
      <c r="AK105" s="100"/>
      <c r="AL105" s="100"/>
      <c r="AM105" s="100"/>
      <c r="AN105" s="100"/>
      <c r="AO105" s="100"/>
      <c r="AP105" s="99"/>
      <c r="AQ105" s="99"/>
      <c r="AR105" s="99"/>
      <c r="AS105" s="99"/>
      <c r="AT105" s="99"/>
    </row>
    <row r="106" spans="25:46" x14ac:dyDescent="0.2">
      <c r="Y106" s="100"/>
      <c r="Z106" s="100"/>
      <c r="AA106" s="100"/>
      <c r="AB106" s="100"/>
      <c r="AC106" s="100"/>
      <c r="AD106" s="100"/>
      <c r="AE106" s="100"/>
      <c r="AF106" s="100"/>
      <c r="AG106" s="100"/>
      <c r="AH106" s="100"/>
      <c r="AI106" s="100"/>
      <c r="AJ106" s="100"/>
      <c r="AK106" s="100"/>
      <c r="AL106" s="100"/>
      <c r="AM106" s="100"/>
      <c r="AN106" s="100"/>
      <c r="AO106" s="100"/>
      <c r="AP106" s="99"/>
      <c r="AQ106" s="99"/>
      <c r="AR106" s="99"/>
      <c r="AS106" s="99"/>
      <c r="AT106" s="99"/>
    </row>
    <row r="107" spans="25:46" x14ac:dyDescent="0.2">
      <c r="Y107" s="100"/>
      <c r="Z107" s="100"/>
      <c r="AA107" s="100"/>
      <c r="AB107" s="100"/>
      <c r="AC107" s="100"/>
      <c r="AD107" s="100"/>
      <c r="AE107" s="100"/>
      <c r="AF107" s="100"/>
      <c r="AG107" s="100"/>
      <c r="AH107" s="100"/>
      <c r="AI107" s="100"/>
      <c r="AJ107" s="100"/>
      <c r="AK107" s="100"/>
      <c r="AL107" s="100"/>
      <c r="AM107" s="100"/>
      <c r="AN107" s="100"/>
      <c r="AO107" s="100"/>
      <c r="AP107" s="99"/>
      <c r="AQ107" s="99"/>
      <c r="AR107" s="99"/>
      <c r="AS107" s="99"/>
      <c r="AT107" s="99"/>
    </row>
    <row r="108" spans="25:46" x14ac:dyDescent="0.2">
      <c r="Y108" s="100"/>
      <c r="Z108" s="100"/>
      <c r="AA108" s="100"/>
      <c r="AB108" s="100"/>
      <c r="AC108" s="100"/>
      <c r="AD108" s="100"/>
      <c r="AE108" s="100"/>
      <c r="AF108" s="100"/>
      <c r="AG108" s="100"/>
      <c r="AH108" s="100"/>
      <c r="AI108" s="100"/>
      <c r="AJ108" s="100"/>
      <c r="AK108" s="100"/>
      <c r="AL108" s="100"/>
      <c r="AM108" s="100"/>
      <c r="AN108" s="100"/>
      <c r="AO108" s="100"/>
      <c r="AP108" s="99"/>
      <c r="AQ108" s="99"/>
      <c r="AR108" s="99"/>
      <c r="AS108" s="99"/>
      <c r="AT108" s="99"/>
    </row>
    <row r="109" spans="25:46" x14ac:dyDescent="0.2">
      <c r="Y109" s="100"/>
      <c r="Z109" s="100"/>
      <c r="AA109" s="100"/>
      <c r="AB109" s="100"/>
      <c r="AC109" s="100"/>
      <c r="AD109" s="100"/>
      <c r="AE109" s="100"/>
      <c r="AF109" s="100"/>
      <c r="AG109" s="100"/>
      <c r="AH109" s="100"/>
      <c r="AI109" s="100"/>
      <c r="AJ109" s="100"/>
      <c r="AK109" s="100"/>
      <c r="AL109" s="100"/>
      <c r="AM109" s="100"/>
      <c r="AN109" s="100"/>
      <c r="AO109" s="100"/>
      <c r="AP109" s="99"/>
      <c r="AQ109" s="99"/>
      <c r="AR109" s="99"/>
      <c r="AS109" s="99"/>
      <c r="AT109" s="99"/>
    </row>
    <row r="110" spans="25:46" x14ac:dyDescent="0.2">
      <c r="Y110" s="100"/>
      <c r="Z110" s="100"/>
      <c r="AA110" s="100"/>
      <c r="AB110" s="100"/>
      <c r="AC110" s="100"/>
      <c r="AD110" s="100"/>
      <c r="AE110" s="100"/>
      <c r="AF110" s="100"/>
      <c r="AG110" s="100"/>
      <c r="AH110" s="100"/>
      <c r="AI110" s="100"/>
      <c r="AJ110" s="100"/>
      <c r="AK110" s="100"/>
      <c r="AL110" s="100"/>
      <c r="AM110" s="100"/>
      <c r="AN110" s="100"/>
      <c r="AO110" s="100"/>
      <c r="AP110" s="99"/>
      <c r="AQ110" s="99"/>
      <c r="AR110" s="99"/>
      <c r="AS110" s="99"/>
      <c r="AT110" s="99"/>
    </row>
    <row r="111" spans="25:46" x14ac:dyDescent="0.2">
      <c r="Y111" s="100"/>
      <c r="Z111" s="100"/>
      <c r="AA111" s="100"/>
      <c r="AB111" s="100"/>
      <c r="AC111" s="100"/>
      <c r="AD111" s="100"/>
      <c r="AE111" s="100"/>
      <c r="AF111" s="100"/>
      <c r="AG111" s="100"/>
      <c r="AH111" s="100"/>
      <c r="AI111" s="100"/>
      <c r="AJ111" s="100"/>
      <c r="AK111" s="100"/>
      <c r="AL111" s="100"/>
      <c r="AM111" s="100"/>
      <c r="AN111" s="100"/>
      <c r="AO111" s="100"/>
      <c r="AP111" s="99"/>
      <c r="AQ111" s="99"/>
      <c r="AR111" s="99"/>
      <c r="AS111" s="99"/>
      <c r="AT111" s="99"/>
    </row>
    <row r="112" spans="25:46" x14ac:dyDescent="0.2">
      <c r="Y112" s="100"/>
      <c r="Z112" s="100"/>
      <c r="AA112" s="100"/>
      <c r="AB112" s="100"/>
      <c r="AC112" s="100"/>
      <c r="AD112" s="100"/>
      <c r="AE112" s="100"/>
      <c r="AF112" s="100"/>
      <c r="AG112" s="100"/>
      <c r="AH112" s="100"/>
      <c r="AI112" s="100"/>
      <c r="AJ112" s="100"/>
      <c r="AK112" s="100"/>
      <c r="AL112" s="100"/>
      <c r="AM112" s="100"/>
      <c r="AN112" s="100"/>
      <c r="AO112" s="100"/>
      <c r="AP112" s="99"/>
      <c r="AQ112" s="99"/>
      <c r="AR112" s="99"/>
      <c r="AS112" s="99"/>
      <c r="AT112" s="99"/>
    </row>
    <row r="113" spans="25:46" x14ac:dyDescent="0.2">
      <c r="Y113" s="100"/>
      <c r="Z113" s="100"/>
      <c r="AA113" s="100"/>
      <c r="AB113" s="100"/>
      <c r="AC113" s="100"/>
      <c r="AD113" s="100"/>
      <c r="AE113" s="100"/>
      <c r="AF113" s="100"/>
      <c r="AG113" s="100"/>
      <c r="AH113" s="100"/>
      <c r="AI113" s="100"/>
      <c r="AJ113" s="100"/>
      <c r="AK113" s="100"/>
      <c r="AL113" s="100"/>
      <c r="AM113" s="100"/>
      <c r="AN113" s="100"/>
      <c r="AO113" s="100"/>
      <c r="AP113" s="99"/>
      <c r="AQ113" s="99"/>
      <c r="AR113" s="99"/>
      <c r="AS113" s="99"/>
      <c r="AT113" s="99"/>
    </row>
    <row r="114" spans="25:46" x14ac:dyDescent="0.2">
      <c r="Y114" s="100"/>
      <c r="Z114" s="100"/>
      <c r="AA114" s="100"/>
      <c r="AB114" s="100"/>
      <c r="AC114" s="100"/>
      <c r="AD114" s="100"/>
      <c r="AE114" s="100"/>
      <c r="AF114" s="100"/>
      <c r="AG114" s="100"/>
      <c r="AH114" s="100"/>
      <c r="AI114" s="100"/>
      <c r="AJ114" s="100"/>
      <c r="AK114" s="100"/>
      <c r="AL114" s="100"/>
      <c r="AM114" s="100"/>
      <c r="AN114" s="100"/>
      <c r="AO114" s="100"/>
      <c r="AP114" s="99"/>
      <c r="AQ114" s="99"/>
      <c r="AR114" s="99"/>
      <c r="AS114" s="99"/>
      <c r="AT114" s="99"/>
    </row>
    <row r="115" spans="25:46" x14ac:dyDescent="0.2">
      <c r="Y115" s="100"/>
      <c r="Z115" s="100"/>
      <c r="AA115" s="100"/>
      <c r="AB115" s="100"/>
      <c r="AC115" s="100"/>
      <c r="AD115" s="100"/>
      <c r="AE115" s="100"/>
      <c r="AF115" s="100"/>
      <c r="AG115" s="100"/>
      <c r="AH115" s="100"/>
      <c r="AI115" s="100"/>
      <c r="AJ115" s="100"/>
      <c r="AK115" s="100"/>
      <c r="AL115" s="100"/>
      <c r="AM115" s="100"/>
      <c r="AN115" s="100"/>
      <c r="AO115" s="100"/>
      <c r="AP115" s="99"/>
      <c r="AQ115" s="99"/>
      <c r="AR115" s="99"/>
      <c r="AS115" s="99"/>
      <c r="AT115" s="99"/>
    </row>
    <row r="116" spans="25:46" x14ac:dyDescent="0.2">
      <c r="Y116" s="100"/>
      <c r="Z116" s="100"/>
      <c r="AA116" s="100"/>
      <c r="AB116" s="100"/>
      <c r="AC116" s="100"/>
      <c r="AD116" s="100"/>
      <c r="AE116" s="100"/>
      <c r="AF116" s="100"/>
      <c r="AG116" s="100"/>
      <c r="AH116" s="100"/>
      <c r="AI116" s="100"/>
      <c r="AJ116" s="100"/>
      <c r="AK116" s="100"/>
      <c r="AL116" s="100"/>
      <c r="AM116" s="100"/>
      <c r="AN116" s="100"/>
      <c r="AO116" s="100"/>
      <c r="AP116" s="99"/>
      <c r="AQ116" s="99"/>
      <c r="AR116" s="99"/>
      <c r="AS116" s="99"/>
      <c r="AT116" s="99"/>
    </row>
    <row r="117" spans="25:46" x14ac:dyDescent="0.2">
      <c r="Y117" s="100"/>
      <c r="Z117" s="100"/>
      <c r="AA117" s="100"/>
      <c r="AB117" s="100"/>
      <c r="AC117" s="100"/>
      <c r="AD117" s="100"/>
      <c r="AE117" s="100"/>
      <c r="AF117" s="100"/>
      <c r="AG117" s="100"/>
      <c r="AH117" s="100"/>
      <c r="AI117" s="100"/>
      <c r="AJ117" s="100"/>
      <c r="AK117" s="100"/>
      <c r="AL117" s="100"/>
      <c r="AM117" s="100"/>
      <c r="AN117" s="100"/>
      <c r="AO117" s="100"/>
      <c r="AP117" s="99"/>
      <c r="AQ117" s="99"/>
      <c r="AR117" s="99"/>
      <c r="AS117" s="99"/>
      <c r="AT117" s="99"/>
    </row>
    <row r="118" spans="25:46" x14ac:dyDescent="0.2">
      <c r="Y118" s="100"/>
      <c r="Z118" s="100"/>
      <c r="AA118" s="100"/>
      <c r="AB118" s="100"/>
      <c r="AC118" s="100"/>
      <c r="AD118" s="100"/>
      <c r="AE118" s="100"/>
      <c r="AF118" s="100"/>
      <c r="AG118" s="100"/>
      <c r="AH118" s="100"/>
      <c r="AI118" s="100"/>
      <c r="AJ118" s="100"/>
      <c r="AK118" s="100"/>
      <c r="AL118" s="100"/>
      <c r="AM118" s="100"/>
      <c r="AN118" s="100"/>
      <c r="AO118" s="100"/>
      <c r="AP118" s="99"/>
      <c r="AQ118" s="99"/>
      <c r="AR118" s="99"/>
      <c r="AS118" s="99"/>
      <c r="AT118" s="99"/>
    </row>
    <row r="119" spans="25:46" x14ac:dyDescent="0.2">
      <c r="Y119" s="100"/>
      <c r="Z119" s="100"/>
      <c r="AA119" s="100"/>
      <c r="AB119" s="100"/>
      <c r="AC119" s="100"/>
      <c r="AD119" s="100"/>
      <c r="AE119" s="100"/>
      <c r="AF119" s="100"/>
      <c r="AG119" s="100"/>
      <c r="AH119" s="100"/>
      <c r="AI119" s="100"/>
      <c r="AJ119" s="100"/>
      <c r="AK119" s="100"/>
      <c r="AL119" s="100"/>
      <c r="AM119" s="100"/>
      <c r="AN119" s="100"/>
      <c r="AO119" s="100"/>
      <c r="AP119" s="99"/>
      <c r="AQ119" s="99"/>
      <c r="AR119" s="99"/>
      <c r="AS119" s="99"/>
      <c r="AT119" s="99"/>
    </row>
    <row r="120" spans="25:46" x14ac:dyDescent="0.2">
      <c r="Y120" s="100"/>
      <c r="Z120" s="100"/>
      <c r="AA120" s="100"/>
      <c r="AB120" s="100"/>
      <c r="AC120" s="100"/>
      <c r="AD120" s="100"/>
      <c r="AE120" s="100"/>
      <c r="AF120" s="100"/>
      <c r="AG120" s="100"/>
      <c r="AH120" s="100"/>
      <c r="AI120" s="100"/>
      <c r="AJ120" s="100"/>
      <c r="AK120" s="100"/>
      <c r="AL120" s="100"/>
      <c r="AM120" s="100"/>
      <c r="AN120" s="100"/>
      <c r="AO120" s="100"/>
      <c r="AP120" s="99"/>
      <c r="AQ120" s="99"/>
      <c r="AR120" s="99"/>
      <c r="AS120" s="99"/>
      <c r="AT120" s="99"/>
    </row>
    <row r="121" spans="25:46" x14ac:dyDescent="0.2">
      <c r="Y121" s="100"/>
      <c r="Z121" s="100"/>
      <c r="AA121" s="100"/>
      <c r="AB121" s="100"/>
      <c r="AC121" s="100"/>
      <c r="AD121" s="100"/>
      <c r="AE121" s="100"/>
      <c r="AF121" s="100"/>
      <c r="AG121" s="100"/>
      <c r="AH121" s="100"/>
      <c r="AI121" s="100"/>
      <c r="AJ121" s="100"/>
      <c r="AK121" s="100"/>
      <c r="AL121" s="100"/>
      <c r="AM121" s="100"/>
      <c r="AN121" s="100"/>
      <c r="AO121" s="100"/>
      <c r="AP121" s="99"/>
      <c r="AQ121" s="99"/>
      <c r="AR121" s="99"/>
      <c r="AS121" s="99"/>
      <c r="AT121" s="99"/>
    </row>
    <row r="122" spans="25:46" x14ac:dyDescent="0.2">
      <c r="Y122" s="100"/>
      <c r="Z122" s="100"/>
      <c r="AA122" s="100"/>
      <c r="AB122" s="100"/>
      <c r="AC122" s="100"/>
      <c r="AD122" s="100"/>
      <c r="AE122" s="100"/>
      <c r="AF122" s="100"/>
      <c r="AG122" s="100"/>
      <c r="AH122" s="100"/>
      <c r="AI122" s="100"/>
      <c r="AJ122" s="100"/>
      <c r="AK122" s="100"/>
      <c r="AL122" s="100"/>
      <c r="AM122" s="100"/>
      <c r="AN122" s="100"/>
      <c r="AO122" s="100"/>
      <c r="AP122" s="99"/>
      <c r="AQ122" s="99"/>
      <c r="AR122" s="99"/>
      <c r="AS122" s="99"/>
      <c r="AT122" s="99"/>
    </row>
    <row r="123" spans="25:46" x14ac:dyDescent="0.2">
      <c r="Y123" s="100"/>
      <c r="Z123" s="100"/>
      <c r="AA123" s="100"/>
      <c r="AB123" s="100"/>
      <c r="AC123" s="100"/>
      <c r="AD123" s="100"/>
      <c r="AE123" s="100"/>
      <c r="AF123" s="100"/>
      <c r="AG123" s="100"/>
      <c r="AH123" s="100"/>
      <c r="AI123" s="100"/>
      <c r="AJ123" s="100"/>
      <c r="AK123" s="100"/>
      <c r="AL123" s="100"/>
      <c r="AM123" s="100"/>
      <c r="AN123" s="100"/>
      <c r="AO123" s="100"/>
      <c r="AP123" s="99"/>
      <c r="AQ123" s="99"/>
      <c r="AR123" s="99"/>
      <c r="AS123" s="99"/>
      <c r="AT123" s="99"/>
    </row>
    <row r="124" spans="25:46" x14ac:dyDescent="0.2">
      <c r="Y124" s="100"/>
      <c r="Z124" s="100"/>
      <c r="AA124" s="100"/>
      <c r="AB124" s="100"/>
      <c r="AC124" s="100"/>
      <c r="AD124" s="100"/>
      <c r="AE124" s="100"/>
      <c r="AF124" s="100"/>
      <c r="AG124" s="100"/>
      <c r="AH124" s="100"/>
      <c r="AI124" s="100"/>
      <c r="AJ124" s="100"/>
      <c r="AK124" s="100"/>
      <c r="AL124" s="100"/>
      <c r="AM124" s="100"/>
      <c r="AN124" s="100"/>
      <c r="AO124" s="100"/>
      <c r="AP124" s="99"/>
      <c r="AQ124" s="99"/>
      <c r="AR124" s="99"/>
      <c r="AS124" s="99"/>
      <c r="AT124" s="99"/>
    </row>
    <row r="125" spans="25:46" x14ac:dyDescent="0.2">
      <c r="Y125" s="100"/>
      <c r="Z125" s="100"/>
      <c r="AA125" s="100"/>
      <c r="AB125" s="100"/>
      <c r="AC125" s="100"/>
      <c r="AD125" s="100"/>
      <c r="AE125" s="100"/>
      <c r="AF125" s="100"/>
      <c r="AG125" s="100"/>
      <c r="AH125" s="100"/>
      <c r="AI125" s="100"/>
      <c r="AJ125" s="100"/>
      <c r="AK125" s="100"/>
      <c r="AL125" s="100"/>
      <c r="AM125" s="100"/>
      <c r="AN125" s="100"/>
      <c r="AO125" s="100"/>
      <c r="AP125" s="99"/>
      <c r="AQ125" s="99"/>
      <c r="AR125" s="99"/>
      <c r="AS125" s="99"/>
      <c r="AT125" s="99"/>
    </row>
    <row r="126" spans="25:46" x14ac:dyDescent="0.2">
      <c r="Y126" s="100"/>
      <c r="Z126" s="100"/>
      <c r="AA126" s="100"/>
      <c r="AB126" s="100"/>
      <c r="AC126" s="100"/>
      <c r="AD126" s="100"/>
      <c r="AE126" s="100"/>
      <c r="AF126" s="100"/>
      <c r="AG126" s="100"/>
      <c r="AH126" s="100"/>
      <c r="AI126" s="100"/>
      <c r="AJ126" s="100"/>
      <c r="AK126" s="100"/>
      <c r="AL126" s="100"/>
      <c r="AM126" s="100"/>
      <c r="AN126" s="100"/>
      <c r="AO126" s="100"/>
      <c r="AP126" s="99"/>
      <c r="AQ126" s="99"/>
      <c r="AR126" s="99"/>
      <c r="AS126" s="99"/>
      <c r="AT126" s="99"/>
    </row>
    <row r="127" spans="25:46" x14ac:dyDescent="0.2">
      <c r="Y127" s="100"/>
      <c r="Z127" s="100"/>
      <c r="AA127" s="100"/>
      <c r="AB127" s="100"/>
      <c r="AC127" s="100"/>
      <c r="AD127" s="100"/>
      <c r="AE127" s="100"/>
      <c r="AF127" s="100"/>
      <c r="AG127" s="100"/>
      <c r="AH127" s="100"/>
      <c r="AI127" s="100"/>
      <c r="AJ127" s="100"/>
      <c r="AK127" s="100"/>
      <c r="AL127" s="100"/>
      <c r="AM127" s="100"/>
      <c r="AN127" s="100"/>
      <c r="AO127" s="100"/>
      <c r="AP127" s="99"/>
      <c r="AQ127" s="99"/>
      <c r="AR127" s="99"/>
      <c r="AS127" s="99"/>
      <c r="AT127" s="99"/>
    </row>
    <row r="128" spans="25:46" x14ac:dyDescent="0.2">
      <c r="Y128" s="100"/>
      <c r="Z128" s="100"/>
      <c r="AA128" s="100"/>
      <c r="AB128" s="100"/>
      <c r="AC128" s="100"/>
      <c r="AD128" s="100"/>
      <c r="AE128" s="100"/>
      <c r="AF128" s="100"/>
      <c r="AG128" s="100"/>
      <c r="AH128" s="100"/>
      <c r="AI128" s="100"/>
      <c r="AJ128" s="100"/>
      <c r="AK128" s="100"/>
      <c r="AL128" s="100"/>
      <c r="AM128" s="100"/>
      <c r="AN128" s="100"/>
      <c r="AO128" s="100"/>
      <c r="AP128" s="99"/>
      <c r="AQ128" s="99"/>
      <c r="AR128" s="99"/>
      <c r="AS128" s="99"/>
      <c r="AT128" s="99"/>
    </row>
    <row r="129" spans="25:46" x14ac:dyDescent="0.2">
      <c r="Y129" s="100"/>
      <c r="Z129" s="100"/>
      <c r="AA129" s="100"/>
      <c r="AB129" s="100"/>
      <c r="AC129" s="100"/>
      <c r="AD129" s="100"/>
      <c r="AE129" s="100"/>
      <c r="AF129" s="100"/>
      <c r="AG129" s="100"/>
      <c r="AH129" s="100"/>
      <c r="AI129" s="100"/>
      <c r="AJ129" s="100"/>
      <c r="AK129" s="100"/>
      <c r="AL129" s="100"/>
      <c r="AM129" s="100"/>
      <c r="AN129" s="100"/>
      <c r="AO129" s="100"/>
      <c r="AP129" s="99"/>
      <c r="AQ129" s="99"/>
      <c r="AR129" s="99"/>
      <c r="AS129" s="99"/>
      <c r="AT129" s="99"/>
    </row>
    <row r="130" spans="25:46" x14ac:dyDescent="0.2">
      <c r="Y130" s="100"/>
      <c r="Z130" s="100"/>
      <c r="AA130" s="100"/>
      <c r="AB130" s="100"/>
      <c r="AC130" s="100"/>
      <c r="AD130" s="100"/>
      <c r="AE130" s="100"/>
      <c r="AF130" s="100"/>
      <c r="AG130" s="100"/>
      <c r="AH130" s="100"/>
      <c r="AI130" s="100"/>
      <c r="AJ130" s="100"/>
      <c r="AK130" s="100"/>
      <c r="AL130" s="100"/>
      <c r="AM130" s="100"/>
      <c r="AN130" s="100"/>
      <c r="AO130" s="100"/>
      <c r="AP130" s="99"/>
      <c r="AQ130" s="99"/>
      <c r="AR130" s="99"/>
      <c r="AS130" s="99"/>
      <c r="AT130" s="99"/>
    </row>
    <row r="131" spans="25:46" x14ac:dyDescent="0.2">
      <c r="Y131" s="100"/>
      <c r="Z131" s="100"/>
      <c r="AA131" s="100"/>
      <c r="AB131" s="100"/>
      <c r="AC131" s="100"/>
      <c r="AD131" s="100"/>
      <c r="AE131" s="100"/>
      <c r="AF131" s="100"/>
      <c r="AG131" s="100"/>
      <c r="AH131" s="100"/>
      <c r="AI131" s="100"/>
      <c r="AJ131" s="100"/>
      <c r="AK131" s="100"/>
      <c r="AL131" s="100"/>
      <c r="AM131" s="100"/>
      <c r="AN131" s="100"/>
      <c r="AO131" s="100"/>
      <c r="AP131" s="99"/>
      <c r="AQ131" s="99"/>
      <c r="AR131" s="99"/>
      <c r="AS131" s="99"/>
      <c r="AT131" s="99"/>
    </row>
    <row r="132" spans="25:46" x14ac:dyDescent="0.2">
      <c r="Y132" s="100"/>
      <c r="Z132" s="100"/>
      <c r="AA132" s="100"/>
      <c r="AB132" s="100"/>
      <c r="AC132" s="100"/>
      <c r="AD132" s="100"/>
      <c r="AE132" s="100"/>
      <c r="AF132" s="100"/>
      <c r="AG132" s="100"/>
      <c r="AH132" s="100"/>
      <c r="AI132" s="100"/>
      <c r="AJ132" s="100"/>
      <c r="AK132" s="100"/>
      <c r="AL132" s="100"/>
      <c r="AM132" s="100"/>
      <c r="AN132" s="100"/>
      <c r="AO132" s="100"/>
      <c r="AP132" s="99"/>
      <c r="AQ132" s="99"/>
      <c r="AR132" s="99"/>
      <c r="AS132" s="99"/>
      <c r="AT132" s="99"/>
    </row>
    <row r="133" spans="25:46" x14ac:dyDescent="0.2">
      <c r="Y133" s="100"/>
      <c r="Z133" s="100"/>
      <c r="AA133" s="100"/>
      <c r="AB133" s="100"/>
      <c r="AC133" s="100"/>
      <c r="AD133" s="100"/>
      <c r="AE133" s="100"/>
      <c r="AF133" s="100"/>
      <c r="AG133" s="100"/>
      <c r="AH133" s="100"/>
      <c r="AI133" s="100"/>
      <c r="AJ133" s="100"/>
      <c r="AK133" s="100"/>
      <c r="AL133" s="100"/>
      <c r="AM133" s="100"/>
      <c r="AN133" s="100"/>
      <c r="AO133" s="100"/>
      <c r="AP133" s="99"/>
      <c r="AQ133" s="99"/>
      <c r="AR133" s="99"/>
      <c r="AS133" s="99"/>
      <c r="AT133" s="99"/>
    </row>
    <row r="134" spans="25:46" x14ac:dyDescent="0.2">
      <c r="Y134" s="100"/>
      <c r="Z134" s="100"/>
      <c r="AA134" s="100"/>
      <c r="AB134" s="100"/>
      <c r="AC134" s="100"/>
      <c r="AD134" s="100"/>
      <c r="AE134" s="100"/>
      <c r="AF134" s="100"/>
      <c r="AG134" s="100"/>
      <c r="AH134" s="100"/>
      <c r="AI134" s="100"/>
      <c r="AJ134" s="100"/>
      <c r="AK134" s="100"/>
      <c r="AL134" s="100"/>
      <c r="AM134" s="100"/>
      <c r="AN134" s="100"/>
      <c r="AO134" s="100"/>
      <c r="AP134" s="99"/>
      <c r="AQ134" s="99"/>
      <c r="AR134" s="99"/>
      <c r="AS134" s="99"/>
      <c r="AT134" s="99"/>
    </row>
    <row r="135" spans="25:46" x14ac:dyDescent="0.2">
      <c r="Y135" s="100"/>
      <c r="Z135" s="100"/>
      <c r="AA135" s="100"/>
      <c r="AB135" s="100"/>
      <c r="AC135" s="100"/>
      <c r="AD135" s="100"/>
      <c r="AE135" s="100"/>
      <c r="AF135" s="100"/>
      <c r="AG135" s="100"/>
      <c r="AH135" s="100"/>
      <c r="AI135" s="100"/>
      <c r="AJ135" s="100"/>
      <c r="AK135" s="100"/>
      <c r="AL135" s="100"/>
      <c r="AM135" s="100"/>
      <c r="AN135" s="100"/>
      <c r="AO135" s="100"/>
      <c r="AP135" s="99"/>
      <c r="AQ135" s="99"/>
      <c r="AR135" s="99"/>
      <c r="AS135" s="99"/>
      <c r="AT135" s="99"/>
    </row>
    <row r="136" spans="25:46" x14ac:dyDescent="0.2">
      <c r="Y136" s="100"/>
      <c r="Z136" s="100"/>
      <c r="AA136" s="100"/>
      <c r="AB136" s="100"/>
      <c r="AC136" s="100"/>
      <c r="AD136" s="100"/>
      <c r="AE136" s="100"/>
      <c r="AF136" s="100"/>
      <c r="AG136" s="100"/>
      <c r="AH136" s="100"/>
      <c r="AI136" s="100"/>
      <c r="AJ136" s="100"/>
      <c r="AK136" s="100"/>
      <c r="AL136" s="100"/>
      <c r="AM136" s="100"/>
      <c r="AN136" s="100"/>
      <c r="AO136" s="100"/>
      <c r="AP136" s="99"/>
      <c r="AQ136" s="99"/>
      <c r="AR136" s="99"/>
      <c r="AS136" s="99"/>
      <c r="AT136" s="99"/>
    </row>
    <row r="137" spans="25:46" x14ac:dyDescent="0.2">
      <c r="Y137" s="100"/>
      <c r="Z137" s="100"/>
      <c r="AA137" s="100"/>
      <c r="AB137" s="100"/>
      <c r="AC137" s="100"/>
      <c r="AD137" s="100"/>
      <c r="AE137" s="100"/>
      <c r="AF137" s="100"/>
      <c r="AG137" s="100"/>
      <c r="AH137" s="100"/>
      <c r="AI137" s="100"/>
      <c r="AJ137" s="100"/>
      <c r="AK137" s="100"/>
      <c r="AL137" s="100"/>
      <c r="AM137" s="100"/>
      <c r="AN137" s="100"/>
      <c r="AO137" s="100"/>
      <c r="AP137" s="99"/>
      <c r="AQ137" s="99"/>
      <c r="AR137" s="99"/>
      <c r="AS137" s="99"/>
      <c r="AT137" s="99"/>
    </row>
    <row r="138" spans="25:46" x14ac:dyDescent="0.2">
      <c r="Y138" s="100"/>
      <c r="Z138" s="100"/>
      <c r="AA138" s="100"/>
      <c r="AB138" s="100"/>
      <c r="AC138" s="100"/>
      <c r="AD138" s="100"/>
      <c r="AE138" s="100"/>
      <c r="AF138" s="100"/>
      <c r="AG138" s="100"/>
      <c r="AH138" s="100"/>
      <c r="AI138" s="100"/>
      <c r="AJ138" s="100"/>
      <c r="AK138" s="100"/>
      <c r="AL138" s="100"/>
      <c r="AM138" s="100"/>
      <c r="AN138" s="100"/>
      <c r="AO138" s="100"/>
      <c r="AP138" s="99"/>
      <c r="AQ138" s="99"/>
      <c r="AR138" s="99"/>
      <c r="AS138" s="99"/>
      <c r="AT138" s="99"/>
    </row>
    <row r="139" spans="25:46" x14ac:dyDescent="0.2">
      <c r="Y139" s="100"/>
      <c r="Z139" s="100"/>
      <c r="AA139" s="100"/>
      <c r="AB139" s="100"/>
      <c r="AC139" s="100"/>
      <c r="AD139" s="100"/>
      <c r="AE139" s="100"/>
      <c r="AF139" s="100"/>
      <c r="AG139" s="100"/>
      <c r="AH139" s="100"/>
      <c r="AI139" s="100"/>
      <c r="AJ139" s="100"/>
      <c r="AK139" s="100"/>
      <c r="AL139" s="100"/>
      <c r="AM139" s="100"/>
      <c r="AN139" s="100"/>
      <c r="AO139" s="100"/>
      <c r="AP139" s="99"/>
      <c r="AQ139" s="99"/>
      <c r="AR139" s="99"/>
      <c r="AS139" s="99"/>
      <c r="AT139" s="99"/>
    </row>
    <row r="140" spans="25:46" x14ac:dyDescent="0.2">
      <c r="Y140" s="100"/>
      <c r="Z140" s="100"/>
      <c r="AA140" s="100"/>
      <c r="AB140" s="100"/>
      <c r="AC140" s="100"/>
      <c r="AD140" s="100"/>
      <c r="AE140" s="100"/>
      <c r="AF140" s="100"/>
      <c r="AG140" s="100"/>
      <c r="AH140" s="100"/>
      <c r="AI140" s="100"/>
      <c r="AJ140" s="100"/>
      <c r="AK140" s="100"/>
      <c r="AL140" s="100"/>
      <c r="AM140" s="100"/>
      <c r="AN140" s="100"/>
      <c r="AO140" s="100"/>
      <c r="AP140" s="99"/>
      <c r="AQ140" s="99"/>
      <c r="AR140" s="99"/>
      <c r="AS140" s="99"/>
      <c r="AT140" s="99"/>
    </row>
    <row r="141" spans="25:46" x14ac:dyDescent="0.2">
      <c r="Y141" s="100"/>
      <c r="Z141" s="100"/>
      <c r="AA141" s="100"/>
      <c r="AB141" s="100"/>
      <c r="AC141" s="100"/>
      <c r="AD141" s="100"/>
      <c r="AE141" s="100"/>
      <c r="AF141" s="100"/>
      <c r="AG141" s="100"/>
      <c r="AH141" s="100"/>
      <c r="AI141" s="100"/>
      <c r="AJ141" s="100"/>
      <c r="AK141" s="100"/>
      <c r="AL141" s="100"/>
      <c r="AM141" s="100"/>
      <c r="AN141" s="100"/>
      <c r="AO141" s="100"/>
      <c r="AP141" s="99"/>
      <c r="AQ141" s="99"/>
      <c r="AR141" s="99"/>
      <c r="AS141" s="99"/>
      <c r="AT141" s="99"/>
    </row>
    <row r="142" spans="25:46" x14ac:dyDescent="0.2">
      <c r="Y142" s="100"/>
      <c r="Z142" s="100"/>
      <c r="AA142" s="100"/>
      <c r="AB142" s="100"/>
      <c r="AC142" s="100"/>
      <c r="AD142" s="100"/>
      <c r="AE142" s="100"/>
      <c r="AF142" s="100"/>
      <c r="AG142" s="100"/>
      <c r="AH142" s="100"/>
      <c r="AI142" s="100"/>
      <c r="AJ142" s="100"/>
      <c r="AK142" s="100"/>
      <c r="AL142" s="100"/>
      <c r="AM142" s="100"/>
      <c r="AN142" s="100"/>
      <c r="AO142" s="100"/>
      <c r="AP142" s="99"/>
      <c r="AQ142" s="99"/>
      <c r="AR142" s="99"/>
      <c r="AS142" s="99"/>
      <c r="AT142" s="99"/>
    </row>
    <row r="143" spans="25:46" x14ac:dyDescent="0.2">
      <c r="Y143" s="100"/>
      <c r="Z143" s="100"/>
      <c r="AA143" s="100"/>
      <c r="AB143" s="100"/>
      <c r="AC143" s="100"/>
      <c r="AD143" s="100"/>
      <c r="AE143" s="100"/>
      <c r="AF143" s="100"/>
      <c r="AG143" s="100"/>
      <c r="AH143" s="100"/>
      <c r="AI143" s="100"/>
      <c r="AJ143" s="100"/>
      <c r="AK143" s="100"/>
      <c r="AL143" s="100"/>
      <c r="AM143" s="100"/>
      <c r="AN143" s="100"/>
      <c r="AO143" s="100"/>
      <c r="AP143" s="99"/>
      <c r="AQ143" s="99"/>
      <c r="AR143" s="99"/>
      <c r="AS143" s="99"/>
      <c r="AT143" s="99"/>
    </row>
    <row r="144" spans="25:46" x14ac:dyDescent="0.2">
      <c r="Y144" s="100"/>
      <c r="Z144" s="100"/>
      <c r="AA144" s="100"/>
      <c r="AB144" s="100"/>
      <c r="AC144" s="100"/>
      <c r="AD144" s="100"/>
      <c r="AE144" s="100"/>
      <c r="AF144" s="100"/>
      <c r="AG144" s="100"/>
      <c r="AH144" s="100"/>
      <c r="AI144" s="100"/>
      <c r="AJ144" s="100"/>
      <c r="AK144" s="100"/>
      <c r="AL144" s="100"/>
      <c r="AM144" s="100"/>
      <c r="AN144" s="100"/>
      <c r="AO144" s="100"/>
      <c r="AP144" s="99"/>
      <c r="AQ144" s="99"/>
      <c r="AR144" s="99"/>
      <c r="AS144" s="99"/>
      <c r="AT144" s="99"/>
    </row>
    <row r="145" spans="25:46" x14ac:dyDescent="0.2">
      <c r="Y145" s="100"/>
      <c r="Z145" s="100"/>
      <c r="AA145" s="100"/>
      <c r="AB145" s="100"/>
      <c r="AC145" s="100"/>
      <c r="AD145" s="100"/>
      <c r="AE145" s="100"/>
      <c r="AF145" s="100"/>
      <c r="AG145" s="100"/>
      <c r="AH145" s="100"/>
      <c r="AI145" s="100"/>
      <c r="AJ145" s="100"/>
      <c r="AK145" s="100"/>
      <c r="AL145" s="100"/>
      <c r="AM145" s="100"/>
      <c r="AN145" s="100"/>
      <c r="AO145" s="100"/>
      <c r="AP145" s="99"/>
      <c r="AQ145" s="99"/>
      <c r="AR145" s="99"/>
      <c r="AS145" s="99"/>
      <c r="AT145" s="99"/>
    </row>
    <row r="146" spans="25:46" x14ac:dyDescent="0.2">
      <c r="Y146" s="100"/>
      <c r="Z146" s="100"/>
      <c r="AA146" s="100"/>
      <c r="AB146" s="100"/>
      <c r="AC146" s="100"/>
      <c r="AD146" s="100"/>
      <c r="AE146" s="100"/>
      <c r="AF146" s="100"/>
      <c r="AG146" s="100"/>
      <c r="AH146" s="100"/>
      <c r="AI146" s="100"/>
      <c r="AJ146" s="100"/>
      <c r="AK146" s="100"/>
      <c r="AL146" s="100"/>
      <c r="AM146" s="100"/>
      <c r="AN146" s="100"/>
      <c r="AO146" s="100"/>
      <c r="AP146" s="99"/>
      <c r="AQ146" s="99"/>
      <c r="AR146" s="99"/>
      <c r="AS146" s="99"/>
      <c r="AT146" s="99"/>
    </row>
    <row r="147" spans="25:46" x14ac:dyDescent="0.2">
      <c r="Y147" s="100"/>
      <c r="Z147" s="100"/>
      <c r="AA147" s="100"/>
      <c r="AB147" s="100"/>
      <c r="AC147" s="100"/>
      <c r="AD147" s="100"/>
      <c r="AE147" s="100"/>
      <c r="AF147" s="100"/>
      <c r="AG147" s="100"/>
      <c r="AH147" s="100"/>
      <c r="AI147" s="100"/>
      <c r="AJ147" s="100"/>
      <c r="AK147" s="100"/>
      <c r="AL147" s="100"/>
      <c r="AM147" s="100"/>
      <c r="AN147" s="100"/>
      <c r="AO147" s="100"/>
      <c r="AP147" s="99"/>
      <c r="AQ147" s="99"/>
      <c r="AR147" s="99"/>
      <c r="AS147" s="99"/>
      <c r="AT147" s="99"/>
    </row>
    <row r="148" spans="25:46" x14ac:dyDescent="0.2">
      <c r="Y148" s="100"/>
      <c r="Z148" s="100"/>
      <c r="AA148" s="100"/>
      <c r="AB148" s="100"/>
      <c r="AC148" s="100"/>
      <c r="AD148" s="100"/>
      <c r="AE148" s="100"/>
      <c r="AF148" s="100"/>
      <c r="AG148" s="100"/>
      <c r="AH148" s="100"/>
      <c r="AI148" s="100"/>
      <c r="AJ148" s="100"/>
      <c r="AK148" s="100"/>
      <c r="AL148" s="100"/>
      <c r="AM148" s="100"/>
      <c r="AN148" s="100"/>
      <c r="AO148" s="100"/>
      <c r="AP148" s="99"/>
      <c r="AQ148" s="99"/>
      <c r="AR148" s="99"/>
      <c r="AS148" s="99"/>
      <c r="AT148" s="99"/>
    </row>
    <row r="149" spans="25:46" x14ac:dyDescent="0.2">
      <c r="Y149" s="100"/>
      <c r="Z149" s="100"/>
      <c r="AA149" s="100"/>
      <c r="AB149" s="100"/>
      <c r="AC149" s="100"/>
      <c r="AD149" s="100"/>
      <c r="AE149" s="100"/>
      <c r="AF149" s="100"/>
      <c r="AG149" s="100"/>
      <c r="AH149" s="100"/>
      <c r="AI149" s="100"/>
      <c r="AJ149" s="100"/>
      <c r="AK149" s="100"/>
      <c r="AL149" s="100"/>
      <c r="AM149" s="100"/>
      <c r="AN149" s="100"/>
      <c r="AO149" s="100"/>
      <c r="AP149" s="99"/>
      <c r="AQ149" s="99"/>
      <c r="AR149" s="99"/>
      <c r="AS149" s="99"/>
      <c r="AT149" s="99"/>
    </row>
    <row r="150" spans="25:46" x14ac:dyDescent="0.2">
      <c r="Y150" s="100"/>
      <c r="Z150" s="100"/>
      <c r="AA150" s="100"/>
      <c r="AB150" s="100"/>
      <c r="AC150" s="100"/>
      <c r="AD150" s="100"/>
      <c r="AE150" s="100"/>
      <c r="AF150" s="100"/>
      <c r="AG150" s="100"/>
      <c r="AH150" s="100"/>
      <c r="AI150" s="100"/>
      <c r="AJ150" s="100"/>
      <c r="AK150" s="100"/>
      <c r="AL150" s="100"/>
      <c r="AM150" s="100"/>
      <c r="AN150" s="100"/>
      <c r="AO150" s="100"/>
      <c r="AP150" s="99"/>
      <c r="AQ150" s="99"/>
      <c r="AR150" s="99"/>
      <c r="AS150" s="99"/>
      <c r="AT150" s="99"/>
    </row>
    <row r="151" spans="25:46" x14ac:dyDescent="0.2">
      <c r="Y151" s="100"/>
      <c r="Z151" s="100"/>
      <c r="AA151" s="100"/>
      <c r="AB151" s="100"/>
      <c r="AC151" s="100"/>
      <c r="AD151" s="100"/>
      <c r="AE151" s="100"/>
      <c r="AF151" s="100"/>
      <c r="AG151" s="100"/>
      <c r="AH151" s="100"/>
      <c r="AI151" s="100"/>
      <c r="AJ151" s="100"/>
      <c r="AK151" s="100"/>
      <c r="AL151" s="100"/>
      <c r="AM151" s="100"/>
      <c r="AN151" s="100"/>
      <c r="AO151" s="100"/>
      <c r="AP151" s="99"/>
      <c r="AQ151" s="99"/>
      <c r="AR151" s="99"/>
      <c r="AS151" s="99"/>
      <c r="AT151" s="99"/>
    </row>
    <row r="152" spans="25:46" x14ac:dyDescent="0.2">
      <c r="Y152" s="100"/>
      <c r="Z152" s="100"/>
      <c r="AA152" s="100"/>
      <c r="AB152" s="100"/>
      <c r="AC152" s="100"/>
      <c r="AD152" s="100"/>
      <c r="AE152" s="100"/>
      <c r="AF152" s="100"/>
      <c r="AG152" s="100"/>
      <c r="AH152" s="100"/>
      <c r="AI152" s="100"/>
      <c r="AJ152" s="100"/>
      <c r="AK152" s="100"/>
      <c r="AL152" s="100"/>
      <c r="AM152" s="100"/>
      <c r="AN152" s="100"/>
      <c r="AO152" s="100"/>
      <c r="AP152" s="99"/>
      <c r="AQ152" s="99"/>
      <c r="AR152" s="99"/>
      <c r="AS152" s="99"/>
      <c r="AT152" s="99"/>
    </row>
    <row r="153" spans="25:46" x14ac:dyDescent="0.2">
      <c r="Y153" s="100"/>
      <c r="Z153" s="100"/>
      <c r="AA153" s="100"/>
      <c r="AB153" s="100"/>
      <c r="AC153" s="100"/>
      <c r="AD153" s="100"/>
      <c r="AE153" s="100"/>
      <c r="AF153" s="100"/>
      <c r="AG153" s="100"/>
      <c r="AH153" s="100"/>
      <c r="AI153" s="100"/>
      <c r="AJ153" s="100"/>
      <c r="AK153" s="100"/>
      <c r="AL153" s="100"/>
      <c r="AM153" s="100"/>
      <c r="AN153" s="100"/>
      <c r="AO153" s="100"/>
      <c r="AP153" s="99"/>
      <c r="AQ153" s="99"/>
      <c r="AR153" s="99"/>
      <c r="AS153" s="99"/>
      <c r="AT153" s="99"/>
    </row>
    <row r="154" spans="25:46" x14ac:dyDescent="0.2">
      <c r="Y154" s="100"/>
      <c r="Z154" s="100"/>
      <c r="AA154" s="100"/>
      <c r="AB154" s="100"/>
      <c r="AC154" s="100"/>
      <c r="AD154" s="100"/>
      <c r="AE154" s="100"/>
      <c r="AF154" s="100"/>
      <c r="AG154" s="100"/>
      <c r="AH154" s="100"/>
      <c r="AI154" s="100"/>
      <c r="AJ154" s="100"/>
      <c r="AK154" s="100"/>
      <c r="AL154" s="100"/>
      <c r="AM154" s="100"/>
      <c r="AN154" s="100"/>
      <c r="AO154" s="100"/>
      <c r="AP154" s="99"/>
      <c r="AQ154" s="99"/>
      <c r="AR154" s="99"/>
      <c r="AS154" s="99"/>
      <c r="AT154" s="99"/>
    </row>
    <row r="155" spans="25:46" x14ac:dyDescent="0.2">
      <c r="Y155" s="100"/>
      <c r="Z155" s="100"/>
      <c r="AA155" s="100"/>
      <c r="AB155" s="100"/>
      <c r="AC155" s="100"/>
      <c r="AD155" s="100"/>
      <c r="AE155" s="100"/>
      <c r="AF155" s="100"/>
      <c r="AG155" s="100"/>
      <c r="AH155" s="100"/>
      <c r="AI155" s="100"/>
      <c r="AJ155" s="100"/>
      <c r="AK155" s="100"/>
      <c r="AL155" s="100"/>
      <c r="AM155" s="100"/>
      <c r="AN155" s="100"/>
      <c r="AO155" s="100"/>
      <c r="AP155" s="99"/>
      <c r="AQ155" s="99"/>
      <c r="AR155" s="99"/>
      <c r="AS155" s="99"/>
      <c r="AT155" s="99"/>
    </row>
    <row r="156" spans="25:46" x14ac:dyDescent="0.2">
      <c r="Y156" s="100"/>
      <c r="Z156" s="100"/>
      <c r="AA156" s="100"/>
      <c r="AB156" s="100"/>
      <c r="AC156" s="100"/>
      <c r="AD156" s="100"/>
      <c r="AE156" s="100"/>
      <c r="AF156" s="100"/>
      <c r="AG156" s="100"/>
      <c r="AH156" s="100"/>
      <c r="AI156" s="100"/>
      <c r="AJ156" s="100"/>
      <c r="AK156" s="100"/>
      <c r="AL156" s="100"/>
      <c r="AM156" s="100"/>
      <c r="AN156" s="100"/>
      <c r="AO156" s="100"/>
      <c r="AP156" s="99"/>
      <c r="AQ156" s="99"/>
      <c r="AR156" s="99"/>
      <c r="AS156" s="99"/>
      <c r="AT156" s="99"/>
    </row>
    <row r="157" spans="25:46" x14ac:dyDescent="0.2">
      <c r="Y157" s="100"/>
      <c r="Z157" s="100"/>
      <c r="AA157" s="100"/>
      <c r="AB157" s="100"/>
      <c r="AC157" s="100"/>
      <c r="AD157" s="100"/>
      <c r="AE157" s="100"/>
      <c r="AF157" s="100"/>
      <c r="AG157" s="100"/>
      <c r="AH157" s="100"/>
      <c r="AI157" s="100"/>
      <c r="AJ157" s="100"/>
      <c r="AK157" s="100"/>
      <c r="AL157" s="100"/>
      <c r="AM157" s="100"/>
      <c r="AN157" s="100"/>
      <c r="AO157" s="100"/>
      <c r="AP157" s="99"/>
      <c r="AQ157" s="99"/>
      <c r="AR157" s="99"/>
      <c r="AS157" s="99"/>
      <c r="AT157" s="99"/>
    </row>
    <row r="158" spans="25:46" x14ac:dyDescent="0.2">
      <c r="Y158" s="100"/>
      <c r="Z158" s="100"/>
      <c r="AA158" s="100"/>
      <c r="AB158" s="100"/>
      <c r="AC158" s="100"/>
      <c r="AD158" s="100"/>
      <c r="AE158" s="100"/>
      <c r="AF158" s="100"/>
      <c r="AG158" s="100"/>
      <c r="AH158" s="100"/>
      <c r="AI158" s="100"/>
      <c r="AJ158" s="100"/>
      <c r="AK158" s="100"/>
      <c r="AL158" s="100"/>
      <c r="AM158" s="100"/>
      <c r="AN158" s="100"/>
      <c r="AO158" s="100"/>
      <c r="AP158" s="99"/>
      <c r="AQ158" s="99"/>
      <c r="AR158" s="99"/>
      <c r="AS158" s="99"/>
      <c r="AT158" s="99"/>
    </row>
    <row r="159" spans="25:46" x14ac:dyDescent="0.2">
      <c r="Y159" s="100"/>
      <c r="Z159" s="100"/>
      <c r="AA159" s="100"/>
      <c r="AB159" s="100"/>
      <c r="AC159" s="100"/>
      <c r="AD159" s="100"/>
      <c r="AE159" s="100"/>
      <c r="AF159" s="100"/>
      <c r="AG159" s="100"/>
      <c r="AH159" s="100"/>
      <c r="AI159" s="100"/>
      <c r="AJ159" s="100"/>
      <c r="AK159" s="100"/>
      <c r="AL159" s="100"/>
      <c r="AM159" s="100"/>
      <c r="AN159" s="100"/>
      <c r="AO159" s="100"/>
      <c r="AP159" s="99"/>
      <c r="AQ159" s="99"/>
      <c r="AR159" s="99"/>
      <c r="AS159" s="99"/>
      <c r="AT159" s="99"/>
    </row>
    <row r="160" spans="25:46" x14ac:dyDescent="0.2">
      <c r="Y160" s="100"/>
      <c r="Z160" s="100"/>
      <c r="AA160" s="100"/>
      <c r="AB160" s="100"/>
      <c r="AC160" s="100"/>
      <c r="AD160" s="100"/>
      <c r="AE160" s="100"/>
      <c r="AF160" s="100"/>
      <c r="AG160" s="100"/>
      <c r="AH160" s="100"/>
      <c r="AI160" s="100"/>
      <c r="AJ160" s="100"/>
      <c r="AK160" s="100"/>
      <c r="AL160" s="100"/>
      <c r="AM160" s="100"/>
      <c r="AN160" s="100"/>
      <c r="AO160" s="100"/>
      <c r="AP160" s="99"/>
      <c r="AQ160" s="99"/>
      <c r="AR160" s="99"/>
      <c r="AS160" s="99"/>
      <c r="AT160" s="99"/>
    </row>
    <row r="161" spans="25:46" x14ac:dyDescent="0.2">
      <c r="Y161" s="100"/>
      <c r="Z161" s="100"/>
      <c r="AA161" s="100"/>
      <c r="AB161" s="100"/>
      <c r="AC161" s="100"/>
      <c r="AD161" s="100"/>
      <c r="AE161" s="100"/>
      <c r="AF161" s="100"/>
      <c r="AG161" s="100"/>
      <c r="AH161" s="100"/>
      <c r="AI161" s="100"/>
      <c r="AJ161" s="100"/>
      <c r="AK161" s="100"/>
      <c r="AL161" s="100"/>
      <c r="AM161" s="100"/>
      <c r="AN161" s="100"/>
      <c r="AO161" s="100"/>
      <c r="AP161" s="99"/>
      <c r="AQ161" s="99"/>
      <c r="AR161" s="99"/>
      <c r="AS161" s="99"/>
      <c r="AT161" s="99"/>
    </row>
    <row r="162" spans="25:46" x14ac:dyDescent="0.2">
      <c r="Y162" s="100"/>
      <c r="Z162" s="100"/>
      <c r="AA162" s="100"/>
      <c r="AB162" s="100"/>
      <c r="AC162" s="100"/>
      <c r="AD162" s="100"/>
      <c r="AE162" s="100"/>
      <c r="AF162" s="100"/>
      <c r="AG162" s="100"/>
      <c r="AH162" s="100"/>
      <c r="AI162" s="100"/>
      <c r="AJ162" s="100"/>
      <c r="AK162" s="100"/>
      <c r="AL162" s="100"/>
      <c r="AM162" s="100"/>
      <c r="AN162" s="100"/>
      <c r="AO162" s="100"/>
      <c r="AP162" s="99"/>
      <c r="AQ162" s="99"/>
      <c r="AR162" s="99"/>
      <c r="AS162" s="99"/>
      <c r="AT162" s="99"/>
    </row>
    <row r="163" spans="25:46" x14ac:dyDescent="0.2">
      <c r="Y163" s="100"/>
      <c r="Z163" s="100"/>
      <c r="AA163" s="100"/>
      <c r="AB163" s="100"/>
      <c r="AC163" s="100"/>
      <c r="AD163" s="100"/>
      <c r="AE163" s="100"/>
      <c r="AF163" s="100"/>
      <c r="AG163" s="100"/>
      <c r="AH163" s="100"/>
      <c r="AI163" s="100"/>
      <c r="AJ163" s="100"/>
      <c r="AK163" s="100"/>
      <c r="AL163" s="100"/>
      <c r="AM163" s="100"/>
      <c r="AN163" s="100"/>
      <c r="AO163" s="100"/>
      <c r="AP163" s="99"/>
      <c r="AQ163" s="99"/>
      <c r="AR163" s="99"/>
      <c r="AS163" s="99"/>
      <c r="AT163" s="99"/>
    </row>
    <row r="164" spans="25:46" x14ac:dyDescent="0.2">
      <c r="Y164" s="100"/>
      <c r="Z164" s="100"/>
      <c r="AA164" s="100"/>
      <c r="AB164" s="100"/>
      <c r="AC164" s="100"/>
      <c r="AD164" s="100"/>
      <c r="AE164" s="100"/>
      <c r="AF164" s="100"/>
      <c r="AG164" s="100"/>
      <c r="AH164" s="100"/>
      <c r="AI164" s="100"/>
      <c r="AJ164" s="100"/>
      <c r="AK164" s="100"/>
      <c r="AL164" s="100"/>
      <c r="AM164" s="100"/>
      <c r="AN164" s="100"/>
      <c r="AO164" s="100"/>
      <c r="AP164" s="99"/>
      <c r="AQ164" s="99"/>
      <c r="AR164" s="99"/>
      <c r="AS164" s="99"/>
      <c r="AT164" s="99"/>
    </row>
    <row r="165" spans="25:46" x14ac:dyDescent="0.2">
      <c r="Y165" s="100"/>
      <c r="Z165" s="100"/>
      <c r="AA165" s="100"/>
      <c r="AB165" s="100"/>
      <c r="AC165" s="100"/>
      <c r="AD165" s="100"/>
      <c r="AE165" s="100"/>
      <c r="AF165" s="100"/>
      <c r="AG165" s="100"/>
      <c r="AH165" s="100"/>
      <c r="AI165" s="100"/>
      <c r="AJ165" s="100"/>
      <c r="AK165" s="100"/>
      <c r="AL165" s="100"/>
      <c r="AM165" s="100"/>
      <c r="AN165" s="100"/>
      <c r="AO165" s="100"/>
      <c r="AP165" s="99"/>
      <c r="AQ165" s="99"/>
      <c r="AR165" s="99"/>
      <c r="AS165" s="99"/>
      <c r="AT165" s="99"/>
    </row>
    <row r="166" spans="25:46" x14ac:dyDescent="0.2">
      <c r="Y166" s="100"/>
      <c r="Z166" s="100"/>
      <c r="AA166" s="100"/>
      <c r="AB166" s="100"/>
      <c r="AC166" s="100"/>
      <c r="AD166" s="100"/>
      <c r="AE166" s="100"/>
      <c r="AF166" s="100"/>
      <c r="AG166" s="100"/>
      <c r="AH166" s="100"/>
      <c r="AI166" s="100"/>
      <c r="AJ166" s="100"/>
      <c r="AK166" s="100"/>
      <c r="AL166" s="100"/>
      <c r="AM166" s="100"/>
      <c r="AN166" s="100"/>
      <c r="AO166" s="100"/>
      <c r="AP166" s="99"/>
      <c r="AQ166" s="99"/>
      <c r="AR166" s="99"/>
      <c r="AS166" s="99"/>
      <c r="AT166" s="99"/>
    </row>
    <row r="167" spans="25:46" x14ac:dyDescent="0.2">
      <c r="Y167" s="100"/>
      <c r="Z167" s="100"/>
      <c r="AA167" s="100"/>
      <c r="AB167" s="100"/>
      <c r="AC167" s="100"/>
      <c r="AD167" s="100"/>
      <c r="AE167" s="100"/>
      <c r="AF167" s="100"/>
      <c r="AG167" s="100"/>
      <c r="AH167" s="100"/>
      <c r="AI167" s="100"/>
      <c r="AJ167" s="100"/>
      <c r="AK167" s="100"/>
      <c r="AL167" s="100"/>
      <c r="AM167" s="100"/>
      <c r="AN167" s="100"/>
      <c r="AO167" s="100"/>
      <c r="AP167" s="99"/>
      <c r="AQ167" s="99"/>
      <c r="AR167" s="99"/>
      <c r="AS167" s="99"/>
      <c r="AT167" s="99"/>
    </row>
    <row r="168" spans="25:46" x14ac:dyDescent="0.2">
      <c r="Y168" s="100"/>
      <c r="Z168" s="100"/>
      <c r="AA168" s="100"/>
      <c r="AB168" s="100"/>
      <c r="AC168" s="100"/>
      <c r="AD168" s="100"/>
      <c r="AE168" s="100"/>
      <c r="AF168" s="100"/>
      <c r="AG168" s="100"/>
      <c r="AH168" s="100"/>
      <c r="AI168" s="100"/>
      <c r="AJ168" s="100"/>
      <c r="AK168" s="100"/>
      <c r="AL168" s="100"/>
      <c r="AM168" s="100"/>
      <c r="AN168" s="100"/>
      <c r="AO168" s="100"/>
      <c r="AP168" s="99"/>
      <c r="AQ168" s="99"/>
      <c r="AR168" s="99"/>
      <c r="AS168" s="99"/>
      <c r="AT168" s="99"/>
    </row>
    <row r="169" spans="25:46" x14ac:dyDescent="0.2">
      <c r="Y169" s="100"/>
      <c r="Z169" s="100"/>
      <c r="AA169" s="100"/>
      <c r="AB169" s="100"/>
      <c r="AC169" s="100"/>
      <c r="AD169" s="100"/>
      <c r="AE169" s="100"/>
      <c r="AF169" s="100"/>
      <c r="AG169" s="100"/>
      <c r="AH169" s="100"/>
      <c r="AI169" s="100"/>
      <c r="AJ169" s="100"/>
      <c r="AK169" s="100"/>
      <c r="AL169" s="100"/>
      <c r="AM169" s="100"/>
      <c r="AN169" s="100"/>
      <c r="AO169" s="100"/>
      <c r="AP169" s="99"/>
      <c r="AQ169" s="99"/>
      <c r="AR169" s="99"/>
      <c r="AS169" s="99"/>
      <c r="AT169" s="99"/>
    </row>
    <row r="170" spans="25:46" x14ac:dyDescent="0.2">
      <c r="Y170" s="100"/>
      <c r="Z170" s="100"/>
      <c r="AA170" s="100"/>
      <c r="AB170" s="100"/>
      <c r="AC170" s="100"/>
      <c r="AD170" s="100"/>
      <c r="AE170" s="100"/>
      <c r="AF170" s="100"/>
      <c r="AG170" s="100"/>
      <c r="AH170" s="100"/>
      <c r="AI170" s="100"/>
      <c r="AJ170" s="100"/>
      <c r="AK170" s="100"/>
      <c r="AL170" s="100"/>
      <c r="AM170" s="100"/>
      <c r="AN170" s="100"/>
      <c r="AO170" s="100"/>
      <c r="AP170" s="99"/>
      <c r="AQ170" s="99"/>
      <c r="AR170" s="99"/>
      <c r="AS170" s="99"/>
      <c r="AT170" s="99"/>
    </row>
    <row r="171" spans="25:46" x14ac:dyDescent="0.2">
      <c r="Y171" s="100"/>
      <c r="Z171" s="100"/>
      <c r="AA171" s="100"/>
      <c r="AB171" s="100"/>
      <c r="AC171" s="100"/>
      <c r="AD171" s="100"/>
      <c r="AE171" s="100"/>
      <c r="AF171" s="100"/>
      <c r="AG171" s="100"/>
      <c r="AH171" s="100"/>
      <c r="AI171" s="100"/>
      <c r="AJ171" s="100"/>
      <c r="AK171" s="100"/>
      <c r="AL171" s="100"/>
      <c r="AM171" s="100"/>
      <c r="AN171" s="100"/>
      <c r="AO171" s="100"/>
      <c r="AP171" s="99"/>
      <c r="AQ171" s="99"/>
      <c r="AR171" s="99"/>
      <c r="AS171" s="99"/>
      <c r="AT171" s="99"/>
    </row>
    <row r="172" spans="25:46" x14ac:dyDescent="0.2">
      <c r="Y172" s="100"/>
      <c r="Z172" s="100"/>
      <c r="AA172" s="100"/>
      <c r="AB172" s="100"/>
      <c r="AC172" s="100"/>
      <c r="AD172" s="100"/>
      <c r="AE172" s="100"/>
      <c r="AF172" s="100"/>
      <c r="AG172" s="100"/>
      <c r="AH172" s="100"/>
      <c r="AI172" s="100"/>
      <c r="AJ172" s="100"/>
      <c r="AK172" s="100"/>
      <c r="AL172" s="100"/>
      <c r="AM172" s="100"/>
      <c r="AN172" s="100"/>
      <c r="AO172" s="100"/>
      <c r="AP172" s="99"/>
      <c r="AQ172" s="99"/>
      <c r="AR172" s="99"/>
      <c r="AS172" s="99"/>
      <c r="AT172" s="99"/>
    </row>
    <row r="173" spans="25:46" x14ac:dyDescent="0.2">
      <c r="Y173" s="100"/>
      <c r="Z173" s="100"/>
      <c r="AA173" s="100"/>
      <c r="AB173" s="100"/>
      <c r="AC173" s="100"/>
      <c r="AD173" s="100"/>
      <c r="AE173" s="100"/>
      <c r="AF173" s="100"/>
      <c r="AG173" s="100"/>
      <c r="AH173" s="100"/>
      <c r="AI173" s="100"/>
      <c r="AJ173" s="100"/>
      <c r="AK173" s="100"/>
      <c r="AL173" s="100"/>
      <c r="AM173" s="100"/>
      <c r="AN173" s="100"/>
      <c r="AO173" s="100"/>
      <c r="AP173" s="99"/>
      <c r="AQ173" s="99"/>
      <c r="AR173" s="99"/>
      <c r="AS173" s="99"/>
      <c r="AT173" s="99"/>
    </row>
    <row r="174" spans="25:46" x14ac:dyDescent="0.2">
      <c r="Y174" s="100"/>
      <c r="Z174" s="100"/>
      <c r="AA174" s="100"/>
      <c r="AB174" s="100"/>
      <c r="AC174" s="100"/>
      <c r="AD174" s="100"/>
      <c r="AE174" s="100"/>
      <c r="AF174" s="100"/>
      <c r="AG174" s="100"/>
      <c r="AH174" s="100"/>
      <c r="AI174" s="100"/>
      <c r="AJ174" s="100"/>
      <c r="AK174" s="100"/>
      <c r="AL174" s="100"/>
      <c r="AM174" s="100"/>
      <c r="AN174" s="100"/>
      <c r="AO174" s="100"/>
      <c r="AP174" s="99"/>
      <c r="AQ174" s="99"/>
      <c r="AR174" s="99"/>
      <c r="AS174" s="99"/>
      <c r="AT174" s="99"/>
    </row>
    <row r="175" spans="25:46" x14ac:dyDescent="0.2">
      <c r="Y175" s="100"/>
      <c r="Z175" s="100"/>
      <c r="AA175" s="100"/>
      <c r="AB175" s="100"/>
      <c r="AC175" s="100"/>
      <c r="AD175" s="100"/>
      <c r="AE175" s="100"/>
      <c r="AF175" s="100"/>
      <c r="AG175" s="100"/>
      <c r="AH175" s="100"/>
      <c r="AI175" s="100"/>
      <c r="AJ175" s="100"/>
      <c r="AK175" s="100"/>
      <c r="AL175" s="100"/>
      <c r="AM175" s="100"/>
      <c r="AN175" s="100"/>
      <c r="AO175" s="100"/>
      <c r="AP175" s="99"/>
      <c r="AQ175" s="99"/>
      <c r="AR175" s="99"/>
      <c r="AS175" s="99"/>
      <c r="AT175" s="99"/>
    </row>
    <row r="176" spans="25:46" x14ac:dyDescent="0.2">
      <c r="Y176" s="100"/>
      <c r="Z176" s="100"/>
      <c r="AA176" s="100"/>
      <c r="AB176" s="100"/>
      <c r="AC176" s="100"/>
      <c r="AD176" s="100"/>
      <c r="AE176" s="100"/>
      <c r="AF176" s="100"/>
      <c r="AG176" s="100"/>
      <c r="AH176" s="100"/>
      <c r="AI176" s="100"/>
      <c r="AJ176" s="100"/>
      <c r="AK176" s="100"/>
      <c r="AL176" s="100"/>
      <c r="AM176" s="100"/>
      <c r="AN176" s="100"/>
      <c r="AO176" s="100"/>
      <c r="AP176" s="99"/>
      <c r="AQ176" s="99"/>
      <c r="AR176" s="99"/>
      <c r="AS176" s="99"/>
      <c r="AT176" s="99"/>
    </row>
    <row r="177" spans="25:46" x14ac:dyDescent="0.2">
      <c r="Y177" s="100"/>
      <c r="Z177" s="100"/>
      <c r="AA177" s="100"/>
      <c r="AB177" s="100"/>
      <c r="AC177" s="100"/>
      <c r="AD177" s="100"/>
      <c r="AE177" s="100"/>
      <c r="AF177" s="100"/>
      <c r="AG177" s="100"/>
      <c r="AH177" s="100"/>
      <c r="AI177" s="100"/>
      <c r="AJ177" s="100"/>
      <c r="AK177" s="100"/>
      <c r="AL177" s="100"/>
      <c r="AM177" s="100"/>
      <c r="AN177" s="100"/>
      <c r="AO177" s="100"/>
      <c r="AP177" s="99"/>
      <c r="AQ177" s="99"/>
      <c r="AR177" s="99"/>
      <c r="AS177" s="99"/>
      <c r="AT177" s="99"/>
    </row>
    <row r="178" spans="25:46" x14ac:dyDescent="0.2">
      <c r="Y178" s="100"/>
      <c r="Z178" s="100"/>
      <c r="AA178" s="100"/>
      <c r="AB178" s="100"/>
      <c r="AC178" s="100"/>
      <c r="AD178" s="100"/>
      <c r="AE178" s="100"/>
      <c r="AF178" s="100"/>
      <c r="AG178" s="100"/>
      <c r="AH178" s="100"/>
      <c r="AI178" s="100"/>
      <c r="AJ178" s="100"/>
      <c r="AK178" s="100"/>
      <c r="AL178" s="100"/>
      <c r="AM178" s="100"/>
      <c r="AN178" s="100"/>
      <c r="AO178" s="100"/>
      <c r="AP178" s="99"/>
      <c r="AQ178" s="99"/>
      <c r="AR178" s="99"/>
      <c r="AS178" s="99"/>
      <c r="AT178" s="99"/>
    </row>
    <row r="179" spans="25:46" x14ac:dyDescent="0.2">
      <c r="Y179" s="100"/>
      <c r="Z179" s="100"/>
      <c r="AA179" s="100"/>
      <c r="AB179" s="100"/>
      <c r="AC179" s="100"/>
      <c r="AD179" s="100"/>
      <c r="AE179" s="100"/>
      <c r="AF179" s="100"/>
      <c r="AG179" s="100"/>
      <c r="AH179" s="100"/>
      <c r="AI179" s="100"/>
      <c r="AJ179" s="100"/>
      <c r="AK179" s="100"/>
      <c r="AL179" s="100"/>
      <c r="AM179" s="100"/>
      <c r="AN179" s="100"/>
      <c r="AO179" s="100"/>
      <c r="AP179" s="99"/>
      <c r="AQ179" s="99"/>
      <c r="AR179" s="99"/>
      <c r="AS179" s="99"/>
      <c r="AT179" s="99"/>
    </row>
    <row r="180" spans="25:46" x14ac:dyDescent="0.2">
      <c r="Y180" s="100"/>
      <c r="Z180" s="100"/>
      <c r="AA180" s="100"/>
      <c r="AB180" s="100"/>
      <c r="AC180" s="100"/>
      <c r="AD180" s="100"/>
      <c r="AE180" s="100"/>
      <c r="AF180" s="100"/>
      <c r="AG180" s="100"/>
      <c r="AH180" s="100"/>
      <c r="AI180" s="100"/>
      <c r="AJ180" s="100"/>
      <c r="AK180" s="100"/>
      <c r="AL180" s="100"/>
      <c r="AM180" s="100"/>
      <c r="AN180" s="100"/>
      <c r="AO180" s="100"/>
      <c r="AP180" s="99"/>
      <c r="AQ180" s="99"/>
      <c r="AR180" s="99"/>
      <c r="AS180" s="99"/>
      <c r="AT180" s="99"/>
    </row>
    <row r="181" spans="25:46" x14ac:dyDescent="0.2">
      <c r="Y181" s="100"/>
      <c r="Z181" s="100"/>
      <c r="AA181" s="100"/>
      <c r="AB181" s="100"/>
      <c r="AC181" s="100"/>
      <c r="AD181" s="100"/>
      <c r="AE181" s="100"/>
      <c r="AF181" s="100"/>
      <c r="AG181" s="100"/>
      <c r="AH181" s="100"/>
      <c r="AI181" s="100"/>
      <c r="AJ181" s="100"/>
      <c r="AK181" s="100"/>
      <c r="AL181" s="100"/>
      <c r="AM181" s="100"/>
      <c r="AN181" s="100"/>
      <c r="AO181" s="100"/>
      <c r="AP181" s="99"/>
      <c r="AQ181" s="99"/>
      <c r="AR181" s="99"/>
      <c r="AS181" s="99"/>
      <c r="AT181" s="99"/>
    </row>
    <row r="182" spans="25:46" x14ac:dyDescent="0.2">
      <c r="Y182" s="100"/>
      <c r="Z182" s="100"/>
      <c r="AA182" s="100"/>
      <c r="AB182" s="100"/>
      <c r="AC182" s="100"/>
      <c r="AD182" s="100"/>
      <c r="AE182" s="100"/>
      <c r="AF182" s="100"/>
      <c r="AG182" s="100"/>
      <c r="AH182" s="100"/>
      <c r="AI182" s="100"/>
      <c r="AJ182" s="100"/>
      <c r="AK182" s="100"/>
      <c r="AL182" s="100"/>
      <c r="AM182" s="100"/>
      <c r="AN182" s="100"/>
      <c r="AO182" s="100"/>
      <c r="AP182" s="99"/>
      <c r="AQ182" s="99"/>
      <c r="AR182" s="99"/>
      <c r="AS182" s="99"/>
      <c r="AT182" s="99"/>
    </row>
    <row r="183" spans="25:46" x14ac:dyDescent="0.2">
      <c r="Y183" s="100"/>
      <c r="Z183" s="100"/>
      <c r="AA183" s="100"/>
      <c r="AB183" s="100"/>
      <c r="AC183" s="100"/>
      <c r="AD183" s="100"/>
      <c r="AE183" s="100"/>
      <c r="AF183" s="100"/>
      <c r="AG183" s="100"/>
      <c r="AH183" s="100"/>
      <c r="AI183" s="100"/>
      <c r="AJ183" s="100"/>
      <c r="AK183" s="100"/>
      <c r="AL183" s="100"/>
      <c r="AM183" s="100"/>
      <c r="AN183" s="100"/>
      <c r="AO183" s="100"/>
      <c r="AP183" s="99"/>
      <c r="AQ183" s="99"/>
      <c r="AR183" s="99"/>
      <c r="AS183" s="99"/>
      <c r="AT183" s="99"/>
    </row>
    <row r="184" spans="25:46" x14ac:dyDescent="0.2">
      <c r="Y184" s="100"/>
      <c r="Z184" s="100"/>
      <c r="AA184" s="100"/>
      <c r="AB184" s="100"/>
      <c r="AC184" s="100"/>
      <c r="AD184" s="100"/>
      <c r="AE184" s="100"/>
      <c r="AF184" s="100"/>
      <c r="AG184" s="100"/>
      <c r="AH184" s="100"/>
      <c r="AI184" s="100"/>
      <c r="AJ184" s="100"/>
      <c r="AK184" s="100"/>
      <c r="AL184" s="100"/>
      <c r="AM184" s="100"/>
      <c r="AN184" s="100"/>
      <c r="AO184" s="100"/>
      <c r="AP184" s="99"/>
      <c r="AQ184" s="99"/>
      <c r="AR184" s="99"/>
      <c r="AS184" s="99"/>
      <c r="AT184" s="99"/>
    </row>
    <row r="185" spans="25:46" x14ac:dyDescent="0.2">
      <c r="Y185" s="100"/>
      <c r="Z185" s="100"/>
      <c r="AA185" s="100"/>
      <c r="AB185" s="100"/>
      <c r="AC185" s="100"/>
      <c r="AD185" s="100"/>
      <c r="AE185" s="100"/>
      <c r="AF185" s="100"/>
      <c r="AG185" s="100"/>
      <c r="AH185" s="100"/>
      <c r="AI185" s="100"/>
      <c r="AJ185" s="100"/>
      <c r="AK185" s="100"/>
      <c r="AL185" s="100"/>
      <c r="AM185" s="100"/>
      <c r="AN185" s="100"/>
      <c r="AO185" s="100"/>
      <c r="AP185" s="99"/>
      <c r="AQ185" s="99"/>
      <c r="AR185" s="99"/>
      <c r="AS185" s="99"/>
      <c r="AT185" s="99"/>
    </row>
    <row r="186" spans="25:46" x14ac:dyDescent="0.2">
      <c r="Y186" s="100"/>
      <c r="Z186" s="100"/>
      <c r="AA186" s="100"/>
      <c r="AB186" s="100"/>
      <c r="AC186" s="100"/>
      <c r="AD186" s="100"/>
      <c r="AE186" s="100"/>
      <c r="AF186" s="100"/>
      <c r="AG186" s="100"/>
      <c r="AH186" s="100"/>
      <c r="AI186" s="100"/>
      <c r="AJ186" s="100"/>
      <c r="AK186" s="100"/>
      <c r="AL186" s="100"/>
      <c r="AM186" s="100"/>
      <c r="AN186" s="100"/>
      <c r="AO186" s="100"/>
      <c r="AP186" s="99"/>
      <c r="AQ186" s="99"/>
      <c r="AR186" s="99"/>
      <c r="AS186" s="99"/>
      <c r="AT186" s="99"/>
    </row>
    <row r="187" spans="25:46" x14ac:dyDescent="0.2">
      <c r="Y187" s="100"/>
      <c r="Z187" s="100"/>
      <c r="AA187" s="100"/>
      <c r="AB187" s="100"/>
      <c r="AC187" s="100"/>
      <c r="AD187" s="100"/>
      <c r="AE187" s="100"/>
      <c r="AF187" s="100"/>
      <c r="AG187" s="100"/>
      <c r="AH187" s="100"/>
      <c r="AI187" s="100"/>
      <c r="AJ187" s="100"/>
      <c r="AK187" s="100"/>
      <c r="AL187" s="100"/>
      <c r="AM187" s="100"/>
      <c r="AN187" s="100"/>
      <c r="AO187" s="100"/>
      <c r="AP187" s="99"/>
      <c r="AQ187" s="99"/>
      <c r="AR187" s="99"/>
      <c r="AS187" s="99"/>
      <c r="AT187" s="99"/>
    </row>
    <row r="188" spans="25:46" x14ac:dyDescent="0.2">
      <c r="Y188" s="100"/>
      <c r="Z188" s="100"/>
      <c r="AA188" s="100"/>
      <c r="AB188" s="100"/>
      <c r="AC188" s="100"/>
      <c r="AD188" s="100"/>
      <c r="AE188" s="100"/>
      <c r="AF188" s="100"/>
      <c r="AG188" s="100"/>
      <c r="AH188" s="100"/>
      <c r="AI188" s="100"/>
      <c r="AJ188" s="100"/>
      <c r="AK188" s="100"/>
      <c r="AL188" s="100"/>
      <c r="AM188" s="100"/>
      <c r="AN188" s="100"/>
      <c r="AO188" s="100"/>
      <c r="AP188" s="99"/>
      <c r="AQ188" s="99"/>
      <c r="AR188" s="99"/>
      <c r="AS188" s="99"/>
      <c r="AT188" s="99"/>
    </row>
    <row r="189" spans="25:46" x14ac:dyDescent="0.2">
      <c r="Y189" s="100"/>
      <c r="Z189" s="100"/>
      <c r="AA189" s="100"/>
      <c r="AB189" s="100"/>
      <c r="AC189" s="100"/>
      <c r="AD189" s="100"/>
      <c r="AE189" s="100"/>
      <c r="AF189" s="100"/>
      <c r="AG189" s="100"/>
      <c r="AH189" s="100"/>
      <c r="AI189" s="100"/>
      <c r="AJ189" s="100"/>
      <c r="AK189" s="100"/>
      <c r="AL189" s="100"/>
      <c r="AM189" s="100"/>
      <c r="AN189" s="100"/>
      <c r="AO189" s="100"/>
      <c r="AP189" s="99"/>
      <c r="AQ189" s="99"/>
      <c r="AR189" s="99"/>
      <c r="AS189" s="99"/>
      <c r="AT189" s="99"/>
    </row>
    <row r="190" spans="25:46" x14ac:dyDescent="0.2">
      <c r="Y190" s="100"/>
      <c r="Z190" s="100"/>
      <c r="AA190" s="100"/>
      <c r="AB190" s="100"/>
      <c r="AC190" s="100"/>
      <c r="AD190" s="100"/>
      <c r="AE190" s="100"/>
      <c r="AF190" s="100"/>
      <c r="AG190" s="100"/>
      <c r="AH190" s="100"/>
      <c r="AI190" s="100"/>
      <c r="AJ190" s="100"/>
      <c r="AK190" s="100"/>
      <c r="AL190" s="100"/>
      <c r="AM190" s="100"/>
      <c r="AN190" s="100"/>
      <c r="AO190" s="100"/>
      <c r="AP190" s="99"/>
      <c r="AQ190" s="99"/>
      <c r="AR190" s="99"/>
      <c r="AS190" s="99"/>
      <c r="AT190" s="99"/>
    </row>
    <row r="191" spans="25:46" x14ac:dyDescent="0.2">
      <c r="Y191" s="100"/>
      <c r="Z191" s="100"/>
      <c r="AA191" s="100"/>
      <c r="AB191" s="100"/>
      <c r="AC191" s="100"/>
      <c r="AD191" s="100"/>
      <c r="AE191" s="100"/>
      <c r="AF191" s="100"/>
      <c r="AG191" s="100"/>
      <c r="AH191" s="100"/>
      <c r="AI191" s="100"/>
      <c r="AJ191" s="100"/>
      <c r="AK191" s="100"/>
      <c r="AL191" s="100"/>
      <c r="AM191" s="100"/>
      <c r="AN191" s="100"/>
      <c r="AO191" s="100"/>
      <c r="AP191" s="99"/>
      <c r="AQ191" s="99"/>
      <c r="AR191" s="99"/>
      <c r="AS191" s="99"/>
      <c r="AT191" s="99"/>
    </row>
    <row r="192" spans="25:46" x14ac:dyDescent="0.2">
      <c r="Y192" s="100"/>
      <c r="Z192" s="100"/>
      <c r="AA192" s="100"/>
      <c r="AB192" s="100"/>
      <c r="AC192" s="100"/>
      <c r="AD192" s="100"/>
      <c r="AE192" s="100"/>
      <c r="AF192" s="100"/>
      <c r="AG192" s="100"/>
      <c r="AH192" s="100"/>
      <c r="AI192" s="100"/>
      <c r="AJ192" s="100"/>
      <c r="AK192" s="100"/>
      <c r="AL192" s="100"/>
      <c r="AM192" s="100"/>
      <c r="AN192" s="100"/>
      <c r="AO192" s="100"/>
      <c r="AP192" s="99"/>
      <c r="AQ192" s="99"/>
      <c r="AR192" s="99"/>
      <c r="AS192" s="99"/>
      <c r="AT192" s="99"/>
    </row>
    <row r="193" spans="25:46" x14ac:dyDescent="0.2">
      <c r="Y193" s="100"/>
      <c r="Z193" s="100"/>
      <c r="AA193" s="100"/>
      <c r="AB193" s="100"/>
      <c r="AC193" s="100"/>
      <c r="AD193" s="100"/>
      <c r="AE193" s="100"/>
      <c r="AF193" s="100"/>
      <c r="AG193" s="100"/>
      <c r="AH193" s="100"/>
      <c r="AI193" s="100"/>
      <c r="AJ193" s="100"/>
      <c r="AK193" s="100"/>
      <c r="AL193" s="100"/>
      <c r="AM193" s="100"/>
      <c r="AN193" s="100"/>
      <c r="AO193" s="100"/>
      <c r="AP193" s="99"/>
      <c r="AQ193" s="99"/>
      <c r="AR193" s="99"/>
      <c r="AS193" s="99"/>
      <c r="AT193" s="99"/>
    </row>
    <row r="194" spans="25:46" x14ac:dyDescent="0.2">
      <c r="Y194" s="100"/>
      <c r="Z194" s="100"/>
      <c r="AA194" s="100"/>
      <c r="AB194" s="100"/>
      <c r="AC194" s="100"/>
      <c r="AD194" s="100"/>
      <c r="AE194" s="100"/>
      <c r="AF194" s="100"/>
      <c r="AG194" s="100"/>
      <c r="AH194" s="100"/>
      <c r="AI194" s="100"/>
      <c r="AJ194" s="100"/>
      <c r="AK194" s="100"/>
      <c r="AL194" s="100"/>
      <c r="AM194" s="100"/>
      <c r="AN194" s="100"/>
      <c r="AO194" s="100"/>
      <c r="AP194" s="99"/>
      <c r="AQ194" s="99"/>
      <c r="AR194" s="99"/>
      <c r="AS194" s="99"/>
      <c r="AT194" s="99"/>
    </row>
    <row r="195" spans="25:46" x14ac:dyDescent="0.2">
      <c r="Y195" s="100"/>
      <c r="Z195" s="100"/>
      <c r="AA195" s="100"/>
      <c r="AB195" s="100"/>
      <c r="AC195" s="100"/>
      <c r="AD195" s="100"/>
      <c r="AE195" s="100"/>
      <c r="AF195" s="100"/>
      <c r="AG195" s="100"/>
      <c r="AH195" s="100"/>
      <c r="AI195" s="100"/>
      <c r="AJ195" s="100"/>
      <c r="AK195" s="100"/>
      <c r="AL195" s="100"/>
      <c r="AM195" s="100"/>
      <c r="AN195" s="100"/>
      <c r="AO195" s="100"/>
      <c r="AP195" s="99"/>
      <c r="AQ195" s="99"/>
      <c r="AR195" s="99"/>
      <c r="AS195" s="99"/>
      <c r="AT195" s="99"/>
    </row>
    <row r="196" spans="25:46" x14ac:dyDescent="0.2">
      <c r="Y196" s="100"/>
      <c r="Z196" s="100"/>
      <c r="AA196" s="100"/>
      <c r="AB196" s="100"/>
      <c r="AC196" s="100"/>
      <c r="AD196" s="100"/>
      <c r="AE196" s="100"/>
      <c r="AF196" s="100"/>
      <c r="AG196" s="100"/>
      <c r="AH196" s="100"/>
      <c r="AI196" s="100"/>
      <c r="AJ196" s="100"/>
      <c r="AK196" s="100"/>
      <c r="AL196" s="100"/>
      <c r="AM196" s="100"/>
      <c r="AN196" s="100"/>
      <c r="AO196" s="100"/>
      <c r="AP196" s="99"/>
      <c r="AQ196" s="99"/>
      <c r="AR196" s="99"/>
      <c r="AS196" s="99"/>
      <c r="AT196" s="99"/>
    </row>
    <row r="197" spans="25:46" x14ac:dyDescent="0.2">
      <c r="Y197" s="100"/>
      <c r="Z197" s="100"/>
      <c r="AA197" s="100"/>
      <c r="AB197" s="100"/>
      <c r="AC197" s="100"/>
      <c r="AD197" s="100"/>
      <c r="AE197" s="100"/>
      <c r="AF197" s="100"/>
      <c r="AG197" s="100"/>
      <c r="AH197" s="100"/>
      <c r="AI197" s="100"/>
      <c r="AJ197" s="100"/>
      <c r="AK197" s="100"/>
      <c r="AL197" s="100"/>
      <c r="AM197" s="100"/>
      <c r="AN197" s="100"/>
      <c r="AO197" s="100"/>
      <c r="AP197" s="99"/>
      <c r="AQ197" s="99"/>
      <c r="AR197" s="99"/>
      <c r="AS197" s="99"/>
      <c r="AT197" s="99"/>
    </row>
    <row r="198" spans="25:46" x14ac:dyDescent="0.2">
      <c r="Y198" s="100"/>
      <c r="Z198" s="100"/>
      <c r="AA198" s="100"/>
      <c r="AB198" s="100"/>
      <c r="AC198" s="100"/>
      <c r="AD198" s="100"/>
      <c r="AE198" s="100"/>
      <c r="AF198" s="100"/>
      <c r="AG198" s="100"/>
      <c r="AH198" s="100"/>
      <c r="AI198" s="100"/>
      <c r="AJ198" s="100"/>
      <c r="AK198" s="100"/>
      <c r="AL198" s="100"/>
      <c r="AM198" s="100"/>
      <c r="AN198" s="100"/>
      <c r="AO198" s="100"/>
      <c r="AP198" s="99"/>
      <c r="AQ198" s="99"/>
      <c r="AR198" s="99"/>
      <c r="AS198" s="99"/>
      <c r="AT198" s="99"/>
    </row>
    <row r="199" spans="25:46" x14ac:dyDescent="0.2">
      <c r="Y199" s="100"/>
      <c r="Z199" s="100"/>
      <c r="AA199" s="100"/>
      <c r="AB199" s="100"/>
      <c r="AC199" s="100"/>
      <c r="AD199" s="100"/>
      <c r="AE199" s="100"/>
      <c r="AF199" s="100"/>
      <c r="AG199" s="100"/>
      <c r="AH199" s="100"/>
      <c r="AI199" s="100"/>
      <c r="AJ199" s="100"/>
      <c r="AK199" s="100"/>
      <c r="AL199" s="100"/>
      <c r="AM199" s="100"/>
      <c r="AN199" s="100"/>
      <c r="AO199" s="100"/>
      <c r="AP199" s="99"/>
      <c r="AQ199" s="99"/>
      <c r="AR199" s="99"/>
      <c r="AS199" s="99"/>
      <c r="AT199" s="99"/>
    </row>
    <row r="200" spans="25:46" x14ac:dyDescent="0.2">
      <c r="Y200" s="100"/>
      <c r="Z200" s="100"/>
      <c r="AA200" s="100"/>
      <c r="AB200" s="100"/>
      <c r="AC200" s="100"/>
      <c r="AD200" s="100"/>
      <c r="AE200" s="100"/>
      <c r="AF200" s="100"/>
      <c r="AG200" s="100"/>
      <c r="AH200" s="100"/>
      <c r="AI200" s="100"/>
      <c r="AJ200" s="100"/>
      <c r="AK200" s="100"/>
      <c r="AL200" s="100"/>
      <c r="AM200" s="100"/>
      <c r="AN200" s="100"/>
      <c r="AO200" s="100"/>
      <c r="AP200" s="99"/>
      <c r="AQ200" s="99"/>
      <c r="AR200" s="99"/>
      <c r="AS200" s="99"/>
      <c r="AT200" s="99"/>
    </row>
    <row r="201" spans="25:46" x14ac:dyDescent="0.2">
      <c r="Y201" s="100"/>
      <c r="Z201" s="100"/>
      <c r="AA201" s="100"/>
      <c r="AB201" s="100"/>
      <c r="AC201" s="100"/>
      <c r="AD201" s="100"/>
      <c r="AE201" s="100"/>
      <c r="AF201" s="100"/>
      <c r="AG201" s="100"/>
      <c r="AH201" s="100"/>
      <c r="AI201" s="100"/>
      <c r="AJ201" s="100"/>
      <c r="AK201" s="100"/>
      <c r="AL201" s="100"/>
      <c r="AM201" s="100"/>
      <c r="AN201" s="100"/>
      <c r="AO201" s="100"/>
      <c r="AP201" s="99"/>
      <c r="AQ201" s="99"/>
      <c r="AR201" s="99"/>
      <c r="AS201" s="99"/>
      <c r="AT201" s="99"/>
    </row>
    <row r="202" spans="25:46" x14ac:dyDescent="0.2">
      <c r="Y202" s="100"/>
      <c r="Z202" s="100"/>
      <c r="AA202" s="100"/>
      <c r="AB202" s="100"/>
      <c r="AC202" s="100"/>
      <c r="AD202" s="100"/>
      <c r="AE202" s="100"/>
      <c r="AF202" s="100"/>
      <c r="AG202" s="100"/>
      <c r="AH202" s="100"/>
      <c r="AI202" s="100"/>
      <c r="AJ202" s="100"/>
      <c r="AK202" s="100"/>
      <c r="AL202" s="100"/>
      <c r="AM202" s="100"/>
      <c r="AN202" s="100"/>
      <c r="AO202" s="100"/>
      <c r="AP202" s="99"/>
      <c r="AQ202" s="99"/>
      <c r="AR202" s="99"/>
      <c r="AS202" s="99"/>
      <c r="AT202" s="99"/>
    </row>
    <row r="203" spans="25:46" x14ac:dyDescent="0.2">
      <c r="Y203" s="100"/>
      <c r="Z203" s="100"/>
      <c r="AA203" s="100"/>
      <c r="AB203" s="100"/>
      <c r="AC203" s="100"/>
      <c r="AD203" s="100"/>
      <c r="AE203" s="100"/>
      <c r="AF203" s="100"/>
      <c r="AG203" s="100"/>
      <c r="AH203" s="100"/>
      <c r="AI203" s="100"/>
      <c r="AJ203" s="100"/>
      <c r="AK203" s="100"/>
      <c r="AL203" s="100"/>
      <c r="AM203" s="100"/>
      <c r="AN203" s="100"/>
      <c r="AO203" s="100"/>
      <c r="AP203" s="99"/>
      <c r="AQ203" s="99"/>
      <c r="AR203" s="99"/>
      <c r="AS203" s="99"/>
      <c r="AT203" s="99"/>
    </row>
    <row r="204" spans="25:46" x14ac:dyDescent="0.2">
      <c r="Y204" s="100"/>
      <c r="Z204" s="100"/>
      <c r="AA204" s="100"/>
      <c r="AB204" s="100"/>
      <c r="AC204" s="100"/>
      <c r="AD204" s="100"/>
      <c r="AE204" s="100"/>
      <c r="AF204" s="100"/>
      <c r="AG204" s="100"/>
      <c r="AH204" s="100"/>
      <c r="AI204" s="100"/>
      <c r="AJ204" s="100"/>
      <c r="AK204" s="100"/>
      <c r="AL204" s="100"/>
      <c r="AM204" s="100"/>
      <c r="AN204" s="100"/>
      <c r="AO204" s="100"/>
      <c r="AP204" s="99"/>
      <c r="AQ204" s="99"/>
      <c r="AR204" s="99"/>
      <c r="AS204" s="99"/>
      <c r="AT204" s="99"/>
    </row>
    <row r="205" spans="25:46" x14ac:dyDescent="0.2">
      <c r="Y205" s="100"/>
      <c r="Z205" s="100"/>
      <c r="AA205" s="100"/>
      <c r="AB205" s="100"/>
      <c r="AC205" s="100"/>
      <c r="AD205" s="100"/>
      <c r="AE205" s="100"/>
      <c r="AF205" s="100"/>
      <c r="AG205" s="100"/>
      <c r="AH205" s="100"/>
      <c r="AI205" s="100"/>
      <c r="AJ205" s="100"/>
      <c r="AK205" s="100"/>
      <c r="AL205" s="100"/>
      <c r="AM205" s="100"/>
      <c r="AN205" s="100"/>
      <c r="AO205" s="100"/>
      <c r="AP205" s="99"/>
      <c r="AQ205" s="99"/>
      <c r="AR205" s="99"/>
      <c r="AS205" s="99"/>
      <c r="AT205" s="99"/>
    </row>
    <row r="206" spans="25:46" x14ac:dyDescent="0.2">
      <c r="Y206" s="100"/>
      <c r="Z206" s="100"/>
      <c r="AA206" s="100"/>
      <c r="AB206" s="100"/>
      <c r="AC206" s="100"/>
      <c r="AD206" s="100"/>
      <c r="AE206" s="100"/>
      <c r="AF206" s="100"/>
      <c r="AG206" s="100"/>
      <c r="AH206" s="100"/>
      <c r="AI206" s="100"/>
      <c r="AJ206" s="100"/>
      <c r="AK206" s="100"/>
      <c r="AL206" s="100"/>
      <c r="AM206" s="100"/>
      <c r="AN206" s="100"/>
      <c r="AO206" s="100"/>
      <c r="AP206" s="99"/>
      <c r="AQ206" s="99"/>
      <c r="AR206" s="99"/>
      <c r="AS206" s="99"/>
      <c r="AT206" s="99"/>
    </row>
    <row r="207" spans="25:46" x14ac:dyDescent="0.2">
      <c r="Y207" s="100"/>
      <c r="Z207" s="100"/>
      <c r="AA207" s="100"/>
      <c r="AB207" s="100"/>
      <c r="AC207" s="100"/>
      <c r="AD207" s="100"/>
      <c r="AE207" s="100"/>
      <c r="AF207" s="100"/>
      <c r="AG207" s="100"/>
      <c r="AH207" s="100"/>
      <c r="AI207" s="100"/>
      <c r="AJ207" s="100"/>
      <c r="AK207" s="100"/>
      <c r="AL207" s="100"/>
      <c r="AM207" s="100"/>
      <c r="AN207" s="100"/>
      <c r="AO207" s="100"/>
      <c r="AP207" s="99"/>
      <c r="AQ207" s="99"/>
      <c r="AR207" s="99"/>
      <c r="AS207" s="99"/>
      <c r="AT207" s="99"/>
    </row>
    <row r="208" spans="25:46" x14ac:dyDescent="0.2">
      <c r="Y208" s="100"/>
      <c r="Z208" s="100"/>
      <c r="AA208" s="100"/>
      <c r="AB208" s="100"/>
      <c r="AC208" s="100"/>
      <c r="AD208" s="100"/>
      <c r="AE208" s="100"/>
      <c r="AF208" s="100"/>
      <c r="AG208" s="100"/>
      <c r="AH208" s="100"/>
      <c r="AI208" s="100"/>
      <c r="AJ208" s="100"/>
      <c r="AK208" s="100"/>
      <c r="AL208" s="100"/>
      <c r="AM208" s="100"/>
      <c r="AN208" s="100"/>
      <c r="AO208" s="100"/>
      <c r="AP208" s="99"/>
      <c r="AQ208" s="99"/>
      <c r="AR208" s="99"/>
      <c r="AS208" s="99"/>
      <c r="AT208" s="99"/>
    </row>
    <row r="209" spans="25:46" x14ac:dyDescent="0.2">
      <c r="Y209" s="100"/>
      <c r="Z209" s="100"/>
      <c r="AA209" s="100"/>
      <c r="AB209" s="100"/>
      <c r="AC209" s="100"/>
      <c r="AD209" s="100"/>
      <c r="AE209" s="100"/>
      <c r="AF209" s="100"/>
      <c r="AG209" s="100"/>
      <c r="AH209" s="100"/>
      <c r="AI209" s="100"/>
      <c r="AJ209" s="100"/>
      <c r="AK209" s="100"/>
      <c r="AL209" s="100"/>
      <c r="AM209" s="100"/>
      <c r="AN209" s="100"/>
      <c r="AO209" s="100"/>
      <c r="AP209" s="99"/>
      <c r="AQ209" s="99"/>
      <c r="AR209" s="99"/>
      <c r="AS209" s="99"/>
      <c r="AT209" s="99"/>
    </row>
    <row r="210" spans="25:46" x14ac:dyDescent="0.2">
      <c r="Y210" s="100"/>
      <c r="Z210" s="100"/>
      <c r="AA210" s="100"/>
      <c r="AB210" s="100"/>
      <c r="AC210" s="100"/>
      <c r="AD210" s="100"/>
      <c r="AE210" s="100"/>
      <c r="AF210" s="100"/>
      <c r="AG210" s="100"/>
      <c r="AH210" s="100"/>
      <c r="AI210" s="100"/>
      <c r="AJ210" s="100"/>
      <c r="AK210" s="100"/>
      <c r="AL210" s="100"/>
      <c r="AM210" s="100"/>
      <c r="AN210" s="100"/>
      <c r="AO210" s="100"/>
      <c r="AP210" s="99"/>
      <c r="AQ210" s="99"/>
      <c r="AR210" s="99"/>
      <c r="AS210" s="99"/>
      <c r="AT210" s="99"/>
    </row>
    <row r="211" spans="25:46" x14ac:dyDescent="0.2">
      <c r="Y211" s="100"/>
      <c r="Z211" s="100"/>
      <c r="AA211" s="100"/>
      <c r="AB211" s="100"/>
      <c r="AC211" s="100"/>
      <c r="AD211" s="100"/>
      <c r="AE211" s="100"/>
      <c r="AF211" s="100"/>
      <c r="AG211" s="100"/>
      <c r="AH211" s="100"/>
      <c r="AI211" s="100"/>
      <c r="AJ211" s="100"/>
      <c r="AK211" s="100"/>
      <c r="AL211" s="100"/>
      <c r="AM211" s="100"/>
      <c r="AN211" s="100"/>
      <c r="AO211" s="100"/>
      <c r="AP211" s="99"/>
      <c r="AQ211" s="99"/>
      <c r="AR211" s="99"/>
      <c r="AS211" s="99"/>
      <c r="AT211" s="99"/>
    </row>
    <row r="212" spans="25:46" x14ac:dyDescent="0.2">
      <c r="Y212" s="100"/>
      <c r="Z212" s="100"/>
      <c r="AA212" s="100"/>
      <c r="AB212" s="100"/>
      <c r="AC212" s="100"/>
      <c r="AD212" s="100"/>
      <c r="AE212" s="100"/>
      <c r="AF212" s="100"/>
      <c r="AG212" s="100"/>
      <c r="AH212" s="100"/>
      <c r="AI212" s="100"/>
      <c r="AJ212" s="100"/>
      <c r="AK212" s="100"/>
      <c r="AL212" s="100"/>
      <c r="AM212" s="100"/>
      <c r="AN212" s="100"/>
      <c r="AO212" s="100"/>
      <c r="AP212" s="99"/>
      <c r="AQ212" s="99"/>
      <c r="AR212" s="99"/>
      <c r="AS212" s="99"/>
      <c r="AT212" s="99"/>
    </row>
    <row r="213" spans="25:46" x14ac:dyDescent="0.2">
      <c r="Y213" s="100"/>
      <c r="Z213" s="100"/>
      <c r="AA213" s="100"/>
      <c r="AB213" s="100"/>
      <c r="AC213" s="100"/>
      <c r="AD213" s="100"/>
      <c r="AE213" s="100"/>
      <c r="AF213" s="100"/>
      <c r="AG213" s="100"/>
      <c r="AH213" s="100"/>
      <c r="AI213" s="100"/>
      <c r="AJ213" s="100"/>
      <c r="AK213" s="100"/>
      <c r="AL213" s="100"/>
      <c r="AM213" s="100"/>
      <c r="AN213" s="100"/>
      <c r="AO213" s="100"/>
      <c r="AP213" s="99"/>
      <c r="AQ213" s="99"/>
      <c r="AR213" s="99"/>
      <c r="AS213" s="99"/>
      <c r="AT213" s="99"/>
    </row>
    <row r="214" spans="25:46" x14ac:dyDescent="0.2">
      <c r="Y214" s="100"/>
      <c r="Z214" s="100"/>
      <c r="AA214" s="100"/>
      <c r="AB214" s="100"/>
      <c r="AC214" s="100"/>
      <c r="AD214" s="100"/>
      <c r="AE214" s="100"/>
      <c r="AF214" s="100"/>
      <c r="AG214" s="100"/>
      <c r="AH214" s="100"/>
      <c r="AI214" s="100"/>
      <c r="AJ214" s="100"/>
      <c r="AK214" s="100"/>
      <c r="AL214" s="100"/>
      <c r="AM214" s="100"/>
      <c r="AN214" s="100"/>
      <c r="AO214" s="100"/>
      <c r="AP214" s="99"/>
      <c r="AQ214" s="99"/>
      <c r="AR214" s="99"/>
      <c r="AS214" s="99"/>
      <c r="AT214" s="99"/>
    </row>
    <row r="215" spans="25:46" x14ac:dyDescent="0.2">
      <c r="Y215" s="100"/>
      <c r="Z215" s="100"/>
      <c r="AA215" s="100"/>
      <c r="AB215" s="100"/>
      <c r="AC215" s="100"/>
      <c r="AD215" s="100"/>
      <c r="AE215" s="100"/>
      <c r="AF215" s="100"/>
      <c r="AG215" s="100"/>
      <c r="AH215" s="100"/>
      <c r="AI215" s="100"/>
      <c r="AJ215" s="100"/>
      <c r="AK215" s="100"/>
      <c r="AL215" s="100"/>
      <c r="AM215" s="100"/>
      <c r="AN215" s="100"/>
      <c r="AO215" s="100"/>
      <c r="AP215" s="99"/>
      <c r="AQ215" s="99"/>
      <c r="AR215" s="99"/>
      <c r="AS215" s="99"/>
      <c r="AT215" s="99"/>
    </row>
    <row r="216" spans="25:46" x14ac:dyDescent="0.2">
      <c r="Y216" s="100"/>
      <c r="Z216" s="100"/>
      <c r="AA216" s="100"/>
      <c r="AB216" s="100"/>
      <c r="AC216" s="100"/>
      <c r="AD216" s="100"/>
      <c r="AE216" s="100"/>
      <c r="AF216" s="100"/>
      <c r="AG216" s="100"/>
      <c r="AH216" s="100"/>
      <c r="AI216" s="100"/>
      <c r="AJ216" s="100"/>
      <c r="AK216" s="100"/>
      <c r="AL216" s="100"/>
      <c r="AM216" s="100"/>
      <c r="AN216" s="100"/>
      <c r="AO216" s="100"/>
      <c r="AP216" s="99"/>
      <c r="AQ216" s="99"/>
      <c r="AR216" s="99"/>
      <c r="AS216" s="99"/>
      <c r="AT216" s="99"/>
    </row>
    <row r="217" spans="25:46" x14ac:dyDescent="0.2">
      <c r="Y217" s="100"/>
      <c r="Z217" s="100"/>
      <c r="AA217" s="100"/>
      <c r="AB217" s="100"/>
      <c r="AC217" s="100"/>
      <c r="AD217" s="100"/>
      <c r="AE217" s="100"/>
      <c r="AF217" s="100"/>
      <c r="AG217" s="100"/>
      <c r="AH217" s="100"/>
      <c r="AI217" s="100"/>
      <c r="AJ217" s="100"/>
      <c r="AK217" s="100"/>
      <c r="AL217" s="100"/>
      <c r="AM217" s="100"/>
      <c r="AN217" s="100"/>
      <c r="AO217" s="100"/>
      <c r="AP217" s="99"/>
      <c r="AQ217" s="99"/>
      <c r="AR217" s="99"/>
      <c r="AS217" s="99"/>
      <c r="AT217" s="99"/>
    </row>
    <row r="218" spans="25:46" x14ac:dyDescent="0.2">
      <c r="Y218" s="100"/>
      <c r="Z218" s="100"/>
      <c r="AA218" s="100"/>
      <c r="AB218" s="100"/>
      <c r="AC218" s="100"/>
      <c r="AD218" s="100"/>
      <c r="AE218" s="100"/>
      <c r="AF218" s="100"/>
      <c r="AG218" s="100"/>
      <c r="AH218" s="100"/>
      <c r="AI218" s="100"/>
      <c r="AJ218" s="100"/>
      <c r="AK218" s="100"/>
      <c r="AL218" s="100"/>
      <c r="AM218" s="100"/>
      <c r="AN218" s="100"/>
      <c r="AO218" s="100"/>
      <c r="AP218" s="99"/>
      <c r="AQ218" s="99"/>
      <c r="AR218" s="99"/>
      <c r="AS218" s="99"/>
      <c r="AT218" s="99"/>
    </row>
    <row r="219" spans="25:46" x14ac:dyDescent="0.2">
      <c r="Y219" s="100"/>
      <c r="Z219" s="100"/>
      <c r="AA219" s="100"/>
      <c r="AB219" s="100"/>
      <c r="AC219" s="100"/>
      <c r="AD219" s="100"/>
      <c r="AE219" s="100"/>
      <c r="AF219" s="100"/>
      <c r="AG219" s="100"/>
      <c r="AH219" s="100"/>
      <c r="AI219" s="100"/>
      <c r="AJ219" s="100"/>
      <c r="AK219" s="100"/>
      <c r="AL219" s="100"/>
      <c r="AM219" s="100"/>
      <c r="AN219" s="100"/>
      <c r="AO219" s="100"/>
      <c r="AP219" s="99"/>
      <c r="AQ219" s="99"/>
      <c r="AR219" s="99"/>
      <c r="AS219" s="99"/>
      <c r="AT219" s="99"/>
    </row>
    <row r="220" spans="25:46" x14ac:dyDescent="0.2">
      <c r="Y220" s="100"/>
      <c r="Z220" s="100"/>
      <c r="AA220" s="100"/>
      <c r="AB220" s="100"/>
      <c r="AC220" s="100"/>
      <c r="AD220" s="100"/>
      <c r="AE220" s="100"/>
      <c r="AF220" s="100"/>
      <c r="AG220" s="100"/>
      <c r="AH220" s="100"/>
      <c r="AI220" s="100"/>
      <c r="AJ220" s="100"/>
      <c r="AK220" s="100"/>
      <c r="AL220" s="100"/>
      <c r="AM220" s="100"/>
      <c r="AN220" s="100"/>
      <c r="AO220" s="100"/>
      <c r="AP220" s="99"/>
      <c r="AQ220" s="99"/>
      <c r="AR220" s="99"/>
      <c r="AS220" s="99"/>
      <c r="AT220" s="99"/>
    </row>
    <row r="221" spans="25:46" x14ac:dyDescent="0.2">
      <c r="Y221" s="100"/>
      <c r="Z221" s="100"/>
      <c r="AA221" s="100"/>
      <c r="AB221" s="100"/>
      <c r="AC221" s="100"/>
      <c r="AD221" s="100"/>
      <c r="AE221" s="100"/>
      <c r="AF221" s="100"/>
      <c r="AG221" s="100"/>
      <c r="AH221" s="100"/>
      <c r="AI221" s="100"/>
      <c r="AJ221" s="100"/>
      <c r="AK221" s="100"/>
      <c r="AL221" s="100"/>
      <c r="AM221" s="100"/>
      <c r="AN221" s="100"/>
      <c r="AO221" s="100"/>
      <c r="AP221" s="99"/>
      <c r="AQ221" s="99"/>
      <c r="AR221" s="99"/>
      <c r="AS221" s="99"/>
      <c r="AT221" s="99"/>
    </row>
    <row r="222" spans="25:46" x14ac:dyDescent="0.2">
      <c r="Y222" s="100"/>
      <c r="Z222" s="100"/>
      <c r="AA222" s="100"/>
      <c r="AB222" s="100"/>
      <c r="AC222" s="100"/>
      <c r="AD222" s="100"/>
      <c r="AE222" s="100"/>
      <c r="AF222" s="100"/>
      <c r="AG222" s="100"/>
      <c r="AH222" s="100"/>
      <c r="AI222" s="100"/>
      <c r="AJ222" s="100"/>
      <c r="AK222" s="100"/>
      <c r="AL222" s="100"/>
      <c r="AM222" s="100"/>
      <c r="AN222" s="100"/>
      <c r="AO222" s="100"/>
      <c r="AP222" s="99"/>
      <c r="AQ222" s="99"/>
      <c r="AR222" s="99"/>
      <c r="AS222" s="99"/>
      <c r="AT222" s="99"/>
    </row>
    <row r="223" spans="25:46" x14ac:dyDescent="0.2">
      <c r="Y223" s="100"/>
      <c r="Z223" s="100"/>
      <c r="AA223" s="100"/>
      <c r="AB223" s="100"/>
      <c r="AC223" s="100"/>
      <c r="AD223" s="100"/>
      <c r="AE223" s="100"/>
      <c r="AF223" s="100"/>
      <c r="AG223" s="100"/>
      <c r="AH223" s="100"/>
      <c r="AI223" s="100"/>
      <c r="AJ223" s="100"/>
      <c r="AK223" s="100"/>
      <c r="AL223" s="100"/>
      <c r="AM223" s="100"/>
      <c r="AN223" s="100"/>
      <c r="AO223" s="100"/>
      <c r="AP223" s="99"/>
      <c r="AQ223" s="99"/>
      <c r="AR223" s="99"/>
      <c r="AS223" s="99"/>
      <c r="AT223" s="99"/>
    </row>
    <row r="224" spans="25:46" x14ac:dyDescent="0.2">
      <c r="Y224" s="100"/>
      <c r="Z224" s="100"/>
      <c r="AA224" s="100"/>
      <c r="AB224" s="100"/>
      <c r="AC224" s="100"/>
      <c r="AD224" s="100"/>
      <c r="AE224" s="100"/>
      <c r="AF224" s="100"/>
      <c r="AG224" s="100"/>
      <c r="AH224" s="100"/>
      <c r="AI224" s="100"/>
      <c r="AJ224" s="100"/>
      <c r="AK224" s="100"/>
      <c r="AL224" s="100"/>
      <c r="AM224" s="100"/>
      <c r="AN224" s="100"/>
      <c r="AO224" s="100"/>
      <c r="AP224" s="99"/>
      <c r="AQ224" s="99"/>
      <c r="AR224" s="99"/>
      <c r="AS224" s="99"/>
      <c r="AT224" s="99"/>
    </row>
    <row r="225" spans="25:46" x14ac:dyDescent="0.2">
      <c r="Y225" s="100"/>
      <c r="Z225" s="100"/>
      <c r="AA225" s="100"/>
      <c r="AB225" s="100"/>
      <c r="AC225" s="100"/>
      <c r="AD225" s="100"/>
      <c r="AE225" s="100"/>
      <c r="AF225" s="100"/>
      <c r="AG225" s="100"/>
      <c r="AH225" s="100"/>
      <c r="AI225" s="100"/>
      <c r="AJ225" s="100"/>
      <c r="AK225" s="100"/>
      <c r="AL225" s="100"/>
      <c r="AM225" s="100"/>
      <c r="AN225" s="100"/>
      <c r="AO225" s="100"/>
      <c r="AP225" s="99"/>
      <c r="AQ225" s="99"/>
      <c r="AR225" s="99"/>
      <c r="AS225" s="99"/>
      <c r="AT225" s="99"/>
    </row>
    <row r="226" spans="25:46" x14ac:dyDescent="0.2">
      <c r="Y226" s="100"/>
      <c r="Z226" s="100"/>
      <c r="AA226" s="100"/>
      <c r="AB226" s="100"/>
      <c r="AC226" s="100"/>
      <c r="AD226" s="100"/>
      <c r="AE226" s="100"/>
      <c r="AF226" s="100"/>
      <c r="AG226" s="100"/>
      <c r="AH226" s="100"/>
      <c r="AI226" s="100"/>
      <c r="AJ226" s="100"/>
      <c r="AK226" s="100"/>
      <c r="AL226" s="100"/>
      <c r="AM226" s="100"/>
      <c r="AN226" s="100"/>
      <c r="AO226" s="100"/>
      <c r="AP226" s="99"/>
      <c r="AQ226" s="99"/>
      <c r="AR226" s="99"/>
      <c r="AS226" s="99"/>
      <c r="AT226" s="99"/>
    </row>
    <row r="227" spans="25:46" x14ac:dyDescent="0.2">
      <c r="Y227" s="100"/>
      <c r="Z227" s="100"/>
      <c r="AA227" s="100"/>
      <c r="AB227" s="100"/>
      <c r="AC227" s="100"/>
      <c r="AD227" s="100"/>
      <c r="AE227" s="100"/>
      <c r="AF227" s="100"/>
      <c r="AG227" s="100"/>
      <c r="AH227" s="100"/>
      <c r="AI227" s="100"/>
      <c r="AJ227" s="100"/>
      <c r="AK227" s="100"/>
      <c r="AL227" s="100"/>
      <c r="AM227" s="100"/>
      <c r="AN227" s="100"/>
      <c r="AO227" s="100"/>
      <c r="AP227" s="99"/>
      <c r="AQ227" s="99"/>
      <c r="AR227" s="99"/>
      <c r="AS227" s="99"/>
      <c r="AT227" s="99"/>
    </row>
    <row r="228" spans="25:46" x14ac:dyDescent="0.2">
      <c r="Y228" s="100"/>
      <c r="Z228" s="100"/>
      <c r="AA228" s="100"/>
      <c r="AB228" s="100"/>
      <c r="AC228" s="100"/>
      <c r="AD228" s="100"/>
      <c r="AE228" s="100"/>
      <c r="AF228" s="100"/>
      <c r="AG228" s="100"/>
      <c r="AH228" s="100"/>
      <c r="AI228" s="100"/>
      <c r="AJ228" s="100"/>
      <c r="AK228" s="100"/>
      <c r="AL228" s="100"/>
      <c r="AM228" s="100"/>
      <c r="AN228" s="100"/>
      <c r="AO228" s="100"/>
      <c r="AP228" s="99"/>
      <c r="AQ228" s="99"/>
      <c r="AR228" s="99"/>
      <c r="AS228" s="99"/>
      <c r="AT228" s="99"/>
    </row>
    <row r="229" spans="25:46" x14ac:dyDescent="0.2">
      <c r="Y229" s="100"/>
      <c r="Z229" s="100"/>
      <c r="AA229" s="100"/>
      <c r="AB229" s="100"/>
      <c r="AC229" s="100"/>
      <c r="AD229" s="100"/>
      <c r="AE229" s="100"/>
      <c r="AF229" s="100"/>
      <c r="AG229" s="100"/>
      <c r="AH229" s="100"/>
      <c r="AI229" s="100"/>
      <c r="AJ229" s="100"/>
      <c r="AK229" s="100"/>
      <c r="AL229" s="100"/>
      <c r="AM229" s="100"/>
      <c r="AN229" s="100"/>
      <c r="AO229" s="100"/>
      <c r="AP229" s="99"/>
      <c r="AQ229" s="99"/>
      <c r="AR229" s="99"/>
      <c r="AS229" s="99"/>
      <c r="AT229" s="99"/>
    </row>
    <row r="230" spans="25:46" x14ac:dyDescent="0.2">
      <c r="Y230" s="100"/>
      <c r="Z230" s="100"/>
      <c r="AA230" s="100"/>
      <c r="AB230" s="100"/>
      <c r="AC230" s="100"/>
      <c r="AD230" s="100"/>
      <c r="AE230" s="100"/>
      <c r="AF230" s="100"/>
      <c r="AG230" s="100"/>
      <c r="AH230" s="100"/>
      <c r="AI230" s="100"/>
      <c r="AJ230" s="100"/>
      <c r="AK230" s="100"/>
      <c r="AL230" s="100"/>
      <c r="AM230" s="100"/>
      <c r="AN230" s="100"/>
      <c r="AO230" s="100"/>
      <c r="AP230" s="99"/>
      <c r="AQ230" s="99"/>
      <c r="AR230" s="99"/>
      <c r="AS230" s="99"/>
      <c r="AT230" s="99"/>
    </row>
    <row r="231" spans="25:46" x14ac:dyDescent="0.2">
      <c r="Y231" s="100"/>
      <c r="Z231" s="100"/>
      <c r="AA231" s="100"/>
      <c r="AB231" s="100"/>
      <c r="AC231" s="100"/>
      <c r="AD231" s="100"/>
      <c r="AE231" s="100"/>
      <c r="AF231" s="100"/>
      <c r="AG231" s="100"/>
      <c r="AH231" s="100"/>
      <c r="AI231" s="100"/>
      <c r="AJ231" s="100"/>
      <c r="AK231" s="100"/>
      <c r="AL231" s="100"/>
      <c r="AM231" s="100"/>
      <c r="AN231" s="100"/>
      <c r="AO231" s="100"/>
      <c r="AP231" s="99"/>
      <c r="AQ231" s="99"/>
      <c r="AR231" s="99"/>
      <c r="AS231" s="99"/>
      <c r="AT231" s="99"/>
    </row>
    <row r="232" spans="25:46" x14ac:dyDescent="0.2">
      <c r="Y232" s="100"/>
      <c r="Z232" s="100"/>
      <c r="AA232" s="100"/>
      <c r="AB232" s="100"/>
      <c r="AC232" s="100"/>
      <c r="AD232" s="100"/>
      <c r="AE232" s="100"/>
      <c r="AF232" s="100"/>
      <c r="AG232" s="100"/>
      <c r="AH232" s="100"/>
      <c r="AI232" s="100"/>
      <c r="AJ232" s="100"/>
      <c r="AK232" s="100"/>
      <c r="AL232" s="100"/>
      <c r="AM232" s="100"/>
      <c r="AN232" s="100"/>
      <c r="AO232" s="100"/>
      <c r="AP232" s="99"/>
      <c r="AQ232" s="99"/>
      <c r="AR232" s="99"/>
      <c r="AS232" s="99"/>
      <c r="AT232" s="99"/>
    </row>
    <row r="233" spans="25:46" x14ac:dyDescent="0.2">
      <c r="Y233" s="100"/>
      <c r="Z233" s="100"/>
      <c r="AA233" s="100"/>
      <c r="AB233" s="100"/>
      <c r="AC233" s="100"/>
      <c r="AD233" s="100"/>
      <c r="AE233" s="100"/>
      <c r="AF233" s="100"/>
      <c r="AG233" s="100"/>
      <c r="AH233" s="100"/>
      <c r="AI233" s="100"/>
      <c r="AJ233" s="100"/>
      <c r="AK233" s="100"/>
      <c r="AL233" s="100"/>
      <c r="AM233" s="100"/>
      <c r="AN233" s="100"/>
      <c r="AO233" s="100"/>
      <c r="AP233" s="99"/>
      <c r="AQ233" s="99"/>
      <c r="AR233" s="99"/>
      <c r="AS233" s="99"/>
      <c r="AT233" s="99"/>
    </row>
    <row r="234" spans="25:46" x14ac:dyDescent="0.2">
      <c r="Y234" s="100"/>
      <c r="Z234" s="100"/>
      <c r="AA234" s="100"/>
      <c r="AB234" s="100"/>
      <c r="AC234" s="100"/>
      <c r="AD234" s="100"/>
      <c r="AE234" s="100"/>
      <c r="AF234" s="100"/>
      <c r="AG234" s="100"/>
      <c r="AH234" s="100"/>
      <c r="AI234" s="100"/>
      <c r="AJ234" s="100"/>
      <c r="AK234" s="100"/>
      <c r="AL234" s="100"/>
      <c r="AM234" s="100"/>
      <c r="AN234" s="100"/>
      <c r="AO234" s="100"/>
      <c r="AP234" s="99"/>
      <c r="AQ234" s="99"/>
      <c r="AR234" s="99"/>
      <c r="AS234" s="99"/>
      <c r="AT234" s="99"/>
    </row>
    <row r="235" spans="25:46" x14ac:dyDescent="0.2">
      <c r="Y235" s="100"/>
      <c r="Z235" s="100"/>
      <c r="AA235" s="100"/>
      <c r="AB235" s="100"/>
      <c r="AC235" s="100"/>
      <c r="AD235" s="100"/>
      <c r="AE235" s="100"/>
      <c r="AF235" s="100"/>
      <c r="AG235" s="100"/>
      <c r="AH235" s="100"/>
      <c r="AI235" s="100"/>
      <c r="AJ235" s="100"/>
      <c r="AK235" s="100"/>
      <c r="AL235" s="100"/>
      <c r="AM235" s="100"/>
      <c r="AN235" s="100"/>
      <c r="AO235" s="100"/>
      <c r="AP235" s="99"/>
      <c r="AQ235" s="99"/>
      <c r="AR235" s="99"/>
      <c r="AS235" s="99"/>
      <c r="AT235" s="99"/>
    </row>
    <row r="236" spans="25:46" x14ac:dyDescent="0.2">
      <c r="Y236" s="100"/>
      <c r="Z236" s="100"/>
      <c r="AA236" s="100"/>
      <c r="AB236" s="100"/>
      <c r="AC236" s="100"/>
      <c r="AD236" s="100"/>
      <c r="AE236" s="100"/>
      <c r="AF236" s="100"/>
      <c r="AG236" s="100"/>
      <c r="AH236" s="100"/>
      <c r="AI236" s="100"/>
      <c r="AJ236" s="100"/>
      <c r="AK236" s="100"/>
      <c r="AL236" s="100"/>
      <c r="AM236" s="100"/>
      <c r="AN236" s="100"/>
      <c r="AO236" s="100"/>
      <c r="AP236" s="99"/>
      <c r="AQ236" s="99"/>
      <c r="AR236" s="99"/>
      <c r="AS236" s="99"/>
      <c r="AT236" s="99"/>
    </row>
    <row r="237" spans="25:46" x14ac:dyDescent="0.2">
      <c r="Y237" s="100"/>
      <c r="Z237" s="100"/>
      <c r="AA237" s="100"/>
      <c r="AB237" s="100"/>
      <c r="AC237" s="100"/>
      <c r="AD237" s="100"/>
      <c r="AE237" s="100"/>
      <c r="AF237" s="100"/>
      <c r="AG237" s="100"/>
      <c r="AH237" s="100"/>
      <c r="AI237" s="100"/>
      <c r="AJ237" s="100"/>
      <c r="AK237" s="100"/>
      <c r="AL237" s="100"/>
      <c r="AM237" s="100"/>
      <c r="AN237" s="100"/>
      <c r="AO237" s="100"/>
      <c r="AP237" s="99"/>
      <c r="AQ237" s="99"/>
      <c r="AR237" s="99"/>
      <c r="AS237" s="99"/>
      <c r="AT237" s="99"/>
    </row>
    <row r="238" spans="25:46" x14ac:dyDescent="0.2">
      <c r="Y238" s="100"/>
      <c r="Z238" s="100"/>
      <c r="AA238" s="100"/>
      <c r="AB238" s="100"/>
      <c r="AC238" s="100"/>
      <c r="AD238" s="100"/>
      <c r="AE238" s="100"/>
      <c r="AF238" s="100"/>
      <c r="AG238" s="100"/>
      <c r="AH238" s="100"/>
      <c r="AI238" s="100"/>
      <c r="AJ238" s="100"/>
      <c r="AK238" s="100"/>
      <c r="AL238" s="100"/>
      <c r="AM238" s="100"/>
      <c r="AN238" s="100"/>
      <c r="AO238" s="100"/>
      <c r="AP238" s="99"/>
      <c r="AQ238" s="99"/>
      <c r="AR238" s="99"/>
      <c r="AS238" s="99"/>
      <c r="AT238" s="99"/>
    </row>
    <row r="239" spans="25:46" x14ac:dyDescent="0.2">
      <c r="Y239" s="100"/>
      <c r="Z239" s="100"/>
      <c r="AA239" s="100"/>
      <c r="AB239" s="100"/>
      <c r="AC239" s="100"/>
      <c r="AD239" s="100"/>
      <c r="AE239" s="100"/>
      <c r="AF239" s="100"/>
      <c r="AG239" s="100"/>
      <c r="AH239" s="100"/>
      <c r="AI239" s="100"/>
      <c r="AJ239" s="100"/>
      <c r="AK239" s="100"/>
      <c r="AL239" s="100"/>
      <c r="AM239" s="100"/>
      <c r="AN239" s="100"/>
      <c r="AO239" s="100"/>
      <c r="AP239" s="99"/>
      <c r="AQ239" s="99"/>
      <c r="AR239" s="99"/>
      <c r="AS239" s="99"/>
      <c r="AT239" s="99"/>
    </row>
    <row r="240" spans="25:46" x14ac:dyDescent="0.2">
      <c r="Y240" s="100"/>
      <c r="Z240" s="100"/>
      <c r="AA240" s="100"/>
      <c r="AB240" s="100"/>
      <c r="AC240" s="100"/>
      <c r="AD240" s="100"/>
      <c r="AE240" s="100"/>
      <c r="AF240" s="100"/>
      <c r="AG240" s="100"/>
      <c r="AH240" s="100"/>
      <c r="AI240" s="100"/>
      <c r="AJ240" s="100"/>
      <c r="AK240" s="100"/>
      <c r="AL240" s="100"/>
      <c r="AM240" s="100"/>
      <c r="AN240" s="100"/>
      <c r="AO240" s="100"/>
      <c r="AP240" s="99"/>
      <c r="AQ240" s="99"/>
      <c r="AR240" s="99"/>
      <c r="AS240" s="99"/>
      <c r="AT240" s="99"/>
    </row>
    <row r="241" spans="25:46" x14ac:dyDescent="0.2">
      <c r="Y241" s="100"/>
      <c r="Z241" s="100"/>
      <c r="AA241" s="100"/>
      <c r="AB241" s="100"/>
      <c r="AC241" s="100"/>
      <c r="AD241" s="100"/>
      <c r="AE241" s="100"/>
      <c r="AF241" s="100"/>
      <c r="AG241" s="100"/>
      <c r="AH241" s="100"/>
      <c r="AI241" s="100"/>
      <c r="AJ241" s="100"/>
      <c r="AK241" s="100"/>
      <c r="AL241" s="100"/>
      <c r="AM241" s="100"/>
      <c r="AN241" s="100"/>
      <c r="AO241" s="100"/>
      <c r="AP241" s="99"/>
      <c r="AQ241" s="99"/>
      <c r="AR241" s="99"/>
      <c r="AS241" s="99"/>
      <c r="AT241" s="99"/>
    </row>
    <row r="242" spans="25:46" x14ac:dyDescent="0.2">
      <c r="Y242" s="100"/>
      <c r="Z242" s="100"/>
      <c r="AA242" s="100"/>
      <c r="AB242" s="100"/>
      <c r="AC242" s="100"/>
      <c r="AD242" s="100"/>
      <c r="AE242" s="100"/>
      <c r="AF242" s="100"/>
      <c r="AG242" s="100"/>
      <c r="AH242" s="100"/>
      <c r="AI242" s="100"/>
      <c r="AJ242" s="100"/>
      <c r="AK242" s="100"/>
      <c r="AL242" s="100"/>
      <c r="AM242" s="100"/>
      <c r="AN242" s="100"/>
      <c r="AO242" s="100"/>
      <c r="AP242" s="99"/>
      <c r="AQ242" s="99"/>
      <c r="AR242" s="99"/>
      <c r="AS242" s="99"/>
      <c r="AT242" s="99"/>
    </row>
    <row r="243" spans="25:46" x14ac:dyDescent="0.2">
      <c r="Y243" s="100"/>
      <c r="Z243" s="100"/>
      <c r="AA243" s="100"/>
      <c r="AB243" s="100"/>
      <c r="AC243" s="100"/>
      <c r="AD243" s="100"/>
      <c r="AE243" s="100"/>
      <c r="AF243" s="100"/>
      <c r="AG243" s="100"/>
      <c r="AH243" s="100"/>
      <c r="AI243" s="100"/>
      <c r="AJ243" s="100"/>
      <c r="AK243" s="100"/>
      <c r="AL243" s="100"/>
      <c r="AM243" s="100"/>
      <c r="AN243" s="100"/>
      <c r="AO243" s="100"/>
      <c r="AP243" s="99"/>
      <c r="AQ243" s="99"/>
      <c r="AR243" s="99"/>
      <c r="AS243" s="99"/>
      <c r="AT243" s="99"/>
    </row>
    <row r="244" spans="25:46" x14ac:dyDescent="0.2">
      <c r="Y244" s="100"/>
      <c r="Z244" s="100"/>
      <c r="AA244" s="100"/>
      <c r="AB244" s="100"/>
      <c r="AC244" s="100"/>
      <c r="AD244" s="100"/>
      <c r="AE244" s="100"/>
      <c r="AF244" s="100"/>
      <c r="AG244" s="100"/>
      <c r="AH244" s="100"/>
      <c r="AI244" s="100"/>
      <c r="AJ244" s="100"/>
      <c r="AK244" s="100"/>
      <c r="AL244" s="100"/>
      <c r="AM244" s="100"/>
      <c r="AN244" s="100"/>
      <c r="AO244" s="100"/>
      <c r="AP244" s="99"/>
      <c r="AQ244" s="99"/>
      <c r="AR244" s="99"/>
      <c r="AS244" s="99"/>
      <c r="AT244" s="99"/>
    </row>
    <row r="245" spans="25:46" x14ac:dyDescent="0.2">
      <c r="Y245" s="100"/>
      <c r="Z245" s="100"/>
      <c r="AA245" s="100"/>
      <c r="AB245" s="100"/>
      <c r="AC245" s="100"/>
      <c r="AD245" s="100"/>
      <c r="AE245" s="100"/>
      <c r="AF245" s="100"/>
      <c r="AG245" s="100"/>
      <c r="AH245" s="100"/>
      <c r="AI245" s="100"/>
      <c r="AJ245" s="100"/>
      <c r="AK245" s="100"/>
      <c r="AL245" s="100"/>
      <c r="AM245" s="100"/>
      <c r="AN245" s="100"/>
      <c r="AO245" s="100"/>
      <c r="AP245" s="99"/>
      <c r="AQ245" s="99"/>
      <c r="AR245" s="99"/>
      <c r="AS245" s="99"/>
      <c r="AT245" s="99"/>
    </row>
    <row r="246" spans="25:46" x14ac:dyDescent="0.2">
      <c r="Y246" s="100"/>
      <c r="Z246" s="100"/>
      <c r="AA246" s="100"/>
      <c r="AB246" s="100"/>
      <c r="AC246" s="100"/>
      <c r="AD246" s="100"/>
      <c r="AE246" s="100"/>
      <c r="AF246" s="100"/>
      <c r="AG246" s="100"/>
      <c r="AH246" s="100"/>
      <c r="AI246" s="100"/>
      <c r="AJ246" s="100"/>
      <c r="AK246" s="100"/>
      <c r="AL246" s="100"/>
      <c r="AM246" s="100"/>
      <c r="AN246" s="100"/>
      <c r="AO246" s="100"/>
      <c r="AP246" s="99"/>
      <c r="AQ246" s="99"/>
      <c r="AR246" s="99"/>
      <c r="AS246" s="99"/>
      <c r="AT246" s="99"/>
    </row>
    <row r="247" spans="25:46" x14ac:dyDescent="0.2">
      <c r="Y247" s="100"/>
      <c r="Z247" s="100"/>
      <c r="AA247" s="100"/>
      <c r="AB247" s="100"/>
      <c r="AC247" s="100"/>
      <c r="AD247" s="100"/>
      <c r="AE247" s="100"/>
      <c r="AF247" s="100"/>
      <c r="AG247" s="100"/>
      <c r="AH247" s="100"/>
      <c r="AI247" s="100"/>
      <c r="AJ247" s="100"/>
      <c r="AK247" s="100"/>
      <c r="AL247" s="100"/>
      <c r="AM247" s="100"/>
      <c r="AN247" s="100"/>
      <c r="AO247" s="100"/>
      <c r="AP247" s="99"/>
      <c r="AQ247" s="99"/>
      <c r="AR247" s="99"/>
      <c r="AS247" s="99"/>
      <c r="AT247" s="99"/>
    </row>
    <row r="248" spans="25:46" x14ac:dyDescent="0.2">
      <c r="Y248" s="100"/>
      <c r="Z248" s="100"/>
      <c r="AA248" s="100"/>
      <c r="AB248" s="100"/>
      <c r="AC248" s="100"/>
      <c r="AD248" s="100"/>
      <c r="AE248" s="100"/>
      <c r="AF248" s="100"/>
      <c r="AG248" s="100"/>
      <c r="AH248" s="100"/>
      <c r="AI248" s="100"/>
      <c r="AJ248" s="100"/>
      <c r="AK248" s="100"/>
      <c r="AL248" s="100"/>
      <c r="AM248" s="100"/>
      <c r="AN248" s="100"/>
      <c r="AO248" s="100"/>
      <c r="AP248" s="99"/>
      <c r="AQ248" s="99"/>
      <c r="AR248" s="99"/>
      <c r="AS248" s="99"/>
      <c r="AT248" s="99"/>
    </row>
    <row r="249" spans="25:46" x14ac:dyDescent="0.2">
      <c r="Y249" s="100"/>
      <c r="Z249" s="100"/>
      <c r="AA249" s="100"/>
      <c r="AB249" s="100"/>
      <c r="AC249" s="100"/>
      <c r="AD249" s="100"/>
      <c r="AE249" s="100"/>
      <c r="AF249" s="100"/>
      <c r="AG249" s="100"/>
      <c r="AH249" s="100"/>
      <c r="AI249" s="100"/>
      <c r="AJ249" s="100"/>
      <c r="AK249" s="100"/>
      <c r="AL249" s="100"/>
      <c r="AM249" s="100"/>
      <c r="AN249" s="100"/>
      <c r="AO249" s="100"/>
      <c r="AP249" s="99"/>
      <c r="AQ249" s="99"/>
      <c r="AR249" s="99"/>
      <c r="AS249" s="99"/>
      <c r="AT249" s="99"/>
    </row>
    <row r="250" spans="25:46" x14ac:dyDescent="0.2">
      <c r="Y250" s="100"/>
      <c r="Z250" s="100"/>
      <c r="AA250" s="100"/>
      <c r="AB250" s="100"/>
      <c r="AC250" s="100"/>
      <c r="AD250" s="100"/>
      <c r="AE250" s="100"/>
      <c r="AF250" s="100"/>
      <c r="AG250" s="100"/>
      <c r="AH250" s="100"/>
      <c r="AI250" s="100"/>
      <c r="AJ250" s="100"/>
      <c r="AK250" s="100"/>
      <c r="AL250" s="100"/>
      <c r="AM250" s="100"/>
      <c r="AN250" s="100"/>
      <c r="AO250" s="100"/>
      <c r="AP250" s="99"/>
      <c r="AQ250" s="99"/>
      <c r="AR250" s="99"/>
      <c r="AS250" s="99"/>
      <c r="AT250" s="99"/>
    </row>
    <row r="251" spans="25:46" x14ac:dyDescent="0.2">
      <c r="Y251" s="100"/>
      <c r="Z251" s="100"/>
      <c r="AA251" s="100"/>
      <c r="AB251" s="100"/>
      <c r="AC251" s="100"/>
      <c r="AD251" s="100"/>
      <c r="AE251" s="100"/>
      <c r="AF251" s="100"/>
      <c r="AG251" s="100"/>
      <c r="AH251" s="100"/>
      <c r="AI251" s="100"/>
      <c r="AJ251" s="100"/>
      <c r="AK251" s="100"/>
      <c r="AL251" s="100"/>
      <c r="AM251" s="100"/>
      <c r="AN251" s="100"/>
      <c r="AO251" s="100"/>
      <c r="AP251" s="99"/>
      <c r="AQ251" s="99"/>
      <c r="AR251" s="99"/>
      <c r="AS251" s="99"/>
      <c r="AT251" s="99"/>
    </row>
    <row r="252" spans="25:46" x14ac:dyDescent="0.2">
      <c r="Y252" s="100"/>
      <c r="Z252" s="100"/>
      <c r="AA252" s="100"/>
      <c r="AB252" s="100"/>
      <c r="AC252" s="100"/>
      <c r="AD252" s="100"/>
      <c r="AE252" s="100"/>
      <c r="AF252" s="100"/>
      <c r="AG252" s="100"/>
      <c r="AH252" s="100"/>
      <c r="AI252" s="100"/>
      <c r="AJ252" s="100"/>
      <c r="AK252" s="100"/>
      <c r="AL252" s="100"/>
      <c r="AM252" s="100"/>
      <c r="AN252" s="100"/>
      <c r="AO252" s="100"/>
      <c r="AP252" s="99"/>
      <c r="AQ252" s="99"/>
      <c r="AR252" s="99"/>
      <c r="AS252" s="99"/>
      <c r="AT252" s="99"/>
    </row>
    <row r="253" spans="25:46" x14ac:dyDescent="0.2">
      <c r="Y253" s="100"/>
      <c r="Z253" s="100"/>
      <c r="AA253" s="100"/>
      <c r="AB253" s="100"/>
      <c r="AC253" s="100"/>
      <c r="AD253" s="100"/>
      <c r="AE253" s="100"/>
      <c r="AF253" s="100"/>
      <c r="AG253" s="100"/>
      <c r="AH253" s="100"/>
      <c r="AI253" s="100"/>
      <c r="AJ253" s="100"/>
      <c r="AK253" s="100"/>
      <c r="AL253" s="100"/>
      <c r="AM253" s="100"/>
      <c r="AN253" s="100"/>
      <c r="AO253" s="100"/>
      <c r="AP253" s="99"/>
      <c r="AQ253" s="99"/>
      <c r="AR253" s="99"/>
      <c r="AS253" s="99"/>
      <c r="AT253" s="99"/>
    </row>
    <row r="254" spans="25:46" x14ac:dyDescent="0.2">
      <c r="Y254" s="100"/>
      <c r="Z254" s="100"/>
      <c r="AA254" s="100"/>
      <c r="AB254" s="100"/>
      <c r="AC254" s="100"/>
      <c r="AD254" s="100"/>
      <c r="AE254" s="100"/>
      <c r="AF254" s="100"/>
      <c r="AG254" s="100"/>
      <c r="AH254" s="100"/>
      <c r="AI254" s="100"/>
      <c r="AJ254" s="100"/>
      <c r="AK254" s="100"/>
      <c r="AL254" s="100"/>
      <c r="AM254" s="100"/>
      <c r="AN254" s="100"/>
      <c r="AO254" s="100"/>
      <c r="AP254" s="99"/>
      <c r="AQ254" s="99"/>
      <c r="AR254" s="99"/>
      <c r="AS254" s="99"/>
      <c r="AT254" s="99"/>
    </row>
    <row r="255" spans="25:46" x14ac:dyDescent="0.2">
      <c r="Y255" s="100"/>
      <c r="Z255" s="100"/>
      <c r="AA255" s="100"/>
      <c r="AB255" s="100"/>
      <c r="AC255" s="100"/>
      <c r="AD255" s="100"/>
      <c r="AE255" s="100"/>
      <c r="AF255" s="100"/>
      <c r="AG255" s="100"/>
      <c r="AH255" s="100"/>
      <c r="AI255" s="100"/>
      <c r="AJ255" s="100"/>
      <c r="AK255" s="100"/>
      <c r="AL255" s="100"/>
      <c r="AM255" s="100"/>
      <c r="AN255" s="100"/>
      <c r="AO255" s="100"/>
      <c r="AP255" s="99"/>
      <c r="AQ255" s="99"/>
      <c r="AR255" s="99"/>
      <c r="AS255" s="99"/>
      <c r="AT255" s="99"/>
    </row>
    <row r="256" spans="25:46" x14ac:dyDescent="0.2">
      <c r="Y256" s="100"/>
      <c r="Z256" s="100"/>
      <c r="AA256" s="100"/>
      <c r="AB256" s="100"/>
      <c r="AC256" s="100"/>
      <c r="AD256" s="100"/>
      <c r="AE256" s="100"/>
      <c r="AF256" s="100"/>
      <c r="AG256" s="100"/>
      <c r="AH256" s="100"/>
      <c r="AI256" s="100"/>
      <c r="AJ256" s="100"/>
      <c r="AK256" s="100"/>
      <c r="AL256" s="100"/>
      <c r="AM256" s="100"/>
      <c r="AN256" s="100"/>
      <c r="AO256" s="100"/>
      <c r="AP256" s="99"/>
      <c r="AQ256" s="99"/>
      <c r="AR256" s="99"/>
      <c r="AS256" s="99"/>
      <c r="AT256" s="99"/>
    </row>
    <row r="257" spans="25:46" x14ac:dyDescent="0.2">
      <c r="Y257" s="100"/>
      <c r="Z257" s="100"/>
      <c r="AA257" s="100"/>
      <c r="AB257" s="100"/>
      <c r="AC257" s="100"/>
      <c r="AD257" s="100"/>
      <c r="AE257" s="100"/>
      <c r="AF257" s="100"/>
      <c r="AG257" s="100"/>
      <c r="AH257" s="100"/>
      <c r="AI257" s="100"/>
      <c r="AJ257" s="100"/>
      <c r="AK257" s="100"/>
      <c r="AL257" s="100"/>
      <c r="AM257" s="100"/>
      <c r="AN257" s="100"/>
      <c r="AO257" s="100"/>
      <c r="AP257" s="99"/>
      <c r="AQ257" s="99"/>
      <c r="AR257" s="99"/>
      <c r="AS257" s="99"/>
      <c r="AT257" s="99"/>
    </row>
    <row r="258" spans="25:46" x14ac:dyDescent="0.2">
      <c r="Y258" s="100"/>
      <c r="Z258" s="100"/>
      <c r="AA258" s="100"/>
      <c r="AB258" s="100"/>
      <c r="AC258" s="100"/>
      <c r="AD258" s="100"/>
      <c r="AE258" s="100"/>
      <c r="AF258" s="100"/>
      <c r="AG258" s="100"/>
      <c r="AH258" s="100"/>
      <c r="AI258" s="100"/>
      <c r="AJ258" s="100"/>
      <c r="AK258" s="100"/>
      <c r="AL258" s="100"/>
      <c r="AM258" s="100"/>
      <c r="AN258" s="100"/>
      <c r="AO258" s="100"/>
      <c r="AP258" s="99"/>
      <c r="AQ258" s="99"/>
      <c r="AR258" s="99"/>
      <c r="AS258" s="99"/>
      <c r="AT258" s="99"/>
    </row>
    <row r="259" spans="25:46" x14ac:dyDescent="0.2">
      <c r="Y259" s="100"/>
      <c r="Z259" s="100"/>
      <c r="AA259" s="100"/>
      <c r="AB259" s="100"/>
      <c r="AC259" s="100"/>
      <c r="AD259" s="100"/>
      <c r="AE259" s="100"/>
      <c r="AF259" s="100"/>
      <c r="AG259" s="100"/>
      <c r="AH259" s="100"/>
      <c r="AI259" s="100"/>
      <c r="AJ259" s="100"/>
      <c r="AK259" s="100"/>
      <c r="AL259" s="100"/>
      <c r="AM259" s="100"/>
      <c r="AN259" s="100"/>
      <c r="AO259" s="100"/>
      <c r="AP259" s="99"/>
      <c r="AQ259" s="99"/>
      <c r="AR259" s="99"/>
      <c r="AS259" s="99"/>
      <c r="AT259" s="99"/>
    </row>
    <row r="260" spans="25:46" x14ac:dyDescent="0.2">
      <c r="Y260" s="100"/>
      <c r="Z260" s="100"/>
      <c r="AA260" s="100"/>
      <c r="AB260" s="100"/>
      <c r="AC260" s="100"/>
      <c r="AD260" s="100"/>
      <c r="AE260" s="100"/>
      <c r="AF260" s="100"/>
      <c r="AG260" s="100"/>
      <c r="AH260" s="100"/>
      <c r="AI260" s="100"/>
      <c r="AJ260" s="100"/>
      <c r="AK260" s="100"/>
      <c r="AL260" s="100"/>
      <c r="AM260" s="100"/>
      <c r="AN260" s="100"/>
      <c r="AO260" s="100"/>
      <c r="AP260" s="99"/>
      <c r="AQ260" s="99"/>
      <c r="AR260" s="99"/>
      <c r="AS260" s="99"/>
      <c r="AT260" s="99"/>
    </row>
    <row r="261" spans="25:46" x14ac:dyDescent="0.2">
      <c r="Y261" s="100"/>
      <c r="Z261" s="100"/>
      <c r="AA261" s="100"/>
      <c r="AB261" s="100"/>
      <c r="AC261" s="100"/>
      <c r="AD261" s="100"/>
      <c r="AE261" s="100"/>
      <c r="AF261" s="100"/>
      <c r="AG261" s="100"/>
      <c r="AH261" s="100"/>
      <c r="AI261" s="100"/>
      <c r="AJ261" s="100"/>
      <c r="AK261" s="100"/>
      <c r="AL261" s="100"/>
      <c r="AM261" s="100"/>
      <c r="AN261" s="100"/>
      <c r="AO261" s="100"/>
      <c r="AP261" s="99"/>
      <c r="AQ261" s="99"/>
      <c r="AR261" s="99"/>
      <c r="AS261" s="99"/>
      <c r="AT261" s="99"/>
    </row>
    <row r="262" spans="25:46" x14ac:dyDescent="0.2">
      <c r="Y262" s="100"/>
      <c r="Z262" s="100"/>
      <c r="AA262" s="100"/>
      <c r="AB262" s="100"/>
      <c r="AC262" s="100"/>
      <c r="AD262" s="100"/>
      <c r="AE262" s="100"/>
      <c r="AF262" s="100"/>
      <c r="AG262" s="100"/>
      <c r="AH262" s="100"/>
      <c r="AI262" s="100"/>
      <c r="AJ262" s="100"/>
      <c r="AK262" s="100"/>
      <c r="AL262" s="100"/>
      <c r="AM262" s="100"/>
      <c r="AN262" s="100"/>
      <c r="AO262" s="100"/>
      <c r="AP262" s="99"/>
      <c r="AQ262" s="99"/>
      <c r="AR262" s="99"/>
      <c r="AS262" s="99"/>
      <c r="AT262" s="99"/>
    </row>
    <row r="263" spans="25:46" x14ac:dyDescent="0.2">
      <c r="Y263" s="100"/>
      <c r="Z263" s="100"/>
      <c r="AA263" s="100"/>
      <c r="AB263" s="100"/>
      <c r="AC263" s="100"/>
      <c r="AD263" s="100"/>
      <c r="AE263" s="100"/>
      <c r="AF263" s="100"/>
      <c r="AG263" s="100"/>
      <c r="AH263" s="100"/>
      <c r="AI263" s="100"/>
      <c r="AJ263" s="100"/>
      <c r="AK263" s="100"/>
      <c r="AL263" s="100"/>
      <c r="AM263" s="100"/>
      <c r="AN263" s="100"/>
      <c r="AO263" s="100"/>
      <c r="AP263" s="99"/>
      <c r="AQ263" s="99"/>
      <c r="AR263" s="99"/>
      <c r="AS263" s="99"/>
      <c r="AT263" s="99"/>
    </row>
    <row r="264" spans="25:46" x14ac:dyDescent="0.2">
      <c r="Y264" s="100"/>
      <c r="Z264" s="100"/>
      <c r="AA264" s="100"/>
      <c r="AB264" s="100"/>
      <c r="AC264" s="100"/>
      <c r="AD264" s="100"/>
      <c r="AE264" s="100"/>
      <c r="AF264" s="100"/>
      <c r="AG264" s="100"/>
      <c r="AH264" s="100"/>
      <c r="AI264" s="100"/>
      <c r="AJ264" s="100"/>
      <c r="AK264" s="100"/>
      <c r="AL264" s="100"/>
      <c r="AM264" s="100"/>
      <c r="AN264" s="100"/>
      <c r="AO264" s="100"/>
      <c r="AP264" s="99"/>
      <c r="AQ264" s="99"/>
      <c r="AR264" s="99"/>
      <c r="AS264" s="99"/>
      <c r="AT264" s="99"/>
    </row>
    <row r="265" spans="25:46" x14ac:dyDescent="0.2">
      <c r="Y265" s="100"/>
      <c r="Z265" s="100"/>
      <c r="AA265" s="100"/>
      <c r="AB265" s="100"/>
      <c r="AC265" s="100"/>
      <c r="AD265" s="100"/>
      <c r="AE265" s="100"/>
      <c r="AF265" s="100"/>
      <c r="AG265" s="100"/>
      <c r="AH265" s="100"/>
      <c r="AI265" s="100"/>
      <c r="AJ265" s="100"/>
      <c r="AK265" s="100"/>
      <c r="AL265" s="100"/>
      <c r="AM265" s="100"/>
      <c r="AN265" s="100"/>
      <c r="AO265" s="100"/>
      <c r="AP265" s="99"/>
      <c r="AQ265" s="99"/>
      <c r="AR265" s="99"/>
      <c r="AS265" s="99"/>
      <c r="AT265" s="99"/>
    </row>
    <row r="266" spans="25:46" x14ac:dyDescent="0.2">
      <c r="Y266" s="100"/>
      <c r="Z266" s="100"/>
      <c r="AA266" s="100"/>
      <c r="AB266" s="100"/>
      <c r="AC266" s="100"/>
      <c r="AD266" s="100"/>
      <c r="AE266" s="100"/>
      <c r="AF266" s="100"/>
      <c r="AG266" s="100"/>
      <c r="AH266" s="100"/>
      <c r="AI266" s="100"/>
      <c r="AJ266" s="100"/>
      <c r="AK266" s="100"/>
      <c r="AL266" s="100"/>
      <c r="AM266" s="100"/>
      <c r="AN266" s="100"/>
      <c r="AO266" s="100"/>
      <c r="AP266" s="99"/>
      <c r="AQ266" s="99"/>
      <c r="AR266" s="99"/>
      <c r="AS266" s="99"/>
      <c r="AT266" s="99"/>
    </row>
    <row r="267" spans="25:46" x14ac:dyDescent="0.2">
      <c r="Y267" s="100"/>
      <c r="Z267" s="100"/>
      <c r="AA267" s="100"/>
      <c r="AB267" s="100"/>
      <c r="AC267" s="100"/>
      <c r="AD267" s="100"/>
      <c r="AE267" s="100"/>
      <c r="AF267" s="100"/>
      <c r="AG267" s="100"/>
      <c r="AH267" s="100"/>
      <c r="AI267" s="100"/>
      <c r="AJ267" s="100"/>
      <c r="AK267" s="100"/>
      <c r="AL267" s="100"/>
      <c r="AM267" s="100"/>
      <c r="AN267" s="100"/>
      <c r="AO267" s="100"/>
      <c r="AP267" s="99"/>
      <c r="AQ267" s="99"/>
      <c r="AR267" s="99"/>
      <c r="AS267" s="99"/>
      <c r="AT267" s="99"/>
    </row>
    <row r="268" spans="25:46" x14ac:dyDescent="0.2">
      <c r="Y268" s="100"/>
      <c r="Z268" s="100"/>
      <c r="AA268" s="100"/>
      <c r="AB268" s="100"/>
      <c r="AC268" s="100"/>
      <c r="AD268" s="100"/>
      <c r="AE268" s="100"/>
      <c r="AF268" s="100"/>
      <c r="AG268" s="100"/>
      <c r="AH268" s="100"/>
      <c r="AI268" s="100"/>
      <c r="AJ268" s="100"/>
      <c r="AK268" s="100"/>
      <c r="AL268" s="100"/>
      <c r="AM268" s="100"/>
      <c r="AN268" s="100"/>
      <c r="AO268" s="100"/>
      <c r="AP268" s="99"/>
      <c r="AQ268" s="99"/>
      <c r="AR268" s="99"/>
      <c r="AS268" s="99"/>
      <c r="AT268" s="99"/>
    </row>
    <row r="269" spans="25:46" x14ac:dyDescent="0.2">
      <c r="Y269" s="100"/>
      <c r="Z269" s="100"/>
      <c r="AA269" s="100"/>
      <c r="AB269" s="100"/>
      <c r="AC269" s="100"/>
      <c r="AD269" s="100"/>
      <c r="AE269" s="100"/>
      <c r="AF269" s="100"/>
      <c r="AG269" s="100"/>
      <c r="AH269" s="100"/>
      <c r="AI269" s="100"/>
      <c r="AJ269" s="100"/>
      <c r="AK269" s="100"/>
      <c r="AL269" s="100"/>
      <c r="AM269" s="100"/>
      <c r="AN269" s="100"/>
      <c r="AO269" s="100"/>
      <c r="AP269" s="99"/>
      <c r="AQ269" s="99"/>
      <c r="AR269" s="99"/>
      <c r="AS269" s="99"/>
      <c r="AT269" s="99"/>
    </row>
    <row r="270" spans="25:46" x14ac:dyDescent="0.2">
      <c r="Y270" s="100"/>
      <c r="Z270" s="100"/>
      <c r="AA270" s="100"/>
      <c r="AB270" s="100"/>
      <c r="AC270" s="100"/>
      <c r="AD270" s="100"/>
      <c r="AE270" s="100"/>
      <c r="AF270" s="100"/>
      <c r="AG270" s="100"/>
      <c r="AH270" s="100"/>
      <c r="AI270" s="100"/>
      <c r="AJ270" s="100"/>
      <c r="AK270" s="100"/>
      <c r="AL270" s="100"/>
      <c r="AM270" s="100"/>
      <c r="AN270" s="100"/>
      <c r="AO270" s="100"/>
      <c r="AP270" s="99"/>
      <c r="AQ270" s="99"/>
      <c r="AR270" s="99"/>
      <c r="AS270" s="99"/>
      <c r="AT270" s="99"/>
    </row>
    <row r="271" spans="25:46" x14ac:dyDescent="0.2">
      <c r="Y271" s="100"/>
      <c r="Z271" s="100"/>
      <c r="AA271" s="100"/>
      <c r="AB271" s="100"/>
      <c r="AC271" s="100"/>
      <c r="AD271" s="100"/>
      <c r="AE271" s="100"/>
      <c r="AF271" s="100"/>
      <c r="AG271" s="100"/>
      <c r="AH271" s="100"/>
      <c r="AI271" s="100"/>
      <c r="AJ271" s="100"/>
      <c r="AK271" s="100"/>
      <c r="AL271" s="100"/>
      <c r="AM271" s="100"/>
      <c r="AN271" s="100"/>
      <c r="AO271" s="100"/>
      <c r="AP271" s="99"/>
      <c r="AQ271" s="99"/>
      <c r="AR271" s="99"/>
      <c r="AS271" s="99"/>
      <c r="AT271" s="99"/>
    </row>
    <row r="272" spans="25:46" x14ac:dyDescent="0.2">
      <c r="Y272" s="100"/>
      <c r="Z272" s="100"/>
      <c r="AA272" s="100"/>
      <c r="AB272" s="100"/>
      <c r="AC272" s="100"/>
      <c r="AD272" s="100"/>
      <c r="AE272" s="100"/>
      <c r="AF272" s="100"/>
      <c r="AG272" s="100"/>
      <c r="AH272" s="100"/>
      <c r="AI272" s="100"/>
      <c r="AJ272" s="100"/>
      <c r="AK272" s="100"/>
      <c r="AL272" s="100"/>
      <c r="AM272" s="100"/>
      <c r="AN272" s="100"/>
      <c r="AO272" s="100"/>
      <c r="AP272" s="99"/>
      <c r="AQ272" s="99"/>
      <c r="AR272" s="99"/>
      <c r="AS272" s="99"/>
      <c r="AT272" s="99"/>
    </row>
    <row r="273" spans="25:46" x14ac:dyDescent="0.2">
      <c r="Y273" s="100"/>
      <c r="Z273" s="100"/>
      <c r="AA273" s="100"/>
      <c r="AB273" s="100"/>
      <c r="AC273" s="100"/>
      <c r="AD273" s="100"/>
      <c r="AE273" s="100"/>
      <c r="AF273" s="100"/>
      <c r="AG273" s="100"/>
      <c r="AH273" s="100"/>
      <c r="AI273" s="100"/>
      <c r="AJ273" s="100"/>
      <c r="AK273" s="100"/>
      <c r="AL273" s="100"/>
      <c r="AM273" s="100"/>
      <c r="AN273" s="100"/>
      <c r="AO273" s="100"/>
      <c r="AP273" s="99"/>
      <c r="AQ273" s="99"/>
      <c r="AR273" s="99"/>
      <c r="AS273" s="99"/>
      <c r="AT273" s="99"/>
    </row>
    <row r="274" spans="25:46" x14ac:dyDescent="0.2">
      <c r="Y274" s="100"/>
      <c r="Z274" s="100"/>
      <c r="AA274" s="100"/>
      <c r="AB274" s="100"/>
      <c r="AC274" s="100"/>
      <c r="AD274" s="100"/>
      <c r="AE274" s="100"/>
      <c r="AF274" s="100"/>
      <c r="AG274" s="100"/>
      <c r="AH274" s="100"/>
      <c r="AI274" s="100"/>
      <c r="AJ274" s="100"/>
      <c r="AK274" s="100"/>
      <c r="AL274" s="100"/>
      <c r="AM274" s="100"/>
      <c r="AN274" s="100"/>
      <c r="AO274" s="100"/>
      <c r="AP274" s="99"/>
      <c r="AQ274" s="99"/>
      <c r="AR274" s="99"/>
      <c r="AS274" s="99"/>
      <c r="AT274" s="99"/>
    </row>
    <row r="275" spans="25:46" x14ac:dyDescent="0.2">
      <c r="Y275" s="100"/>
      <c r="Z275" s="100"/>
      <c r="AA275" s="100"/>
      <c r="AB275" s="100"/>
      <c r="AC275" s="100"/>
      <c r="AD275" s="100"/>
      <c r="AE275" s="100"/>
      <c r="AF275" s="100"/>
      <c r="AG275" s="100"/>
      <c r="AH275" s="100"/>
      <c r="AI275" s="100"/>
      <c r="AJ275" s="100"/>
      <c r="AK275" s="100"/>
      <c r="AL275" s="100"/>
      <c r="AM275" s="100"/>
      <c r="AN275" s="100"/>
      <c r="AO275" s="100"/>
      <c r="AP275" s="99"/>
      <c r="AQ275" s="99"/>
      <c r="AR275" s="99"/>
      <c r="AS275" s="99"/>
      <c r="AT275" s="99"/>
    </row>
    <row r="276" spans="25:46" x14ac:dyDescent="0.2">
      <c r="Y276" s="100"/>
      <c r="Z276" s="100"/>
      <c r="AA276" s="100"/>
      <c r="AB276" s="100"/>
      <c r="AC276" s="100"/>
      <c r="AD276" s="100"/>
      <c r="AE276" s="100"/>
      <c r="AF276" s="100"/>
      <c r="AG276" s="100"/>
      <c r="AH276" s="100"/>
      <c r="AI276" s="100"/>
      <c r="AJ276" s="100"/>
      <c r="AK276" s="100"/>
      <c r="AL276" s="100"/>
      <c r="AM276" s="100"/>
      <c r="AN276" s="100"/>
      <c r="AO276" s="100"/>
      <c r="AP276" s="99"/>
      <c r="AQ276" s="99"/>
      <c r="AR276" s="99"/>
      <c r="AS276" s="99"/>
      <c r="AT276" s="99"/>
    </row>
    <row r="277" spans="25:46" x14ac:dyDescent="0.2">
      <c r="Y277" s="100"/>
      <c r="Z277" s="100"/>
      <c r="AA277" s="100"/>
      <c r="AB277" s="100"/>
      <c r="AC277" s="100"/>
      <c r="AD277" s="100"/>
      <c r="AE277" s="100"/>
      <c r="AF277" s="100"/>
      <c r="AG277" s="100"/>
      <c r="AH277" s="100"/>
      <c r="AI277" s="100"/>
      <c r="AJ277" s="100"/>
      <c r="AK277" s="100"/>
      <c r="AL277" s="100"/>
      <c r="AM277" s="100"/>
      <c r="AN277" s="100"/>
      <c r="AO277" s="100"/>
      <c r="AP277" s="99"/>
      <c r="AQ277" s="99"/>
      <c r="AR277" s="99"/>
      <c r="AS277" s="99"/>
      <c r="AT277" s="99"/>
    </row>
    <row r="278" spans="25:46" x14ac:dyDescent="0.2">
      <c r="Y278" s="100"/>
      <c r="Z278" s="100"/>
      <c r="AA278" s="100"/>
      <c r="AB278" s="100"/>
      <c r="AC278" s="100"/>
      <c r="AD278" s="100"/>
      <c r="AE278" s="100"/>
      <c r="AF278" s="100"/>
      <c r="AG278" s="100"/>
      <c r="AH278" s="100"/>
      <c r="AI278" s="100"/>
      <c r="AJ278" s="100"/>
      <c r="AK278" s="100"/>
      <c r="AL278" s="100"/>
      <c r="AM278" s="100"/>
      <c r="AN278" s="100"/>
      <c r="AO278" s="100"/>
      <c r="AP278" s="99"/>
      <c r="AQ278" s="99"/>
      <c r="AR278" s="99"/>
      <c r="AS278" s="99"/>
      <c r="AT278" s="99"/>
    </row>
    <row r="279" spans="25:46" x14ac:dyDescent="0.2">
      <c r="Y279" s="100"/>
      <c r="Z279" s="100"/>
      <c r="AA279" s="100"/>
      <c r="AB279" s="100"/>
      <c r="AC279" s="100"/>
      <c r="AD279" s="100"/>
      <c r="AE279" s="100"/>
      <c r="AF279" s="100"/>
      <c r="AG279" s="100"/>
      <c r="AH279" s="100"/>
      <c r="AI279" s="100"/>
      <c r="AJ279" s="100"/>
      <c r="AK279" s="100"/>
      <c r="AL279" s="100"/>
      <c r="AM279" s="100"/>
      <c r="AN279" s="100"/>
      <c r="AO279" s="100"/>
      <c r="AP279" s="99"/>
      <c r="AQ279" s="99"/>
      <c r="AR279" s="99"/>
      <c r="AS279" s="99"/>
      <c r="AT279" s="99"/>
    </row>
    <row r="280" spans="25:46" x14ac:dyDescent="0.2">
      <c r="Y280" s="100"/>
      <c r="Z280" s="100"/>
      <c r="AA280" s="100"/>
      <c r="AB280" s="100"/>
      <c r="AC280" s="100"/>
      <c r="AD280" s="100"/>
      <c r="AE280" s="100"/>
      <c r="AF280" s="100"/>
      <c r="AG280" s="100"/>
      <c r="AH280" s="100"/>
      <c r="AI280" s="100"/>
      <c r="AJ280" s="100"/>
      <c r="AK280" s="100"/>
      <c r="AL280" s="100"/>
      <c r="AM280" s="100"/>
      <c r="AN280" s="100"/>
      <c r="AO280" s="100"/>
      <c r="AP280" s="99"/>
      <c r="AQ280" s="99"/>
      <c r="AR280" s="99"/>
      <c r="AS280" s="99"/>
      <c r="AT280" s="99"/>
    </row>
    <row r="281" spans="25:46" x14ac:dyDescent="0.2">
      <c r="Y281" s="100"/>
      <c r="Z281" s="100"/>
      <c r="AA281" s="100"/>
      <c r="AB281" s="100"/>
      <c r="AC281" s="100"/>
      <c r="AD281" s="100"/>
      <c r="AE281" s="100"/>
      <c r="AF281" s="100"/>
      <c r="AG281" s="100"/>
      <c r="AH281" s="100"/>
      <c r="AI281" s="100"/>
      <c r="AJ281" s="100"/>
      <c r="AK281" s="100"/>
      <c r="AL281" s="100"/>
      <c r="AM281" s="100"/>
      <c r="AN281" s="100"/>
      <c r="AO281" s="100"/>
      <c r="AP281" s="99"/>
      <c r="AQ281" s="99"/>
      <c r="AR281" s="99"/>
      <c r="AS281" s="99"/>
      <c r="AT281" s="99"/>
    </row>
    <row r="282" spans="25:46" x14ac:dyDescent="0.2">
      <c r="Y282" s="100"/>
      <c r="Z282" s="100"/>
      <c r="AA282" s="100"/>
      <c r="AB282" s="100"/>
      <c r="AC282" s="100"/>
      <c r="AD282" s="100"/>
      <c r="AE282" s="100"/>
      <c r="AF282" s="100"/>
      <c r="AG282" s="100"/>
      <c r="AH282" s="100"/>
      <c r="AI282" s="100"/>
      <c r="AJ282" s="100"/>
      <c r="AK282" s="100"/>
      <c r="AL282" s="100"/>
      <c r="AM282" s="100"/>
      <c r="AN282" s="100"/>
      <c r="AO282" s="100"/>
      <c r="AP282" s="99"/>
      <c r="AQ282" s="99"/>
      <c r="AR282" s="99"/>
      <c r="AS282" s="99"/>
      <c r="AT282" s="99"/>
    </row>
    <row r="283" spans="25:46" x14ac:dyDescent="0.2">
      <c r="Y283" s="100"/>
      <c r="Z283" s="100"/>
      <c r="AA283" s="100"/>
      <c r="AB283" s="100"/>
      <c r="AC283" s="100"/>
      <c r="AD283" s="100"/>
      <c r="AE283" s="100"/>
      <c r="AF283" s="100"/>
      <c r="AG283" s="100"/>
      <c r="AH283" s="100"/>
      <c r="AI283" s="100"/>
      <c r="AJ283" s="100"/>
      <c r="AK283" s="100"/>
      <c r="AL283" s="100"/>
      <c r="AM283" s="100"/>
      <c r="AN283" s="100"/>
      <c r="AO283" s="100"/>
      <c r="AP283" s="99"/>
      <c r="AQ283" s="99"/>
      <c r="AR283" s="99"/>
      <c r="AS283" s="99"/>
      <c r="AT283" s="99"/>
    </row>
    <row r="284" spans="25:46" x14ac:dyDescent="0.2">
      <c r="Y284" s="100"/>
      <c r="Z284" s="100"/>
      <c r="AA284" s="100"/>
      <c r="AB284" s="100"/>
      <c r="AC284" s="100"/>
      <c r="AD284" s="100"/>
      <c r="AE284" s="100"/>
      <c r="AF284" s="100"/>
      <c r="AG284" s="100"/>
      <c r="AH284" s="100"/>
      <c r="AI284" s="100"/>
      <c r="AJ284" s="100"/>
      <c r="AK284" s="100"/>
      <c r="AL284" s="100"/>
      <c r="AM284" s="100"/>
      <c r="AN284" s="100"/>
      <c r="AO284" s="100"/>
      <c r="AP284" s="99"/>
      <c r="AQ284" s="99"/>
      <c r="AR284" s="99"/>
      <c r="AS284" s="99"/>
      <c r="AT284" s="99"/>
    </row>
    <row r="285" spans="25:46" x14ac:dyDescent="0.2">
      <c r="Y285" s="100"/>
      <c r="Z285" s="100"/>
      <c r="AA285" s="100"/>
      <c r="AB285" s="100"/>
      <c r="AC285" s="100"/>
      <c r="AD285" s="100"/>
      <c r="AE285" s="100"/>
      <c r="AF285" s="100"/>
      <c r="AG285" s="100"/>
      <c r="AH285" s="100"/>
      <c r="AI285" s="100"/>
      <c r="AJ285" s="100"/>
      <c r="AK285" s="100"/>
      <c r="AL285" s="100"/>
      <c r="AM285" s="100"/>
      <c r="AN285" s="100"/>
      <c r="AO285" s="100"/>
      <c r="AP285" s="99"/>
      <c r="AQ285" s="99"/>
      <c r="AR285" s="99"/>
      <c r="AS285" s="99"/>
      <c r="AT285" s="99"/>
    </row>
    <row r="286" spans="25:46" x14ac:dyDescent="0.2">
      <c r="Y286" s="100"/>
      <c r="Z286" s="100"/>
      <c r="AA286" s="100"/>
      <c r="AB286" s="100"/>
      <c r="AC286" s="100"/>
      <c r="AD286" s="100"/>
      <c r="AE286" s="100"/>
      <c r="AF286" s="100"/>
      <c r="AG286" s="100"/>
      <c r="AH286" s="100"/>
      <c r="AI286" s="100"/>
      <c r="AJ286" s="100"/>
      <c r="AK286" s="100"/>
      <c r="AL286" s="100"/>
      <c r="AM286" s="100"/>
      <c r="AN286" s="100"/>
      <c r="AO286" s="100"/>
      <c r="AP286" s="99"/>
      <c r="AQ286" s="99"/>
      <c r="AR286" s="99"/>
      <c r="AS286" s="99"/>
      <c r="AT286" s="99"/>
    </row>
    <row r="287" spans="25:46" x14ac:dyDescent="0.2">
      <c r="Y287" s="100"/>
      <c r="Z287" s="100"/>
      <c r="AA287" s="100"/>
      <c r="AB287" s="100"/>
      <c r="AC287" s="100"/>
      <c r="AD287" s="100"/>
      <c r="AE287" s="100"/>
      <c r="AF287" s="100"/>
      <c r="AG287" s="100"/>
      <c r="AH287" s="100"/>
      <c r="AI287" s="100"/>
      <c r="AJ287" s="100"/>
      <c r="AK287" s="100"/>
      <c r="AL287" s="100"/>
      <c r="AM287" s="100"/>
      <c r="AN287" s="100"/>
      <c r="AO287" s="100"/>
      <c r="AP287" s="99"/>
      <c r="AQ287" s="99"/>
      <c r="AR287" s="99"/>
      <c r="AS287" s="99"/>
      <c r="AT287" s="99"/>
    </row>
    <row r="288" spans="25:46" x14ac:dyDescent="0.2">
      <c r="Y288" s="100"/>
      <c r="Z288" s="100"/>
      <c r="AA288" s="100"/>
      <c r="AB288" s="100"/>
      <c r="AC288" s="100"/>
      <c r="AD288" s="100"/>
      <c r="AE288" s="100"/>
      <c r="AF288" s="100"/>
      <c r="AG288" s="100"/>
      <c r="AH288" s="100"/>
      <c r="AI288" s="100"/>
      <c r="AJ288" s="100"/>
      <c r="AK288" s="100"/>
      <c r="AL288" s="100"/>
      <c r="AM288" s="100"/>
      <c r="AN288" s="100"/>
      <c r="AO288" s="100"/>
      <c r="AP288" s="99"/>
      <c r="AQ288" s="99"/>
      <c r="AR288" s="99"/>
      <c r="AS288" s="99"/>
      <c r="AT288" s="99"/>
    </row>
    <row r="289" spans="25:46" x14ac:dyDescent="0.2">
      <c r="Y289" s="100"/>
      <c r="Z289" s="100"/>
      <c r="AA289" s="100"/>
      <c r="AB289" s="100"/>
      <c r="AC289" s="100"/>
      <c r="AD289" s="100"/>
      <c r="AE289" s="100"/>
      <c r="AF289" s="100"/>
      <c r="AG289" s="100"/>
      <c r="AH289" s="100"/>
      <c r="AI289" s="100"/>
      <c r="AJ289" s="100"/>
      <c r="AK289" s="100"/>
      <c r="AL289" s="100"/>
      <c r="AM289" s="100"/>
      <c r="AN289" s="100"/>
      <c r="AO289" s="100"/>
      <c r="AP289" s="99"/>
      <c r="AQ289" s="99"/>
      <c r="AR289" s="99"/>
      <c r="AS289" s="99"/>
      <c r="AT289" s="99"/>
    </row>
    <row r="290" spans="25:46" x14ac:dyDescent="0.2">
      <c r="Y290" s="100"/>
      <c r="Z290" s="100"/>
      <c r="AA290" s="100"/>
      <c r="AB290" s="100"/>
      <c r="AC290" s="100"/>
      <c r="AD290" s="100"/>
      <c r="AE290" s="100"/>
      <c r="AF290" s="100"/>
      <c r="AG290" s="100"/>
      <c r="AH290" s="100"/>
      <c r="AI290" s="100"/>
      <c r="AJ290" s="100"/>
      <c r="AK290" s="100"/>
      <c r="AL290" s="100"/>
      <c r="AM290" s="100"/>
      <c r="AN290" s="100"/>
      <c r="AO290" s="100"/>
      <c r="AP290" s="99"/>
      <c r="AQ290" s="99"/>
      <c r="AR290" s="99"/>
      <c r="AS290" s="99"/>
      <c r="AT290" s="99"/>
    </row>
    <row r="291" spans="25:46" x14ac:dyDescent="0.2">
      <c r="Y291" s="100"/>
      <c r="Z291" s="100"/>
      <c r="AA291" s="100"/>
      <c r="AB291" s="100"/>
      <c r="AC291" s="100"/>
      <c r="AD291" s="100"/>
      <c r="AE291" s="100"/>
      <c r="AF291" s="100"/>
      <c r="AG291" s="100"/>
      <c r="AH291" s="100"/>
      <c r="AI291" s="100"/>
      <c r="AJ291" s="100"/>
      <c r="AK291" s="100"/>
      <c r="AL291" s="100"/>
      <c r="AM291" s="100"/>
      <c r="AN291" s="100"/>
      <c r="AO291" s="100"/>
      <c r="AP291" s="99"/>
      <c r="AQ291" s="99"/>
      <c r="AR291" s="99"/>
      <c r="AS291" s="99"/>
      <c r="AT291" s="99"/>
    </row>
    <row r="292" spans="25:46" x14ac:dyDescent="0.2">
      <c r="Y292" s="100"/>
      <c r="Z292" s="100"/>
      <c r="AA292" s="100"/>
      <c r="AB292" s="100"/>
      <c r="AC292" s="100"/>
      <c r="AD292" s="100"/>
      <c r="AE292" s="100"/>
      <c r="AF292" s="100"/>
      <c r="AG292" s="100"/>
      <c r="AH292" s="100"/>
      <c r="AI292" s="100"/>
      <c r="AJ292" s="100"/>
      <c r="AK292" s="100"/>
      <c r="AL292" s="100"/>
      <c r="AM292" s="100"/>
      <c r="AN292" s="100"/>
      <c r="AO292" s="100"/>
      <c r="AP292" s="99"/>
      <c r="AQ292" s="99"/>
      <c r="AR292" s="99"/>
      <c r="AS292" s="99"/>
      <c r="AT292" s="99"/>
    </row>
    <row r="293" spans="25:46" x14ac:dyDescent="0.2">
      <c r="Y293" s="100"/>
      <c r="Z293" s="100"/>
      <c r="AA293" s="100"/>
      <c r="AB293" s="100"/>
      <c r="AC293" s="100"/>
      <c r="AD293" s="100"/>
      <c r="AE293" s="100"/>
      <c r="AF293" s="100"/>
      <c r="AG293" s="100"/>
      <c r="AH293" s="100"/>
      <c r="AI293" s="100"/>
      <c r="AJ293" s="100"/>
      <c r="AK293" s="100"/>
      <c r="AL293" s="100"/>
      <c r="AM293" s="100"/>
      <c r="AN293" s="100"/>
      <c r="AO293" s="100"/>
      <c r="AP293" s="99"/>
      <c r="AQ293" s="99"/>
      <c r="AR293" s="99"/>
      <c r="AS293" s="99"/>
      <c r="AT293" s="99"/>
    </row>
    <row r="294" spans="25:46" x14ac:dyDescent="0.2">
      <c r="Y294" s="100"/>
      <c r="Z294" s="100"/>
      <c r="AA294" s="100"/>
      <c r="AB294" s="100"/>
      <c r="AC294" s="100"/>
      <c r="AD294" s="100"/>
      <c r="AE294" s="100"/>
      <c r="AF294" s="100"/>
      <c r="AG294" s="100"/>
      <c r="AH294" s="100"/>
      <c r="AI294" s="100"/>
      <c r="AJ294" s="100"/>
      <c r="AK294" s="100"/>
      <c r="AL294" s="100"/>
      <c r="AM294" s="100"/>
      <c r="AN294" s="100"/>
      <c r="AO294" s="100"/>
      <c r="AP294" s="99"/>
      <c r="AQ294" s="99"/>
      <c r="AR294" s="99"/>
      <c r="AS294" s="99"/>
      <c r="AT294" s="99"/>
    </row>
    <row r="295" spans="25:46" x14ac:dyDescent="0.2">
      <c r="Y295" s="100"/>
      <c r="Z295" s="100"/>
      <c r="AA295" s="100"/>
      <c r="AB295" s="100"/>
      <c r="AC295" s="100"/>
      <c r="AD295" s="100"/>
      <c r="AE295" s="100"/>
      <c r="AF295" s="100"/>
      <c r="AG295" s="100"/>
      <c r="AH295" s="100"/>
      <c r="AI295" s="100"/>
      <c r="AJ295" s="100"/>
      <c r="AK295" s="100"/>
      <c r="AL295" s="100"/>
      <c r="AM295" s="100"/>
      <c r="AN295" s="100"/>
      <c r="AO295" s="100"/>
      <c r="AP295" s="99"/>
      <c r="AQ295" s="99"/>
      <c r="AR295" s="99"/>
      <c r="AS295" s="99"/>
      <c r="AT295" s="99"/>
    </row>
    <row r="296" spans="25:46" x14ac:dyDescent="0.2">
      <c r="Y296" s="100"/>
      <c r="Z296" s="100"/>
      <c r="AA296" s="100"/>
      <c r="AB296" s="100"/>
      <c r="AC296" s="100"/>
      <c r="AD296" s="100"/>
      <c r="AE296" s="100"/>
      <c r="AF296" s="100"/>
      <c r="AG296" s="100"/>
      <c r="AH296" s="100"/>
      <c r="AI296" s="100"/>
      <c r="AJ296" s="100"/>
      <c r="AK296" s="100"/>
      <c r="AL296" s="100"/>
      <c r="AM296" s="100"/>
      <c r="AN296" s="100"/>
      <c r="AO296" s="100"/>
      <c r="AP296" s="99"/>
      <c r="AQ296" s="99"/>
      <c r="AR296" s="99"/>
      <c r="AS296" s="99"/>
      <c r="AT296" s="99"/>
    </row>
    <row r="297" spans="25:46" x14ac:dyDescent="0.2">
      <c r="Y297" s="100"/>
      <c r="Z297" s="100"/>
      <c r="AA297" s="100"/>
      <c r="AB297" s="100"/>
      <c r="AC297" s="100"/>
      <c r="AD297" s="100"/>
      <c r="AE297" s="100"/>
      <c r="AF297" s="100"/>
      <c r="AG297" s="100"/>
      <c r="AH297" s="100"/>
      <c r="AI297" s="100"/>
      <c r="AJ297" s="100"/>
      <c r="AK297" s="100"/>
      <c r="AL297" s="100"/>
      <c r="AM297" s="100"/>
      <c r="AN297" s="100"/>
      <c r="AO297" s="100"/>
      <c r="AP297" s="99"/>
      <c r="AQ297" s="99"/>
      <c r="AR297" s="99"/>
      <c r="AS297" s="99"/>
      <c r="AT297" s="99"/>
    </row>
    <row r="298" spans="25:46" x14ac:dyDescent="0.2">
      <c r="Y298" s="100"/>
      <c r="Z298" s="100"/>
      <c r="AA298" s="100"/>
      <c r="AB298" s="100"/>
      <c r="AC298" s="100"/>
      <c r="AD298" s="100"/>
      <c r="AE298" s="100"/>
      <c r="AF298" s="100"/>
      <c r="AG298" s="100"/>
      <c r="AH298" s="100"/>
      <c r="AI298" s="100"/>
      <c r="AJ298" s="100"/>
      <c r="AK298" s="100"/>
      <c r="AL298" s="100"/>
      <c r="AM298" s="100"/>
      <c r="AN298" s="100"/>
      <c r="AO298" s="100"/>
      <c r="AP298" s="99"/>
      <c r="AQ298" s="99"/>
      <c r="AR298" s="99"/>
      <c r="AS298" s="99"/>
      <c r="AT298" s="99"/>
    </row>
    <row r="299" spans="25:46" x14ac:dyDescent="0.2">
      <c r="Y299" s="100"/>
      <c r="Z299" s="100"/>
      <c r="AA299" s="100"/>
      <c r="AB299" s="100"/>
      <c r="AC299" s="100"/>
      <c r="AD299" s="100"/>
      <c r="AE299" s="100"/>
      <c r="AF299" s="100"/>
      <c r="AG299" s="100"/>
      <c r="AH299" s="100"/>
      <c r="AI299" s="100"/>
      <c r="AJ299" s="100"/>
      <c r="AK299" s="100"/>
      <c r="AL299" s="100"/>
      <c r="AM299" s="100"/>
      <c r="AN299" s="100"/>
      <c r="AO299" s="100"/>
      <c r="AP299" s="99"/>
      <c r="AQ299" s="99"/>
      <c r="AR299" s="99"/>
      <c r="AS299" s="99"/>
      <c r="AT299" s="99"/>
    </row>
    <row r="300" spans="25:46" x14ac:dyDescent="0.2">
      <c r="Y300" s="100"/>
      <c r="Z300" s="100"/>
      <c r="AA300" s="100"/>
      <c r="AB300" s="100"/>
      <c r="AC300" s="100"/>
      <c r="AD300" s="100"/>
      <c r="AE300" s="100"/>
      <c r="AF300" s="100"/>
      <c r="AG300" s="100"/>
      <c r="AH300" s="100"/>
      <c r="AI300" s="100"/>
      <c r="AJ300" s="100"/>
      <c r="AK300" s="100"/>
      <c r="AL300" s="100"/>
      <c r="AM300" s="100"/>
      <c r="AN300" s="100"/>
      <c r="AO300" s="100"/>
      <c r="AP300" s="99"/>
      <c r="AQ300" s="99"/>
      <c r="AR300" s="99"/>
      <c r="AS300" s="99"/>
      <c r="AT300" s="99"/>
    </row>
    <row r="301" spans="25:46" x14ac:dyDescent="0.2">
      <c r="Y301" s="100"/>
      <c r="Z301" s="100"/>
      <c r="AA301" s="100"/>
      <c r="AB301" s="100"/>
      <c r="AC301" s="100"/>
      <c r="AD301" s="100"/>
      <c r="AE301" s="100"/>
      <c r="AF301" s="100"/>
      <c r="AG301" s="100"/>
      <c r="AH301" s="100"/>
      <c r="AI301" s="100"/>
      <c r="AJ301" s="100"/>
      <c r="AK301" s="100"/>
      <c r="AL301" s="100"/>
      <c r="AM301" s="100"/>
      <c r="AN301" s="100"/>
      <c r="AO301" s="100"/>
      <c r="AP301" s="99"/>
      <c r="AQ301" s="99"/>
      <c r="AR301" s="99"/>
      <c r="AS301" s="99"/>
      <c r="AT301" s="99"/>
    </row>
    <row r="302" spans="25:46" x14ac:dyDescent="0.2">
      <c r="Y302" s="100"/>
      <c r="Z302" s="100"/>
      <c r="AA302" s="100"/>
      <c r="AB302" s="100"/>
      <c r="AC302" s="100"/>
      <c r="AD302" s="100"/>
      <c r="AE302" s="100"/>
      <c r="AF302" s="100"/>
      <c r="AG302" s="100"/>
      <c r="AH302" s="100"/>
      <c r="AI302" s="100"/>
      <c r="AJ302" s="100"/>
      <c r="AK302" s="100"/>
      <c r="AL302" s="100"/>
      <c r="AM302" s="100"/>
      <c r="AN302" s="100"/>
      <c r="AO302" s="100"/>
      <c r="AP302" s="99"/>
      <c r="AQ302" s="99"/>
      <c r="AR302" s="99"/>
      <c r="AS302" s="99"/>
      <c r="AT302" s="99"/>
    </row>
    <row r="303" spans="25:46" x14ac:dyDescent="0.2">
      <c r="Y303" s="100"/>
      <c r="Z303" s="100"/>
      <c r="AA303" s="100"/>
      <c r="AB303" s="100"/>
      <c r="AC303" s="100"/>
      <c r="AD303" s="100"/>
      <c r="AE303" s="100"/>
      <c r="AF303" s="100"/>
      <c r="AG303" s="100"/>
      <c r="AH303" s="100"/>
      <c r="AI303" s="100"/>
      <c r="AJ303" s="100"/>
      <c r="AK303" s="100"/>
      <c r="AL303" s="100"/>
      <c r="AM303" s="100"/>
      <c r="AN303" s="100"/>
      <c r="AO303" s="100"/>
      <c r="AP303" s="99"/>
      <c r="AQ303" s="99"/>
      <c r="AR303" s="99"/>
      <c r="AS303" s="99"/>
      <c r="AT303" s="99"/>
    </row>
    <row r="304" spans="25:46" x14ac:dyDescent="0.2">
      <c r="Y304" s="100"/>
      <c r="Z304" s="100"/>
      <c r="AA304" s="100"/>
      <c r="AB304" s="100"/>
      <c r="AC304" s="100"/>
      <c r="AD304" s="100"/>
      <c r="AE304" s="100"/>
      <c r="AF304" s="100"/>
      <c r="AG304" s="100"/>
      <c r="AH304" s="100"/>
      <c r="AI304" s="100"/>
      <c r="AJ304" s="100"/>
      <c r="AK304" s="100"/>
      <c r="AL304" s="100"/>
      <c r="AM304" s="100"/>
      <c r="AN304" s="100"/>
      <c r="AO304" s="100"/>
      <c r="AP304" s="99"/>
      <c r="AQ304" s="99"/>
      <c r="AR304" s="99"/>
      <c r="AS304" s="99"/>
      <c r="AT304" s="99"/>
    </row>
    <row r="305" spans="25:46" x14ac:dyDescent="0.2">
      <c r="Y305" s="100"/>
      <c r="Z305" s="100"/>
      <c r="AA305" s="100"/>
      <c r="AB305" s="100"/>
      <c r="AC305" s="100"/>
      <c r="AD305" s="100"/>
      <c r="AE305" s="100"/>
      <c r="AF305" s="100"/>
      <c r="AG305" s="100"/>
      <c r="AH305" s="100"/>
      <c r="AI305" s="100"/>
      <c r="AJ305" s="100"/>
      <c r="AK305" s="100"/>
      <c r="AL305" s="100"/>
      <c r="AM305" s="100"/>
      <c r="AN305" s="100"/>
      <c r="AO305" s="100"/>
      <c r="AP305" s="99"/>
      <c r="AQ305" s="99"/>
      <c r="AR305" s="99"/>
      <c r="AS305" s="99"/>
      <c r="AT305" s="99"/>
    </row>
    <row r="306" spans="25:46" x14ac:dyDescent="0.2">
      <c r="Y306" s="100"/>
      <c r="Z306" s="100"/>
      <c r="AA306" s="100"/>
      <c r="AB306" s="100"/>
      <c r="AC306" s="100"/>
      <c r="AD306" s="100"/>
      <c r="AE306" s="100"/>
      <c r="AF306" s="100"/>
      <c r="AG306" s="100"/>
      <c r="AH306" s="100"/>
      <c r="AI306" s="100"/>
      <c r="AJ306" s="100"/>
      <c r="AK306" s="100"/>
      <c r="AL306" s="100"/>
      <c r="AM306" s="100"/>
      <c r="AN306" s="100"/>
      <c r="AO306" s="100"/>
      <c r="AP306" s="99"/>
      <c r="AQ306" s="99"/>
      <c r="AR306" s="99"/>
      <c r="AS306" s="99"/>
      <c r="AT306" s="99"/>
    </row>
    <row r="307" spans="25:46" x14ac:dyDescent="0.2">
      <c r="Y307" s="100"/>
      <c r="Z307" s="100"/>
      <c r="AA307" s="100"/>
      <c r="AB307" s="100"/>
      <c r="AC307" s="100"/>
      <c r="AD307" s="100"/>
      <c r="AE307" s="100"/>
      <c r="AF307" s="100"/>
      <c r="AG307" s="100"/>
      <c r="AH307" s="100"/>
      <c r="AI307" s="100"/>
      <c r="AJ307" s="100"/>
      <c r="AK307" s="100"/>
      <c r="AL307" s="100"/>
      <c r="AM307" s="100"/>
      <c r="AN307" s="100"/>
      <c r="AO307" s="100"/>
      <c r="AP307" s="99"/>
      <c r="AQ307" s="99"/>
      <c r="AR307" s="99"/>
      <c r="AS307" s="99"/>
      <c r="AT307" s="99"/>
    </row>
    <row r="308" spans="25:46" x14ac:dyDescent="0.2">
      <c r="Y308" s="100"/>
      <c r="Z308" s="100"/>
      <c r="AA308" s="100"/>
      <c r="AB308" s="100"/>
      <c r="AC308" s="100"/>
      <c r="AD308" s="100"/>
      <c r="AE308" s="100"/>
      <c r="AF308" s="100"/>
      <c r="AG308" s="100"/>
      <c r="AH308" s="100"/>
      <c r="AI308" s="100"/>
      <c r="AJ308" s="100"/>
      <c r="AK308" s="100"/>
      <c r="AL308" s="100"/>
      <c r="AM308" s="100"/>
      <c r="AN308" s="100"/>
      <c r="AO308" s="100"/>
      <c r="AP308" s="99"/>
      <c r="AQ308" s="99"/>
      <c r="AR308" s="99"/>
      <c r="AS308" s="99"/>
      <c r="AT308" s="99"/>
    </row>
    <row r="309" spans="25:46" x14ac:dyDescent="0.2">
      <c r="Y309" s="100"/>
      <c r="Z309" s="100"/>
      <c r="AA309" s="100"/>
      <c r="AB309" s="100"/>
      <c r="AC309" s="100"/>
      <c r="AD309" s="100"/>
      <c r="AE309" s="100"/>
      <c r="AF309" s="100"/>
      <c r="AG309" s="100"/>
      <c r="AH309" s="100"/>
      <c r="AI309" s="100"/>
      <c r="AJ309" s="100"/>
      <c r="AK309" s="100"/>
      <c r="AL309" s="100"/>
      <c r="AM309" s="100"/>
      <c r="AN309" s="100"/>
      <c r="AO309" s="100"/>
      <c r="AP309" s="99"/>
      <c r="AQ309" s="99"/>
      <c r="AR309" s="99"/>
      <c r="AS309" s="99"/>
      <c r="AT309" s="99"/>
    </row>
    <row r="310" spans="25:46" x14ac:dyDescent="0.2">
      <c r="Y310" s="100"/>
      <c r="Z310" s="100"/>
      <c r="AA310" s="100"/>
      <c r="AB310" s="100"/>
      <c r="AC310" s="100"/>
      <c r="AD310" s="100"/>
      <c r="AE310" s="100"/>
      <c r="AF310" s="100"/>
      <c r="AG310" s="100"/>
      <c r="AH310" s="100"/>
      <c r="AI310" s="100"/>
      <c r="AJ310" s="100"/>
      <c r="AK310" s="100"/>
      <c r="AL310" s="100"/>
      <c r="AM310" s="100"/>
      <c r="AN310" s="100"/>
      <c r="AO310" s="100"/>
      <c r="AP310" s="99"/>
      <c r="AQ310" s="99"/>
      <c r="AR310" s="99"/>
      <c r="AS310" s="99"/>
      <c r="AT310" s="99"/>
    </row>
    <row r="311" spans="25:46" x14ac:dyDescent="0.2">
      <c r="Y311" s="100"/>
      <c r="Z311" s="100"/>
      <c r="AA311" s="100"/>
      <c r="AB311" s="100"/>
      <c r="AC311" s="100"/>
      <c r="AD311" s="100"/>
      <c r="AE311" s="100"/>
      <c r="AF311" s="100"/>
      <c r="AG311" s="100"/>
      <c r="AH311" s="100"/>
      <c r="AI311" s="100"/>
      <c r="AJ311" s="100"/>
      <c r="AK311" s="100"/>
      <c r="AL311" s="100"/>
      <c r="AM311" s="100"/>
      <c r="AN311" s="100"/>
      <c r="AO311" s="100"/>
      <c r="AP311" s="99"/>
      <c r="AQ311" s="99"/>
      <c r="AR311" s="99"/>
      <c r="AS311" s="99"/>
      <c r="AT311" s="99"/>
    </row>
    <row r="312" spans="25:46" x14ac:dyDescent="0.2">
      <c r="Y312" s="100"/>
      <c r="Z312" s="100"/>
      <c r="AA312" s="100"/>
      <c r="AB312" s="100"/>
      <c r="AC312" s="100"/>
      <c r="AD312" s="100"/>
      <c r="AE312" s="100"/>
      <c r="AF312" s="100"/>
      <c r="AG312" s="100"/>
      <c r="AH312" s="100"/>
      <c r="AI312" s="100"/>
      <c r="AJ312" s="100"/>
      <c r="AK312" s="100"/>
      <c r="AL312" s="100"/>
      <c r="AM312" s="100"/>
      <c r="AN312" s="100"/>
      <c r="AO312" s="100"/>
      <c r="AP312" s="99"/>
      <c r="AQ312" s="99"/>
      <c r="AR312" s="99"/>
      <c r="AS312" s="99"/>
      <c r="AT312" s="99"/>
    </row>
    <row r="313" spans="25:46" x14ac:dyDescent="0.2">
      <c r="Y313" s="100"/>
      <c r="Z313" s="100"/>
      <c r="AA313" s="100"/>
      <c r="AB313" s="100"/>
      <c r="AC313" s="100"/>
      <c r="AD313" s="100"/>
      <c r="AE313" s="100"/>
      <c r="AF313" s="100"/>
      <c r="AG313" s="100"/>
      <c r="AH313" s="100"/>
      <c r="AI313" s="100"/>
      <c r="AJ313" s="100"/>
      <c r="AK313" s="100"/>
      <c r="AL313" s="100"/>
      <c r="AM313" s="100"/>
      <c r="AN313" s="100"/>
      <c r="AO313" s="100"/>
      <c r="AP313" s="99"/>
      <c r="AQ313" s="99"/>
      <c r="AR313" s="99"/>
      <c r="AS313" s="99"/>
      <c r="AT313" s="99"/>
    </row>
    <row r="314" spans="25:46" x14ac:dyDescent="0.2">
      <c r="Y314" s="100"/>
      <c r="Z314" s="100"/>
      <c r="AA314" s="100"/>
      <c r="AB314" s="100"/>
      <c r="AC314" s="100"/>
      <c r="AD314" s="100"/>
      <c r="AE314" s="100"/>
      <c r="AF314" s="100"/>
      <c r="AG314" s="100"/>
      <c r="AH314" s="100"/>
      <c r="AI314" s="100"/>
      <c r="AJ314" s="100"/>
      <c r="AK314" s="100"/>
      <c r="AL314" s="100"/>
      <c r="AM314" s="100"/>
      <c r="AN314" s="100"/>
      <c r="AO314" s="100"/>
      <c r="AP314" s="99"/>
      <c r="AQ314" s="99"/>
      <c r="AR314" s="99"/>
      <c r="AS314" s="99"/>
      <c r="AT314" s="99"/>
    </row>
    <row r="315" spans="25:46" x14ac:dyDescent="0.2">
      <c r="Y315" s="100"/>
      <c r="Z315" s="100"/>
      <c r="AA315" s="100"/>
      <c r="AB315" s="100"/>
      <c r="AC315" s="100"/>
      <c r="AD315" s="100"/>
      <c r="AE315" s="100"/>
      <c r="AF315" s="100"/>
      <c r="AG315" s="100"/>
      <c r="AH315" s="100"/>
      <c r="AI315" s="100"/>
      <c r="AJ315" s="100"/>
      <c r="AK315" s="100"/>
      <c r="AL315" s="100"/>
      <c r="AM315" s="100"/>
      <c r="AN315" s="100"/>
      <c r="AO315" s="100"/>
      <c r="AP315" s="99"/>
      <c r="AQ315" s="99"/>
      <c r="AR315" s="99"/>
      <c r="AS315" s="99"/>
      <c r="AT315" s="99"/>
    </row>
    <row r="316" spans="25:46" x14ac:dyDescent="0.2">
      <c r="Y316" s="100"/>
      <c r="Z316" s="100"/>
      <c r="AA316" s="100"/>
      <c r="AB316" s="100"/>
      <c r="AC316" s="100"/>
      <c r="AD316" s="100"/>
      <c r="AE316" s="100"/>
      <c r="AF316" s="100"/>
      <c r="AG316" s="100"/>
      <c r="AH316" s="100"/>
      <c r="AI316" s="100"/>
      <c r="AJ316" s="100"/>
      <c r="AK316" s="100"/>
      <c r="AL316" s="100"/>
      <c r="AM316" s="100"/>
      <c r="AN316" s="100"/>
      <c r="AO316" s="100"/>
      <c r="AP316" s="99"/>
      <c r="AQ316" s="99"/>
      <c r="AR316" s="99"/>
      <c r="AS316" s="99"/>
      <c r="AT316" s="99"/>
    </row>
    <row r="317" spans="25:46" x14ac:dyDescent="0.2">
      <c r="Y317" s="100"/>
      <c r="Z317" s="100"/>
      <c r="AA317" s="100"/>
      <c r="AB317" s="100"/>
      <c r="AC317" s="100"/>
      <c r="AD317" s="100"/>
      <c r="AE317" s="100"/>
      <c r="AF317" s="100"/>
      <c r="AG317" s="100"/>
      <c r="AH317" s="100"/>
      <c r="AI317" s="100"/>
      <c r="AJ317" s="100"/>
      <c r="AK317" s="100"/>
      <c r="AL317" s="100"/>
      <c r="AM317" s="100"/>
      <c r="AN317" s="100"/>
      <c r="AO317" s="100"/>
      <c r="AP317" s="99"/>
      <c r="AQ317" s="99"/>
      <c r="AR317" s="99"/>
      <c r="AS317" s="99"/>
      <c r="AT317" s="99"/>
    </row>
    <row r="318" spans="25:46" x14ac:dyDescent="0.2">
      <c r="Y318" s="100"/>
      <c r="Z318" s="100"/>
      <c r="AA318" s="100"/>
      <c r="AB318" s="100"/>
      <c r="AC318" s="100"/>
      <c r="AD318" s="100"/>
      <c r="AE318" s="100"/>
      <c r="AF318" s="100"/>
      <c r="AG318" s="100"/>
      <c r="AH318" s="100"/>
      <c r="AI318" s="100"/>
      <c r="AJ318" s="100"/>
      <c r="AK318" s="100"/>
      <c r="AL318" s="100"/>
      <c r="AM318" s="100"/>
      <c r="AN318" s="100"/>
      <c r="AO318" s="100"/>
      <c r="AP318" s="99"/>
      <c r="AQ318" s="99"/>
      <c r="AR318" s="99"/>
      <c r="AS318" s="99"/>
      <c r="AT318" s="99"/>
    </row>
    <row r="319" spans="25:46" x14ac:dyDescent="0.2">
      <c r="Y319" s="100"/>
      <c r="Z319" s="100"/>
      <c r="AA319" s="100"/>
      <c r="AB319" s="100"/>
      <c r="AC319" s="100"/>
      <c r="AD319" s="100"/>
      <c r="AE319" s="100"/>
      <c r="AF319" s="100"/>
      <c r="AG319" s="100"/>
      <c r="AH319" s="100"/>
      <c r="AI319" s="100"/>
      <c r="AJ319" s="100"/>
      <c r="AK319" s="100"/>
      <c r="AL319" s="100"/>
      <c r="AM319" s="100"/>
      <c r="AN319" s="100"/>
      <c r="AO319" s="100"/>
      <c r="AP319" s="99"/>
      <c r="AQ319" s="99"/>
      <c r="AR319" s="99"/>
      <c r="AS319" s="99"/>
      <c r="AT319" s="99"/>
    </row>
    <row r="320" spans="25:46" x14ac:dyDescent="0.2">
      <c r="Y320" s="100"/>
      <c r="Z320" s="100"/>
      <c r="AA320" s="100"/>
      <c r="AB320" s="100"/>
      <c r="AC320" s="100"/>
      <c r="AD320" s="100"/>
      <c r="AE320" s="100"/>
      <c r="AF320" s="100"/>
      <c r="AG320" s="100"/>
      <c r="AH320" s="100"/>
      <c r="AI320" s="100"/>
      <c r="AJ320" s="100"/>
      <c r="AK320" s="100"/>
      <c r="AL320" s="100"/>
      <c r="AM320" s="100"/>
      <c r="AN320" s="100"/>
      <c r="AO320" s="100"/>
      <c r="AP320" s="99"/>
      <c r="AQ320" s="99"/>
      <c r="AR320" s="99"/>
      <c r="AS320" s="99"/>
      <c r="AT320" s="99"/>
    </row>
    <row r="321" spans="25:46" x14ac:dyDescent="0.2">
      <c r="Y321" s="100"/>
      <c r="Z321" s="100"/>
      <c r="AA321" s="100"/>
      <c r="AB321" s="100"/>
      <c r="AC321" s="100"/>
      <c r="AD321" s="100"/>
      <c r="AE321" s="100"/>
      <c r="AF321" s="100"/>
      <c r="AG321" s="100"/>
      <c r="AH321" s="100"/>
      <c r="AI321" s="100"/>
      <c r="AJ321" s="100"/>
      <c r="AK321" s="100"/>
      <c r="AL321" s="100"/>
      <c r="AM321" s="100"/>
      <c r="AN321" s="100"/>
      <c r="AO321" s="100"/>
      <c r="AP321" s="99"/>
      <c r="AQ321" s="99"/>
      <c r="AR321" s="99"/>
      <c r="AS321" s="99"/>
      <c r="AT321" s="99"/>
    </row>
    <row r="322" spans="25:46" x14ac:dyDescent="0.2">
      <c r="Y322" s="100"/>
      <c r="Z322" s="100"/>
      <c r="AA322" s="100"/>
      <c r="AB322" s="100"/>
      <c r="AC322" s="100"/>
      <c r="AD322" s="100"/>
      <c r="AE322" s="100"/>
      <c r="AF322" s="100"/>
      <c r="AG322" s="100"/>
      <c r="AH322" s="100"/>
      <c r="AI322" s="100"/>
      <c r="AJ322" s="100"/>
      <c r="AK322" s="100"/>
      <c r="AL322" s="100"/>
      <c r="AM322" s="100"/>
      <c r="AN322" s="100"/>
      <c r="AO322" s="100"/>
      <c r="AP322" s="99"/>
      <c r="AQ322" s="99"/>
      <c r="AR322" s="99"/>
      <c r="AS322" s="99"/>
      <c r="AT322" s="99"/>
    </row>
    <row r="323" spans="25:46" x14ac:dyDescent="0.2">
      <c r="Y323" s="100"/>
      <c r="Z323" s="100"/>
      <c r="AA323" s="100"/>
      <c r="AB323" s="100"/>
      <c r="AC323" s="100"/>
      <c r="AD323" s="100"/>
      <c r="AE323" s="100"/>
      <c r="AF323" s="100"/>
      <c r="AG323" s="100"/>
      <c r="AH323" s="100"/>
      <c r="AI323" s="100"/>
      <c r="AJ323" s="100"/>
      <c r="AK323" s="100"/>
      <c r="AL323" s="100"/>
      <c r="AM323" s="100"/>
      <c r="AN323" s="100"/>
      <c r="AO323" s="100"/>
      <c r="AP323" s="99"/>
      <c r="AQ323" s="99"/>
      <c r="AR323" s="99"/>
      <c r="AS323" s="99"/>
      <c r="AT323" s="99"/>
    </row>
    <row r="324" spans="25:46" x14ac:dyDescent="0.2">
      <c r="Y324" s="100"/>
      <c r="Z324" s="100"/>
      <c r="AA324" s="100"/>
      <c r="AB324" s="100"/>
      <c r="AC324" s="100"/>
      <c r="AD324" s="100"/>
      <c r="AE324" s="100"/>
      <c r="AF324" s="100"/>
      <c r="AG324" s="100"/>
      <c r="AH324" s="100"/>
      <c r="AI324" s="100"/>
      <c r="AJ324" s="100"/>
      <c r="AK324" s="100"/>
      <c r="AL324" s="100"/>
      <c r="AM324" s="100"/>
      <c r="AN324" s="100"/>
      <c r="AO324" s="100"/>
      <c r="AP324" s="99"/>
      <c r="AQ324" s="99"/>
      <c r="AR324" s="99"/>
      <c r="AS324" s="99"/>
      <c r="AT324" s="99"/>
    </row>
    <row r="325" spans="25:46" x14ac:dyDescent="0.2">
      <c r="Y325" s="100"/>
      <c r="Z325" s="100"/>
      <c r="AA325" s="100"/>
      <c r="AB325" s="100"/>
      <c r="AC325" s="100"/>
      <c r="AD325" s="100"/>
      <c r="AE325" s="100"/>
      <c r="AF325" s="100"/>
      <c r="AG325" s="100"/>
      <c r="AH325" s="100"/>
      <c r="AI325" s="100"/>
      <c r="AJ325" s="100"/>
      <c r="AK325" s="100"/>
      <c r="AL325" s="100"/>
      <c r="AM325" s="100"/>
      <c r="AN325" s="100"/>
      <c r="AO325" s="100"/>
      <c r="AP325" s="99"/>
      <c r="AQ325" s="99"/>
      <c r="AR325" s="99"/>
      <c r="AS325" s="99"/>
      <c r="AT325" s="99"/>
    </row>
    <row r="326" spans="25:46" x14ac:dyDescent="0.2">
      <c r="Y326" s="100"/>
      <c r="Z326" s="100"/>
      <c r="AA326" s="100"/>
      <c r="AB326" s="100"/>
      <c r="AC326" s="100"/>
      <c r="AD326" s="100"/>
      <c r="AE326" s="100"/>
      <c r="AF326" s="100"/>
      <c r="AG326" s="100"/>
      <c r="AH326" s="100"/>
      <c r="AI326" s="100"/>
      <c r="AJ326" s="100"/>
      <c r="AK326" s="100"/>
      <c r="AL326" s="100"/>
      <c r="AM326" s="100"/>
      <c r="AN326" s="100"/>
      <c r="AO326" s="100"/>
      <c r="AP326" s="99"/>
      <c r="AQ326" s="99"/>
      <c r="AR326" s="99"/>
      <c r="AS326" s="99"/>
      <c r="AT326" s="99"/>
    </row>
    <row r="327" spans="25:46" x14ac:dyDescent="0.2">
      <c r="Y327" s="100"/>
      <c r="Z327" s="100"/>
      <c r="AA327" s="100"/>
      <c r="AB327" s="100"/>
      <c r="AC327" s="100"/>
      <c r="AD327" s="100"/>
      <c r="AE327" s="100"/>
      <c r="AF327" s="100"/>
      <c r="AG327" s="100"/>
      <c r="AH327" s="100"/>
      <c r="AI327" s="100"/>
      <c r="AJ327" s="100"/>
      <c r="AK327" s="100"/>
      <c r="AL327" s="100"/>
      <c r="AM327" s="100"/>
      <c r="AN327" s="100"/>
      <c r="AO327" s="100"/>
      <c r="AP327" s="99"/>
      <c r="AQ327" s="99"/>
      <c r="AR327" s="99"/>
      <c r="AS327" s="99"/>
      <c r="AT327" s="99"/>
    </row>
    <row r="328" spans="25:46" x14ac:dyDescent="0.2">
      <c r="Y328" s="100"/>
      <c r="Z328" s="100"/>
      <c r="AA328" s="100"/>
      <c r="AB328" s="100"/>
      <c r="AC328" s="100"/>
      <c r="AD328" s="100"/>
      <c r="AE328" s="100"/>
      <c r="AF328" s="100"/>
      <c r="AG328" s="100"/>
      <c r="AH328" s="100"/>
      <c r="AI328" s="100"/>
      <c r="AJ328" s="100"/>
      <c r="AK328" s="100"/>
      <c r="AL328" s="100"/>
      <c r="AM328" s="100"/>
      <c r="AN328" s="100"/>
      <c r="AO328" s="100"/>
      <c r="AP328" s="99"/>
      <c r="AQ328" s="99"/>
      <c r="AR328" s="99"/>
      <c r="AS328" s="99"/>
      <c r="AT328" s="99"/>
    </row>
    <row r="329" spans="25:46" x14ac:dyDescent="0.2">
      <c r="Y329" s="100"/>
      <c r="Z329" s="100"/>
      <c r="AA329" s="100"/>
      <c r="AB329" s="100"/>
      <c r="AC329" s="100"/>
      <c r="AD329" s="100"/>
      <c r="AE329" s="100"/>
      <c r="AF329" s="100"/>
      <c r="AG329" s="100"/>
      <c r="AH329" s="100"/>
      <c r="AI329" s="100"/>
      <c r="AJ329" s="100"/>
      <c r="AK329" s="100"/>
      <c r="AL329" s="100"/>
      <c r="AM329" s="100"/>
      <c r="AN329" s="100"/>
      <c r="AO329" s="100"/>
      <c r="AP329" s="99"/>
      <c r="AQ329" s="99"/>
      <c r="AR329" s="99"/>
      <c r="AS329" s="99"/>
      <c r="AT329" s="99"/>
    </row>
    <row r="330" spans="25:46" x14ac:dyDescent="0.2">
      <c r="Y330" s="100"/>
      <c r="Z330" s="100"/>
      <c r="AA330" s="100"/>
      <c r="AB330" s="100"/>
      <c r="AC330" s="100"/>
      <c r="AD330" s="100"/>
      <c r="AE330" s="100"/>
      <c r="AF330" s="100"/>
      <c r="AG330" s="100"/>
      <c r="AH330" s="100"/>
      <c r="AI330" s="100"/>
      <c r="AJ330" s="100"/>
      <c r="AK330" s="100"/>
      <c r="AL330" s="100"/>
      <c r="AM330" s="100"/>
      <c r="AN330" s="100"/>
      <c r="AO330" s="100"/>
      <c r="AP330" s="99"/>
      <c r="AQ330" s="99"/>
      <c r="AR330" s="99"/>
      <c r="AS330" s="99"/>
      <c r="AT330" s="99"/>
    </row>
    <row r="331" spans="25:46" x14ac:dyDescent="0.2">
      <c r="Y331" s="100"/>
      <c r="Z331" s="100"/>
      <c r="AA331" s="100"/>
      <c r="AB331" s="100"/>
      <c r="AC331" s="100"/>
      <c r="AD331" s="100"/>
      <c r="AE331" s="100"/>
      <c r="AF331" s="100"/>
      <c r="AG331" s="100"/>
      <c r="AH331" s="100"/>
      <c r="AI331" s="100"/>
      <c r="AJ331" s="100"/>
      <c r="AK331" s="100"/>
      <c r="AL331" s="100"/>
      <c r="AM331" s="100"/>
      <c r="AN331" s="100"/>
      <c r="AO331" s="100"/>
      <c r="AP331" s="99"/>
      <c r="AQ331" s="99"/>
      <c r="AR331" s="99"/>
      <c r="AS331" s="99"/>
      <c r="AT331" s="99"/>
    </row>
    <row r="332" spans="25:46" x14ac:dyDescent="0.2">
      <c r="Y332" s="100"/>
      <c r="Z332" s="100"/>
      <c r="AA332" s="100"/>
      <c r="AB332" s="100"/>
      <c r="AC332" s="100"/>
      <c r="AD332" s="100"/>
      <c r="AE332" s="100"/>
      <c r="AF332" s="100"/>
      <c r="AG332" s="100"/>
      <c r="AH332" s="100"/>
      <c r="AI332" s="100"/>
      <c r="AJ332" s="100"/>
      <c r="AK332" s="100"/>
      <c r="AL332" s="100"/>
      <c r="AM332" s="100"/>
      <c r="AN332" s="100"/>
      <c r="AO332" s="100"/>
      <c r="AP332" s="99"/>
      <c r="AQ332" s="99"/>
      <c r="AR332" s="99"/>
      <c r="AS332" s="99"/>
      <c r="AT332" s="99"/>
    </row>
    <row r="333" spans="25:46" x14ac:dyDescent="0.2">
      <c r="Y333" s="100"/>
      <c r="Z333" s="100"/>
      <c r="AA333" s="100"/>
      <c r="AB333" s="100"/>
      <c r="AC333" s="100"/>
      <c r="AD333" s="100"/>
      <c r="AE333" s="100"/>
      <c r="AF333" s="100"/>
      <c r="AG333" s="100"/>
      <c r="AH333" s="100"/>
      <c r="AI333" s="100"/>
      <c r="AJ333" s="100"/>
      <c r="AK333" s="100"/>
      <c r="AL333" s="100"/>
      <c r="AM333" s="100"/>
      <c r="AN333" s="100"/>
      <c r="AO333" s="100"/>
      <c r="AP333" s="99"/>
      <c r="AQ333" s="99"/>
      <c r="AR333" s="99"/>
      <c r="AS333" s="99"/>
      <c r="AT333" s="99"/>
    </row>
    <row r="334" spans="25:46" x14ac:dyDescent="0.2">
      <c r="Y334" s="100"/>
      <c r="Z334" s="100"/>
      <c r="AA334" s="100"/>
      <c r="AB334" s="100"/>
      <c r="AC334" s="100"/>
      <c r="AD334" s="100"/>
      <c r="AE334" s="100"/>
      <c r="AF334" s="100"/>
      <c r="AG334" s="100"/>
      <c r="AH334" s="100"/>
      <c r="AI334" s="100"/>
      <c r="AJ334" s="100"/>
      <c r="AK334" s="100"/>
      <c r="AL334" s="100"/>
      <c r="AM334" s="100"/>
      <c r="AN334" s="100"/>
      <c r="AO334" s="100"/>
      <c r="AP334" s="99"/>
      <c r="AQ334" s="99"/>
      <c r="AR334" s="99"/>
      <c r="AS334" s="99"/>
      <c r="AT334" s="99"/>
    </row>
    <row r="335" spans="25:46" x14ac:dyDescent="0.2">
      <c r="Y335" s="100"/>
      <c r="Z335" s="100"/>
      <c r="AA335" s="100"/>
      <c r="AB335" s="100"/>
      <c r="AC335" s="100"/>
      <c r="AD335" s="100"/>
      <c r="AE335" s="100"/>
      <c r="AF335" s="100"/>
      <c r="AG335" s="100"/>
      <c r="AH335" s="100"/>
      <c r="AI335" s="100"/>
      <c r="AJ335" s="100"/>
      <c r="AK335" s="100"/>
      <c r="AL335" s="100"/>
      <c r="AM335" s="100"/>
      <c r="AN335" s="100"/>
      <c r="AO335" s="100"/>
      <c r="AP335" s="99"/>
      <c r="AQ335" s="99"/>
      <c r="AR335" s="99"/>
      <c r="AS335" s="99"/>
      <c r="AT335" s="99"/>
    </row>
    <row r="336" spans="25:46" x14ac:dyDescent="0.2">
      <c r="Y336" s="100"/>
      <c r="Z336" s="100"/>
      <c r="AA336" s="100"/>
      <c r="AB336" s="100"/>
      <c r="AC336" s="100"/>
      <c r="AD336" s="100"/>
      <c r="AE336" s="100"/>
      <c r="AF336" s="100"/>
      <c r="AG336" s="100"/>
      <c r="AH336" s="100"/>
      <c r="AI336" s="100"/>
      <c r="AJ336" s="100"/>
      <c r="AK336" s="100"/>
      <c r="AL336" s="100"/>
      <c r="AM336" s="100"/>
      <c r="AN336" s="100"/>
      <c r="AO336" s="100"/>
      <c r="AP336" s="99"/>
      <c r="AQ336" s="99"/>
      <c r="AR336" s="99"/>
      <c r="AS336" s="99"/>
      <c r="AT336" s="99"/>
    </row>
    <row r="337" spans="25:46" x14ac:dyDescent="0.2">
      <c r="Y337" s="100"/>
      <c r="Z337" s="100"/>
      <c r="AA337" s="100"/>
      <c r="AB337" s="100"/>
      <c r="AC337" s="100"/>
      <c r="AD337" s="100"/>
      <c r="AE337" s="100"/>
      <c r="AF337" s="100"/>
      <c r="AG337" s="100"/>
      <c r="AH337" s="100"/>
      <c r="AI337" s="100"/>
      <c r="AJ337" s="100"/>
      <c r="AK337" s="100"/>
      <c r="AL337" s="100"/>
      <c r="AM337" s="100"/>
      <c r="AN337" s="100"/>
      <c r="AO337" s="100"/>
      <c r="AP337" s="99"/>
      <c r="AQ337" s="99"/>
      <c r="AR337" s="99"/>
      <c r="AS337" s="99"/>
      <c r="AT337" s="99"/>
    </row>
    <row r="338" spans="25:46" x14ac:dyDescent="0.2">
      <c r="Y338" s="100"/>
      <c r="Z338" s="100"/>
      <c r="AA338" s="100"/>
      <c r="AB338" s="100"/>
      <c r="AC338" s="100"/>
      <c r="AD338" s="100"/>
      <c r="AE338" s="100"/>
      <c r="AF338" s="100"/>
      <c r="AG338" s="100"/>
      <c r="AH338" s="100"/>
      <c r="AI338" s="100"/>
      <c r="AJ338" s="100"/>
      <c r="AK338" s="100"/>
      <c r="AL338" s="100"/>
      <c r="AM338" s="100"/>
      <c r="AN338" s="100"/>
      <c r="AO338" s="100"/>
      <c r="AP338" s="99"/>
      <c r="AQ338" s="99"/>
      <c r="AR338" s="99"/>
      <c r="AS338" s="99"/>
      <c r="AT338" s="99"/>
    </row>
    <row r="339" spans="25:46" x14ac:dyDescent="0.2">
      <c r="Y339" s="100"/>
      <c r="Z339" s="100"/>
      <c r="AA339" s="100"/>
      <c r="AB339" s="100"/>
      <c r="AC339" s="100"/>
      <c r="AD339" s="100"/>
      <c r="AE339" s="100"/>
      <c r="AF339" s="100"/>
      <c r="AG339" s="100"/>
      <c r="AH339" s="100"/>
      <c r="AI339" s="100"/>
      <c r="AJ339" s="100"/>
      <c r="AK339" s="100"/>
      <c r="AL339" s="100"/>
      <c r="AM339" s="100"/>
      <c r="AN339" s="100"/>
      <c r="AO339" s="100"/>
      <c r="AP339" s="99"/>
      <c r="AQ339" s="99"/>
      <c r="AR339" s="99"/>
      <c r="AS339" s="99"/>
      <c r="AT339" s="99"/>
    </row>
    <row r="340" spans="25:46" x14ac:dyDescent="0.2">
      <c r="Y340" s="100"/>
      <c r="Z340" s="100"/>
      <c r="AA340" s="100"/>
      <c r="AB340" s="100"/>
      <c r="AC340" s="100"/>
      <c r="AD340" s="100"/>
      <c r="AE340" s="100"/>
      <c r="AF340" s="100"/>
      <c r="AG340" s="100"/>
      <c r="AH340" s="100"/>
      <c r="AI340" s="100"/>
      <c r="AJ340" s="100"/>
      <c r="AK340" s="100"/>
      <c r="AL340" s="100"/>
      <c r="AM340" s="100"/>
      <c r="AN340" s="100"/>
      <c r="AO340" s="100"/>
      <c r="AP340" s="99"/>
      <c r="AQ340" s="99"/>
      <c r="AR340" s="99"/>
      <c r="AS340" s="99"/>
      <c r="AT340" s="99"/>
    </row>
    <row r="341" spans="25:46" x14ac:dyDescent="0.2">
      <c r="Y341" s="100"/>
      <c r="Z341" s="100"/>
      <c r="AA341" s="100"/>
      <c r="AB341" s="100"/>
      <c r="AC341" s="100"/>
      <c r="AD341" s="100"/>
      <c r="AE341" s="100"/>
      <c r="AF341" s="100"/>
      <c r="AG341" s="100"/>
      <c r="AH341" s="100"/>
      <c r="AI341" s="100"/>
      <c r="AJ341" s="100"/>
      <c r="AK341" s="100"/>
      <c r="AL341" s="100"/>
      <c r="AM341" s="100"/>
      <c r="AN341" s="100"/>
      <c r="AO341" s="100"/>
      <c r="AP341" s="99"/>
      <c r="AQ341" s="99"/>
      <c r="AR341" s="99"/>
      <c r="AS341" s="99"/>
      <c r="AT341" s="99"/>
    </row>
    <row r="342" spans="25:46" x14ac:dyDescent="0.2">
      <c r="Y342" s="100"/>
      <c r="Z342" s="100"/>
      <c r="AA342" s="100"/>
      <c r="AB342" s="100"/>
      <c r="AC342" s="100"/>
      <c r="AD342" s="100"/>
      <c r="AE342" s="100"/>
      <c r="AF342" s="100"/>
      <c r="AG342" s="100"/>
      <c r="AH342" s="100"/>
      <c r="AI342" s="100"/>
      <c r="AJ342" s="100"/>
      <c r="AK342" s="100"/>
      <c r="AL342" s="100"/>
      <c r="AM342" s="100"/>
      <c r="AN342" s="100"/>
      <c r="AO342" s="100"/>
      <c r="AP342" s="99"/>
      <c r="AQ342" s="99"/>
      <c r="AR342" s="99"/>
      <c r="AS342" s="99"/>
      <c r="AT342" s="99"/>
    </row>
    <row r="343" spans="25:46" x14ac:dyDescent="0.2">
      <c r="Y343" s="100"/>
      <c r="Z343" s="100"/>
      <c r="AA343" s="100"/>
      <c r="AB343" s="100"/>
      <c r="AC343" s="100"/>
      <c r="AD343" s="100"/>
      <c r="AE343" s="100"/>
      <c r="AF343" s="100"/>
      <c r="AG343" s="100"/>
      <c r="AH343" s="100"/>
      <c r="AI343" s="100"/>
      <c r="AJ343" s="100"/>
      <c r="AK343" s="100"/>
      <c r="AL343" s="100"/>
      <c r="AM343" s="100"/>
      <c r="AN343" s="100"/>
      <c r="AO343" s="100"/>
      <c r="AP343" s="99"/>
      <c r="AQ343" s="99"/>
      <c r="AR343" s="99"/>
      <c r="AS343" s="99"/>
      <c r="AT343" s="99"/>
    </row>
    <row r="344" spans="25:46" x14ac:dyDescent="0.2">
      <c r="Y344" s="100"/>
      <c r="Z344" s="100"/>
      <c r="AA344" s="100"/>
      <c r="AB344" s="100"/>
      <c r="AC344" s="100"/>
      <c r="AD344" s="100"/>
      <c r="AE344" s="100"/>
      <c r="AF344" s="100"/>
      <c r="AG344" s="100"/>
      <c r="AH344" s="100"/>
      <c r="AI344" s="100"/>
      <c r="AJ344" s="100"/>
      <c r="AK344" s="100"/>
      <c r="AL344" s="100"/>
      <c r="AM344" s="100"/>
      <c r="AN344" s="100"/>
      <c r="AO344" s="100"/>
      <c r="AP344" s="99"/>
      <c r="AQ344" s="99"/>
      <c r="AR344" s="99"/>
      <c r="AS344" s="99"/>
      <c r="AT344" s="99"/>
    </row>
    <row r="345" spans="25:46" x14ac:dyDescent="0.2">
      <c r="Y345" s="100"/>
      <c r="Z345" s="100"/>
      <c r="AA345" s="100"/>
      <c r="AB345" s="100"/>
      <c r="AC345" s="100"/>
      <c r="AD345" s="100"/>
      <c r="AE345" s="100"/>
      <c r="AF345" s="100"/>
      <c r="AG345" s="100"/>
      <c r="AH345" s="100"/>
      <c r="AI345" s="100"/>
      <c r="AJ345" s="100"/>
      <c r="AK345" s="100"/>
      <c r="AL345" s="100"/>
      <c r="AM345" s="100"/>
      <c r="AN345" s="100"/>
      <c r="AO345" s="100"/>
      <c r="AP345" s="99"/>
      <c r="AQ345" s="99"/>
      <c r="AR345" s="99"/>
      <c r="AS345" s="99"/>
      <c r="AT345" s="99"/>
    </row>
    <row r="346" spans="25:46" x14ac:dyDescent="0.2">
      <c r="Y346" s="100"/>
      <c r="Z346" s="100"/>
      <c r="AA346" s="100"/>
      <c r="AB346" s="100"/>
      <c r="AC346" s="100"/>
      <c r="AD346" s="100"/>
      <c r="AE346" s="100"/>
      <c r="AF346" s="100"/>
      <c r="AG346" s="100"/>
      <c r="AH346" s="100"/>
      <c r="AI346" s="100"/>
      <c r="AJ346" s="100"/>
      <c r="AK346" s="100"/>
      <c r="AL346" s="100"/>
      <c r="AM346" s="100"/>
      <c r="AN346" s="100"/>
      <c r="AO346" s="100"/>
      <c r="AP346" s="99"/>
      <c r="AQ346" s="99"/>
      <c r="AR346" s="99"/>
      <c r="AS346" s="99"/>
      <c r="AT346" s="99"/>
    </row>
    <row r="347" spans="25:46" x14ac:dyDescent="0.2">
      <c r="Y347" s="100"/>
      <c r="Z347" s="100"/>
      <c r="AA347" s="100"/>
      <c r="AB347" s="100"/>
      <c r="AC347" s="100"/>
      <c r="AD347" s="100"/>
      <c r="AE347" s="100"/>
      <c r="AF347" s="100"/>
      <c r="AG347" s="100"/>
      <c r="AH347" s="100"/>
      <c r="AI347" s="100"/>
      <c r="AJ347" s="100"/>
      <c r="AK347" s="100"/>
      <c r="AL347" s="100"/>
      <c r="AM347" s="100"/>
      <c r="AN347" s="100"/>
      <c r="AO347" s="100"/>
      <c r="AP347" s="99"/>
      <c r="AQ347" s="99"/>
      <c r="AR347" s="99"/>
      <c r="AS347" s="99"/>
      <c r="AT347" s="99"/>
    </row>
    <row r="348" spans="25:46" x14ac:dyDescent="0.2">
      <c r="Y348" s="100"/>
      <c r="Z348" s="100"/>
      <c r="AA348" s="100"/>
      <c r="AB348" s="100"/>
      <c r="AC348" s="100"/>
      <c r="AD348" s="100"/>
      <c r="AE348" s="100"/>
      <c r="AF348" s="100"/>
      <c r="AG348" s="100"/>
      <c r="AH348" s="100"/>
      <c r="AI348" s="100"/>
      <c r="AJ348" s="100"/>
      <c r="AK348" s="100"/>
      <c r="AL348" s="100"/>
      <c r="AM348" s="100"/>
      <c r="AN348" s="100"/>
      <c r="AO348" s="100"/>
      <c r="AP348" s="99"/>
      <c r="AQ348" s="99"/>
      <c r="AR348" s="99"/>
      <c r="AS348" s="99"/>
      <c r="AT348" s="99"/>
    </row>
    <row r="349" spans="25:46" x14ac:dyDescent="0.2">
      <c r="Y349" s="100"/>
      <c r="Z349" s="100"/>
      <c r="AA349" s="100"/>
      <c r="AB349" s="100"/>
      <c r="AC349" s="100"/>
      <c r="AD349" s="100"/>
      <c r="AE349" s="100"/>
      <c r="AF349" s="100"/>
      <c r="AG349" s="100"/>
      <c r="AH349" s="100"/>
      <c r="AI349" s="100"/>
      <c r="AJ349" s="100"/>
      <c r="AK349" s="100"/>
      <c r="AL349" s="100"/>
      <c r="AM349" s="100"/>
      <c r="AN349" s="100"/>
      <c r="AO349" s="100"/>
      <c r="AP349" s="99"/>
      <c r="AQ349" s="99"/>
      <c r="AR349" s="99"/>
      <c r="AS349" s="99"/>
      <c r="AT349" s="99"/>
    </row>
    <row r="350" spans="25:46" x14ac:dyDescent="0.2">
      <c r="Y350" s="100"/>
      <c r="Z350" s="100"/>
      <c r="AA350" s="100"/>
      <c r="AB350" s="100"/>
      <c r="AC350" s="100"/>
      <c r="AD350" s="100"/>
      <c r="AE350" s="100"/>
      <c r="AF350" s="100"/>
      <c r="AG350" s="100"/>
      <c r="AH350" s="100"/>
      <c r="AI350" s="100"/>
      <c r="AJ350" s="100"/>
      <c r="AK350" s="100"/>
      <c r="AL350" s="100"/>
      <c r="AM350" s="100"/>
      <c r="AN350" s="100"/>
      <c r="AO350" s="100"/>
      <c r="AP350" s="99"/>
      <c r="AQ350" s="99"/>
      <c r="AR350" s="99"/>
      <c r="AS350" s="99"/>
      <c r="AT350" s="99"/>
    </row>
    <row r="351" spans="25:46" x14ac:dyDescent="0.2">
      <c r="Y351" s="100"/>
      <c r="Z351" s="100"/>
      <c r="AA351" s="100"/>
      <c r="AB351" s="100"/>
      <c r="AC351" s="100"/>
      <c r="AD351" s="100"/>
      <c r="AE351" s="100"/>
      <c r="AF351" s="100"/>
      <c r="AG351" s="100"/>
      <c r="AH351" s="100"/>
      <c r="AI351" s="100"/>
      <c r="AJ351" s="100"/>
      <c r="AK351" s="100"/>
      <c r="AL351" s="100"/>
      <c r="AM351" s="100"/>
      <c r="AN351" s="100"/>
      <c r="AO351" s="100"/>
      <c r="AP351" s="99"/>
      <c r="AQ351" s="99"/>
      <c r="AR351" s="99"/>
      <c r="AS351" s="99"/>
      <c r="AT351" s="99"/>
    </row>
    <row r="352" spans="25:46" x14ac:dyDescent="0.2">
      <c r="Y352" s="100"/>
      <c r="Z352" s="100"/>
      <c r="AA352" s="100"/>
      <c r="AB352" s="100"/>
      <c r="AC352" s="100"/>
      <c r="AD352" s="100"/>
      <c r="AE352" s="100"/>
      <c r="AF352" s="100"/>
      <c r="AG352" s="100"/>
      <c r="AH352" s="100"/>
      <c r="AI352" s="100"/>
      <c r="AJ352" s="100"/>
      <c r="AK352" s="100"/>
      <c r="AL352" s="100"/>
      <c r="AM352" s="100"/>
      <c r="AN352" s="100"/>
      <c r="AO352" s="100"/>
      <c r="AP352" s="99"/>
      <c r="AQ352" s="99"/>
      <c r="AR352" s="99"/>
      <c r="AS352" s="99"/>
      <c r="AT352" s="99"/>
    </row>
    <row r="353" spans="25:46" x14ac:dyDescent="0.2">
      <c r="Y353" s="100"/>
      <c r="Z353" s="100"/>
      <c r="AA353" s="100"/>
      <c r="AB353" s="100"/>
      <c r="AC353" s="100"/>
      <c r="AD353" s="100"/>
      <c r="AE353" s="100"/>
      <c r="AF353" s="100"/>
      <c r="AG353" s="100"/>
      <c r="AH353" s="100"/>
      <c r="AI353" s="100"/>
      <c r="AJ353" s="100"/>
      <c r="AK353" s="100"/>
      <c r="AL353" s="100"/>
      <c r="AM353" s="100"/>
      <c r="AN353" s="100"/>
      <c r="AO353" s="100"/>
      <c r="AP353" s="99"/>
      <c r="AQ353" s="99"/>
      <c r="AR353" s="99"/>
      <c r="AS353" s="99"/>
      <c r="AT353" s="99"/>
    </row>
    <row r="354" spans="25:46" x14ac:dyDescent="0.2">
      <c r="Y354" s="100"/>
      <c r="Z354" s="100"/>
      <c r="AA354" s="100"/>
      <c r="AB354" s="100"/>
      <c r="AC354" s="100"/>
      <c r="AD354" s="100"/>
      <c r="AE354" s="100"/>
      <c r="AF354" s="100"/>
      <c r="AG354" s="100"/>
      <c r="AH354" s="100"/>
      <c r="AI354" s="100"/>
      <c r="AJ354" s="100"/>
      <c r="AK354" s="100"/>
      <c r="AL354" s="100"/>
      <c r="AM354" s="100"/>
      <c r="AN354" s="100"/>
      <c r="AO354" s="100"/>
      <c r="AP354" s="99"/>
      <c r="AQ354" s="99"/>
      <c r="AR354" s="99"/>
      <c r="AS354" s="99"/>
      <c r="AT354" s="99"/>
    </row>
    <row r="355" spans="25:46" x14ac:dyDescent="0.2">
      <c r="Y355" s="100"/>
      <c r="Z355" s="100"/>
      <c r="AA355" s="100"/>
      <c r="AB355" s="100"/>
      <c r="AC355" s="100"/>
      <c r="AD355" s="100"/>
      <c r="AE355" s="100"/>
      <c r="AF355" s="100"/>
      <c r="AG355" s="100"/>
      <c r="AH355" s="100"/>
      <c r="AI355" s="100"/>
      <c r="AJ355" s="100"/>
      <c r="AK355" s="100"/>
      <c r="AL355" s="100"/>
      <c r="AM355" s="100"/>
      <c r="AN355" s="100"/>
      <c r="AO355" s="100"/>
      <c r="AP355" s="99"/>
      <c r="AQ355" s="99"/>
      <c r="AR355" s="99"/>
      <c r="AS355" s="99"/>
      <c r="AT355" s="99"/>
    </row>
    <row r="356" spans="25:46" x14ac:dyDescent="0.2">
      <c r="Y356" s="100"/>
      <c r="Z356" s="100"/>
      <c r="AA356" s="100"/>
      <c r="AB356" s="100"/>
      <c r="AC356" s="100"/>
      <c r="AD356" s="100"/>
      <c r="AE356" s="100"/>
      <c r="AF356" s="100"/>
      <c r="AG356" s="100"/>
      <c r="AH356" s="100"/>
      <c r="AI356" s="100"/>
      <c r="AJ356" s="100"/>
      <c r="AK356" s="100"/>
      <c r="AL356" s="100"/>
      <c r="AM356" s="100"/>
      <c r="AN356" s="100"/>
      <c r="AO356" s="100"/>
      <c r="AP356" s="99"/>
      <c r="AQ356" s="99"/>
      <c r="AR356" s="99"/>
      <c r="AS356" s="99"/>
      <c r="AT356" s="99"/>
    </row>
    <row r="357" spans="25:46" x14ac:dyDescent="0.2">
      <c r="Y357" s="100"/>
      <c r="Z357" s="100"/>
      <c r="AA357" s="100"/>
      <c r="AB357" s="100"/>
      <c r="AC357" s="100"/>
      <c r="AD357" s="100"/>
      <c r="AE357" s="100"/>
      <c r="AF357" s="100"/>
      <c r="AG357" s="100"/>
      <c r="AH357" s="100"/>
      <c r="AI357" s="100"/>
      <c r="AJ357" s="100"/>
      <c r="AK357" s="100"/>
      <c r="AL357" s="100"/>
      <c r="AM357" s="100"/>
      <c r="AN357" s="100"/>
      <c r="AO357" s="100"/>
      <c r="AP357" s="99"/>
      <c r="AQ357" s="99"/>
      <c r="AR357" s="99"/>
      <c r="AS357" s="99"/>
      <c r="AT357" s="99"/>
    </row>
    <row r="358" spans="25:46" x14ac:dyDescent="0.2">
      <c r="Y358" s="100"/>
      <c r="Z358" s="100"/>
      <c r="AA358" s="100"/>
      <c r="AB358" s="100"/>
      <c r="AC358" s="100"/>
      <c r="AD358" s="100"/>
      <c r="AE358" s="100"/>
      <c r="AF358" s="100"/>
      <c r="AG358" s="100"/>
      <c r="AH358" s="100"/>
      <c r="AI358" s="100"/>
      <c r="AJ358" s="100"/>
      <c r="AK358" s="100"/>
      <c r="AL358" s="100"/>
      <c r="AM358" s="100"/>
      <c r="AN358" s="100"/>
      <c r="AO358" s="100"/>
      <c r="AP358" s="99"/>
      <c r="AQ358" s="99"/>
      <c r="AR358" s="99"/>
      <c r="AS358" s="99"/>
      <c r="AT358" s="99"/>
    </row>
    <row r="359" spans="25:46" x14ac:dyDescent="0.2">
      <c r="Y359" s="100"/>
      <c r="Z359" s="100"/>
      <c r="AA359" s="100"/>
      <c r="AB359" s="100"/>
      <c r="AC359" s="100"/>
      <c r="AD359" s="100"/>
      <c r="AE359" s="100"/>
      <c r="AF359" s="100"/>
      <c r="AG359" s="100"/>
      <c r="AH359" s="100"/>
      <c r="AI359" s="100"/>
      <c r="AJ359" s="100"/>
      <c r="AK359" s="100"/>
      <c r="AL359" s="100"/>
      <c r="AM359" s="100"/>
      <c r="AN359" s="100"/>
      <c r="AO359" s="100"/>
      <c r="AP359" s="99"/>
      <c r="AQ359" s="99"/>
      <c r="AR359" s="99"/>
      <c r="AS359" s="99"/>
      <c r="AT359" s="99"/>
    </row>
    <row r="360" spans="25:46" x14ac:dyDescent="0.2">
      <c r="Y360" s="100"/>
      <c r="Z360" s="100"/>
      <c r="AA360" s="100"/>
      <c r="AB360" s="100"/>
      <c r="AC360" s="100"/>
      <c r="AD360" s="100"/>
      <c r="AE360" s="100"/>
      <c r="AF360" s="100"/>
      <c r="AG360" s="100"/>
      <c r="AH360" s="100"/>
      <c r="AI360" s="100"/>
      <c r="AJ360" s="100"/>
      <c r="AK360" s="100"/>
      <c r="AL360" s="100"/>
      <c r="AM360" s="100"/>
      <c r="AN360" s="100"/>
      <c r="AO360" s="100"/>
      <c r="AP360" s="99"/>
      <c r="AQ360" s="99"/>
      <c r="AR360" s="99"/>
      <c r="AS360" s="99"/>
      <c r="AT360" s="99"/>
    </row>
    <row r="361" spans="25:46" x14ac:dyDescent="0.2">
      <c r="Y361" s="100"/>
      <c r="Z361" s="100"/>
      <c r="AA361" s="100"/>
      <c r="AB361" s="100"/>
      <c r="AC361" s="100"/>
      <c r="AD361" s="100"/>
      <c r="AE361" s="100"/>
      <c r="AF361" s="100"/>
      <c r="AG361" s="100"/>
      <c r="AH361" s="100"/>
      <c r="AI361" s="100"/>
      <c r="AJ361" s="100"/>
      <c r="AK361" s="100"/>
      <c r="AL361" s="100"/>
      <c r="AM361" s="100"/>
      <c r="AN361" s="100"/>
      <c r="AO361" s="100"/>
      <c r="AP361" s="99"/>
      <c r="AQ361" s="99"/>
      <c r="AR361" s="99"/>
      <c r="AS361" s="99"/>
      <c r="AT361" s="99"/>
    </row>
    <row r="362" spans="25:46" x14ac:dyDescent="0.2">
      <c r="Y362" s="100"/>
      <c r="Z362" s="100"/>
      <c r="AA362" s="100"/>
      <c r="AB362" s="100"/>
      <c r="AC362" s="100"/>
      <c r="AD362" s="100"/>
      <c r="AE362" s="100"/>
      <c r="AF362" s="100"/>
      <c r="AG362" s="100"/>
      <c r="AH362" s="100"/>
      <c r="AI362" s="100"/>
      <c r="AJ362" s="100"/>
      <c r="AK362" s="100"/>
      <c r="AL362" s="100"/>
      <c r="AM362" s="100"/>
      <c r="AN362" s="100"/>
      <c r="AO362" s="100"/>
      <c r="AP362" s="99"/>
      <c r="AQ362" s="99"/>
      <c r="AR362" s="99"/>
      <c r="AS362" s="99"/>
      <c r="AT362" s="99"/>
    </row>
    <row r="363" spans="25:46" x14ac:dyDescent="0.2">
      <c r="Y363" s="100"/>
      <c r="Z363" s="100"/>
      <c r="AA363" s="100"/>
      <c r="AB363" s="100"/>
      <c r="AC363" s="100"/>
      <c r="AD363" s="100"/>
      <c r="AE363" s="100"/>
      <c r="AF363" s="100"/>
      <c r="AG363" s="100"/>
      <c r="AH363" s="100"/>
      <c r="AI363" s="100"/>
      <c r="AJ363" s="100"/>
      <c r="AK363" s="100"/>
      <c r="AL363" s="100"/>
      <c r="AM363" s="100"/>
      <c r="AN363" s="100"/>
      <c r="AO363" s="100"/>
      <c r="AP363" s="99"/>
      <c r="AQ363" s="99"/>
      <c r="AR363" s="99"/>
      <c r="AS363" s="99"/>
      <c r="AT363" s="99"/>
    </row>
    <row r="364" spans="25:46" x14ac:dyDescent="0.2">
      <c r="Y364" s="100"/>
      <c r="Z364" s="100"/>
      <c r="AA364" s="100"/>
      <c r="AB364" s="100"/>
      <c r="AC364" s="100"/>
      <c r="AD364" s="100"/>
      <c r="AE364" s="100"/>
      <c r="AF364" s="100"/>
      <c r="AG364" s="100"/>
      <c r="AH364" s="100"/>
      <c r="AI364" s="100"/>
      <c r="AJ364" s="100"/>
      <c r="AK364" s="100"/>
      <c r="AL364" s="100"/>
      <c r="AM364" s="100"/>
      <c r="AN364" s="100"/>
      <c r="AO364" s="100"/>
      <c r="AP364" s="99"/>
      <c r="AQ364" s="99"/>
      <c r="AR364" s="99"/>
      <c r="AS364" s="99"/>
      <c r="AT364" s="99"/>
    </row>
    <row r="365" spans="25:46" x14ac:dyDescent="0.2">
      <c r="Y365" s="100"/>
      <c r="Z365" s="100"/>
      <c r="AA365" s="100"/>
      <c r="AB365" s="100"/>
      <c r="AC365" s="100"/>
      <c r="AD365" s="100"/>
      <c r="AE365" s="100"/>
      <c r="AF365" s="100"/>
      <c r="AG365" s="100"/>
      <c r="AH365" s="100"/>
      <c r="AI365" s="100"/>
      <c r="AJ365" s="100"/>
      <c r="AK365" s="100"/>
      <c r="AL365" s="100"/>
      <c r="AM365" s="100"/>
      <c r="AN365" s="100"/>
      <c r="AO365" s="100"/>
      <c r="AP365" s="99"/>
      <c r="AQ365" s="99"/>
      <c r="AR365" s="99"/>
      <c r="AS365" s="99"/>
      <c r="AT365" s="99"/>
    </row>
    <row r="366" spans="25:46" x14ac:dyDescent="0.2">
      <c r="Y366" s="100"/>
      <c r="Z366" s="100"/>
      <c r="AA366" s="100"/>
      <c r="AB366" s="100"/>
      <c r="AC366" s="100"/>
      <c r="AD366" s="100"/>
      <c r="AE366" s="100"/>
      <c r="AF366" s="100"/>
      <c r="AG366" s="100"/>
      <c r="AH366" s="100"/>
      <c r="AI366" s="100"/>
      <c r="AJ366" s="100"/>
      <c r="AK366" s="100"/>
      <c r="AL366" s="100"/>
      <c r="AM366" s="100"/>
      <c r="AN366" s="100"/>
      <c r="AO366" s="100"/>
      <c r="AP366" s="99"/>
      <c r="AQ366" s="99"/>
      <c r="AR366" s="99"/>
      <c r="AS366" s="99"/>
      <c r="AT366" s="99"/>
    </row>
    <row r="367" spans="25:46" x14ac:dyDescent="0.2">
      <c r="Y367" s="100"/>
      <c r="Z367" s="100"/>
      <c r="AA367" s="100"/>
      <c r="AB367" s="100"/>
      <c r="AC367" s="100"/>
      <c r="AD367" s="100"/>
      <c r="AE367" s="100"/>
      <c r="AF367" s="100"/>
      <c r="AG367" s="100"/>
      <c r="AH367" s="100"/>
      <c r="AI367" s="100"/>
      <c r="AJ367" s="100"/>
      <c r="AK367" s="100"/>
      <c r="AL367" s="100"/>
      <c r="AM367" s="100"/>
      <c r="AN367" s="100"/>
      <c r="AO367" s="100"/>
      <c r="AP367" s="99"/>
      <c r="AQ367" s="99"/>
      <c r="AR367" s="99"/>
      <c r="AS367" s="99"/>
      <c r="AT367" s="99"/>
    </row>
    <row r="368" spans="25:46" x14ac:dyDescent="0.2">
      <c r="Y368" s="100"/>
      <c r="Z368" s="100"/>
      <c r="AA368" s="100"/>
      <c r="AB368" s="100"/>
      <c r="AC368" s="100"/>
      <c r="AD368" s="100"/>
      <c r="AE368" s="100"/>
      <c r="AF368" s="100"/>
      <c r="AG368" s="100"/>
      <c r="AH368" s="100"/>
      <c r="AI368" s="100"/>
      <c r="AJ368" s="100"/>
      <c r="AK368" s="100"/>
      <c r="AL368" s="100"/>
      <c r="AM368" s="100"/>
      <c r="AN368" s="100"/>
      <c r="AO368" s="100"/>
      <c r="AP368" s="99"/>
      <c r="AQ368" s="99"/>
      <c r="AR368" s="99"/>
      <c r="AS368" s="99"/>
      <c r="AT368" s="99"/>
    </row>
    <row r="369" spans="25:46" x14ac:dyDescent="0.2">
      <c r="Y369" s="100"/>
      <c r="Z369" s="100"/>
      <c r="AA369" s="100"/>
      <c r="AB369" s="100"/>
      <c r="AC369" s="100"/>
      <c r="AD369" s="100"/>
      <c r="AE369" s="100"/>
      <c r="AF369" s="100"/>
      <c r="AG369" s="100"/>
      <c r="AH369" s="100"/>
      <c r="AI369" s="100"/>
      <c r="AJ369" s="100"/>
      <c r="AK369" s="100"/>
      <c r="AL369" s="100"/>
      <c r="AM369" s="100"/>
      <c r="AN369" s="100"/>
      <c r="AO369" s="100"/>
      <c r="AP369" s="99"/>
      <c r="AQ369" s="99"/>
      <c r="AR369" s="99"/>
      <c r="AS369" s="99"/>
      <c r="AT369" s="99"/>
    </row>
    <row r="370" spans="25:46" x14ac:dyDescent="0.2">
      <c r="Y370" s="100"/>
      <c r="Z370" s="100"/>
      <c r="AA370" s="100"/>
      <c r="AB370" s="100"/>
      <c r="AC370" s="100"/>
      <c r="AD370" s="100"/>
      <c r="AE370" s="100"/>
      <c r="AF370" s="100"/>
      <c r="AG370" s="100"/>
      <c r="AH370" s="100"/>
      <c r="AI370" s="100"/>
      <c r="AJ370" s="100"/>
      <c r="AK370" s="100"/>
      <c r="AL370" s="100"/>
      <c r="AM370" s="100"/>
      <c r="AN370" s="100"/>
      <c r="AO370" s="100"/>
      <c r="AP370" s="99"/>
      <c r="AQ370" s="99"/>
      <c r="AR370" s="99"/>
      <c r="AS370" s="99"/>
      <c r="AT370" s="99"/>
    </row>
    <row r="371" spans="25:46" x14ac:dyDescent="0.2">
      <c r="Y371" s="100"/>
      <c r="Z371" s="100"/>
      <c r="AA371" s="100"/>
      <c r="AB371" s="100"/>
      <c r="AC371" s="100"/>
      <c r="AD371" s="100"/>
      <c r="AE371" s="100"/>
      <c r="AF371" s="100"/>
      <c r="AG371" s="100"/>
      <c r="AH371" s="100"/>
      <c r="AI371" s="100"/>
      <c r="AJ371" s="100"/>
      <c r="AK371" s="100"/>
      <c r="AL371" s="100"/>
      <c r="AM371" s="100"/>
      <c r="AN371" s="100"/>
      <c r="AO371" s="100"/>
      <c r="AP371" s="99"/>
      <c r="AQ371" s="99"/>
      <c r="AR371" s="99"/>
      <c r="AS371" s="99"/>
      <c r="AT371" s="99"/>
    </row>
    <row r="372" spans="25:46" x14ac:dyDescent="0.2">
      <c r="Y372" s="100"/>
      <c r="Z372" s="100"/>
      <c r="AA372" s="100"/>
      <c r="AB372" s="100"/>
      <c r="AC372" s="100"/>
      <c r="AD372" s="100"/>
      <c r="AE372" s="100"/>
      <c r="AF372" s="100"/>
      <c r="AG372" s="100"/>
      <c r="AH372" s="100"/>
      <c r="AI372" s="100"/>
      <c r="AJ372" s="100"/>
      <c r="AK372" s="100"/>
      <c r="AL372" s="100"/>
      <c r="AM372" s="100"/>
      <c r="AN372" s="100"/>
      <c r="AO372" s="100"/>
      <c r="AP372" s="99"/>
      <c r="AQ372" s="99"/>
      <c r="AR372" s="99"/>
      <c r="AS372" s="99"/>
      <c r="AT372" s="99"/>
    </row>
    <row r="373" spans="25:46" x14ac:dyDescent="0.2">
      <c r="Y373" s="100"/>
      <c r="Z373" s="100"/>
      <c r="AA373" s="100"/>
      <c r="AB373" s="100"/>
      <c r="AC373" s="100"/>
      <c r="AD373" s="100"/>
      <c r="AE373" s="100"/>
      <c r="AF373" s="100"/>
      <c r="AG373" s="100"/>
      <c r="AH373" s="100"/>
      <c r="AI373" s="100"/>
      <c r="AJ373" s="100"/>
      <c r="AK373" s="100"/>
      <c r="AL373" s="100"/>
      <c r="AM373" s="100"/>
      <c r="AN373" s="100"/>
      <c r="AO373" s="100"/>
      <c r="AP373" s="99"/>
      <c r="AQ373" s="99"/>
      <c r="AR373" s="99"/>
      <c r="AS373" s="99"/>
      <c r="AT373" s="99"/>
    </row>
    <row r="374" spans="25:46" x14ac:dyDescent="0.2">
      <c r="Y374" s="100"/>
      <c r="Z374" s="100"/>
      <c r="AA374" s="100"/>
      <c r="AB374" s="100"/>
      <c r="AC374" s="100"/>
      <c r="AD374" s="100"/>
      <c r="AE374" s="100"/>
      <c r="AF374" s="100"/>
      <c r="AG374" s="100"/>
      <c r="AH374" s="100"/>
      <c r="AI374" s="100"/>
      <c r="AJ374" s="100"/>
      <c r="AK374" s="100"/>
      <c r="AL374" s="100"/>
      <c r="AM374" s="100"/>
      <c r="AN374" s="100"/>
      <c r="AO374" s="100"/>
      <c r="AP374" s="99"/>
      <c r="AQ374" s="99"/>
      <c r="AR374" s="99"/>
      <c r="AS374" s="99"/>
      <c r="AT374" s="99"/>
    </row>
    <row r="375" spans="25:46" x14ac:dyDescent="0.2">
      <c r="Y375" s="100"/>
      <c r="Z375" s="100"/>
      <c r="AA375" s="100"/>
      <c r="AB375" s="100"/>
      <c r="AC375" s="100"/>
      <c r="AD375" s="100"/>
      <c r="AE375" s="100"/>
      <c r="AF375" s="100"/>
      <c r="AG375" s="100"/>
      <c r="AH375" s="100"/>
      <c r="AI375" s="100"/>
      <c r="AJ375" s="100"/>
      <c r="AK375" s="100"/>
      <c r="AL375" s="100"/>
      <c r="AM375" s="100"/>
      <c r="AN375" s="100"/>
      <c r="AO375" s="100"/>
      <c r="AP375" s="99"/>
      <c r="AQ375" s="99"/>
      <c r="AR375" s="99"/>
      <c r="AS375" s="99"/>
      <c r="AT375" s="99"/>
    </row>
    <row r="376" spans="25:46" x14ac:dyDescent="0.2">
      <c r="Y376" s="100"/>
      <c r="Z376" s="100"/>
      <c r="AA376" s="100"/>
      <c r="AB376" s="100"/>
      <c r="AC376" s="100"/>
      <c r="AD376" s="100"/>
      <c r="AE376" s="100"/>
      <c r="AF376" s="100"/>
      <c r="AG376" s="100"/>
      <c r="AH376" s="100"/>
      <c r="AI376" s="100"/>
      <c r="AJ376" s="100"/>
      <c r="AK376" s="100"/>
      <c r="AL376" s="100"/>
      <c r="AM376" s="100"/>
      <c r="AN376" s="100"/>
      <c r="AO376" s="100"/>
      <c r="AP376" s="99"/>
      <c r="AQ376" s="99"/>
      <c r="AR376" s="99"/>
      <c r="AS376" s="99"/>
      <c r="AT376" s="99"/>
    </row>
    <row r="377" spans="25:46" x14ac:dyDescent="0.2">
      <c r="Y377" s="100"/>
      <c r="Z377" s="100"/>
      <c r="AA377" s="100"/>
      <c r="AB377" s="100"/>
      <c r="AC377" s="100"/>
      <c r="AD377" s="100"/>
      <c r="AE377" s="100"/>
      <c r="AF377" s="100"/>
      <c r="AG377" s="100"/>
      <c r="AH377" s="100"/>
      <c r="AI377" s="100"/>
      <c r="AJ377" s="100"/>
      <c r="AK377" s="100"/>
      <c r="AL377" s="100"/>
      <c r="AM377" s="100"/>
      <c r="AN377" s="100"/>
      <c r="AO377" s="100"/>
      <c r="AP377" s="99"/>
      <c r="AQ377" s="99"/>
      <c r="AR377" s="99"/>
      <c r="AS377" s="99"/>
      <c r="AT377" s="99"/>
    </row>
    <row r="378" spans="25:46" x14ac:dyDescent="0.2">
      <c r="Y378" s="100"/>
      <c r="Z378" s="100"/>
      <c r="AA378" s="100"/>
      <c r="AB378" s="100"/>
      <c r="AC378" s="100"/>
      <c r="AD378" s="100"/>
      <c r="AE378" s="100"/>
      <c r="AF378" s="100"/>
      <c r="AG378" s="100"/>
      <c r="AH378" s="100"/>
      <c r="AI378" s="100"/>
      <c r="AJ378" s="100"/>
      <c r="AK378" s="100"/>
      <c r="AL378" s="100"/>
      <c r="AM378" s="100"/>
      <c r="AN378" s="100"/>
      <c r="AO378" s="100"/>
      <c r="AP378" s="99"/>
      <c r="AQ378" s="99"/>
      <c r="AR378" s="99"/>
      <c r="AS378" s="99"/>
      <c r="AT378" s="99"/>
    </row>
    <row r="379" spans="25:46" x14ac:dyDescent="0.2">
      <c r="Y379" s="100"/>
      <c r="Z379" s="100"/>
      <c r="AA379" s="100"/>
      <c r="AB379" s="100"/>
      <c r="AC379" s="100"/>
      <c r="AD379" s="100"/>
      <c r="AE379" s="100"/>
      <c r="AF379" s="100"/>
      <c r="AG379" s="100"/>
      <c r="AH379" s="100"/>
      <c r="AI379" s="100"/>
      <c r="AJ379" s="100"/>
      <c r="AK379" s="100"/>
      <c r="AL379" s="100"/>
      <c r="AM379" s="100"/>
      <c r="AN379" s="100"/>
      <c r="AO379" s="100"/>
      <c r="AP379" s="99"/>
      <c r="AQ379" s="99"/>
      <c r="AR379" s="99"/>
      <c r="AS379" s="99"/>
      <c r="AT379" s="99"/>
    </row>
    <row r="380" spans="25:46" x14ac:dyDescent="0.2">
      <c r="Y380" s="100"/>
      <c r="Z380" s="100"/>
      <c r="AA380" s="100"/>
      <c r="AB380" s="100"/>
      <c r="AC380" s="100"/>
      <c r="AD380" s="100"/>
      <c r="AE380" s="100"/>
      <c r="AF380" s="100"/>
      <c r="AG380" s="100"/>
      <c r="AH380" s="100"/>
      <c r="AI380" s="100"/>
      <c r="AJ380" s="100"/>
      <c r="AK380" s="100"/>
      <c r="AL380" s="100"/>
      <c r="AM380" s="100"/>
      <c r="AN380" s="100"/>
      <c r="AO380" s="100"/>
      <c r="AP380" s="99"/>
      <c r="AQ380" s="99"/>
      <c r="AR380" s="99"/>
      <c r="AS380" s="99"/>
      <c r="AT380" s="99"/>
    </row>
    <row r="381" spans="25:46" x14ac:dyDescent="0.2">
      <c r="Y381" s="100"/>
      <c r="Z381" s="100"/>
      <c r="AA381" s="100"/>
      <c r="AB381" s="100"/>
      <c r="AC381" s="100"/>
      <c r="AD381" s="100"/>
      <c r="AE381" s="100"/>
      <c r="AF381" s="100"/>
      <c r="AG381" s="100"/>
      <c r="AH381" s="100"/>
      <c r="AI381" s="100"/>
      <c r="AJ381" s="100"/>
      <c r="AK381" s="100"/>
      <c r="AL381" s="100"/>
      <c r="AM381" s="100"/>
      <c r="AN381" s="100"/>
      <c r="AO381" s="100"/>
      <c r="AP381" s="99"/>
      <c r="AQ381" s="99"/>
      <c r="AR381" s="99"/>
      <c r="AS381" s="99"/>
      <c r="AT381" s="99"/>
    </row>
    <row r="382" spans="25:46" x14ac:dyDescent="0.2">
      <c r="Y382" s="100"/>
      <c r="Z382" s="100"/>
      <c r="AA382" s="100"/>
      <c r="AB382" s="100"/>
      <c r="AC382" s="100"/>
      <c r="AD382" s="100"/>
      <c r="AE382" s="100"/>
      <c r="AF382" s="100"/>
      <c r="AG382" s="100"/>
      <c r="AH382" s="100"/>
      <c r="AI382" s="100"/>
      <c r="AJ382" s="100"/>
      <c r="AK382" s="100"/>
      <c r="AL382" s="100"/>
      <c r="AM382" s="100"/>
      <c r="AN382" s="100"/>
      <c r="AO382" s="100"/>
      <c r="AP382" s="99"/>
      <c r="AQ382" s="99"/>
      <c r="AR382" s="99"/>
      <c r="AS382" s="99"/>
      <c r="AT382" s="99"/>
    </row>
    <row r="383" spans="25:46" x14ac:dyDescent="0.2">
      <c r="Y383" s="100"/>
      <c r="Z383" s="100"/>
      <c r="AA383" s="100"/>
      <c r="AB383" s="100"/>
      <c r="AC383" s="100"/>
      <c r="AD383" s="100"/>
      <c r="AE383" s="100"/>
      <c r="AF383" s="100"/>
      <c r="AG383" s="100"/>
      <c r="AH383" s="100"/>
      <c r="AI383" s="100"/>
      <c r="AJ383" s="100"/>
      <c r="AK383" s="100"/>
      <c r="AL383" s="100"/>
      <c r="AM383" s="100"/>
      <c r="AN383" s="100"/>
      <c r="AO383" s="100"/>
      <c r="AP383" s="99"/>
      <c r="AQ383" s="99"/>
      <c r="AR383" s="99"/>
      <c r="AS383" s="99"/>
      <c r="AT383" s="99"/>
    </row>
    <row r="384" spans="25:46" x14ac:dyDescent="0.2">
      <c r="Y384" s="100"/>
      <c r="Z384" s="100"/>
      <c r="AA384" s="100"/>
      <c r="AB384" s="100"/>
      <c r="AC384" s="100"/>
      <c r="AD384" s="100"/>
      <c r="AE384" s="100"/>
      <c r="AF384" s="100"/>
      <c r="AG384" s="100"/>
      <c r="AH384" s="100"/>
      <c r="AI384" s="100"/>
      <c r="AJ384" s="100"/>
      <c r="AK384" s="100"/>
      <c r="AL384" s="100"/>
      <c r="AM384" s="100"/>
      <c r="AN384" s="100"/>
      <c r="AO384" s="100"/>
      <c r="AP384" s="99"/>
      <c r="AQ384" s="99"/>
      <c r="AR384" s="99"/>
      <c r="AS384" s="99"/>
      <c r="AT384" s="99"/>
    </row>
    <row r="385" spans="25:46" x14ac:dyDescent="0.2">
      <c r="Y385" s="100"/>
      <c r="Z385" s="100"/>
      <c r="AA385" s="100"/>
      <c r="AB385" s="100"/>
      <c r="AC385" s="100"/>
      <c r="AD385" s="100"/>
      <c r="AE385" s="100"/>
      <c r="AF385" s="100"/>
      <c r="AG385" s="100"/>
      <c r="AH385" s="100"/>
      <c r="AI385" s="100"/>
      <c r="AJ385" s="100"/>
      <c r="AK385" s="100"/>
      <c r="AL385" s="100"/>
      <c r="AM385" s="100"/>
      <c r="AN385" s="100"/>
      <c r="AO385" s="100"/>
      <c r="AP385" s="99"/>
      <c r="AQ385" s="99"/>
      <c r="AR385" s="99"/>
      <c r="AS385" s="99"/>
      <c r="AT385" s="99"/>
    </row>
    <row r="386" spans="25:46" x14ac:dyDescent="0.2">
      <c r="Y386" s="100"/>
      <c r="Z386" s="100"/>
      <c r="AA386" s="100"/>
      <c r="AB386" s="100"/>
      <c r="AC386" s="100"/>
      <c r="AD386" s="100"/>
      <c r="AE386" s="100"/>
      <c r="AF386" s="100"/>
      <c r="AG386" s="100"/>
      <c r="AH386" s="100"/>
      <c r="AI386" s="100"/>
      <c r="AJ386" s="100"/>
      <c r="AK386" s="100"/>
      <c r="AL386" s="100"/>
      <c r="AM386" s="100"/>
      <c r="AN386" s="100"/>
      <c r="AO386" s="100"/>
      <c r="AP386" s="99"/>
      <c r="AQ386" s="99"/>
      <c r="AR386" s="99"/>
      <c r="AS386" s="99"/>
      <c r="AT386" s="99"/>
    </row>
    <row r="387" spans="25:46" x14ac:dyDescent="0.2">
      <c r="Y387" s="100"/>
      <c r="Z387" s="100"/>
      <c r="AA387" s="100"/>
      <c r="AB387" s="100"/>
      <c r="AC387" s="100"/>
      <c r="AD387" s="100"/>
      <c r="AE387" s="100"/>
      <c r="AF387" s="100"/>
      <c r="AG387" s="100"/>
      <c r="AH387" s="100"/>
      <c r="AI387" s="100"/>
      <c r="AJ387" s="100"/>
      <c r="AK387" s="100"/>
      <c r="AL387" s="100"/>
      <c r="AM387" s="100"/>
      <c r="AN387" s="100"/>
      <c r="AO387" s="100"/>
      <c r="AP387" s="99"/>
      <c r="AQ387" s="99"/>
      <c r="AR387" s="99"/>
      <c r="AS387" s="99"/>
      <c r="AT387" s="99"/>
    </row>
    <row r="388" spans="25:46" x14ac:dyDescent="0.2">
      <c r="Y388" s="100"/>
      <c r="Z388" s="100"/>
      <c r="AA388" s="100"/>
      <c r="AB388" s="100"/>
      <c r="AC388" s="100"/>
      <c r="AD388" s="100"/>
      <c r="AE388" s="100"/>
      <c r="AF388" s="100"/>
      <c r="AG388" s="100"/>
      <c r="AH388" s="100"/>
      <c r="AI388" s="100"/>
      <c r="AJ388" s="100"/>
      <c r="AK388" s="100"/>
      <c r="AL388" s="100"/>
      <c r="AM388" s="100"/>
      <c r="AN388" s="100"/>
      <c r="AO388" s="100"/>
      <c r="AP388" s="99"/>
      <c r="AQ388" s="99"/>
      <c r="AR388" s="99"/>
      <c r="AS388" s="99"/>
      <c r="AT388" s="99"/>
    </row>
    <row r="389" spans="25:46" x14ac:dyDescent="0.2">
      <c r="Y389" s="100"/>
      <c r="Z389" s="100"/>
      <c r="AA389" s="100"/>
      <c r="AB389" s="100"/>
      <c r="AC389" s="100"/>
      <c r="AD389" s="100"/>
      <c r="AE389" s="100"/>
      <c r="AF389" s="100"/>
      <c r="AG389" s="100"/>
      <c r="AH389" s="100"/>
      <c r="AI389" s="100"/>
      <c r="AJ389" s="100"/>
      <c r="AK389" s="100"/>
      <c r="AL389" s="100"/>
      <c r="AM389" s="100"/>
      <c r="AN389" s="100"/>
      <c r="AO389" s="100"/>
      <c r="AP389" s="99"/>
      <c r="AQ389" s="99"/>
      <c r="AR389" s="99"/>
      <c r="AS389" s="99"/>
      <c r="AT389" s="99"/>
    </row>
    <row r="390" spans="25:46" x14ac:dyDescent="0.2">
      <c r="Y390" s="100"/>
      <c r="Z390" s="100"/>
      <c r="AA390" s="100"/>
      <c r="AB390" s="100"/>
      <c r="AC390" s="100"/>
      <c r="AD390" s="100"/>
      <c r="AE390" s="100"/>
      <c r="AF390" s="100"/>
      <c r="AG390" s="100"/>
      <c r="AH390" s="100"/>
      <c r="AI390" s="100"/>
      <c r="AJ390" s="100"/>
      <c r="AK390" s="100"/>
      <c r="AL390" s="100"/>
      <c r="AM390" s="100"/>
      <c r="AN390" s="100"/>
      <c r="AO390" s="100"/>
      <c r="AP390" s="99"/>
      <c r="AQ390" s="99"/>
      <c r="AR390" s="99"/>
      <c r="AS390" s="99"/>
      <c r="AT390" s="99"/>
    </row>
    <row r="391" spans="25:46" x14ac:dyDescent="0.2">
      <c r="Y391" s="100"/>
      <c r="Z391" s="100"/>
      <c r="AA391" s="100"/>
      <c r="AB391" s="100"/>
      <c r="AC391" s="100"/>
      <c r="AD391" s="100"/>
      <c r="AE391" s="100"/>
      <c r="AF391" s="100"/>
      <c r="AG391" s="100"/>
      <c r="AH391" s="100"/>
      <c r="AI391" s="100"/>
      <c r="AJ391" s="100"/>
      <c r="AK391" s="100"/>
      <c r="AL391" s="100"/>
      <c r="AM391" s="100"/>
      <c r="AN391" s="100"/>
      <c r="AO391" s="100"/>
      <c r="AP391" s="99"/>
      <c r="AQ391" s="99"/>
      <c r="AR391" s="99"/>
      <c r="AS391" s="99"/>
      <c r="AT391" s="99"/>
    </row>
    <row r="392" spans="25:46" x14ac:dyDescent="0.2">
      <c r="Y392" s="100"/>
      <c r="Z392" s="100"/>
      <c r="AA392" s="100"/>
      <c r="AB392" s="100"/>
      <c r="AC392" s="100"/>
      <c r="AD392" s="100"/>
      <c r="AE392" s="100"/>
      <c r="AF392" s="100"/>
      <c r="AG392" s="100"/>
      <c r="AH392" s="100"/>
      <c r="AI392" s="100"/>
      <c r="AJ392" s="100"/>
      <c r="AK392" s="100"/>
      <c r="AL392" s="100"/>
      <c r="AM392" s="100"/>
      <c r="AN392" s="100"/>
      <c r="AO392" s="100"/>
      <c r="AP392" s="99"/>
      <c r="AQ392" s="99"/>
      <c r="AR392" s="99"/>
      <c r="AS392" s="99"/>
      <c r="AT392" s="99"/>
    </row>
    <row r="393" spans="25:46" x14ac:dyDescent="0.2">
      <c r="Y393" s="100"/>
      <c r="Z393" s="100"/>
      <c r="AA393" s="100"/>
      <c r="AB393" s="100"/>
      <c r="AC393" s="100"/>
      <c r="AD393" s="100"/>
      <c r="AE393" s="100"/>
      <c r="AF393" s="100"/>
      <c r="AG393" s="100"/>
      <c r="AH393" s="100"/>
      <c r="AI393" s="100"/>
      <c r="AJ393" s="100"/>
      <c r="AK393" s="100"/>
      <c r="AL393" s="100"/>
      <c r="AM393" s="100"/>
      <c r="AN393" s="100"/>
      <c r="AO393" s="100"/>
      <c r="AP393" s="99"/>
      <c r="AQ393" s="99"/>
      <c r="AR393" s="99"/>
      <c r="AS393" s="99"/>
      <c r="AT393" s="99"/>
    </row>
    <row r="394" spans="25:46" x14ac:dyDescent="0.2">
      <c r="Y394" s="100"/>
      <c r="Z394" s="100"/>
      <c r="AA394" s="100"/>
      <c r="AB394" s="100"/>
      <c r="AC394" s="100"/>
      <c r="AD394" s="100"/>
      <c r="AE394" s="100"/>
      <c r="AF394" s="100"/>
      <c r="AG394" s="100"/>
      <c r="AH394" s="100"/>
      <c r="AI394" s="100"/>
      <c r="AJ394" s="100"/>
      <c r="AK394" s="100"/>
      <c r="AL394" s="100"/>
      <c r="AM394" s="100"/>
      <c r="AN394" s="100"/>
      <c r="AO394" s="100"/>
      <c r="AP394" s="99"/>
      <c r="AQ394" s="99"/>
      <c r="AR394" s="99"/>
      <c r="AS394" s="99"/>
      <c r="AT394" s="99"/>
    </row>
    <row r="395" spans="25:46" x14ac:dyDescent="0.2">
      <c r="Y395" s="100"/>
      <c r="Z395" s="100"/>
      <c r="AA395" s="100"/>
      <c r="AB395" s="100"/>
      <c r="AC395" s="100"/>
      <c r="AD395" s="100"/>
      <c r="AE395" s="100"/>
      <c r="AF395" s="100"/>
      <c r="AG395" s="100"/>
      <c r="AH395" s="100"/>
      <c r="AI395" s="100"/>
      <c r="AJ395" s="100"/>
      <c r="AK395" s="100"/>
      <c r="AL395" s="100"/>
      <c r="AM395" s="100"/>
      <c r="AN395" s="100"/>
      <c r="AO395" s="100"/>
      <c r="AP395" s="99"/>
      <c r="AQ395" s="99"/>
      <c r="AR395" s="99"/>
      <c r="AS395" s="99"/>
      <c r="AT395" s="99"/>
    </row>
    <row r="396" spans="25:46" x14ac:dyDescent="0.2">
      <c r="Y396" s="100"/>
      <c r="Z396" s="100"/>
      <c r="AA396" s="100"/>
      <c r="AB396" s="100"/>
      <c r="AC396" s="100"/>
      <c r="AD396" s="100"/>
      <c r="AE396" s="100"/>
      <c r="AF396" s="100"/>
      <c r="AG396" s="100"/>
      <c r="AH396" s="100"/>
      <c r="AI396" s="100"/>
      <c r="AJ396" s="100"/>
      <c r="AK396" s="100"/>
      <c r="AL396" s="100"/>
      <c r="AM396" s="100"/>
      <c r="AN396" s="100"/>
      <c r="AO396" s="100"/>
      <c r="AP396" s="99"/>
      <c r="AQ396" s="99"/>
      <c r="AR396" s="99"/>
      <c r="AS396" s="99"/>
      <c r="AT396" s="99"/>
    </row>
    <row r="397" spans="25:46" x14ac:dyDescent="0.2">
      <c r="Y397" s="100"/>
      <c r="Z397" s="100"/>
      <c r="AA397" s="100"/>
      <c r="AB397" s="100"/>
      <c r="AC397" s="100"/>
      <c r="AD397" s="100"/>
      <c r="AE397" s="100"/>
      <c r="AF397" s="100"/>
      <c r="AG397" s="100"/>
      <c r="AH397" s="100"/>
      <c r="AI397" s="100"/>
      <c r="AJ397" s="100"/>
      <c r="AK397" s="100"/>
      <c r="AL397" s="100"/>
      <c r="AM397" s="100"/>
      <c r="AN397" s="100"/>
      <c r="AO397" s="100"/>
      <c r="AP397" s="99"/>
      <c r="AQ397" s="99"/>
      <c r="AR397" s="99"/>
      <c r="AS397" s="99"/>
      <c r="AT397" s="99"/>
    </row>
    <row r="398" spans="25:46" x14ac:dyDescent="0.2">
      <c r="Y398" s="100"/>
      <c r="Z398" s="100"/>
      <c r="AA398" s="100"/>
      <c r="AB398" s="100"/>
      <c r="AC398" s="100"/>
      <c r="AD398" s="100"/>
      <c r="AE398" s="100"/>
      <c r="AF398" s="100"/>
      <c r="AG398" s="100"/>
      <c r="AH398" s="100"/>
      <c r="AI398" s="100"/>
      <c r="AJ398" s="100"/>
      <c r="AK398" s="100"/>
      <c r="AL398" s="100"/>
      <c r="AM398" s="100"/>
      <c r="AN398" s="100"/>
      <c r="AO398" s="100"/>
      <c r="AP398" s="99"/>
      <c r="AQ398" s="99"/>
      <c r="AR398" s="99"/>
      <c r="AS398" s="99"/>
      <c r="AT398" s="99"/>
    </row>
    <row r="399" spans="25:46" x14ac:dyDescent="0.2">
      <c r="Y399" s="100"/>
      <c r="Z399" s="100"/>
      <c r="AA399" s="100"/>
      <c r="AB399" s="100"/>
      <c r="AC399" s="100"/>
      <c r="AD399" s="100"/>
      <c r="AE399" s="100"/>
      <c r="AF399" s="100"/>
      <c r="AG399" s="100"/>
      <c r="AH399" s="100"/>
      <c r="AI399" s="100"/>
      <c r="AJ399" s="100"/>
      <c r="AK399" s="100"/>
      <c r="AL399" s="100"/>
      <c r="AM399" s="100"/>
      <c r="AN399" s="100"/>
      <c r="AO399" s="100"/>
      <c r="AP399" s="99"/>
      <c r="AQ399" s="99"/>
      <c r="AR399" s="99"/>
      <c r="AS399" s="99"/>
      <c r="AT399" s="99"/>
    </row>
    <row r="400" spans="25:46" x14ac:dyDescent="0.2">
      <c r="Y400" s="100"/>
      <c r="Z400" s="100"/>
      <c r="AA400" s="100"/>
      <c r="AB400" s="100"/>
      <c r="AC400" s="100"/>
      <c r="AD400" s="100"/>
      <c r="AE400" s="100"/>
      <c r="AF400" s="100"/>
      <c r="AG400" s="100"/>
      <c r="AH400" s="100"/>
      <c r="AI400" s="100"/>
      <c r="AJ400" s="100"/>
      <c r="AK400" s="100"/>
      <c r="AL400" s="100"/>
      <c r="AM400" s="100"/>
      <c r="AN400" s="100"/>
      <c r="AO400" s="100"/>
      <c r="AP400" s="99"/>
      <c r="AQ400" s="99"/>
      <c r="AR400" s="99"/>
      <c r="AS400" s="99"/>
      <c r="AT400" s="99"/>
    </row>
    <row r="401" spans="25:46" x14ac:dyDescent="0.2">
      <c r="Y401" s="100"/>
      <c r="Z401" s="100"/>
      <c r="AA401" s="100"/>
      <c r="AB401" s="100"/>
      <c r="AC401" s="100"/>
      <c r="AD401" s="100"/>
      <c r="AE401" s="100"/>
      <c r="AF401" s="100"/>
      <c r="AG401" s="100"/>
      <c r="AH401" s="100"/>
      <c r="AI401" s="100"/>
      <c r="AJ401" s="100"/>
      <c r="AK401" s="100"/>
      <c r="AL401" s="100"/>
      <c r="AM401" s="100"/>
      <c r="AN401" s="100"/>
      <c r="AO401" s="100"/>
      <c r="AP401" s="99"/>
      <c r="AQ401" s="99"/>
      <c r="AR401" s="99"/>
      <c r="AS401" s="99"/>
      <c r="AT401" s="99"/>
    </row>
    <row r="402" spans="25:46" x14ac:dyDescent="0.2">
      <c r="Y402" s="100"/>
      <c r="Z402" s="100"/>
      <c r="AA402" s="100"/>
      <c r="AB402" s="100"/>
      <c r="AC402" s="100"/>
      <c r="AD402" s="100"/>
      <c r="AE402" s="100"/>
      <c r="AF402" s="100"/>
      <c r="AG402" s="100"/>
      <c r="AH402" s="100"/>
      <c r="AI402" s="100"/>
      <c r="AJ402" s="100"/>
      <c r="AK402" s="100"/>
      <c r="AL402" s="100"/>
      <c r="AM402" s="100"/>
      <c r="AN402" s="100"/>
      <c r="AO402" s="100"/>
      <c r="AP402" s="99"/>
      <c r="AQ402" s="99"/>
      <c r="AR402" s="99"/>
      <c r="AS402" s="99"/>
      <c r="AT402" s="99"/>
    </row>
    <row r="403" spans="25:46" x14ac:dyDescent="0.2">
      <c r="Y403" s="100"/>
      <c r="Z403" s="100"/>
      <c r="AA403" s="100"/>
      <c r="AB403" s="100"/>
      <c r="AC403" s="100"/>
      <c r="AD403" s="100"/>
      <c r="AE403" s="100"/>
      <c r="AF403" s="100"/>
      <c r="AG403" s="100"/>
      <c r="AH403" s="100"/>
      <c r="AI403" s="100"/>
      <c r="AJ403" s="100"/>
      <c r="AK403" s="100"/>
      <c r="AL403" s="100"/>
      <c r="AM403" s="100"/>
      <c r="AN403" s="100"/>
      <c r="AO403" s="100"/>
      <c r="AP403" s="99"/>
      <c r="AQ403" s="99"/>
      <c r="AR403" s="99"/>
      <c r="AS403" s="99"/>
      <c r="AT403" s="99"/>
    </row>
    <row r="404" spans="25:46" x14ac:dyDescent="0.2">
      <c r="Y404" s="100"/>
      <c r="Z404" s="100"/>
      <c r="AA404" s="100"/>
      <c r="AB404" s="100"/>
      <c r="AC404" s="100"/>
      <c r="AD404" s="100"/>
      <c r="AE404" s="100"/>
      <c r="AF404" s="100"/>
      <c r="AG404" s="100"/>
      <c r="AH404" s="100"/>
      <c r="AI404" s="100"/>
      <c r="AJ404" s="100"/>
      <c r="AK404" s="100"/>
      <c r="AL404" s="100"/>
      <c r="AM404" s="100"/>
      <c r="AN404" s="100"/>
      <c r="AO404" s="100"/>
      <c r="AP404" s="99"/>
      <c r="AQ404" s="99"/>
      <c r="AR404" s="99"/>
      <c r="AS404" s="99"/>
      <c r="AT404" s="99"/>
    </row>
    <row r="405" spans="25:46" x14ac:dyDescent="0.2">
      <c r="Y405" s="100"/>
      <c r="Z405" s="100"/>
      <c r="AA405" s="100"/>
      <c r="AB405" s="100"/>
      <c r="AC405" s="100"/>
      <c r="AD405" s="100"/>
      <c r="AE405" s="100"/>
      <c r="AF405" s="100"/>
      <c r="AG405" s="100"/>
      <c r="AH405" s="100"/>
      <c r="AI405" s="100"/>
      <c r="AJ405" s="100"/>
      <c r="AK405" s="100"/>
      <c r="AL405" s="100"/>
      <c r="AM405" s="100"/>
      <c r="AN405" s="100"/>
      <c r="AO405" s="100"/>
      <c r="AP405" s="99"/>
      <c r="AQ405" s="99"/>
      <c r="AR405" s="99"/>
      <c r="AS405" s="99"/>
      <c r="AT405" s="99"/>
    </row>
    <row r="406" spans="25:46" x14ac:dyDescent="0.2">
      <c r="Y406" s="100"/>
      <c r="Z406" s="100"/>
      <c r="AA406" s="100"/>
      <c r="AB406" s="100"/>
      <c r="AC406" s="100"/>
      <c r="AD406" s="100"/>
      <c r="AE406" s="100"/>
      <c r="AF406" s="100"/>
      <c r="AG406" s="100"/>
      <c r="AH406" s="100"/>
      <c r="AI406" s="100"/>
      <c r="AJ406" s="100"/>
      <c r="AK406" s="100"/>
      <c r="AL406" s="100"/>
      <c r="AM406" s="100"/>
      <c r="AN406" s="100"/>
      <c r="AO406" s="100"/>
      <c r="AP406" s="99"/>
      <c r="AQ406" s="99"/>
      <c r="AR406" s="99"/>
      <c r="AS406" s="99"/>
      <c r="AT406" s="99"/>
    </row>
    <row r="407" spans="25:46" x14ac:dyDescent="0.2">
      <c r="Y407" s="100"/>
      <c r="Z407" s="100"/>
      <c r="AA407" s="100"/>
      <c r="AB407" s="100"/>
      <c r="AC407" s="100"/>
      <c r="AD407" s="100"/>
      <c r="AE407" s="100"/>
      <c r="AF407" s="100"/>
      <c r="AG407" s="100"/>
      <c r="AH407" s="100"/>
      <c r="AI407" s="100"/>
      <c r="AJ407" s="100"/>
      <c r="AK407" s="100"/>
      <c r="AL407" s="100"/>
      <c r="AM407" s="100"/>
      <c r="AN407" s="100"/>
      <c r="AO407" s="100"/>
      <c r="AP407" s="99"/>
      <c r="AQ407" s="99"/>
      <c r="AR407" s="99"/>
      <c r="AS407" s="99"/>
      <c r="AT407" s="99"/>
    </row>
    <row r="408" spans="25:46" x14ac:dyDescent="0.2">
      <c r="Y408" s="100"/>
      <c r="Z408" s="100"/>
      <c r="AA408" s="100"/>
      <c r="AB408" s="100"/>
      <c r="AC408" s="100"/>
      <c r="AD408" s="100"/>
      <c r="AE408" s="100"/>
      <c r="AF408" s="100"/>
      <c r="AG408" s="100"/>
      <c r="AH408" s="100"/>
      <c r="AI408" s="100"/>
      <c r="AJ408" s="100"/>
      <c r="AK408" s="100"/>
      <c r="AL408" s="100"/>
      <c r="AM408" s="100"/>
      <c r="AN408" s="100"/>
      <c r="AO408" s="100"/>
      <c r="AP408" s="99"/>
      <c r="AQ408" s="99"/>
      <c r="AR408" s="99"/>
      <c r="AS408" s="99"/>
      <c r="AT408" s="99"/>
    </row>
    <row r="409" spans="25:46" x14ac:dyDescent="0.2">
      <c r="Y409" s="100"/>
      <c r="Z409" s="100"/>
      <c r="AA409" s="100"/>
      <c r="AB409" s="100"/>
      <c r="AC409" s="100"/>
      <c r="AD409" s="100"/>
      <c r="AE409" s="100"/>
      <c r="AF409" s="100"/>
      <c r="AG409" s="100"/>
      <c r="AH409" s="100"/>
      <c r="AI409" s="100"/>
      <c r="AJ409" s="100"/>
      <c r="AK409" s="100"/>
      <c r="AL409" s="100"/>
      <c r="AM409" s="100"/>
      <c r="AN409" s="100"/>
      <c r="AO409" s="100"/>
      <c r="AP409" s="99"/>
      <c r="AQ409" s="99"/>
      <c r="AR409" s="99"/>
      <c r="AS409" s="99"/>
      <c r="AT409" s="99"/>
    </row>
    <row r="410" spans="25:46" x14ac:dyDescent="0.2">
      <c r="Y410" s="100"/>
      <c r="Z410" s="100"/>
      <c r="AA410" s="100"/>
      <c r="AB410" s="100"/>
      <c r="AC410" s="100"/>
      <c r="AD410" s="100"/>
      <c r="AE410" s="100"/>
      <c r="AF410" s="100"/>
      <c r="AG410" s="100"/>
      <c r="AH410" s="100"/>
      <c r="AI410" s="100"/>
      <c r="AJ410" s="100"/>
      <c r="AK410" s="100"/>
      <c r="AL410" s="100"/>
      <c r="AM410" s="100"/>
      <c r="AN410" s="100"/>
      <c r="AO410" s="100"/>
      <c r="AP410" s="99"/>
      <c r="AQ410" s="99"/>
      <c r="AR410" s="99"/>
      <c r="AS410" s="99"/>
      <c r="AT410" s="99"/>
    </row>
    <row r="411" spans="25:46" x14ac:dyDescent="0.2">
      <c r="Y411" s="100"/>
      <c r="Z411" s="100"/>
      <c r="AA411" s="100"/>
      <c r="AB411" s="100"/>
      <c r="AC411" s="100"/>
      <c r="AD411" s="100"/>
      <c r="AE411" s="100"/>
      <c r="AF411" s="100"/>
      <c r="AG411" s="100"/>
      <c r="AH411" s="100"/>
      <c r="AI411" s="100"/>
      <c r="AJ411" s="100"/>
      <c r="AK411" s="100"/>
      <c r="AL411" s="100"/>
      <c r="AM411" s="100"/>
      <c r="AN411" s="100"/>
      <c r="AO411" s="100"/>
      <c r="AP411" s="99"/>
      <c r="AQ411" s="99"/>
      <c r="AR411" s="99"/>
      <c r="AS411" s="99"/>
      <c r="AT411" s="99"/>
    </row>
    <row r="412" spans="25:46" x14ac:dyDescent="0.2">
      <c r="Y412" s="100"/>
      <c r="Z412" s="100"/>
      <c r="AA412" s="100"/>
      <c r="AB412" s="100"/>
      <c r="AC412" s="100"/>
      <c r="AD412" s="100"/>
      <c r="AE412" s="100"/>
      <c r="AF412" s="100"/>
      <c r="AG412" s="100"/>
      <c r="AH412" s="100"/>
      <c r="AI412" s="100"/>
      <c r="AJ412" s="100"/>
      <c r="AK412" s="100"/>
      <c r="AL412" s="100"/>
      <c r="AM412" s="100"/>
      <c r="AN412" s="100"/>
      <c r="AO412" s="100"/>
      <c r="AP412" s="99"/>
      <c r="AQ412" s="99"/>
      <c r="AR412" s="99"/>
      <c r="AS412" s="99"/>
      <c r="AT412" s="99"/>
    </row>
    <row r="413" spans="25:46" x14ac:dyDescent="0.2">
      <c r="Y413" s="100"/>
      <c r="Z413" s="100"/>
      <c r="AA413" s="100"/>
      <c r="AB413" s="100"/>
      <c r="AC413" s="100"/>
      <c r="AD413" s="100"/>
      <c r="AE413" s="100"/>
      <c r="AF413" s="100"/>
      <c r="AG413" s="100"/>
      <c r="AH413" s="100"/>
      <c r="AI413" s="100"/>
      <c r="AJ413" s="100"/>
      <c r="AK413" s="100"/>
      <c r="AL413" s="100"/>
      <c r="AM413" s="100"/>
      <c r="AN413" s="100"/>
      <c r="AO413" s="100"/>
      <c r="AP413" s="99"/>
      <c r="AQ413" s="99"/>
      <c r="AR413" s="99"/>
      <c r="AS413" s="99"/>
      <c r="AT413" s="99"/>
    </row>
    <row r="414" spans="25:46" x14ac:dyDescent="0.2">
      <c r="Y414" s="100"/>
      <c r="Z414" s="100"/>
      <c r="AA414" s="100"/>
      <c r="AB414" s="100"/>
      <c r="AC414" s="100"/>
      <c r="AD414" s="100"/>
      <c r="AE414" s="100"/>
      <c r="AF414" s="100"/>
      <c r="AG414" s="100"/>
      <c r="AH414" s="100"/>
      <c r="AI414" s="100"/>
      <c r="AJ414" s="100"/>
      <c r="AK414" s="100"/>
      <c r="AL414" s="100"/>
      <c r="AM414" s="100"/>
      <c r="AN414" s="100"/>
      <c r="AO414" s="100"/>
      <c r="AP414" s="99"/>
      <c r="AQ414" s="99"/>
      <c r="AR414" s="99"/>
      <c r="AS414" s="99"/>
      <c r="AT414" s="99"/>
    </row>
    <row r="415" spans="25:46" x14ac:dyDescent="0.2">
      <c r="Y415" s="100"/>
      <c r="Z415" s="100"/>
      <c r="AA415" s="100"/>
      <c r="AB415" s="100"/>
      <c r="AC415" s="100"/>
      <c r="AD415" s="100"/>
      <c r="AE415" s="100"/>
      <c r="AF415" s="100"/>
      <c r="AG415" s="100"/>
      <c r="AH415" s="100"/>
      <c r="AI415" s="100"/>
      <c r="AJ415" s="100"/>
      <c r="AK415" s="100"/>
      <c r="AL415" s="100"/>
      <c r="AM415" s="100"/>
      <c r="AN415" s="100"/>
      <c r="AO415" s="100"/>
      <c r="AP415" s="99"/>
      <c r="AQ415" s="99"/>
      <c r="AR415" s="99"/>
      <c r="AS415" s="99"/>
      <c r="AT415" s="99"/>
    </row>
    <row r="416" spans="25:46" x14ac:dyDescent="0.2">
      <c r="Y416" s="100"/>
      <c r="Z416" s="100"/>
      <c r="AA416" s="100"/>
      <c r="AB416" s="100"/>
      <c r="AC416" s="100"/>
      <c r="AD416" s="100"/>
      <c r="AE416" s="100"/>
      <c r="AF416" s="100"/>
      <c r="AG416" s="100"/>
      <c r="AH416" s="100"/>
      <c r="AI416" s="100"/>
      <c r="AJ416" s="100"/>
      <c r="AK416" s="100"/>
      <c r="AL416" s="100"/>
      <c r="AM416" s="100"/>
      <c r="AN416" s="100"/>
      <c r="AO416" s="100"/>
      <c r="AP416" s="99"/>
      <c r="AQ416" s="99"/>
      <c r="AR416" s="99"/>
      <c r="AS416" s="99"/>
      <c r="AT416" s="99"/>
    </row>
    <row r="417" spans="25:46" x14ac:dyDescent="0.2">
      <c r="Y417" s="100"/>
      <c r="Z417" s="100"/>
      <c r="AA417" s="100"/>
      <c r="AB417" s="100"/>
      <c r="AC417" s="100"/>
      <c r="AD417" s="100"/>
      <c r="AE417" s="100"/>
      <c r="AF417" s="100"/>
      <c r="AG417" s="100"/>
      <c r="AH417" s="100"/>
      <c r="AI417" s="100"/>
      <c r="AJ417" s="100"/>
      <c r="AK417" s="100"/>
      <c r="AL417" s="100"/>
      <c r="AM417" s="100"/>
      <c r="AN417" s="100"/>
      <c r="AO417" s="100"/>
      <c r="AP417" s="99"/>
      <c r="AQ417" s="99"/>
      <c r="AR417" s="99"/>
      <c r="AS417" s="99"/>
      <c r="AT417" s="99"/>
    </row>
    <row r="418" spans="25:46" x14ac:dyDescent="0.2">
      <c r="Y418" s="100"/>
      <c r="Z418" s="100"/>
      <c r="AA418" s="100"/>
      <c r="AB418" s="100"/>
      <c r="AC418" s="100"/>
      <c r="AD418" s="100"/>
      <c r="AE418" s="100"/>
      <c r="AF418" s="100"/>
      <c r="AG418" s="100"/>
      <c r="AH418" s="100"/>
      <c r="AI418" s="100"/>
      <c r="AJ418" s="100"/>
      <c r="AK418" s="100"/>
      <c r="AL418" s="100"/>
      <c r="AM418" s="100"/>
      <c r="AN418" s="100"/>
      <c r="AO418" s="100"/>
      <c r="AP418" s="99"/>
      <c r="AQ418" s="99"/>
      <c r="AR418" s="99"/>
      <c r="AS418" s="99"/>
      <c r="AT418" s="99"/>
    </row>
    <row r="419" spans="25:46" x14ac:dyDescent="0.2">
      <c r="Y419" s="100"/>
      <c r="Z419" s="100"/>
      <c r="AA419" s="100"/>
      <c r="AB419" s="100"/>
      <c r="AC419" s="100"/>
      <c r="AD419" s="100"/>
      <c r="AE419" s="100"/>
      <c r="AF419" s="100"/>
      <c r="AG419" s="100"/>
      <c r="AH419" s="100"/>
      <c r="AI419" s="100"/>
      <c r="AJ419" s="100"/>
      <c r="AK419" s="100"/>
      <c r="AL419" s="100"/>
      <c r="AM419" s="100"/>
      <c r="AN419" s="100"/>
      <c r="AO419" s="100"/>
      <c r="AP419" s="99"/>
      <c r="AQ419" s="99"/>
      <c r="AR419" s="99"/>
      <c r="AS419" s="99"/>
      <c r="AT419" s="99"/>
    </row>
    <row r="420" spans="25:46" x14ac:dyDescent="0.2">
      <c r="Y420" s="100"/>
      <c r="Z420" s="100"/>
      <c r="AA420" s="100"/>
      <c r="AB420" s="100"/>
      <c r="AC420" s="100"/>
      <c r="AD420" s="100"/>
      <c r="AE420" s="100"/>
      <c r="AF420" s="100"/>
      <c r="AG420" s="100"/>
      <c r="AH420" s="100"/>
      <c r="AI420" s="100"/>
      <c r="AJ420" s="100"/>
      <c r="AK420" s="100"/>
      <c r="AL420" s="100"/>
      <c r="AM420" s="100"/>
      <c r="AN420" s="100"/>
      <c r="AO420" s="100"/>
      <c r="AP420" s="99"/>
      <c r="AQ420" s="99"/>
      <c r="AR420" s="99"/>
      <c r="AS420" s="99"/>
      <c r="AT420" s="99"/>
    </row>
    <row r="421" spans="25:46" x14ac:dyDescent="0.2">
      <c r="Y421" s="100"/>
      <c r="Z421" s="100"/>
      <c r="AA421" s="100"/>
      <c r="AB421" s="100"/>
      <c r="AC421" s="100"/>
      <c r="AD421" s="100"/>
      <c r="AE421" s="100"/>
      <c r="AF421" s="100"/>
      <c r="AG421" s="100"/>
      <c r="AH421" s="100"/>
      <c r="AI421" s="100"/>
      <c r="AJ421" s="100"/>
      <c r="AK421" s="100"/>
      <c r="AL421" s="100"/>
      <c r="AM421" s="100"/>
      <c r="AN421" s="100"/>
      <c r="AO421" s="100"/>
      <c r="AP421" s="99"/>
      <c r="AQ421" s="99"/>
      <c r="AR421" s="99"/>
      <c r="AS421" s="99"/>
      <c r="AT421" s="99"/>
    </row>
    <row r="422" spans="25:46" x14ac:dyDescent="0.2">
      <c r="Y422" s="100"/>
      <c r="Z422" s="100"/>
      <c r="AA422" s="100"/>
      <c r="AB422" s="100"/>
      <c r="AC422" s="100"/>
      <c r="AD422" s="100"/>
      <c r="AE422" s="100"/>
      <c r="AF422" s="100"/>
      <c r="AG422" s="100"/>
      <c r="AH422" s="100"/>
      <c r="AI422" s="100"/>
      <c r="AJ422" s="100"/>
      <c r="AK422" s="100"/>
      <c r="AL422" s="100"/>
      <c r="AM422" s="100"/>
      <c r="AN422" s="100"/>
      <c r="AO422" s="100"/>
      <c r="AP422" s="99"/>
      <c r="AQ422" s="99"/>
      <c r="AR422" s="99"/>
      <c r="AS422" s="99"/>
      <c r="AT422" s="99"/>
    </row>
    <row r="423" spans="25:46" x14ac:dyDescent="0.2">
      <c r="Y423" s="100"/>
      <c r="Z423" s="100"/>
      <c r="AA423" s="100"/>
      <c r="AB423" s="100"/>
      <c r="AC423" s="100"/>
      <c r="AD423" s="100"/>
      <c r="AE423" s="100"/>
      <c r="AF423" s="100"/>
      <c r="AG423" s="100"/>
      <c r="AH423" s="100"/>
      <c r="AI423" s="100"/>
      <c r="AJ423" s="100"/>
      <c r="AK423" s="100"/>
      <c r="AL423" s="100"/>
      <c r="AM423" s="100"/>
      <c r="AN423" s="100"/>
      <c r="AO423" s="100"/>
      <c r="AP423" s="99"/>
      <c r="AQ423" s="99"/>
      <c r="AR423" s="99"/>
      <c r="AS423" s="99"/>
      <c r="AT423" s="99"/>
    </row>
    <row r="424" spans="25:46" x14ac:dyDescent="0.2">
      <c r="Y424" s="100"/>
      <c r="Z424" s="100"/>
      <c r="AA424" s="100"/>
      <c r="AB424" s="100"/>
      <c r="AC424" s="100"/>
      <c r="AD424" s="100"/>
      <c r="AE424" s="100"/>
      <c r="AF424" s="100"/>
      <c r="AG424" s="100"/>
      <c r="AH424" s="100"/>
      <c r="AI424" s="100"/>
      <c r="AJ424" s="100"/>
      <c r="AK424" s="100"/>
      <c r="AL424" s="100"/>
      <c r="AM424" s="100"/>
      <c r="AN424" s="100"/>
      <c r="AO424" s="100"/>
      <c r="AP424" s="99"/>
      <c r="AQ424" s="99"/>
      <c r="AR424" s="99"/>
      <c r="AS424" s="99"/>
      <c r="AT424" s="99"/>
    </row>
    <row r="425" spans="25:46" x14ac:dyDescent="0.2">
      <c r="Y425" s="100"/>
      <c r="Z425" s="100"/>
      <c r="AA425" s="100"/>
      <c r="AB425" s="100"/>
      <c r="AC425" s="100"/>
      <c r="AD425" s="100"/>
      <c r="AE425" s="100"/>
      <c r="AF425" s="100"/>
      <c r="AG425" s="100"/>
      <c r="AH425" s="100"/>
      <c r="AI425" s="100"/>
      <c r="AJ425" s="100"/>
      <c r="AK425" s="100"/>
      <c r="AL425" s="100"/>
      <c r="AM425" s="100"/>
      <c r="AN425" s="100"/>
      <c r="AO425" s="100"/>
      <c r="AP425" s="99"/>
      <c r="AQ425" s="99"/>
      <c r="AR425" s="99"/>
      <c r="AS425" s="99"/>
      <c r="AT425" s="99"/>
    </row>
    <row r="426" spans="25:46" x14ac:dyDescent="0.2">
      <c r="Y426" s="100"/>
      <c r="Z426" s="100"/>
      <c r="AA426" s="100"/>
      <c r="AB426" s="100"/>
      <c r="AC426" s="100"/>
      <c r="AD426" s="100"/>
      <c r="AE426" s="100"/>
      <c r="AF426" s="100"/>
      <c r="AG426" s="100"/>
      <c r="AH426" s="100"/>
      <c r="AI426" s="100"/>
      <c r="AJ426" s="100"/>
      <c r="AK426" s="100"/>
      <c r="AL426" s="100"/>
      <c r="AM426" s="100"/>
      <c r="AN426" s="100"/>
      <c r="AO426" s="100"/>
      <c r="AP426" s="99"/>
      <c r="AQ426" s="99"/>
      <c r="AR426" s="99"/>
      <c r="AS426" s="99"/>
      <c r="AT426" s="99"/>
    </row>
    <row r="427" spans="25:46" x14ac:dyDescent="0.2">
      <c r="Y427" s="100"/>
      <c r="Z427" s="100"/>
      <c r="AA427" s="100"/>
      <c r="AB427" s="100"/>
      <c r="AC427" s="100"/>
      <c r="AD427" s="100"/>
      <c r="AE427" s="100"/>
      <c r="AF427" s="100"/>
      <c r="AG427" s="100"/>
      <c r="AH427" s="100"/>
      <c r="AI427" s="100"/>
      <c r="AJ427" s="100"/>
      <c r="AK427" s="100"/>
      <c r="AL427" s="100"/>
      <c r="AM427" s="100"/>
      <c r="AN427" s="100"/>
      <c r="AO427" s="100"/>
      <c r="AP427" s="99"/>
      <c r="AQ427" s="99"/>
      <c r="AR427" s="99"/>
      <c r="AS427" s="99"/>
      <c r="AT427" s="99"/>
    </row>
    <row r="428" spans="25:46" x14ac:dyDescent="0.2">
      <c r="Y428" s="100"/>
      <c r="Z428" s="100"/>
      <c r="AA428" s="100"/>
      <c r="AB428" s="100"/>
      <c r="AC428" s="100"/>
      <c r="AD428" s="100"/>
      <c r="AE428" s="100"/>
      <c r="AF428" s="100"/>
      <c r="AG428" s="100"/>
      <c r="AH428" s="100"/>
      <c r="AI428" s="100"/>
      <c r="AJ428" s="100"/>
      <c r="AK428" s="100"/>
      <c r="AL428" s="100"/>
      <c r="AM428" s="100"/>
      <c r="AN428" s="100"/>
      <c r="AO428" s="100"/>
      <c r="AP428" s="99"/>
      <c r="AQ428" s="99"/>
      <c r="AR428" s="99"/>
      <c r="AS428" s="99"/>
      <c r="AT428" s="99"/>
    </row>
    <row r="429" spans="25:46" x14ac:dyDescent="0.2">
      <c r="Y429" s="100"/>
      <c r="Z429" s="100"/>
      <c r="AA429" s="100"/>
      <c r="AB429" s="100"/>
      <c r="AC429" s="100"/>
      <c r="AD429" s="100"/>
      <c r="AE429" s="100"/>
      <c r="AF429" s="100"/>
      <c r="AG429" s="100"/>
      <c r="AH429" s="100"/>
      <c r="AI429" s="100"/>
      <c r="AJ429" s="100"/>
      <c r="AK429" s="100"/>
      <c r="AL429" s="100"/>
      <c r="AM429" s="100"/>
      <c r="AN429" s="100"/>
      <c r="AO429" s="100"/>
      <c r="AP429" s="99"/>
      <c r="AQ429" s="99"/>
      <c r="AR429" s="99"/>
      <c r="AS429" s="99"/>
      <c r="AT429" s="99"/>
    </row>
    <row r="430" spans="25:46" x14ac:dyDescent="0.2">
      <c r="Y430" s="100"/>
      <c r="Z430" s="100"/>
      <c r="AA430" s="100"/>
      <c r="AB430" s="100"/>
      <c r="AC430" s="100"/>
      <c r="AD430" s="100"/>
      <c r="AE430" s="100"/>
      <c r="AF430" s="100"/>
      <c r="AG430" s="100"/>
      <c r="AH430" s="100"/>
      <c r="AI430" s="100"/>
      <c r="AJ430" s="100"/>
      <c r="AK430" s="100"/>
      <c r="AL430" s="100"/>
      <c r="AM430" s="100"/>
      <c r="AN430" s="100"/>
      <c r="AO430" s="100"/>
      <c r="AP430" s="99"/>
      <c r="AQ430" s="99"/>
      <c r="AR430" s="99"/>
      <c r="AS430" s="99"/>
      <c r="AT430" s="99"/>
    </row>
    <row r="431" spans="25:46" x14ac:dyDescent="0.2">
      <c r="Y431" s="100"/>
      <c r="Z431" s="100"/>
      <c r="AA431" s="100"/>
      <c r="AB431" s="100"/>
      <c r="AC431" s="100"/>
      <c r="AD431" s="100"/>
      <c r="AE431" s="100"/>
      <c r="AF431" s="100"/>
      <c r="AG431" s="100"/>
      <c r="AH431" s="100"/>
      <c r="AI431" s="100"/>
      <c r="AJ431" s="100"/>
      <c r="AK431" s="100"/>
      <c r="AL431" s="100"/>
      <c r="AM431" s="100"/>
      <c r="AN431" s="100"/>
      <c r="AO431" s="100"/>
      <c r="AP431" s="99"/>
      <c r="AQ431" s="99"/>
      <c r="AR431" s="99"/>
      <c r="AS431" s="99"/>
      <c r="AT431" s="99"/>
    </row>
    <row r="432" spans="25:46" x14ac:dyDescent="0.2">
      <c r="Y432" s="100"/>
      <c r="Z432" s="100"/>
      <c r="AA432" s="100"/>
      <c r="AB432" s="100"/>
      <c r="AC432" s="100"/>
      <c r="AD432" s="100"/>
      <c r="AE432" s="100"/>
      <c r="AF432" s="100"/>
      <c r="AG432" s="100"/>
      <c r="AH432" s="100"/>
      <c r="AI432" s="100"/>
      <c r="AJ432" s="100"/>
      <c r="AK432" s="100"/>
      <c r="AL432" s="100"/>
      <c r="AM432" s="100"/>
      <c r="AN432" s="100"/>
      <c r="AO432" s="100"/>
      <c r="AP432" s="99"/>
      <c r="AQ432" s="99"/>
      <c r="AR432" s="99"/>
      <c r="AS432" s="99"/>
      <c r="AT432" s="99"/>
    </row>
    <row r="433" spans="25:46" x14ac:dyDescent="0.2">
      <c r="Y433" s="100"/>
      <c r="Z433" s="100"/>
      <c r="AA433" s="100"/>
      <c r="AB433" s="100"/>
      <c r="AC433" s="100"/>
      <c r="AD433" s="100"/>
      <c r="AE433" s="100"/>
      <c r="AF433" s="100"/>
      <c r="AG433" s="100"/>
      <c r="AH433" s="100"/>
      <c r="AI433" s="100"/>
      <c r="AJ433" s="100"/>
      <c r="AK433" s="100"/>
      <c r="AL433" s="100"/>
      <c r="AM433" s="100"/>
      <c r="AN433" s="100"/>
      <c r="AO433" s="100"/>
      <c r="AP433" s="99"/>
      <c r="AQ433" s="99"/>
      <c r="AR433" s="99"/>
      <c r="AS433" s="99"/>
      <c r="AT433" s="99"/>
    </row>
    <row r="434" spans="25:46" x14ac:dyDescent="0.2">
      <c r="Y434" s="100"/>
      <c r="Z434" s="100"/>
      <c r="AA434" s="100"/>
      <c r="AB434" s="100"/>
      <c r="AC434" s="100"/>
      <c r="AD434" s="100"/>
      <c r="AE434" s="100"/>
      <c r="AF434" s="100"/>
      <c r="AG434" s="100"/>
      <c r="AH434" s="100"/>
      <c r="AI434" s="100"/>
      <c r="AJ434" s="100"/>
      <c r="AK434" s="100"/>
      <c r="AL434" s="100"/>
      <c r="AM434" s="100"/>
      <c r="AN434" s="100"/>
      <c r="AO434" s="100"/>
      <c r="AP434" s="99"/>
      <c r="AQ434" s="99"/>
      <c r="AR434" s="99"/>
      <c r="AS434" s="99"/>
      <c r="AT434" s="99"/>
    </row>
    <row r="435" spans="25:46" x14ac:dyDescent="0.2">
      <c r="Y435" s="100"/>
      <c r="Z435" s="100"/>
      <c r="AA435" s="100"/>
      <c r="AB435" s="100"/>
      <c r="AC435" s="100"/>
      <c r="AD435" s="100"/>
      <c r="AE435" s="100"/>
      <c r="AF435" s="100"/>
      <c r="AG435" s="100"/>
      <c r="AH435" s="100"/>
      <c r="AI435" s="100"/>
      <c r="AJ435" s="100"/>
      <c r="AK435" s="100"/>
      <c r="AL435" s="100"/>
      <c r="AM435" s="100"/>
      <c r="AN435" s="100"/>
      <c r="AO435" s="100"/>
      <c r="AP435" s="99"/>
      <c r="AQ435" s="99"/>
      <c r="AR435" s="99"/>
      <c r="AS435" s="99"/>
      <c r="AT435" s="99"/>
    </row>
    <row r="436" spans="25:46" x14ac:dyDescent="0.2">
      <c r="Y436" s="100"/>
      <c r="Z436" s="100"/>
      <c r="AA436" s="100"/>
      <c r="AB436" s="100"/>
      <c r="AC436" s="100"/>
      <c r="AD436" s="100"/>
      <c r="AE436" s="100"/>
      <c r="AF436" s="100"/>
      <c r="AG436" s="100"/>
      <c r="AH436" s="100"/>
      <c r="AI436" s="100"/>
      <c r="AJ436" s="100"/>
      <c r="AK436" s="100"/>
      <c r="AL436" s="100"/>
      <c r="AM436" s="100"/>
      <c r="AN436" s="100"/>
      <c r="AO436" s="100"/>
      <c r="AP436" s="99"/>
      <c r="AQ436" s="99"/>
      <c r="AR436" s="99"/>
      <c r="AS436" s="99"/>
      <c r="AT436" s="99"/>
    </row>
    <row r="437" spans="25:46" x14ac:dyDescent="0.2">
      <c r="Y437" s="100"/>
      <c r="Z437" s="100"/>
      <c r="AA437" s="100"/>
      <c r="AB437" s="100"/>
      <c r="AC437" s="100"/>
      <c r="AD437" s="100"/>
      <c r="AE437" s="100"/>
      <c r="AF437" s="100"/>
      <c r="AG437" s="100"/>
      <c r="AH437" s="100"/>
      <c r="AI437" s="100"/>
      <c r="AJ437" s="100"/>
      <c r="AK437" s="100"/>
      <c r="AL437" s="100"/>
      <c r="AM437" s="100"/>
      <c r="AN437" s="100"/>
      <c r="AO437" s="100"/>
      <c r="AP437" s="99"/>
      <c r="AQ437" s="99"/>
      <c r="AR437" s="99"/>
      <c r="AS437" s="99"/>
      <c r="AT437" s="99"/>
    </row>
    <row r="438" spans="25:46" x14ac:dyDescent="0.2">
      <c r="Y438" s="100"/>
      <c r="Z438" s="100"/>
      <c r="AA438" s="100"/>
      <c r="AB438" s="100"/>
      <c r="AC438" s="100"/>
      <c r="AD438" s="100"/>
      <c r="AE438" s="100"/>
      <c r="AF438" s="100"/>
      <c r="AG438" s="100"/>
      <c r="AH438" s="100"/>
      <c r="AI438" s="100"/>
      <c r="AJ438" s="100"/>
      <c r="AK438" s="100"/>
      <c r="AL438" s="100"/>
      <c r="AM438" s="100"/>
      <c r="AN438" s="100"/>
      <c r="AO438" s="100"/>
      <c r="AP438" s="99"/>
      <c r="AQ438" s="99"/>
      <c r="AR438" s="99"/>
      <c r="AS438" s="99"/>
      <c r="AT438" s="99"/>
    </row>
    <row r="439" spans="25:46" x14ac:dyDescent="0.2">
      <c r="Y439" s="100"/>
      <c r="Z439" s="100"/>
      <c r="AA439" s="100"/>
      <c r="AB439" s="100"/>
      <c r="AC439" s="100"/>
      <c r="AD439" s="100"/>
      <c r="AE439" s="100"/>
      <c r="AF439" s="100"/>
      <c r="AG439" s="100"/>
      <c r="AH439" s="100"/>
      <c r="AI439" s="100"/>
      <c r="AJ439" s="100"/>
      <c r="AK439" s="100"/>
      <c r="AL439" s="100"/>
      <c r="AM439" s="100"/>
      <c r="AN439" s="100"/>
      <c r="AO439" s="100"/>
      <c r="AP439" s="99"/>
      <c r="AQ439" s="99"/>
      <c r="AR439" s="99"/>
      <c r="AS439" s="99"/>
      <c r="AT439" s="99"/>
    </row>
    <row r="440" spans="25:46" x14ac:dyDescent="0.2">
      <c r="Y440" s="100"/>
      <c r="Z440" s="100"/>
      <c r="AA440" s="100"/>
      <c r="AB440" s="100"/>
      <c r="AC440" s="100"/>
      <c r="AD440" s="100"/>
      <c r="AE440" s="100"/>
      <c r="AF440" s="100"/>
      <c r="AG440" s="100"/>
      <c r="AH440" s="100"/>
      <c r="AI440" s="100"/>
      <c r="AJ440" s="100"/>
      <c r="AK440" s="100"/>
      <c r="AL440" s="100"/>
      <c r="AM440" s="100"/>
      <c r="AN440" s="100"/>
      <c r="AO440" s="100"/>
      <c r="AP440" s="99"/>
      <c r="AQ440" s="99"/>
      <c r="AR440" s="99"/>
      <c r="AS440" s="99"/>
      <c r="AT440" s="99"/>
    </row>
    <row r="441" spans="25:46" x14ac:dyDescent="0.2">
      <c r="Y441" s="100"/>
      <c r="Z441" s="100"/>
      <c r="AA441" s="100"/>
      <c r="AB441" s="100"/>
      <c r="AC441" s="100"/>
      <c r="AD441" s="100"/>
      <c r="AE441" s="100"/>
      <c r="AF441" s="100"/>
      <c r="AG441" s="100"/>
      <c r="AH441" s="100"/>
      <c r="AI441" s="100"/>
      <c r="AJ441" s="100"/>
      <c r="AK441" s="100"/>
      <c r="AL441" s="100"/>
      <c r="AM441" s="100"/>
      <c r="AN441" s="100"/>
      <c r="AO441" s="100"/>
      <c r="AP441" s="99"/>
      <c r="AQ441" s="99"/>
      <c r="AR441" s="99"/>
      <c r="AS441" s="99"/>
      <c r="AT441" s="99"/>
    </row>
    <row r="442" spans="25:46" x14ac:dyDescent="0.2">
      <c r="Y442" s="100"/>
      <c r="Z442" s="100"/>
      <c r="AA442" s="100"/>
      <c r="AB442" s="100"/>
      <c r="AC442" s="100"/>
      <c r="AD442" s="100"/>
      <c r="AE442" s="100"/>
      <c r="AF442" s="100"/>
      <c r="AG442" s="100"/>
      <c r="AH442" s="100"/>
      <c r="AI442" s="100"/>
      <c r="AJ442" s="100"/>
      <c r="AK442" s="100"/>
      <c r="AL442" s="100"/>
      <c r="AM442" s="100"/>
      <c r="AN442" s="100"/>
      <c r="AO442" s="100"/>
      <c r="AP442" s="99"/>
      <c r="AQ442" s="99"/>
      <c r="AR442" s="99"/>
      <c r="AS442" s="99"/>
      <c r="AT442" s="99"/>
    </row>
    <row r="443" spans="25:46" x14ac:dyDescent="0.2">
      <c r="Y443" s="100"/>
      <c r="Z443" s="100"/>
      <c r="AA443" s="100"/>
      <c r="AB443" s="100"/>
      <c r="AC443" s="100"/>
      <c r="AD443" s="100"/>
      <c r="AE443" s="100"/>
      <c r="AF443" s="100"/>
      <c r="AG443" s="100"/>
      <c r="AH443" s="100"/>
      <c r="AI443" s="100"/>
      <c r="AJ443" s="100"/>
      <c r="AK443" s="100"/>
      <c r="AL443" s="100"/>
      <c r="AM443" s="100"/>
      <c r="AN443" s="100"/>
      <c r="AO443" s="100"/>
      <c r="AP443" s="99"/>
      <c r="AQ443" s="99"/>
      <c r="AR443" s="99"/>
      <c r="AS443" s="99"/>
      <c r="AT443" s="99"/>
    </row>
    <row r="444" spans="25:46" x14ac:dyDescent="0.2">
      <c r="Y444" s="100"/>
      <c r="Z444" s="100"/>
      <c r="AA444" s="100"/>
      <c r="AB444" s="100"/>
      <c r="AC444" s="100"/>
      <c r="AD444" s="100"/>
      <c r="AE444" s="100"/>
      <c r="AF444" s="100"/>
      <c r="AG444" s="100"/>
      <c r="AH444" s="100"/>
      <c r="AI444" s="100"/>
      <c r="AJ444" s="100"/>
      <c r="AK444" s="100"/>
      <c r="AL444" s="100"/>
      <c r="AM444" s="100"/>
      <c r="AN444" s="100"/>
      <c r="AO444" s="100"/>
      <c r="AP444" s="99"/>
      <c r="AQ444" s="99"/>
      <c r="AR444" s="99"/>
      <c r="AS444" s="99"/>
      <c r="AT444" s="99"/>
    </row>
    <row r="445" spans="25:46" x14ac:dyDescent="0.2">
      <c r="Y445" s="100"/>
      <c r="Z445" s="100"/>
      <c r="AA445" s="100"/>
      <c r="AB445" s="100"/>
      <c r="AC445" s="100"/>
      <c r="AD445" s="100"/>
      <c r="AE445" s="100"/>
      <c r="AF445" s="100"/>
      <c r="AG445" s="100"/>
      <c r="AH445" s="100"/>
      <c r="AI445" s="100"/>
      <c r="AJ445" s="100"/>
      <c r="AK445" s="100"/>
      <c r="AL445" s="100"/>
      <c r="AM445" s="100"/>
      <c r="AN445" s="100"/>
      <c r="AO445" s="100"/>
      <c r="AP445" s="99"/>
      <c r="AQ445" s="99"/>
      <c r="AR445" s="99"/>
      <c r="AS445" s="99"/>
      <c r="AT445" s="99"/>
    </row>
    <row r="446" spans="25:46" x14ac:dyDescent="0.2">
      <c r="Y446" s="100"/>
      <c r="Z446" s="100"/>
      <c r="AA446" s="100"/>
      <c r="AB446" s="100"/>
      <c r="AC446" s="100"/>
      <c r="AD446" s="100"/>
      <c r="AE446" s="100"/>
      <c r="AF446" s="100"/>
      <c r="AG446" s="100"/>
      <c r="AH446" s="100"/>
      <c r="AI446" s="100"/>
      <c r="AJ446" s="100"/>
      <c r="AK446" s="100"/>
      <c r="AL446" s="100"/>
      <c r="AM446" s="100"/>
      <c r="AN446" s="100"/>
      <c r="AO446" s="100"/>
      <c r="AP446" s="99"/>
      <c r="AQ446" s="99"/>
      <c r="AR446" s="99"/>
      <c r="AS446" s="99"/>
      <c r="AT446" s="99"/>
    </row>
    <row r="447" spans="25:46" x14ac:dyDescent="0.2">
      <c r="Y447" s="100"/>
      <c r="Z447" s="100"/>
      <c r="AA447" s="100"/>
      <c r="AB447" s="100"/>
      <c r="AC447" s="100"/>
      <c r="AD447" s="100"/>
      <c r="AE447" s="100"/>
      <c r="AF447" s="100"/>
      <c r="AG447" s="100"/>
      <c r="AH447" s="100"/>
      <c r="AI447" s="100"/>
      <c r="AJ447" s="100"/>
      <c r="AK447" s="100"/>
      <c r="AL447" s="100"/>
      <c r="AM447" s="100"/>
      <c r="AN447" s="100"/>
      <c r="AO447" s="100"/>
      <c r="AP447" s="99"/>
      <c r="AQ447" s="99"/>
      <c r="AR447" s="99"/>
      <c r="AS447" s="99"/>
      <c r="AT447" s="99"/>
    </row>
    <row r="448" spans="25:46" x14ac:dyDescent="0.2">
      <c r="Y448" s="100"/>
      <c r="Z448" s="100"/>
      <c r="AA448" s="100"/>
      <c r="AB448" s="100"/>
      <c r="AC448" s="100"/>
      <c r="AD448" s="100"/>
      <c r="AE448" s="100"/>
      <c r="AF448" s="100"/>
      <c r="AG448" s="100"/>
      <c r="AH448" s="100"/>
      <c r="AI448" s="100"/>
      <c r="AJ448" s="100"/>
      <c r="AK448" s="100"/>
      <c r="AL448" s="100"/>
      <c r="AM448" s="100"/>
      <c r="AN448" s="100"/>
      <c r="AO448" s="100"/>
      <c r="AP448" s="99"/>
      <c r="AQ448" s="99"/>
      <c r="AR448" s="99"/>
      <c r="AS448" s="99"/>
      <c r="AT448" s="99"/>
    </row>
    <row r="449" spans="25:46" x14ac:dyDescent="0.2">
      <c r="Y449" s="100"/>
      <c r="Z449" s="100"/>
      <c r="AA449" s="100"/>
      <c r="AB449" s="100"/>
      <c r="AC449" s="100"/>
      <c r="AD449" s="100"/>
      <c r="AE449" s="100"/>
      <c r="AF449" s="100"/>
      <c r="AG449" s="100"/>
      <c r="AH449" s="100"/>
      <c r="AI449" s="100"/>
      <c r="AJ449" s="100"/>
      <c r="AK449" s="100"/>
      <c r="AL449" s="100"/>
      <c r="AM449" s="100"/>
      <c r="AN449" s="100"/>
      <c r="AO449" s="100"/>
      <c r="AP449" s="99"/>
      <c r="AQ449" s="99"/>
      <c r="AR449" s="99"/>
      <c r="AS449" s="99"/>
      <c r="AT449" s="99"/>
    </row>
    <row r="450" spans="25:46" x14ac:dyDescent="0.2">
      <c r="Y450" s="100"/>
      <c r="Z450" s="100"/>
      <c r="AA450" s="100"/>
      <c r="AB450" s="100"/>
      <c r="AC450" s="100"/>
      <c r="AD450" s="100"/>
      <c r="AE450" s="100"/>
      <c r="AF450" s="100"/>
      <c r="AG450" s="100"/>
      <c r="AH450" s="100"/>
      <c r="AI450" s="100"/>
      <c r="AJ450" s="100"/>
      <c r="AK450" s="100"/>
      <c r="AL450" s="100"/>
      <c r="AM450" s="100"/>
      <c r="AN450" s="100"/>
      <c r="AO450" s="100"/>
      <c r="AP450" s="99"/>
      <c r="AQ450" s="99"/>
      <c r="AR450" s="99"/>
      <c r="AS450" s="99"/>
      <c r="AT450" s="99"/>
    </row>
    <row r="451" spans="25:46" x14ac:dyDescent="0.2">
      <c r="Y451" s="100"/>
      <c r="Z451" s="100"/>
      <c r="AA451" s="100"/>
      <c r="AB451" s="100"/>
      <c r="AC451" s="100"/>
      <c r="AD451" s="100"/>
      <c r="AE451" s="100"/>
      <c r="AF451" s="100"/>
      <c r="AG451" s="100"/>
      <c r="AH451" s="100"/>
      <c r="AI451" s="100"/>
      <c r="AJ451" s="100"/>
      <c r="AK451" s="100"/>
      <c r="AL451" s="100"/>
      <c r="AM451" s="100"/>
      <c r="AN451" s="100"/>
      <c r="AO451" s="100"/>
      <c r="AP451" s="99"/>
      <c r="AQ451" s="99"/>
      <c r="AR451" s="99"/>
      <c r="AS451" s="99"/>
      <c r="AT451" s="99"/>
    </row>
    <row r="452" spans="25:46" x14ac:dyDescent="0.2">
      <c r="Y452" s="100"/>
      <c r="Z452" s="100"/>
      <c r="AA452" s="100"/>
      <c r="AB452" s="100"/>
      <c r="AC452" s="100"/>
      <c r="AD452" s="100"/>
      <c r="AE452" s="100"/>
      <c r="AF452" s="100"/>
      <c r="AG452" s="100"/>
      <c r="AH452" s="100"/>
      <c r="AI452" s="100"/>
      <c r="AJ452" s="100"/>
      <c r="AK452" s="100"/>
      <c r="AL452" s="100"/>
      <c r="AM452" s="100"/>
      <c r="AN452" s="100"/>
      <c r="AO452" s="100"/>
      <c r="AP452" s="99"/>
      <c r="AQ452" s="99"/>
      <c r="AR452" s="99"/>
      <c r="AS452" s="99"/>
      <c r="AT452" s="99"/>
    </row>
    <row r="453" spans="25:46" x14ac:dyDescent="0.2">
      <c r="Y453" s="100"/>
      <c r="Z453" s="100"/>
      <c r="AA453" s="100"/>
      <c r="AB453" s="100"/>
      <c r="AC453" s="100"/>
      <c r="AD453" s="100"/>
      <c r="AE453" s="100"/>
      <c r="AF453" s="100"/>
      <c r="AG453" s="100"/>
      <c r="AH453" s="100"/>
      <c r="AI453" s="100"/>
      <c r="AJ453" s="100"/>
      <c r="AK453" s="100"/>
      <c r="AL453" s="100"/>
      <c r="AM453" s="100"/>
      <c r="AN453" s="100"/>
      <c r="AO453" s="100"/>
      <c r="AP453" s="99"/>
      <c r="AQ453" s="99"/>
      <c r="AR453" s="99"/>
      <c r="AS453" s="99"/>
      <c r="AT453" s="99"/>
    </row>
    <row r="454" spans="25:46" x14ac:dyDescent="0.2">
      <c r="Y454" s="100"/>
      <c r="Z454" s="100"/>
      <c r="AA454" s="100"/>
      <c r="AB454" s="100"/>
      <c r="AC454" s="100"/>
      <c r="AD454" s="100"/>
      <c r="AE454" s="100"/>
      <c r="AF454" s="100"/>
      <c r="AG454" s="100"/>
      <c r="AH454" s="100"/>
      <c r="AI454" s="100"/>
      <c r="AJ454" s="100"/>
      <c r="AK454" s="100"/>
      <c r="AL454" s="100"/>
      <c r="AM454" s="100"/>
      <c r="AN454" s="100"/>
      <c r="AO454" s="100"/>
      <c r="AP454" s="99"/>
      <c r="AQ454" s="99"/>
      <c r="AR454" s="99"/>
      <c r="AS454" s="99"/>
      <c r="AT454" s="99"/>
    </row>
    <row r="455" spans="25:46" x14ac:dyDescent="0.2">
      <c r="Y455" s="100"/>
      <c r="Z455" s="100"/>
      <c r="AA455" s="100"/>
      <c r="AB455" s="100"/>
      <c r="AC455" s="100"/>
      <c r="AD455" s="100"/>
      <c r="AE455" s="100"/>
      <c r="AF455" s="100"/>
      <c r="AG455" s="100"/>
      <c r="AH455" s="100"/>
      <c r="AI455" s="100"/>
      <c r="AJ455" s="100"/>
      <c r="AK455" s="100"/>
      <c r="AL455" s="100"/>
      <c r="AM455" s="100"/>
      <c r="AN455" s="100"/>
      <c r="AO455" s="100"/>
      <c r="AP455" s="99"/>
      <c r="AQ455" s="99"/>
      <c r="AR455" s="99"/>
      <c r="AS455" s="99"/>
      <c r="AT455" s="99"/>
    </row>
    <row r="456" spans="25:46" x14ac:dyDescent="0.2">
      <c r="Y456" s="100"/>
      <c r="Z456" s="100"/>
      <c r="AA456" s="100"/>
      <c r="AB456" s="100"/>
      <c r="AC456" s="100"/>
      <c r="AD456" s="100"/>
      <c r="AE456" s="100"/>
      <c r="AF456" s="100"/>
      <c r="AG456" s="100"/>
      <c r="AH456" s="100"/>
      <c r="AI456" s="100"/>
      <c r="AJ456" s="100"/>
      <c r="AK456" s="100"/>
      <c r="AL456" s="100"/>
      <c r="AM456" s="100"/>
      <c r="AN456" s="100"/>
      <c r="AO456" s="100"/>
      <c r="AP456" s="99"/>
      <c r="AQ456" s="99"/>
      <c r="AR456" s="99"/>
      <c r="AS456" s="99"/>
      <c r="AT456" s="99"/>
    </row>
    <row r="457" spans="25:46" x14ac:dyDescent="0.2">
      <c r="Y457" s="100"/>
      <c r="Z457" s="100"/>
      <c r="AA457" s="100"/>
      <c r="AB457" s="100"/>
      <c r="AC457" s="100"/>
      <c r="AD457" s="100"/>
      <c r="AE457" s="100"/>
      <c r="AF457" s="100"/>
      <c r="AG457" s="100"/>
      <c r="AH457" s="100"/>
      <c r="AI457" s="100"/>
      <c r="AJ457" s="100"/>
      <c r="AK457" s="100"/>
      <c r="AL457" s="100"/>
      <c r="AM457" s="100"/>
      <c r="AN457" s="100"/>
      <c r="AO457" s="100"/>
      <c r="AP457" s="99"/>
      <c r="AQ457" s="99"/>
      <c r="AR457" s="99"/>
      <c r="AS457" s="99"/>
      <c r="AT457" s="99"/>
    </row>
    <row r="458" spans="25:46" x14ac:dyDescent="0.2">
      <c r="Y458" s="100"/>
      <c r="Z458" s="100"/>
      <c r="AA458" s="100"/>
      <c r="AB458" s="100"/>
      <c r="AC458" s="100"/>
      <c r="AD458" s="100"/>
      <c r="AE458" s="100"/>
      <c r="AF458" s="100"/>
      <c r="AG458" s="100"/>
      <c r="AH458" s="100"/>
      <c r="AI458" s="100"/>
      <c r="AJ458" s="100"/>
      <c r="AK458" s="100"/>
      <c r="AL458" s="100"/>
      <c r="AM458" s="100"/>
      <c r="AN458" s="100"/>
      <c r="AO458" s="100"/>
      <c r="AP458" s="99"/>
      <c r="AQ458" s="99"/>
      <c r="AR458" s="99"/>
      <c r="AS458" s="99"/>
      <c r="AT458" s="99"/>
    </row>
    <row r="459" spans="25:46" x14ac:dyDescent="0.2">
      <c r="Y459" s="100"/>
      <c r="Z459" s="100"/>
      <c r="AA459" s="100"/>
      <c r="AB459" s="100"/>
      <c r="AC459" s="100"/>
      <c r="AD459" s="100"/>
      <c r="AE459" s="100"/>
      <c r="AF459" s="100"/>
      <c r="AG459" s="100"/>
      <c r="AH459" s="100"/>
      <c r="AI459" s="100"/>
      <c r="AJ459" s="100"/>
      <c r="AK459" s="100"/>
      <c r="AL459" s="100"/>
      <c r="AM459" s="100"/>
      <c r="AN459" s="100"/>
      <c r="AO459" s="100"/>
      <c r="AP459" s="99"/>
      <c r="AQ459" s="99"/>
      <c r="AR459" s="99"/>
      <c r="AS459" s="99"/>
      <c r="AT459" s="99"/>
    </row>
    <row r="460" spans="25:46" x14ac:dyDescent="0.2">
      <c r="Y460" s="100"/>
      <c r="Z460" s="100"/>
      <c r="AA460" s="100"/>
      <c r="AB460" s="100"/>
      <c r="AC460" s="100"/>
      <c r="AD460" s="100"/>
      <c r="AE460" s="100"/>
      <c r="AF460" s="100"/>
      <c r="AG460" s="100"/>
      <c r="AH460" s="100"/>
      <c r="AI460" s="100"/>
      <c r="AJ460" s="100"/>
      <c r="AK460" s="100"/>
      <c r="AL460" s="100"/>
      <c r="AM460" s="100"/>
      <c r="AN460" s="100"/>
      <c r="AO460" s="100"/>
      <c r="AP460" s="99"/>
      <c r="AQ460" s="99"/>
      <c r="AR460" s="99"/>
      <c r="AS460" s="99"/>
      <c r="AT460" s="99"/>
    </row>
    <row r="461" spans="25:46" x14ac:dyDescent="0.2">
      <c r="Y461" s="100"/>
      <c r="Z461" s="100"/>
      <c r="AA461" s="100"/>
      <c r="AB461" s="100"/>
      <c r="AC461" s="100"/>
      <c r="AD461" s="100"/>
      <c r="AE461" s="100"/>
      <c r="AF461" s="100"/>
      <c r="AG461" s="100"/>
      <c r="AH461" s="100"/>
      <c r="AI461" s="100"/>
      <c r="AJ461" s="100"/>
      <c r="AK461" s="100"/>
      <c r="AL461" s="100"/>
      <c r="AM461" s="100"/>
      <c r="AN461" s="100"/>
      <c r="AO461" s="100"/>
      <c r="AP461" s="99"/>
      <c r="AQ461" s="99"/>
      <c r="AR461" s="99"/>
      <c r="AS461" s="99"/>
      <c r="AT461" s="99"/>
    </row>
    <row r="462" spans="25:46" x14ac:dyDescent="0.2">
      <c r="Y462" s="100"/>
      <c r="Z462" s="100"/>
      <c r="AA462" s="100"/>
      <c r="AB462" s="100"/>
      <c r="AC462" s="100"/>
      <c r="AD462" s="100"/>
      <c r="AE462" s="100"/>
      <c r="AF462" s="100"/>
      <c r="AG462" s="100"/>
      <c r="AH462" s="100"/>
      <c r="AI462" s="100"/>
      <c r="AJ462" s="100"/>
      <c r="AK462" s="100"/>
      <c r="AL462" s="100"/>
      <c r="AM462" s="100"/>
      <c r="AN462" s="100"/>
      <c r="AO462" s="100"/>
      <c r="AP462" s="99"/>
      <c r="AQ462" s="99"/>
      <c r="AR462" s="99"/>
      <c r="AS462" s="99"/>
      <c r="AT462" s="99"/>
    </row>
    <row r="463" spans="25:46" x14ac:dyDescent="0.2">
      <c r="Y463" s="100"/>
      <c r="Z463" s="100"/>
      <c r="AA463" s="100"/>
      <c r="AB463" s="100"/>
      <c r="AC463" s="100"/>
      <c r="AD463" s="100"/>
      <c r="AE463" s="100"/>
      <c r="AF463" s="100"/>
      <c r="AG463" s="100"/>
      <c r="AH463" s="100"/>
      <c r="AI463" s="100"/>
      <c r="AJ463" s="100"/>
      <c r="AK463" s="100"/>
      <c r="AL463" s="100"/>
      <c r="AM463" s="100"/>
      <c r="AN463" s="100"/>
      <c r="AO463" s="100"/>
      <c r="AP463" s="99"/>
      <c r="AQ463" s="99"/>
      <c r="AR463" s="99"/>
      <c r="AS463" s="99"/>
      <c r="AT463" s="99"/>
    </row>
    <row r="464" spans="25:46" x14ac:dyDescent="0.2">
      <c r="Y464" s="100"/>
      <c r="Z464" s="100"/>
      <c r="AA464" s="100"/>
      <c r="AB464" s="100"/>
      <c r="AC464" s="100"/>
      <c r="AD464" s="100"/>
      <c r="AE464" s="100"/>
      <c r="AF464" s="100"/>
      <c r="AG464" s="100"/>
      <c r="AH464" s="100"/>
      <c r="AI464" s="100"/>
      <c r="AJ464" s="100"/>
      <c r="AK464" s="100"/>
      <c r="AL464" s="100"/>
      <c r="AM464" s="100"/>
      <c r="AN464" s="100"/>
      <c r="AO464" s="100"/>
      <c r="AP464" s="99"/>
      <c r="AQ464" s="99"/>
      <c r="AR464" s="99"/>
      <c r="AS464" s="99"/>
      <c r="AT464" s="99"/>
    </row>
    <row r="465" spans="25:46" x14ac:dyDescent="0.2">
      <c r="Y465" s="100"/>
      <c r="Z465" s="100"/>
      <c r="AA465" s="100"/>
      <c r="AB465" s="100"/>
      <c r="AC465" s="100"/>
      <c r="AD465" s="100"/>
      <c r="AE465" s="100"/>
      <c r="AF465" s="100"/>
      <c r="AG465" s="100"/>
      <c r="AH465" s="100"/>
      <c r="AI465" s="100"/>
      <c r="AJ465" s="100"/>
      <c r="AK465" s="100"/>
      <c r="AL465" s="100"/>
      <c r="AM465" s="100"/>
      <c r="AN465" s="100"/>
      <c r="AO465" s="100"/>
      <c r="AP465" s="99"/>
      <c r="AQ465" s="99"/>
      <c r="AR465" s="99"/>
      <c r="AS465" s="99"/>
      <c r="AT465" s="99"/>
    </row>
    <row r="466" spans="25:46" x14ac:dyDescent="0.2">
      <c r="Y466" s="100"/>
      <c r="Z466" s="100"/>
      <c r="AA466" s="100"/>
      <c r="AB466" s="100"/>
      <c r="AC466" s="100"/>
      <c r="AD466" s="100"/>
      <c r="AE466" s="100"/>
      <c r="AF466" s="100"/>
      <c r="AG466" s="100"/>
      <c r="AH466" s="100"/>
      <c r="AI466" s="100"/>
      <c r="AJ466" s="100"/>
      <c r="AK466" s="100"/>
      <c r="AL466" s="100"/>
      <c r="AM466" s="100"/>
      <c r="AN466" s="100"/>
      <c r="AO466" s="100"/>
      <c r="AP466" s="99"/>
      <c r="AQ466" s="99"/>
      <c r="AR466" s="99"/>
      <c r="AS466" s="99"/>
      <c r="AT466" s="99"/>
    </row>
    <row r="467" spans="25:46" x14ac:dyDescent="0.2">
      <c r="Y467" s="100"/>
      <c r="Z467" s="100"/>
      <c r="AA467" s="100"/>
      <c r="AB467" s="100"/>
      <c r="AC467" s="100"/>
      <c r="AD467" s="100"/>
      <c r="AE467" s="100"/>
      <c r="AF467" s="100"/>
      <c r="AG467" s="100"/>
      <c r="AH467" s="100"/>
      <c r="AI467" s="100"/>
      <c r="AJ467" s="100"/>
      <c r="AK467" s="100"/>
      <c r="AL467" s="100"/>
      <c r="AM467" s="100"/>
      <c r="AN467" s="100"/>
      <c r="AO467" s="100"/>
      <c r="AP467" s="99"/>
      <c r="AQ467" s="99"/>
      <c r="AR467" s="99"/>
      <c r="AS467" s="99"/>
      <c r="AT467" s="99"/>
    </row>
    <row r="468" spans="25:46" x14ac:dyDescent="0.2">
      <c r="Y468" s="100"/>
      <c r="Z468" s="100"/>
      <c r="AA468" s="100"/>
      <c r="AB468" s="100"/>
      <c r="AC468" s="100"/>
      <c r="AD468" s="100"/>
      <c r="AE468" s="100"/>
      <c r="AF468" s="100"/>
      <c r="AG468" s="100"/>
      <c r="AH468" s="100"/>
      <c r="AI468" s="100"/>
      <c r="AJ468" s="100"/>
      <c r="AK468" s="100"/>
      <c r="AL468" s="100"/>
      <c r="AM468" s="100"/>
      <c r="AN468" s="100"/>
      <c r="AO468" s="100"/>
      <c r="AP468" s="99"/>
      <c r="AQ468" s="99"/>
      <c r="AR468" s="99"/>
      <c r="AS468" s="99"/>
      <c r="AT468" s="99"/>
    </row>
    <row r="469" spans="25:46" x14ac:dyDescent="0.2">
      <c r="Y469" s="100"/>
      <c r="Z469" s="100"/>
      <c r="AA469" s="100"/>
      <c r="AB469" s="100"/>
      <c r="AC469" s="100"/>
      <c r="AD469" s="100"/>
      <c r="AE469" s="100"/>
      <c r="AF469" s="100"/>
      <c r="AG469" s="100"/>
      <c r="AH469" s="100"/>
      <c r="AI469" s="100"/>
      <c r="AJ469" s="100"/>
      <c r="AK469" s="100"/>
      <c r="AL469" s="100"/>
      <c r="AM469" s="100"/>
      <c r="AN469" s="100"/>
      <c r="AO469" s="100"/>
      <c r="AP469" s="99"/>
      <c r="AQ469" s="99"/>
      <c r="AR469" s="99"/>
      <c r="AS469" s="99"/>
      <c r="AT469" s="99"/>
    </row>
    <row r="470" spans="25:46" x14ac:dyDescent="0.2">
      <c r="Y470" s="100"/>
      <c r="Z470" s="100"/>
      <c r="AA470" s="100"/>
      <c r="AB470" s="100"/>
      <c r="AC470" s="100"/>
      <c r="AD470" s="100"/>
      <c r="AE470" s="100"/>
      <c r="AF470" s="100"/>
      <c r="AG470" s="100"/>
      <c r="AH470" s="100"/>
      <c r="AI470" s="100"/>
      <c r="AJ470" s="100"/>
      <c r="AK470" s="100"/>
      <c r="AL470" s="100"/>
      <c r="AM470" s="100"/>
      <c r="AN470" s="100"/>
      <c r="AO470" s="100"/>
      <c r="AP470" s="99"/>
      <c r="AQ470" s="99"/>
      <c r="AR470" s="99"/>
      <c r="AS470" s="99"/>
      <c r="AT470" s="99"/>
    </row>
    <row r="471" spans="25:46" x14ac:dyDescent="0.2">
      <c r="Y471" s="100"/>
      <c r="Z471" s="100"/>
      <c r="AA471" s="100"/>
      <c r="AB471" s="100"/>
      <c r="AC471" s="100"/>
      <c r="AD471" s="100"/>
      <c r="AE471" s="100"/>
      <c r="AF471" s="100"/>
      <c r="AG471" s="100"/>
      <c r="AH471" s="100"/>
      <c r="AI471" s="100"/>
      <c r="AJ471" s="100"/>
      <c r="AK471" s="100"/>
      <c r="AL471" s="100"/>
      <c r="AM471" s="100"/>
      <c r="AN471" s="100"/>
      <c r="AO471" s="100"/>
      <c r="AP471" s="99"/>
      <c r="AQ471" s="99"/>
      <c r="AR471" s="99"/>
      <c r="AS471" s="99"/>
      <c r="AT471" s="99"/>
    </row>
    <row r="472" spans="25:46" x14ac:dyDescent="0.2">
      <c r="Y472" s="100"/>
      <c r="Z472" s="100"/>
      <c r="AA472" s="100"/>
      <c r="AB472" s="100"/>
      <c r="AC472" s="100"/>
      <c r="AD472" s="100"/>
      <c r="AE472" s="100"/>
      <c r="AF472" s="100"/>
      <c r="AG472" s="100"/>
      <c r="AH472" s="100"/>
      <c r="AI472" s="100"/>
      <c r="AJ472" s="100"/>
      <c r="AK472" s="100"/>
      <c r="AL472" s="100"/>
      <c r="AM472" s="100"/>
      <c r="AN472" s="100"/>
      <c r="AO472" s="100"/>
      <c r="AP472" s="99"/>
      <c r="AQ472" s="99"/>
      <c r="AR472" s="99"/>
      <c r="AS472" s="99"/>
      <c r="AT472" s="99"/>
    </row>
    <row r="473" spans="25:46" x14ac:dyDescent="0.2">
      <c r="Y473" s="100"/>
      <c r="Z473" s="100"/>
      <c r="AA473" s="100"/>
      <c r="AB473" s="100"/>
      <c r="AC473" s="100"/>
      <c r="AD473" s="100"/>
      <c r="AE473" s="100"/>
      <c r="AF473" s="100"/>
      <c r="AG473" s="100"/>
      <c r="AH473" s="100"/>
      <c r="AI473" s="100"/>
      <c r="AJ473" s="100"/>
      <c r="AK473" s="100"/>
      <c r="AL473" s="100"/>
      <c r="AM473" s="100"/>
      <c r="AN473" s="100"/>
      <c r="AO473" s="100"/>
      <c r="AP473" s="99"/>
      <c r="AQ473" s="99"/>
      <c r="AR473" s="99"/>
      <c r="AS473" s="99"/>
      <c r="AT473" s="99"/>
    </row>
    <row r="474" spans="25:46" x14ac:dyDescent="0.2">
      <c r="Y474" s="100"/>
      <c r="Z474" s="100"/>
      <c r="AA474" s="100"/>
      <c r="AB474" s="100"/>
      <c r="AC474" s="100"/>
      <c r="AD474" s="100"/>
      <c r="AE474" s="100"/>
      <c r="AF474" s="100"/>
      <c r="AG474" s="100"/>
      <c r="AH474" s="100"/>
      <c r="AI474" s="100"/>
      <c r="AJ474" s="100"/>
      <c r="AK474" s="100"/>
      <c r="AL474" s="100"/>
      <c r="AM474" s="100"/>
      <c r="AN474" s="100"/>
      <c r="AO474" s="100"/>
      <c r="AP474" s="99"/>
      <c r="AQ474" s="99"/>
      <c r="AR474" s="99"/>
      <c r="AS474" s="99"/>
      <c r="AT474" s="99"/>
    </row>
    <row r="475" spans="25:46" x14ac:dyDescent="0.2">
      <c r="Y475" s="100"/>
      <c r="Z475" s="100"/>
      <c r="AA475" s="100"/>
      <c r="AB475" s="100"/>
      <c r="AC475" s="100"/>
      <c r="AD475" s="100"/>
      <c r="AE475" s="100"/>
      <c r="AF475" s="100"/>
      <c r="AG475" s="100"/>
      <c r="AH475" s="100"/>
      <c r="AI475" s="100"/>
      <c r="AJ475" s="100"/>
      <c r="AK475" s="100"/>
      <c r="AL475" s="100"/>
      <c r="AM475" s="100"/>
      <c r="AN475" s="100"/>
      <c r="AO475" s="100"/>
      <c r="AP475" s="99"/>
      <c r="AQ475" s="99"/>
      <c r="AR475" s="99"/>
      <c r="AS475" s="99"/>
      <c r="AT475" s="99"/>
    </row>
    <row r="476" spans="25:46" x14ac:dyDescent="0.2">
      <c r="Y476" s="100"/>
      <c r="Z476" s="100"/>
      <c r="AA476" s="100"/>
      <c r="AB476" s="100"/>
      <c r="AC476" s="100"/>
      <c r="AD476" s="100"/>
      <c r="AE476" s="100"/>
      <c r="AF476" s="100"/>
      <c r="AG476" s="100"/>
      <c r="AH476" s="100"/>
      <c r="AI476" s="100"/>
      <c r="AJ476" s="100"/>
      <c r="AK476" s="100"/>
      <c r="AL476" s="100"/>
      <c r="AM476" s="100"/>
      <c r="AN476" s="100"/>
      <c r="AO476" s="100"/>
      <c r="AP476" s="99"/>
      <c r="AQ476" s="99"/>
      <c r="AR476" s="99"/>
      <c r="AS476" s="99"/>
      <c r="AT476" s="99"/>
    </row>
    <row r="477" spans="25:46" x14ac:dyDescent="0.2">
      <c r="Y477" s="100"/>
      <c r="Z477" s="100"/>
      <c r="AA477" s="100"/>
      <c r="AB477" s="100"/>
      <c r="AC477" s="100"/>
      <c r="AD477" s="100"/>
      <c r="AE477" s="100"/>
      <c r="AF477" s="100"/>
      <c r="AG477" s="100"/>
      <c r="AH477" s="100"/>
      <c r="AI477" s="100"/>
      <c r="AJ477" s="100"/>
      <c r="AK477" s="100"/>
      <c r="AL477" s="100"/>
      <c r="AM477" s="100"/>
      <c r="AN477" s="100"/>
      <c r="AO477" s="100"/>
      <c r="AP477" s="99"/>
      <c r="AQ477" s="99"/>
      <c r="AR477" s="99"/>
      <c r="AS477" s="99"/>
      <c r="AT477" s="99"/>
    </row>
    <row r="478" spans="25:46" x14ac:dyDescent="0.2">
      <c r="Y478" s="100"/>
      <c r="Z478" s="100"/>
      <c r="AA478" s="100"/>
      <c r="AB478" s="100"/>
      <c r="AC478" s="100"/>
      <c r="AD478" s="100"/>
      <c r="AE478" s="100"/>
      <c r="AF478" s="100"/>
      <c r="AG478" s="100"/>
      <c r="AH478" s="100"/>
      <c r="AI478" s="100"/>
      <c r="AJ478" s="100"/>
      <c r="AK478" s="100"/>
      <c r="AL478" s="100"/>
      <c r="AM478" s="100"/>
      <c r="AN478" s="100"/>
      <c r="AO478" s="100"/>
      <c r="AP478" s="99"/>
      <c r="AQ478" s="99"/>
      <c r="AR478" s="99"/>
      <c r="AS478" s="99"/>
      <c r="AT478" s="99"/>
    </row>
    <row r="479" spans="25:46" x14ac:dyDescent="0.2">
      <c r="Y479" s="100"/>
      <c r="Z479" s="100"/>
      <c r="AA479" s="100"/>
      <c r="AB479" s="100"/>
      <c r="AC479" s="100"/>
      <c r="AD479" s="100"/>
      <c r="AE479" s="100"/>
      <c r="AF479" s="100"/>
      <c r="AG479" s="100"/>
      <c r="AH479" s="100"/>
      <c r="AI479" s="100"/>
      <c r="AJ479" s="100"/>
      <c r="AK479" s="100"/>
      <c r="AL479" s="100"/>
      <c r="AM479" s="100"/>
      <c r="AN479" s="100"/>
      <c r="AO479" s="100"/>
      <c r="AP479" s="99"/>
      <c r="AQ479" s="99"/>
      <c r="AR479" s="99"/>
      <c r="AS479" s="99"/>
      <c r="AT479" s="99"/>
    </row>
    <row r="480" spans="25:46" x14ac:dyDescent="0.2">
      <c r="Y480" s="100"/>
      <c r="Z480" s="100"/>
      <c r="AA480" s="100"/>
      <c r="AB480" s="100"/>
      <c r="AC480" s="100"/>
      <c r="AD480" s="100"/>
      <c r="AE480" s="100"/>
      <c r="AF480" s="100"/>
      <c r="AG480" s="100"/>
      <c r="AH480" s="100"/>
      <c r="AI480" s="100"/>
      <c r="AJ480" s="100"/>
      <c r="AK480" s="100"/>
      <c r="AL480" s="100"/>
      <c r="AM480" s="100"/>
      <c r="AN480" s="100"/>
      <c r="AO480" s="100"/>
      <c r="AP480" s="99"/>
      <c r="AQ480" s="99"/>
      <c r="AR480" s="99"/>
      <c r="AS480" s="99"/>
      <c r="AT480" s="99"/>
    </row>
    <row r="481" spans="25:46" x14ac:dyDescent="0.2">
      <c r="Y481" s="100"/>
      <c r="Z481" s="100"/>
      <c r="AA481" s="100"/>
      <c r="AB481" s="100"/>
      <c r="AC481" s="100"/>
      <c r="AD481" s="100"/>
      <c r="AE481" s="100"/>
      <c r="AF481" s="100"/>
      <c r="AG481" s="100"/>
      <c r="AH481" s="100"/>
      <c r="AI481" s="100"/>
      <c r="AJ481" s="100"/>
      <c r="AK481" s="100"/>
      <c r="AL481" s="100"/>
      <c r="AM481" s="100"/>
      <c r="AN481" s="100"/>
      <c r="AO481" s="100"/>
      <c r="AP481" s="99"/>
      <c r="AQ481" s="99"/>
      <c r="AR481" s="99"/>
      <c r="AS481" s="99"/>
      <c r="AT481" s="99"/>
    </row>
    <row r="482" spans="25:46" x14ac:dyDescent="0.2">
      <c r="Y482" s="100"/>
      <c r="Z482" s="100"/>
      <c r="AA482" s="100"/>
      <c r="AB482" s="100"/>
      <c r="AC482" s="100"/>
      <c r="AD482" s="100"/>
      <c r="AE482" s="100"/>
      <c r="AF482" s="100"/>
      <c r="AG482" s="100"/>
      <c r="AH482" s="100"/>
      <c r="AI482" s="100"/>
      <c r="AJ482" s="100"/>
      <c r="AK482" s="100"/>
      <c r="AL482" s="100"/>
      <c r="AM482" s="100"/>
      <c r="AN482" s="100"/>
      <c r="AO482" s="100"/>
      <c r="AP482" s="99"/>
      <c r="AQ482" s="99"/>
      <c r="AR482" s="99"/>
      <c r="AS482" s="99"/>
      <c r="AT482" s="99"/>
    </row>
    <row r="483" spans="25:46" x14ac:dyDescent="0.2">
      <c r="Y483" s="100"/>
      <c r="Z483" s="100"/>
      <c r="AA483" s="100"/>
      <c r="AB483" s="100"/>
      <c r="AC483" s="100"/>
      <c r="AD483" s="100"/>
      <c r="AE483" s="100"/>
      <c r="AF483" s="100"/>
      <c r="AG483" s="100"/>
      <c r="AH483" s="100"/>
      <c r="AI483" s="100"/>
      <c r="AJ483" s="100"/>
      <c r="AK483" s="100"/>
      <c r="AL483" s="100"/>
      <c r="AM483" s="100"/>
      <c r="AN483" s="100"/>
      <c r="AO483" s="100"/>
      <c r="AP483" s="99"/>
      <c r="AQ483" s="99"/>
      <c r="AR483" s="99"/>
      <c r="AS483" s="99"/>
      <c r="AT483" s="99"/>
    </row>
    <row r="484" spans="25:46" x14ac:dyDescent="0.2">
      <c r="Y484" s="100"/>
      <c r="Z484" s="100"/>
      <c r="AA484" s="100"/>
      <c r="AB484" s="100"/>
      <c r="AC484" s="100"/>
      <c r="AD484" s="100"/>
      <c r="AE484" s="100"/>
      <c r="AF484" s="100"/>
      <c r="AG484" s="100"/>
      <c r="AH484" s="100"/>
      <c r="AI484" s="100"/>
      <c r="AJ484" s="100"/>
      <c r="AK484" s="100"/>
      <c r="AL484" s="100"/>
      <c r="AM484" s="100"/>
      <c r="AN484" s="100"/>
      <c r="AO484" s="100"/>
      <c r="AP484" s="99"/>
      <c r="AQ484" s="99"/>
      <c r="AR484" s="99"/>
      <c r="AS484" s="99"/>
      <c r="AT484" s="99"/>
    </row>
    <row r="485" spans="25:46" x14ac:dyDescent="0.2">
      <c r="Y485" s="100"/>
      <c r="Z485" s="100"/>
      <c r="AA485" s="100"/>
      <c r="AB485" s="100"/>
      <c r="AC485" s="100"/>
      <c r="AD485" s="100"/>
      <c r="AE485" s="100"/>
      <c r="AF485" s="100"/>
      <c r="AG485" s="100"/>
      <c r="AH485" s="100"/>
      <c r="AI485" s="100"/>
      <c r="AJ485" s="100"/>
      <c r="AK485" s="100"/>
      <c r="AL485" s="100"/>
      <c r="AM485" s="100"/>
      <c r="AN485" s="100"/>
      <c r="AO485" s="100"/>
      <c r="AP485" s="99"/>
      <c r="AQ485" s="99"/>
      <c r="AR485" s="99"/>
      <c r="AS485" s="99"/>
      <c r="AT485" s="99"/>
    </row>
    <row r="486" spans="25:46" x14ac:dyDescent="0.2">
      <c r="Y486" s="100"/>
      <c r="Z486" s="100"/>
      <c r="AA486" s="100"/>
      <c r="AB486" s="100"/>
      <c r="AC486" s="100"/>
      <c r="AD486" s="100"/>
      <c r="AE486" s="100"/>
      <c r="AF486" s="100"/>
      <c r="AG486" s="100"/>
      <c r="AH486" s="100"/>
      <c r="AI486" s="100"/>
      <c r="AJ486" s="100"/>
      <c r="AK486" s="100"/>
      <c r="AL486" s="100"/>
      <c r="AM486" s="100"/>
      <c r="AN486" s="100"/>
      <c r="AO486" s="100"/>
      <c r="AP486" s="99"/>
      <c r="AQ486" s="99"/>
      <c r="AR486" s="99"/>
      <c r="AS486" s="99"/>
      <c r="AT486" s="99"/>
    </row>
    <row r="487" spans="25:46" x14ac:dyDescent="0.2">
      <c r="Y487" s="100"/>
      <c r="Z487" s="100"/>
      <c r="AA487" s="100"/>
      <c r="AB487" s="100"/>
      <c r="AC487" s="100"/>
      <c r="AD487" s="100"/>
      <c r="AE487" s="100"/>
      <c r="AF487" s="100"/>
      <c r="AG487" s="100"/>
      <c r="AH487" s="100"/>
      <c r="AI487" s="100"/>
      <c r="AJ487" s="100"/>
      <c r="AK487" s="100"/>
      <c r="AL487" s="100"/>
      <c r="AM487" s="100"/>
      <c r="AN487" s="100"/>
      <c r="AO487" s="100"/>
      <c r="AP487" s="99"/>
      <c r="AQ487" s="99"/>
      <c r="AR487" s="99"/>
      <c r="AS487" s="99"/>
      <c r="AT487" s="99"/>
    </row>
    <row r="488" spans="25:46" x14ac:dyDescent="0.2">
      <c r="Y488" s="100"/>
      <c r="Z488" s="100"/>
      <c r="AA488" s="100"/>
      <c r="AB488" s="100"/>
      <c r="AC488" s="100"/>
      <c r="AD488" s="100"/>
      <c r="AE488" s="100"/>
      <c r="AF488" s="100"/>
      <c r="AG488" s="100"/>
      <c r="AH488" s="100"/>
      <c r="AI488" s="100"/>
      <c r="AJ488" s="100"/>
      <c r="AK488" s="100"/>
      <c r="AL488" s="100"/>
      <c r="AM488" s="100"/>
      <c r="AN488" s="100"/>
      <c r="AO488" s="100"/>
      <c r="AP488" s="99"/>
      <c r="AQ488" s="99"/>
      <c r="AR488" s="99"/>
      <c r="AS488" s="99"/>
      <c r="AT488" s="99"/>
    </row>
    <row r="489" spans="25:46" x14ac:dyDescent="0.2">
      <c r="Y489" s="100"/>
      <c r="Z489" s="100"/>
      <c r="AA489" s="100"/>
      <c r="AB489" s="100"/>
      <c r="AC489" s="100"/>
      <c r="AD489" s="100"/>
      <c r="AE489" s="100"/>
      <c r="AF489" s="100"/>
      <c r="AG489" s="100"/>
      <c r="AH489" s="100"/>
      <c r="AI489" s="100"/>
      <c r="AJ489" s="100"/>
      <c r="AK489" s="100"/>
      <c r="AL489" s="100"/>
      <c r="AM489" s="100"/>
      <c r="AN489" s="100"/>
      <c r="AO489" s="100"/>
      <c r="AP489" s="99"/>
      <c r="AQ489" s="99"/>
      <c r="AR489" s="99"/>
      <c r="AS489" s="99"/>
      <c r="AT489" s="99"/>
    </row>
    <row r="490" spans="25:46" x14ac:dyDescent="0.2">
      <c r="Y490" s="100"/>
      <c r="Z490" s="100"/>
      <c r="AA490" s="100"/>
      <c r="AB490" s="100"/>
      <c r="AC490" s="100"/>
      <c r="AD490" s="100"/>
      <c r="AE490" s="100"/>
      <c r="AF490" s="100"/>
      <c r="AG490" s="100"/>
      <c r="AH490" s="100"/>
      <c r="AI490" s="100"/>
      <c r="AJ490" s="100"/>
      <c r="AK490" s="100"/>
      <c r="AL490" s="100"/>
      <c r="AM490" s="100"/>
      <c r="AN490" s="100"/>
      <c r="AO490" s="100"/>
      <c r="AP490" s="99"/>
      <c r="AQ490" s="99"/>
      <c r="AR490" s="99"/>
      <c r="AS490" s="99"/>
      <c r="AT490" s="99"/>
    </row>
    <row r="491" spans="25:46" x14ac:dyDescent="0.2">
      <c r="Y491" s="100"/>
      <c r="Z491" s="100"/>
      <c r="AA491" s="100"/>
      <c r="AB491" s="100"/>
      <c r="AC491" s="100"/>
      <c r="AD491" s="100"/>
      <c r="AE491" s="100"/>
      <c r="AF491" s="100"/>
      <c r="AG491" s="100"/>
      <c r="AH491" s="100"/>
      <c r="AI491" s="100"/>
      <c r="AJ491" s="100"/>
      <c r="AK491" s="100"/>
      <c r="AL491" s="100"/>
      <c r="AM491" s="100"/>
      <c r="AN491" s="100"/>
      <c r="AO491" s="100"/>
      <c r="AP491" s="99"/>
      <c r="AQ491" s="99"/>
      <c r="AR491" s="99"/>
      <c r="AS491" s="99"/>
      <c r="AT491" s="99"/>
    </row>
    <row r="492" spans="25:46" x14ac:dyDescent="0.2">
      <c r="Y492" s="100"/>
      <c r="Z492" s="100"/>
      <c r="AA492" s="100"/>
      <c r="AB492" s="100"/>
      <c r="AC492" s="100"/>
      <c r="AD492" s="100"/>
      <c r="AE492" s="100"/>
      <c r="AF492" s="100"/>
      <c r="AG492" s="100"/>
      <c r="AH492" s="100"/>
      <c r="AI492" s="100"/>
      <c r="AJ492" s="100"/>
      <c r="AK492" s="100"/>
      <c r="AL492" s="100"/>
      <c r="AM492" s="100"/>
      <c r="AN492" s="100"/>
      <c r="AO492" s="100"/>
      <c r="AP492" s="99"/>
      <c r="AQ492" s="99"/>
      <c r="AR492" s="99"/>
      <c r="AS492" s="99"/>
      <c r="AT492" s="99"/>
    </row>
    <row r="493" spans="25:46" x14ac:dyDescent="0.2">
      <c r="Y493" s="100"/>
      <c r="Z493" s="100"/>
      <c r="AA493" s="100"/>
      <c r="AB493" s="100"/>
      <c r="AC493" s="100"/>
      <c r="AD493" s="100"/>
      <c r="AE493" s="100"/>
      <c r="AF493" s="100"/>
      <c r="AG493" s="100"/>
      <c r="AH493" s="100"/>
      <c r="AI493" s="100"/>
      <c r="AJ493" s="100"/>
      <c r="AK493" s="100"/>
      <c r="AL493" s="100"/>
      <c r="AM493" s="100"/>
      <c r="AN493" s="100"/>
      <c r="AO493" s="100"/>
      <c r="AP493" s="99"/>
      <c r="AQ493" s="99"/>
      <c r="AR493" s="99"/>
      <c r="AS493" s="99"/>
      <c r="AT493" s="99"/>
    </row>
    <row r="494" spans="25:46" x14ac:dyDescent="0.2">
      <c r="Y494" s="100"/>
      <c r="Z494" s="100"/>
      <c r="AA494" s="100"/>
      <c r="AB494" s="100"/>
      <c r="AC494" s="100"/>
      <c r="AD494" s="100"/>
      <c r="AE494" s="100"/>
      <c r="AF494" s="100"/>
      <c r="AG494" s="100"/>
      <c r="AH494" s="100"/>
      <c r="AI494" s="100"/>
      <c r="AJ494" s="100"/>
      <c r="AK494" s="100"/>
      <c r="AL494" s="100"/>
      <c r="AM494" s="100"/>
      <c r="AN494" s="100"/>
      <c r="AO494" s="100"/>
      <c r="AP494" s="99"/>
      <c r="AQ494" s="99"/>
      <c r="AR494" s="99"/>
      <c r="AS494" s="99"/>
      <c r="AT494" s="99"/>
    </row>
    <row r="495" spans="25:46" x14ac:dyDescent="0.2">
      <c r="Y495" s="100"/>
      <c r="Z495" s="100"/>
      <c r="AA495" s="100"/>
      <c r="AB495" s="100"/>
      <c r="AC495" s="100"/>
      <c r="AD495" s="100"/>
      <c r="AE495" s="100"/>
      <c r="AF495" s="100"/>
      <c r="AG495" s="100"/>
      <c r="AH495" s="100"/>
      <c r="AI495" s="100"/>
      <c r="AJ495" s="100"/>
      <c r="AK495" s="100"/>
      <c r="AL495" s="100"/>
      <c r="AM495" s="100"/>
      <c r="AN495" s="100"/>
      <c r="AO495" s="100"/>
      <c r="AP495" s="99"/>
      <c r="AQ495" s="99"/>
      <c r="AR495" s="99"/>
      <c r="AS495" s="99"/>
      <c r="AT495" s="99"/>
    </row>
    <row r="496" spans="25:46" x14ac:dyDescent="0.2">
      <c r="Y496" s="100"/>
      <c r="Z496" s="100"/>
      <c r="AA496" s="100"/>
      <c r="AB496" s="100"/>
      <c r="AC496" s="100"/>
      <c r="AD496" s="100"/>
      <c r="AE496" s="100"/>
      <c r="AF496" s="100"/>
      <c r="AG496" s="100"/>
      <c r="AH496" s="100"/>
      <c r="AI496" s="100"/>
      <c r="AJ496" s="100"/>
      <c r="AK496" s="100"/>
      <c r="AL496" s="100"/>
      <c r="AM496" s="100"/>
      <c r="AN496" s="100"/>
      <c r="AO496" s="100"/>
      <c r="AP496" s="99"/>
      <c r="AQ496" s="99"/>
      <c r="AR496" s="99"/>
      <c r="AS496" s="99"/>
      <c r="AT496" s="99"/>
    </row>
    <row r="497" spans="25:46" x14ac:dyDescent="0.2">
      <c r="Y497" s="100"/>
      <c r="Z497" s="100"/>
      <c r="AA497" s="100"/>
      <c r="AB497" s="100"/>
      <c r="AC497" s="100"/>
      <c r="AD497" s="100"/>
      <c r="AE497" s="100"/>
      <c r="AF497" s="100"/>
      <c r="AG497" s="100"/>
      <c r="AH497" s="100"/>
      <c r="AI497" s="100"/>
      <c r="AJ497" s="100"/>
      <c r="AK497" s="100"/>
      <c r="AL497" s="100"/>
      <c r="AM497" s="100"/>
      <c r="AN497" s="100"/>
      <c r="AO497" s="100"/>
      <c r="AP497" s="99"/>
      <c r="AQ497" s="99"/>
      <c r="AR497" s="99"/>
      <c r="AS497" s="99"/>
      <c r="AT497" s="99"/>
    </row>
    <row r="498" spans="25:46" x14ac:dyDescent="0.2">
      <c r="Y498" s="100"/>
      <c r="Z498" s="100"/>
      <c r="AA498" s="100"/>
      <c r="AB498" s="100"/>
      <c r="AC498" s="100"/>
      <c r="AD498" s="100"/>
      <c r="AE498" s="100"/>
      <c r="AF498" s="100"/>
      <c r="AG498" s="100"/>
      <c r="AH498" s="100"/>
      <c r="AI498" s="100"/>
      <c r="AJ498" s="100"/>
      <c r="AK498" s="100"/>
      <c r="AL498" s="100"/>
      <c r="AM498" s="100"/>
      <c r="AN498" s="100"/>
      <c r="AO498" s="100"/>
      <c r="AP498" s="99"/>
      <c r="AQ498" s="99"/>
      <c r="AR498" s="99"/>
      <c r="AS498" s="99"/>
      <c r="AT498" s="99"/>
    </row>
    <row r="499" spans="25:46" x14ac:dyDescent="0.2">
      <c r="Y499" s="100"/>
      <c r="Z499" s="100"/>
      <c r="AA499" s="100"/>
      <c r="AB499" s="100"/>
      <c r="AC499" s="100"/>
      <c r="AD499" s="100"/>
      <c r="AE499" s="100"/>
      <c r="AF499" s="100"/>
      <c r="AG499" s="100"/>
      <c r="AH499" s="100"/>
      <c r="AI499" s="100"/>
      <c r="AJ499" s="100"/>
      <c r="AK499" s="100"/>
      <c r="AL499" s="100"/>
      <c r="AM499" s="100"/>
      <c r="AN499" s="100"/>
      <c r="AO499" s="100"/>
      <c r="AP499" s="99"/>
      <c r="AQ499" s="99"/>
      <c r="AR499" s="99"/>
      <c r="AS499" s="99"/>
      <c r="AT499" s="99"/>
    </row>
    <row r="500" spans="25:46" x14ac:dyDescent="0.2">
      <c r="Y500" s="100"/>
      <c r="Z500" s="100"/>
      <c r="AA500" s="100"/>
      <c r="AB500" s="100"/>
      <c r="AC500" s="100"/>
      <c r="AD500" s="100"/>
      <c r="AE500" s="100"/>
      <c r="AF500" s="100"/>
      <c r="AG500" s="100"/>
      <c r="AH500" s="100"/>
      <c r="AI500" s="100"/>
      <c r="AJ500" s="100"/>
      <c r="AK500" s="100"/>
      <c r="AL500" s="100"/>
      <c r="AM500" s="100"/>
      <c r="AN500" s="100"/>
      <c r="AO500" s="100"/>
      <c r="AP500" s="99"/>
      <c r="AQ500" s="99"/>
      <c r="AR500" s="99"/>
      <c r="AS500" s="99"/>
      <c r="AT500" s="99"/>
    </row>
  </sheetData>
  <pageMargins left="0.7" right="0.7" top="0.75" bottom="0.75" header="0.3" footer="0.3"/>
  <pageSetup orientation="portrait" r:id="rId1"/>
  <drawing r:id="rId2"/>
  <legacy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E87D49-F2CE-46A0-A70B-80B0AD945B56}">
  <sheetPr codeName="Sheet18">
    <tabColor rgb="FFC00000"/>
  </sheetPr>
  <dimension ref="B1:J33"/>
  <sheetViews>
    <sheetView showGridLines="0" workbookViewId="0">
      <selection activeCell="I34" sqref="I34"/>
    </sheetView>
  </sheetViews>
  <sheetFormatPr defaultColWidth="10.33203125" defaultRowHeight="12" x14ac:dyDescent="0.2"/>
  <cols>
    <col min="1" max="1" width="2" style="724" customWidth="1"/>
    <col min="2" max="2" width="23" style="724" customWidth="1"/>
    <col min="3" max="3" width="5.83203125" style="724" customWidth="1"/>
    <col min="4" max="4" width="15.5" style="724" customWidth="1"/>
    <col min="5" max="5" width="17.6640625" style="724" customWidth="1"/>
    <col min="6" max="6" width="10.83203125" style="724" bestFit="1" customWidth="1"/>
    <col min="7" max="7" width="10.33203125" style="724"/>
    <col min="8" max="8" width="12.33203125" style="724" bestFit="1" customWidth="1"/>
    <col min="9" max="16384" width="10.33203125" style="724"/>
  </cols>
  <sheetData>
    <row r="1" spans="2:5" x14ac:dyDescent="0.2">
      <c r="B1" s="807" t="s">
        <v>700</v>
      </c>
    </row>
    <row r="2" spans="2:5" ht="15" x14ac:dyDescent="0.25">
      <c r="B2" s="802" t="s">
        <v>237</v>
      </c>
    </row>
    <row r="3" spans="2:5" ht="15.75" x14ac:dyDescent="0.25">
      <c r="B3" s="725" t="s">
        <v>647</v>
      </c>
      <c r="C3" s="803" t="s">
        <v>648</v>
      </c>
      <c r="D3" s="752">
        <v>6000</v>
      </c>
      <c r="E3" s="833" t="s">
        <v>0</v>
      </c>
    </row>
    <row r="4" spans="2:5" ht="15.75" x14ac:dyDescent="0.25">
      <c r="B4" s="726" t="s">
        <v>649</v>
      </c>
      <c r="C4" s="804" t="s">
        <v>650</v>
      </c>
      <c r="D4" s="753">
        <v>6000</v>
      </c>
      <c r="E4" s="834" t="s">
        <v>0</v>
      </c>
    </row>
    <row r="5" spans="2:5" ht="15.75" x14ac:dyDescent="0.25">
      <c r="B5" s="817" t="s">
        <v>701</v>
      </c>
      <c r="C5" s="804" t="s">
        <v>651</v>
      </c>
      <c r="D5" s="753">
        <v>3000</v>
      </c>
      <c r="E5" s="834" t="s">
        <v>0</v>
      </c>
    </row>
    <row r="6" spans="2:5" ht="15.75" x14ac:dyDescent="0.25">
      <c r="B6" s="818" t="s">
        <v>702</v>
      </c>
      <c r="C6" s="805" t="s">
        <v>652</v>
      </c>
      <c r="D6" s="754">
        <v>3000</v>
      </c>
      <c r="E6" s="835" t="s">
        <v>0</v>
      </c>
    </row>
    <row r="7" spans="2:5" ht="15.75" x14ac:dyDescent="0.25">
      <c r="B7" s="728"/>
      <c r="C7" s="806"/>
      <c r="D7" s="808">
        <f>+D3/D4</f>
        <v>1</v>
      </c>
      <c r="E7" s="809">
        <f>+D5/D3</f>
        <v>0.5</v>
      </c>
    </row>
    <row r="8" spans="2:5" ht="15.75" x14ac:dyDescent="0.25">
      <c r="B8" s="729"/>
      <c r="C8" s="810"/>
      <c r="D8" s="811">
        <f>+D6/D4</f>
        <v>0.5</v>
      </c>
      <c r="E8" s="812">
        <f>+(8*PI()*D7)*((1/6)-(0.5*E7)+(0.5*E7^2))</f>
        <v>1.0471975511965974</v>
      </c>
    </row>
    <row r="9" spans="2:5" ht="19.5" x14ac:dyDescent="0.35">
      <c r="B9" s="813" t="s">
        <v>237</v>
      </c>
      <c r="C9" s="814" t="s">
        <v>699</v>
      </c>
      <c r="D9" s="816">
        <f>+(88.6657*D7*(SIN(PI()*D8))^2)/EXP(E8)</f>
        <v>31.114550347338845</v>
      </c>
      <c r="E9" s="815"/>
    </row>
    <row r="12" spans="2:5" ht="15.75" x14ac:dyDescent="0.25">
      <c r="B12" s="725" t="s">
        <v>236</v>
      </c>
      <c r="C12" s="803" t="s">
        <v>653</v>
      </c>
      <c r="D12" s="730">
        <f>+D4*D3</f>
        <v>36000000</v>
      </c>
      <c r="E12" s="833" t="s">
        <v>654</v>
      </c>
    </row>
    <row r="13" spans="2:5" ht="15.75" x14ac:dyDescent="0.25">
      <c r="B13" s="726"/>
      <c r="C13" s="804"/>
      <c r="D13" s="731">
        <f>+(D3*D4)*(3.28084^2)</f>
        <v>387500799.80159998</v>
      </c>
      <c r="E13" s="834" t="s">
        <v>655</v>
      </c>
    </row>
    <row r="14" spans="2:5" ht="15.75" x14ac:dyDescent="0.25">
      <c r="B14" s="727"/>
      <c r="C14" s="805"/>
      <c r="D14" s="732">
        <f>+D13/43560</f>
        <v>8895.794302148759</v>
      </c>
      <c r="E14" s="835" t="s">
        <v>656</v>
      </c>
    </row>
    <row r="16" spans="2:5" ht="15" x14ac:dyDescent="0.25">
      <c r="B16" s="733" t="s">
        <v>657</v>
      </c>
      <c r="C16" s="837" t="s">
        <v>658</v>
      </c>
      <c r="D16" s="735">
        <v>358.00089615823265</v>
      </c>
      <c r="E16" s="823" t="s">
        <v>659</v>
      </c>
    </row>
    <row r="17" spans="2:10" ht="15" x14ac:dyDescent="0.25">
      <c r="B17" s="819" t="s">
        <v>235</v>
      </c>
      <c r="C17" s="838" t="s">
        <v>660</v>
      </c>
      <c r="D17" s="820">
        <v>150</v>
      </c>
      <c r="E17" s="824" t="s">
        <v>661</v>
      </c>
    </row>
    <row r="18" spans="2:10" ht="15" x14ac:dyDescent="0.25">
      <c r="B18" s="821"/>
      <c r="C18" s="839"/>
      <c r="D18" s="822">
        <f>+D17*0.3048</f>
        <v>45.72</v>
      </c>
      <c r="E18" s="825" t="s">
        <v>0</v>
      </c>
    </row>
    <row r="19" spans="2:10" ht="15" x14ac:dyDescent="0.25">
      <c r="B19" s="736" t="s">
        <v>238</v>
      </c>
      <c r="C19" s="840" t="s">
        <v>662</v>
      </c>
      <c r="D19" s="724">
        <v>2.95</v>
      </c>
      <c r="E19" s="826" t="s">
        <v>661</v>
      </c>
    </row>
    <row r="20" spans="2:10" ht="15" x14ac:dyDescent="0.25">
      <c r="B20" s="736" t="s">
        <v>96</v>
      </c>
      <c r="C20" s="841" t="s">
        <v>0</v>
      </c>
      <c r="D20" s="724">
        <v>2.92E-2</v>
      </c>
      <c r="E20" s="826" t="s">
        <v>663</v>
      </c>
    </row>
    <row r="21" spans="2:10" ht="15" x14ac:dyDescent="0.25">
      <c r="B21" s="736" t="s">
        <v>664</v>
      </c>
      <c r="C21" s="840" t="s">
        <v>665</v>
      </c>
      <c r="D21" s="724">
        <v>1.08</v>
      </c>
      <c r="E21" s="826"/>
    </row>
    <row r="22" spans="2:10" ht="15" x14ac:dyDescent="0.25">
      <c r="B22" s="737" t="s">
        <v>71</v>
      </c>
      <c r="C22" s="842" t="s">
        <v>666</v>
      </c>
      <c r="D22" s="738">
        <v>680</v>
      </c>
      <c r="E22" s="827" t="s">
        <v>667</v>
      </c>
    </row>
    <row r="23" spans="2:10" ht="15" x14ac:dyDescent="0.25">
      <c r="B23" s="739"/>
      <c r="C23" s="843"/>
      <c r="D23" s="740">
        <f>+D22-460</f>
        <v>220</v>
      </c>
      <c r="E23" s="828" t="s">
        <v>668</v>
      </c>
      <c r="H23" s="741"/>
    </row>
    <row r="24" spans="2:10" ht="15" x14ac:dyDescent="0.25">
      <c r="B24" s="742" t="s">
        <v>123</v>
      </c>
      <c r="C24" s="844" t="s">
        <v>669</v>
      </c>
      <c r="D24" s="743">
        <v>0</v>
      </c>
      <c r="E24" s="829"/>
      <c r="H24" s="741"/>
    </row>
    <row r="25" spans="2:10" ht="15" x14ac:dyDescent="0.25">
      <c r="B25" s="744" t="s">
        <v>670</v>
      </c>
      <c r="C25" s="845" t="s">
        <v>436</v>
      </c>
      <c r="D25" s="745">
        <f>+(D16*D17)/(1422*D20*D21*D22*(LN((2.2458*D13/(D9*D19^2))^0.5)+D24))</f>
        <v>0.23506682764552364</v>
      </c>
      <c r="E25" s="830" t="s">
        <v>671</v>
      </c>
    </row>
    <row r="26" spans="2:10" ht="15" x14ac:dyDescent="0.25">
      <c r="B26" s="746" t="s">
        <v>670</v>
      </c>
      <c r="C26" s="846" t="s">
        <v>436</v>
      </c>
      <c r="D26" s="747">
        <f>+D25/1000</f>
        <v>2.3506682764552365E-4</v>
      </c>
      <c r="E26" s="831" t="s">
        <v>672</v>
      </c>
      <c r="J26" s="748"/>
    </row>
    <row r="27" spans="2:10" ht="15" x14ac:dyDescent="0.25">
      <c r="C27" s="840"/>
      <c r="E27" s="832"/>
    </row>
    <row r="28" spans="2:10" ht="18" x14ac:dyDescent="0.35">
      <c r="B28" s="733" t="s">
        <v>72</v>
      </c>
      <c r="C28" s="837" t="s">
        <v>703</v>
      </c>
      <c r="D28" s="734">
        <v>6500</v>
      </c>
      <c r="E28" s="823" t="s">
        <v>44</v>
      </c>
    </row>
    <row r="29" spans="2:10" ht="15" x14ac:dyDescent="0.25">
      <c r="B29" s="742" t="s">
        <v>673</v>
      </c>
      <c r="C29" s="844" t="s">
        <v>437</v>
      </c>
      <c r="D29" s="749">
        <v>0.6889423047698302</v>
      </c>
      <c r="E29" s="829"/>
    </row>
    <row r="30" spans="2:10" ht="18" x14ac:dyDescent="0.35">
      <c r="B30" s="744" t="s">
        <v>674</v>
      </c>
      <c r="C30" s="845" t="s">
        <v>704</v>
      </c>
      <c r="D30" s="759">
        <f>+D25*(D28^2)^D29</f>
        <v>42164.405170649923</v>
      </c>
      <c r="E30" s="830" t="s">
        <v>675</v>
      </c>
    </row>
    <row r="31" spans="2:10" ht="18" x14ac:dyDescent="0.35">
      <c r="B31" s="746" t="s">
        <v>674</v>
      </c>
      <c r="C31" s="846" t="s">
        <v>704</v>
      </c>
      <c r="D31" s="750">
        <f>+D30/1000</f>
        <v>42.164405170649921</v>
      </c>
      <c r="E31" s="831" t="s">
        <v>60</v>
      </c>
      <c r="G31" s="751"/>
    </row>
    <row r="33" spans="4:4" x14ac:dyDescent="0.2">
      <c r="D33" s="751"/>
    </row>
  </sheetData>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002060"/>
  </sheetPr>
  <dimension ref="A1:CM181"/>
  <sheetViews>
    <sheetView showGridLines="0" workbookViewId="0">
      <selection activeCell="AF28" sqref="AF28"/>
    </sheetView>
  </sheetViews>
  <sheetFormatPr defaultColWidth="9.33203125" defaultRowHeight="12" x14ac:dyDescent="0.2"/>
  <cols>
    <col min="1" max="1" width="10" customWidth="1"/>
    <col min="2" max="2" width="25.33203125" customWidth="1"/>
    <col min="3" max="3" width="23.33203125" customWidth="1"/>
    <col min="4" max="4" width="15.83203125" customWidth="1"/>
    <col min="5" max="5" width="1" customWidth="1"/>
    <col min="6" max="6" width="5.83203125" customWidth="1"/>
    <col min="7" max="9" width="5.83203125" style="1" customWidth="1"/>
    <col min="10" max="10" width="5.83203125" customWidth="1"/>
    <col min="11" max="12" width="5.83203125" style="1" customWidth="1"/>
    <col min="13" max="28" width="5.83203125" customWidth="1"/>
    <col min="29" max="29" width="1" customWidth="1"/>
    <col min="30" max="30" width="20" style="20" customWidth="1"/>
    <col min="31" max="31" width="12.1640625" style="20" customWidth="1"/>
    <col min="32" max="46" width="12.1640625" style="1" customWidth="1"/>
    <col min="47" max="47" width="9.5" style="1" bestFit="1" customWidth="1"/>
    <col min="48" max="49" width="10.5" style="1" bestFit="1" customWidth="1"/>
    <col min="50" max="51" width="9.5" style="1" bestFit="1" customWidth="1"/>
    <col min="52" max="52" width="10.5" style="1" bestFit="1" customWidth="1"/>
  </cols>
  <sheetData>
    <row r="1" spans="1:60" x14ac:dyDescent="0.2">
      <c r="A1" s="397" t="s">
        <v>82</v>
      </c>
      <c r="B1" s="259" t="s">
        <v>79</v>
      </c>
      <c r="C1" s="258" t="s">
        <v>80</v>
      </c>
      <c r="D1" s="399" t="s">
        <v>264</v>
      </c>
      <c r="G1"/>
      <c r="H1"/>
      <c r="I1"/>
      <c r="K1"/>
      <c r="AD1" s="264" t="s">
        <v>336</v>
      </c>
      <c r="AE1" s="669">
        <v>1</v>
      </c>
      <c r="AG1" s="268" t="s">
        <v>582</v>
      </c>
      <c r="AH1" s="671">
        <v>20</v>
      </c>
    </row>
    <row r="2" spans="1:60" ht="12.75" x14ac:dyDescent="0.2">
      <c r="A2" s="262" t="s">
        <v>248</v>
      </c>
      <c r="B2" s="635" t="s">
        <v>243</v>
      </c>
      <c r="C2" s="637">
        <v>984</v>
      </c>
      <c r="D2" s="232" t="s">
        <v>66</v>
      </c>
      <c r="G2"/>
      <c r="H2"/>
      <c r="I2"/>
      <c r="K2"/>
      <c r="AD2" s="266" t="s">
        <v>323</v>
      </c>
      <c r="AE2" s="670">
        <v>1</v>
      </c>
      <c r="AG2" s="269" t="s">
        <v>583</v>
      </c>
      <c r="AH2" s="430">
        <v>8000</v>
      </c>
    </row>
    <row r="3" spans="1:60" ht="12.75" x14ac:dyDescent="0.2">
      <c r="A3" s="263" t="s">
        <v>50</v>
      </c>
      <c r="B3" s="636" t="s">
        <v>50</v>
      </c>
      <c r="C3" s="638">
        <v>0</v>
      </c>
      <c r="D3" s="233" t="s">
        <v>607</v>
      </c>
      <c r="G3"/>
      <c r="H3"/>
      <c r="I3"/>
      <c r="K3"/>
    </row>
    <row r="4" spans="1:60" ht="15.75" x14ac:dyDescent="0.25">
      <c r="A4" s="263" t="s">
        <v>52</v>
      </c>
      <c r="B4" s="636" t="s">
        <v>52</v>
      </c>
      <c r="C4" s="638">
        <v>1</v>
      </c>
      <c r="D4" s="233" t="s">
        <v>607</v>
      </c>
      <c r="G4"/>
      <c r="H4"/>
      <c r="I4"/>
      <c r="K4"/>
      <c r="AD4" s="646" t="s">
        <v>193</v>
      </c>
      <c r="AE4" s="645"/>
      <c r="AF4" s="666">
        <v>1</v>
      </c>
      <c r="AG4" s="666">
        <v>1</v>
      </c>
      <c r="AH4" s="666">
        <v>1</v>
      </c>
      <c r="AI4" s="666">
        <v>1</v>
      </c>
      <c r="AJ4" s="666">
        <v>1</v>
      </c>
      <c r="AK4" s="666"/>
      <c r="AL4" s="666"/>
      <c r="AM4" s="666"/>
      <c r="AN4" s="666"/>
      <c r="AO4" s="666"/>
      <c r="AP4" s="666"/>
      <c r="AQ4" s="666"/>
      <c r="AR4" s="666"/>
      <c r="AS4" s="666"/>
      <c r="AT4" s="666"/>
      <c r="AU4" s="666"/>
      <c r="AV4" s="666"/>
      <c r="AW4" s="666"/>
      <c r="AX4" s="666"/>
      <c r="AY4" s="666"/>
      <c r="AZ4" s="666"/>
      <c r="BA4" s="666"/>
      <c r="BB4" s="666"/>
      <c r="BC4" s="666"/>
      <c r="BD4" s="666"/>
      <c r="BE4" s="666"/>
      <c r="BF4" s="666"/>
      <c r="BG4" s="666"/>
      <c r="BH4" s="666"/>
    </row>
    <row r="5" spans="1:60" ht="12.75" x14ac:dyDescent="0.2">
      <c r="A5" s="263" t="s">
        <v>250</v>
      </c>
      <c r="B5" s="636" t="s">
        <v>258</v>
      </c>
      <c r="C5" s="42" t="s">
        <v>304</v>
      </c>
      <c r="D5" s="471">
        <v>13</v>
      </c>
      <c r="G5"/>
      <c r="H5"/>
      <c r="I5"/>
      <c r="K5"/>
      <c r="L5"/>
      <c r="AD5" s="481" t="s">
        <v>580</v>
      </c>
      <c r="AE5" s="643" t="s">
        <v>81</v>
      </c>
      <c r="AF5" s="258" t="s">
        <v>344</v>
      </c>
      <c r="AG5" s="258" t="s">
        <v>345</v>
      </c>
      <c r="AH5" s="258" t="s">
        <v>346</v>
      </c>
      <c r="AI5" s="258" t="s">
        <v>347</v>
      </c>
      <c r="AJ5" s="258" t="s">
        <v>348</v>
      </c>
      <c r="AK5" s="258"/>
      <c r="AL5" s="258"/>
      <c r="AM5" s="258"/>
      <c r="AN5" s="258"/>
      <c r="AO5" s="258"/>
      <c r="AP5" s="258"/>
      <c r="AQ5" s="258"/>
      <c r="AR5" s="258"/>
      <c r="AS5" s="258"/>
      <c r="AT5" s="258"/>
      <c r="AU5" s="258"/>
      <c r="AV5" s="258"/>
      <c r="AW5" s="258"/>
      <c r="AX5" s="258"/>
      <c r="AY5" s="258"/>
      <c r="AZ5" s="258"/>
      <c r="BA5" s="258"/>
      <c r="BB5" s="258"/>
      <c r="BC5" s="258"/>
      <c r="BD5" s="258"/>
      <c r="BE5" s="258"/>
      <c r="BF5" s="258"/>
      <c r="BG5" s="258"/>
      <c r="BH5" s="258"/>
    </row>
    <row r="6" spans="1:60" x14ac:dyDescent="0.2">
      <c r="A6" s="263"/>
      <c r="B6" s="200" t="s">
        <v>259</v>
      </c>
      <c r="C6" s="639">
        <v>1</v>
      </c>
      <c r="D6" s="471"/>
      <c r="G6"/>
      <c r="H6"/>
      <c r="I6"/>
      <c r="K6"/>
      <c r="L6"/>
      <c r="AD6" s="21" t="s">
        <v>277</v>
      </c>
      <c r="AE6" s="644" t="s">
        <v>24</v>
      </c>
      <c r="AF6" s="260">
        <v>0.188</v>
      </c>
      <c r="AG6" s="260">
        <v>0.219</v>
      </c>
      <c r="AH6" s="260">
        <v>0.25</v>
      </c>
      <c r="AI6" s="260">
        <v>0.28100000000000003</v>
      </c>
      <c r="AJ6" s="260">
        <v>0.313</v>
      </c>
      <c r="AK6" s="260"/>
      <c r="AL6" s="260"/>
      <c r="AM6" s="260"/>
      <c r="AN6" s="260"/>
      <c r="AO6" s="260"/>
      <c r="AP6" s="260"/>
      <c r="AQ6" s="260"/>
      <c r="AR6" s="260"/>
      <c r="AS6" s="260"/>
      <c r="AT6" s="260"/>
      <c r="AU6" s="260"/>
      <c r="AV6" s="260"/>
      <c r="AW6" s="260"/>
      <c r="AX6" s="260"/>
      <c r="AY6" s="260"/>
      <c r="AZ6" s="260"/>
      <c r="BA6" s="260"/>
      <c r="BB6" s="260"/>
      <c r="BC6" s="260"/>
      <c r="BD6" s="260"/>
      <c r="BE6" s="260"/>
      <c r="BF6" s="260"/>
      <c r="BG6" s="260"/>
      <c r="BH6" s="260"/>
    </row>
    <row r="7" spans="1:60" x14ac:dyDescent="0.2">
      <c r="A7" s="263"/>
      <c r="B7" s="200" t="s">
        <v>260</v>
      </c>
      <c r="C7" s="639">
        <v>1</v>
      </c>
      <c r="D7" s="471"/>
      <c r="G7"/>
      <c r="H7"/>
      <c r="I7"/>
      <c r="K7"/>
      <c r="L7"/>
      <c r="AD7" s="482" t="s">
        <v>72</v>
      </c>
      <c r="AE7" s="647" t="s">
        <v>66</v>
      </c>
      <c r="AF7" s="261">
        <v>6000</v>
      </c>
      <c r="AG7" s="261">
        <v>6000</v>
      </c>
      <c r="AH7" s="261">
        <v>6000</v>
      </c>
      <c r="AI7" s="261">
        <v>6000</v>
      </c>
      <c r="AJ7" s="261">
        <v>6000</v>
      </c>
      <c r="AK7" s="261"/>
      <c r="AL7" s="261"/>
      <c r="AM7" s="261"/>
      <c r="AN7" s="261"/>
      <c r="AO7" s="261"/>
      <c r="AP7" s="261"/>
      <c r="AQ7" s="261"/>
      <c r="AR7" s="261"/>
      <c r="AS7" s="261"/>
      <c r="AT7" s="261"/>
      <c r="AU7" s="261"/>
      <c r="AV7" s="261"/>
      <c r="AW7" s="261"/>
      <c r="AX7" s="261"/>
      <c r="AY7" s="261"/>
      <c r="AZ7" s="261"/>
      <c r="BA7" s="261"/>
      <c r="BB7" s="261"/>
      <c r="BC7" s="261"/>
      <c r="BD7" s="261"/>
      <c r="BE7" s="261"/>
      <c r="BF7" s="261"/>
      <c r="BG7" s="261"/>
      <c r="BH7" s="261"/>
    </row>
    <row r="8" spans="1:60" x14ac:dyDescent="0.2">
      <c r="A8" s="263"/>
      <c r="B8" s="200" t="s">
        <v>261</v>
      </c>
      <c r="C8" s="639">
        <v>1</v>
      </c>
      <c r="D8" s="471"/>
      <c r="G8"/>
      <c r="H8"/>
      <c r="I8"/>
      <c r="K8"/>
      <c r="L8"/>
      <c r="AD8" s="483" t="s">
        <v>123</v>
      </c>
      <c r="AE8" s="648"/>
      <c r="AF8" s="257"/>
      <c r="AG8" s="257"/>
      <c r="AH8" s="257"/>
      <c r="AI8" s="257"/>
      <c r="AJ8" s="257"/>
      <c r="AK8" s="257"/>
      <c r="AL8" s="257"/>
      <c r="AM8" s="257"/>
      <c r="AN8" s="257"/>
      <c r="AO8" s="257"/>
      <c r="AP8" s="257"/>
      <c r="AQ8" s="257"/>
      <c r="AR8" s="257"/>
      <c r="AS8" s="257"/>
      <c r="AT8" s="257"/>
      <c r="AU8" s="257"/>
      <c r="AV8" s="257"/>
      <c r="AW8" s="257"/>
      <c r="AX8" s="257"/>
      <c r="AY8" s="257"/>
      <c r="AZ8" s="257"/>
      <c r="BA8" s="257"/>
      <c r="BB8" s="257"/>
      <c r="BC8" s="257"/>
      <c r="BD8" s="257"/>
      <c r="BE8" s="257"/>
      <c r="BF8" s="257"/>
      <c r="BG8" s="257"/>
      <c r="BH8" s="257"/>
    </row>
    <row r="9" spans="1:60" ht="12.75" x14ac:dyDescent="0.2">
      <c r="A9" s="263" t="s">
        <v>252</v>
      </c>
      <c r="B9" s="636" t="s">
        <v>253</v>
      </c>
      <c r="C9" s="42" t="s">
        <v>288</v>
      </c>
      <c r="D9" s="471">
        <v>5</v>
      </c>
      <c r="G9"/>
      <c r="H9"/>
      <c r="I9"/>
      <c r="K9"/>
      <c r="L9"/>
      <c r="BA9" s="1"/>
      <c r="BB9" s="1"/>
      <c r="BC9" s="1"/>
      <c r="BD9" s="1"/>
      <c r="BE9" s="1"/>
      <c r="BF9" s="1"/>
      <c r="BG9" s="1"/>
      <c r="BH9" s="1"/>
    </row>
    <row r="10" spans="1:60" ht="15" x14ac:dyDescent="0.25">
      <c r="A10" s="263"/>
      <c r="B10" s="200" t="s">
        <v>259</v>
      </c>
      <c r="C10" s="639">
        <v>1</v>
      </c>
      <c r="D10" s="471"/>
      <c r="G10"/>
      <c r="H10"/>
      <c r="I10"/>
      <c r="K10"/>
      <c r="L10"/>
      <c r="AC10" s="163"/>
      <c r="AD10" s="667" t="s">
        <v>458</v>
      </c>
      <c r="AE10" s="668" t="s">
        <v>81</v>
      </c>
      <c r="AF10" s="511" t="s">
        <v>337</v>
      </c>
      <c r="AG10" s="511" t="s">
        <v>338</v>
      </c>
      <c r="AH10" s="511" t="s">
        <v>339</v>
      </c>
      <c r="AI10" s="511" t="s">
        <v>340</v>
      </c>
      <c r="AJ10" s="511" t="s">
        <v>589</v>
      </c>
      <c r="AK10" s="511"/>
      <c r="AL10" s="511"/>
      <c r="AM10" s="511"/>
      <c r="AN10" s="511"/>
      <c r="AO10" s="511"/>
      <c r="AP10" s="511"/>
      <c r="AQ10" s="511"/>
      <c r="AR10" s="511"/>
      <c r="AS10" s="511"/>
      <c r="AT10" s="511"/>
      <c r="AU10" s="511"/>
      <c r="AV10" s="511"/>
      <c r="AW10" s="511"/>
      <c r="AX10" s="511"/>
      <c r="AY10" s="511"/>
      <c r="AZ10" s="511"/>
      <c r="BA10" s="511"/>
      <c r="BB10" s="511"/>
      <c r="BC10" s="511"/>
      <c r="BD10" s="511"/>
      <c r="BE10" s="511"/>
      <c r="BF10" s="511"/>
      <c r="BG10" s="511"/>
      <c r="BH10" s="511"/>
    </row>
    <row r="11" spans="1:60" x14ac:dyDescent="0.2">
      <c r="A11" s="263"/>
      <c r="B11" s="200" t="s">
        <v>260</v>
      </c>
      <c r="C11" s="639">
        <v>1</v>
      </c>
      <c r="D11" s="471"/>
      <c r="G11"/>
      <c r="H11"/>
      <c r="I11"/>
      <c r="K11"/>
      <c r="L11"/>
      <c r="AC11" s="163"/>
      <c r="AD11" s="660" t="s">
        <v>578</v>
      </c>
      <c r="AE11" s="644" t="s">
        <v>356</v>
      </c>
      <c r="AF11" s="487">
        <v>3.91344</v>
      </c>
      <c r="AG11" s="487">
        <v>4.95261</v>
      </c>
      <c r="AH11" s="487">
        <v>6.3738099999999998</v>
      </c>
      <c r="AI11" s="487">
        <v>8.1677700000000009</v>
      </c>
      <c r="AJ11" s="487">
        <v>10.3223</v>
      </c>
      <c r="AK11" s="487"/>
      <c r="AL11" s="487"/>
      <c r="AM11" s="487"/>
      <c r="AN11" s="487"/>
      <c r="AO11" s="487"/>
      <c r="AP11" s="487"/>
      <c r="AQ11" s="487"/>
      <c r="AR11" s="487"/>
      <c r="AS11" s="487"/>
      <c r="AT11" s="487"/>
      <c r="AU11" s="487"/>
      <c r="AV11" s="487"/>
      <c r="AW11" s="487"/>
      <c r="AX11" s="487"/>
      <c r="AY11" s="487"/>
      <c r="AZ11" s="487"/>
      <c r="BA11" s="487"/>
      <c r="BB11" s="487"/>
      <c r="BC11" s="487"/>
      <c r="BD11" s="487"/>
      <c r="BE11" s="487"/>
      <c r="BF11" s="487"/>
      <c r="BG11" s="487"/>
      <c r="BH11" s="487"/>
    </row>
    <row r="12" spans="1:60" ht="19.5" customHeight="1" x14ac:dyDescent="0.25">
      <c r="A12" s="263"/>
      <c r="B12" s="200" t="s">
        <v>261</v>
      </c>
      <c r="C12" s="639">
        <v>1</v>
      </c>
      <c r="D12" s="471"/>
      <c r="G12"/>
      <c r="H12"/>
      <c r="I12"/>
      <c r="K12"/>
      <c r="L12"/>
      <c r="AC12" s="163"/>
      <c r="AD12" s="661" t="s">
        <v>324</v>
      </c>
      <c r="AE12" s="649" t="s">
        <v>356</v>
      </c>
      <c r="AF12" s="683">
        <v>3.91344</v>
      </c>
      <c r="AG12" s="683">
        <v>4.95261</v>
      </c>
      <c r="AH12" s="684">
        <v>6.3738099999999998</v>
      </c>
      <c r="AI12" s="684">
        <v>8.1677700000000009</v>
      </c>
      <c r="AJ12" s="684">
        <v>10.3223</v>
      </c>
      <c r="AK12" s="684"/>
      <c r="AL12" s="684"/>
      <c r="AM12" s="684"/>
      <c r="AN12" s="684"/>
      <c r="AO12" s="684"/>
      <c r="AP12" s="684"/>
      <c r="AQ12" s="684"/>
      <c r="AR12" s="684"/>
      <c r="AS12" s="684"/>
      <c r="AT12" s="684"/>
      <c r="AU12" s="684"/>
      <c r="AV12" s="684"/>
      <c r="AW12" s="684"/>
      <c r="AX12" s="684"/>
      <c r="AY12" s="684"/>
      <c r="AZ12" s="684"/>
      <c r="BA12" s="684"/>
      <c r="BB12" s="684"/>
      <c r="BC12" s="684"/>
      <c r="BD12" s="684"/>
      <c r="BE12" s="684"/>
      <c r="BF12" s="684"/>
      <c r="BG12" s="684"/>
      <c r="BH12" s="684"/>
    </row>
    <row r="13" spans="1:60" ht="19.5" customHeight="1" x14ac:dyDescent="0.2">
      <c r="A13" s="263" t="s">
        <v>254</v>
      </c>
      <c r="B13" s="636" t="s">
        <v>244</v>
      </c>
      <c r="C13" s="42" t="s">
        <v>262</v>
      </c>
      <c r="D13" s="471">
        <v>1</v>
      </c>
      <c r="G13"/>
      <c r="H13"/>
      <c r="I13"/>
      <c r="K13"/>
      <c r="L13"/>
      <c r="AC13" s="163"/>
      <c r="AD13" s="38" t="s">
        <v>325</v>
      </c>
      <c r="AE13" s="658" t="s">
        <v>356</v>
      </c>
      <c r="AF13" s="659">
        <v>0</v>
      </c>
      <c r="AG13" s="659">
        <v>0</v>
      </c>
      <c r="AH13" s="659">
        <v>0</v>
      </c>
      <c r="AI13" s="659">
        <v>0</v>
      </c>
      <c r="AJ13" s="659">
        <v>0</v>
      </c>
      <c r="AK13" s="659"/>
      <c r="AL13" s="659"/>
      <c r="AM13" s="659"/>
      <c r="AN13" s="659"/>
      <c r="AO13" s="659"/>
      <c r="AP13" s="659"/>
      <c r="AQ13" s="659"/>
      <c r="AR13" s="659"/>
      <c r="AS13" s="659"/>
      <c r="AT13" s="659"/>
      <c r="AU13" s="659"/>
      <c r="AV13" s="659"/>
      <c r="AW13" s="659"/>
      <c r="AX13" s="659"/>
      <c r="AY13" s="659"/>
      <c r="AZ13" s="659"/>
      <c r="BA13" s="659"/>
      <c r="BB13" s="659"/>
      <c r="BC13" s="659"/>
      <c r="BD13" s="659"/>
      <c r="BE13" s="659"/>
      <c r="BF13" s="659"/>
      <c r="BG13" s="659"/>
      <c r="BH13" s="659"/>
    </row>
    <row r="14" spans="1:60" ht="19.5" customHeight="1" x14ac:dyDescent="0.25">
      <c r="A14" s="263" t="s">
        <v>255</v>
      </c>
      <c r="B14" s="636" t="s">
        <v>245</v>
      </c>
      <c r="C14" s="42" t="s">
        <v>311</v>
      </c>
      <c r="D14" s="471">
        <v>1</v>
      </c>
      <c r="G14"/>
      <c r="H14"/>
      <c r="I14"/>
      <c r="K14"/>
      <c r="L14"/>
      <c r="AC14" s="163"/>
      <c r="AD14" s="662" t="s">
        <v>163</v>
      </c>
      <c r="AE14" s="649" t="s">
        <v>118</v>
      </c>
      <c r="AF14" s="650">
        <v>3.91344</v>
      </c>
      <c r="AG14" s="650">
        <v>4.95261</v>
      </c>
      <c r="AH14" s="650">
        <v>6.3738099999999998</v>
      </c>
      <c r="AI14" s="650">
        <v>8.1677700000000009</v>
      </c>
      <c r="AJ14" s="650">
        <v>10.3223</v>
      </c>
      <c r="AK14" s="650"/>
      <c r="AL14" s="650"/>
      <c r="AM14" s="650"/>
      <c r="AN14" s="650"/>
      <c r="AO14" s="650"/>
      <c r="AP14" s="650"/>
      <c r="AQ14" s="650"/>
      <c r="AR14" s="650"/>
      <c r="AS14" s="650"/>
      <c r="AT14" s="650"/>
      <c r="AU14" s="650"/>
      <c r="AV14" s="650"/>
      <c r="AW14" s="650"/>
      <c r="AX14" s="650"/>
      <c r="AY14" s="650"/>
      <c r="AZ14" s="650"/>
      <c r="BA14" s="650"/>
      <c r="BB14" s="650"/>
      <c r="BC14" s="650"/>
      <c r="BD14" s="650"/>
      <c r="BE14" s="650"/>
      <c r="BF14" s="650"/>
      <c r="BG14" s="650"/>
      <c r="BH14" s="650"/>
    </row>
    <row r="15" spans="1:60" ht="12.75" x14ac:dyDescent="0.2">
      <c r="A15" s="263" t="s">
        <v>256</v>
      </c>
      <c r="B15" s="636" t="s">
        <v>246</v>
      </c>
      <c r="C15" s="42" t="s">
        <v>434</v>
      </c>
      <c r="D15" s="471">
        <v>0</v>
      </c>
      <c r="G15"/>
      <c r="H15"/>
      <c r="I15"/>
      <c r="K15"/>
      <c r="L15"/>
      <c r="AC15" s="163"/>
      <c r="AD15" s="663" t="s">
        <v>244</v>
      </c>
      <c r="AE15" s="647" t="s">
        <v>66</v>
      </c>
      <c r="AF15" s="654">
        <v>5878.6</v>
      </c>
      <c r="AG15" s="654">
        <v>5830.14</v>
      </c>
      <c r="AH15" s="654">
        <v>5763.87</v>
      </c>
      <c r="AI15" s="654">
        <v>5680.21</v>
      </c>
      <c r="AJ15" s="654">
        <v>5579.74</v>
      </c>
      <c r="AK15" s="654"/>
      <c r="AL15" s="654"/>
      <c r="AM15" s="654"/>
      <c r="AN15" s="654"/>
      <c r="AO15" s="654"/>
      <c r="AP15" s="654"/>
      <c r="AQ15" s="654"/>
      <c r="AR15" s="654"/>
      <c r="AS15" s="654"/>
      <c r="AT15" s="654"/>
      <c r="AU15" s="654"/>
      <c r="AV15" s="654"/>
      <c r="AW15" s="654"/>
      <c r="AX15" s="654"/>
      <c r="AY15" s="654"/>
      <c r="AZ15" s="654"/>
      <c r="BA15" s="654"/>
      <c r="BB15" s="654"/>
      <c r="BC15" s="654"/>
      <c r="BD15" s="654"/>
      <c r="BE15" s="654"/>
      <c r="BF15" s="654"/>
      <c r="BG15" s="654"/>
      <c r="BH15" s="654"/>
    </row>
    <row r="16" spans="1:60" ht="12.75" x14ac:dyDescent="0.2">
      <c r="A16" s="263" t="s">
        <v>257</v>
      </c>
      <c r="B16" s="636" t="s">
        <v>247</v>
      </c>
      <c r="C16" s="42" t="s">
        <v>444</v>
      </c>
      <c r="D16" s="471">
        <v>0</v>
      </c>
      <c r="G16"/>
      <c r="H16"/>
      <c r="I16"/>
      <c r="K16"/>
      <c r="L16"/>
      <c r="AC16" s="179"/>
      <c r="AD16" s="664" t="s">
        <v>46</v>
      </c>
      <c r="AE16" s="647" t="s">
        <v>66</v>
      </c>
      <c r="AF16" s="651">
        <v>5174.07</v>
      </c>
      <c r="AG16" s="651">
        <v>5196.93</v>
      </c>
      <c r="AH16" s="651">
        <v>5143.32</v>
      </c>
      <c r="AI16" s="651">
        <v>5028.95</v>
      </c>
      <c r="AJ16" s="651">
        <v>4876.5600000000004</v>
      </c>
      <c r="AK16" s="651"/>
      <c r="AL16" s="651"/>
      <c r="AM16" s="651"/>
      <c r="AN16" s="651"/>
      <c r="AO16" s="651"/>
      <c r="AP16" s="651"/>
      <c r="AQ16" s="651"/>
      <c r="AR16" s="651"/>
      <c r="AS16" s="651"/>
      <c r="AT16" s="651"/>
      <c r="AU16" s="651"/>
      <c r="AV16" s="651"/>
      <c r="AW16" s="651"/>
      <c r="AX16" s="651"/>
      <c r="AY16" s="651"/>
      <c r="AZ16" s="651"/>
      <c r="BA16" s="651"/>
      <c r="BB16" s="651"/>
      <c r="BC16" s="651"/>
      <c r="BD16" s="651"/>
      <c r="BE16" s="651"/>
      <c r="BF16" s="651"/>
      <c r="BG16" s="651"/>
      <c r="BH16" s="651"/>
    </row>
    <row r="17" spans="1:60" x14ac:dyDescent="0.2">
      <c r="A17" s="864" t="s">
        <v>265</v>
      </c>
      <c r="B17" s="865"/>
      <c r="C17" s="865"/>
      <c r="D17" s="866"/>
      <c r="G17"/>
      <c r="H17"/>
      <c r="I17"/>
      <c r="K17"/>
      <c r="L17"/>
      <c r="AC17" s="179"/>
      <c r="AD17" s="664" t="s">
        <v>579</v>
      </c>
      <c r="AE17" s="647" t="s">
        <v>66</v>
      </c>
      <c r="AF17" s="651">
        <v>984</v>
      </c>
      <c r="AG17" s="651">
        <v>984</v>
      </c>
      <c r="AH17" s="651">
        <v>984</v>
      </c>
      <c r="AI17" s="651">
        <v>984</v>
      </c>
      <c r="AJ17" s="651">
        <v>984</v>
      </c>
      <c r="AK17" s="651"/>
      <c r="AL17" s="651"/>
      <c r="AM17" s="651"/>
      <c r="AN17" s="651"/>
      <c r="AO17" s="651"/>
      <c r="AP17" s="651"/>
      <c r="AQ17" s="651"/>
      <c r="AR17" s="651"/>
      <c r="AS17" s="651"/>
      <c r="AT17" s="651"/>
      <c r="AU17" s="651"/>
      <c r="AV17" s="651"/>
      <c r="AW17" s="651"/>
      <c r="AX17" s="651"/>
      <c r="AY17" s="651"/>
      <c r="AZ17" s="651"/>
      <c r="BA17" s="651"/>
      <c r="BB17" s="651"/>
      <c r="BC17" s="651"/>
      <c r="BD17" s="651"/>
      <c r="BE17" s="651"/>
      <c r="BF17" s="651"/>
      <c r="BG17" s="651"/>
      <c r="BH17" s="651"/>
    </row>
    <row r="18" spans="1:60" x14ac:dyDescent="0.2">
      <c r="A18" s="237" t="s">
        <v>81</v>
      </c>
      <c r="B18" s="400" t="s">
        <v>24</v>
      </c>
      <c r="C18" s="400" t="s">
        <v>66</v>
      </c>
      <c r="D18" s="401"/>
      <c r="G18"/>
      <c r="H18"/>
      <c r="I18"/>
      <c r="K18"/>
      <c r="L18"/>
      <c r="AC18" s="179"/>
      <c r="AD18" s="665" t="s">
        <v>328</v>
      </c>
      <c r="AE18" s="652" t="s">
        <v>44</v>
      </c>
      <c r="AF18" s="653">
        <v>4.4214700000000002</v>
      </c>
      <c r="AG18" s="653">
        <v>7.9384600000000001</v>
      </c>
      <c r="AH18" s="653">
        <v>13.0717</v>
      </c>
      <c r="AI18" s="653">
        <v>20.106000000000002</v>
      </c>
      <c r="AJ18" s="653">
        <v>29.630199999999999</v>
      </c>
      <c r="AK18" s="653"/>
      <c r="AL18" s="653"/>
      <c r="AM18" s="653"/>
      <c r="AN18" s="653"/>
      <c r="AO18" s="653"/>
      <c r="AP18" s="653"/>
      <c r="AQ18" s="653"/>
      <c r="AR18" s="653"/>
      <c r="AS18" s="653"/>
      <c r="AT18" s="653"/>
      <c r="AU18" s="653"/>
      <c r="AV18" s="653"/>
      <c r="AW18" s="653"/>
      <c r="AX18" s="653"/>
      <c r="AY18" s="653"/>
      <c r="AZ18" s="653"/>
      <c r="BA18" s="653"/>
      <c r="BB18" s="653"/>
      <c r="BC18" s="653"/>
      <c r="BD18" s="653"/>
      <c r="BE18" s="653"/>
      <c r="BF18" s="653"/>
      <c r="BG18" s="653"/>
      <c r="BH18" s="653"/>
    </row>
    <row r="19" spans="1:60" ht="14.25" customHeight="1" x14ac:dyDescent="0.2">
      <c r="A19" s="398" t="s">
        <v>79</v>
      </c>
      <c r="B19" s="641" t="s">
        <v>277</v>
      </c>
      <c r="C19" s="641" t="s">
        <v>72</v>
      </c>
      <c r="D19" s="642" t="s">
        <v>123</v>
      </c>
      <c r="G19"/>
      <c r="H19"/>
      <c r="I19"/>
      <c r="K19"/>
      <c r="L19"/>
      <c r="AC19" s="179"/>
      <c r="AD19" s="665" t="s">
        <v>329</v>
      </c>
      <c r="AE19" s="652" t="s">
        <v>44</v>
      </c>
      <c r="AF19" s="653">
        <v>700.21100000000001</v>
      </c>
      <c r="AG19" s="653">
        <v>625.46900000000005</v>
      </c>
      <c r="AH19" s="653">
        <v>607.76599999999996</v>
      </c>
      <c r="AI19" s="653">
        <v>631.54100000000005</v>
      </c>
      <c r="AJ19" s="653">
        <v>674.11599999999999</v>
      </c>
      <c r="AK19" s="653"/>
      <c r="AL19" s="653"/>
      <c r="AM19" s="653"/>
      <c r="AN19" s="653"/>
      <c r="AO19" s="653"/>
      <c r="AP19" s="653"/>
      <c r="AQ19" s="653"/>
      <c r="AR19" s="653"/>
      <c r="AS19" s="653"/>
      <c r="AT19" s="653"/>
      <c r="AU19" s="653"/>
      <c r="AV19" s="653"/>
      <c r="AW19" s="653"/>
      <c r="AX19" s="653"/>
      <c r="AY19" s="653"/>
      <c r="AZ19" s="653"/>
      <c r="BA19" s="653"/>
      <c r="BB19" s="653"/>
      <c r="BC19" s="653"/>
      <c r="BD19" s="653"/>
      <c r="BE19" s="653"/>
      <c r="BF19" s="653"/>
      <c r="BG19" s="653"/>
      <c r="BH19" s="653"/>
    </row>
    <row r="20" spans="1:60" ht="14.25" customHeight="1" x14ac:dyDescent="0.2">
      <c r="A20" s="242" t="s">
        <v>8</v>
      </c>
      <c r="B20" s="281">
        <v>146</v>
      </c>
      <c r="C20" s="243">
        <v>1</v>
      </c>
      <c r="D20" s="244">
        <v>27</v>
      </c>
      <c r="G20"/>
      <c r="H20"/>
      <c r="I20"/>
      <c r="K20"/>
      <c r="L20"/>
      <c r="AC20" s="179"/>
      <c r="AD20" s="665" t="s">
        <v>581</v>
      </c>
      <c r="AE20" s="655" t="s">
        <v>44</v>
      </c>
      <c r="AF20" s="656">
        <v>28.611699999999999</v>
      </c>
      <c r="AG20" s="656">
        <v>36.301099999999998</v>
      </c>
      <c r="AH20" s="656">
        <v>46.817599999999999</v>
      </c>
      <c r="AI20" s="656">
        <v>60.092399999999998</v>
      </c>
      <c r="AJ20" s="656">
        <v>76.0351</v>
      </c>
      <c r="AK20" s="656"/>
      <c r="AL20" s="656"/>
      <c r="AM20" s="656"/>
      <c r="AN20" s="656"/>
      <c r="AO20" s="656"/>
      <c r="AP20" s="656"/>
      <c r="AQ20" s="656"/>
      <c r="AR20" s="656"/>
      <c r="AS20" s="656"/>
      <c r="AT20" s="656"/>
      <c r="AU20" s="656"/>
      <c r="AV20" s="656"/>
      <c r="AW20" s="656"/>
      <c r="AX20" s="656"/>
      <c r="AY20" s="656"/>
      <c r="AZ20" s="656"/>
      <c r="BA20" s="656"/>
      <c r="BB20" s="656"/>
      <c r="BC20" s="656"/>
      <c r="BD20" s="656"/>
      <c r="BE20" s="656"/>
      <c r="BF20" s="656"/>
      <c r="BG20" s="656"/>
      <c r="BH20" s="656"/>
    </row>
    <row r="21" spans="1:60" ht="14.25" customHeight="1" x14ac:dyDescent="0.2">
      <c r="A21" s="245" t="s">
        <v>10</v>
      </c>
      <c r="B21" s="256">
        <v>28</v>
      </c>
      <c r="C21" s="246">
        <v>1</v>
      </c>
      <c r="D21" s="247">
        <v>2</v>
      </c>
      <c r="G21"/>
      <c r="H21"/>
      <c r="I21"/>
      <c r="K21"/>
      <c r="L21"/>
      <c r="AC21" s="179"/>
      <c r="AD21" s="665" t="s">
        <v>333</v>
      </c>
      <c r="AE21" s="655" t="s">
        <v>44</v>
      </c>
      <c r="AF21" s="656">
        <v>28.611699999999999</v>
      </c>
      <c r="AG21" s="656">
        <v>36.301099999999998</v>
      </c>
      <c r="AH21" s="656">
        <v>46.817599999999999</v>
      </c>
      <c r="AI21" s="656">
        <v>60.092399999999998</v>
      </c>
      <c r="AJ21" s="656">
        <v>76.0351</v>
      </c>
      <c r="AK21" s="656"/>
      <c r="AL21" s="656"/>
      <c r="AM21" s="656"/>
      <c r="AN21" s="656"/>
      <c r="AO21" s="656"/>
      <c r="AP21" s="656"/>
      <c r="AQ21" s="656"/>
      <c r="AR21" s="656"/>
      <c r="AS21" s="656"/>
      <c r="AT21" s="656"/>
      <c r="AU21" s="656"/>
      <c r="AV21" s="656"/>
      <c r="AW21" s="656"/>
      <c r="AX21" s="656"/>
      <c r="AY21" s="656"/>
      <c r="AZ21" s="656"/>
      <c r="BA21" s="656"/>
      <c r="BB21" s="656"/>
      <c r="BC21" s="656"/>
      <c r="BD21" s="656"/>
      <c r="BE21" s="656"/>
      <c r="BF21" s="656"/>
      <c r="BG21" s="656"/>
      <c r="BH21" s="656"/>
    </row>
    <row r="22" spans="1:60" ht="14.25" customHeight="1" x14ac:dyDescent="0.2">
      <c r="A22" s="235">
        <v>0</v>
      </c>
      <c r="B22" s="48">
        <v>0.188</v>
      </c>
      <c r="C22" s="1">
        <v>6000</v>
      </c>
      <c r="D22" s="239"/>
      <c r="G22"/>
      <c r="H22"/>
      <c r="I22"/>
      <c r="K22"/>
      <c r="L22"/>
      <c r="AC22" s="179"/>
      <c r="AD22" s="665" t="s">
        <v>334</v>
      </c>
      <c r="AE22" s="655"/>
      <c r="AF22" s="655">
        <v>3</v>
      </c>
      <c r="AG22" s="655">
        <v>3</v>
      </c>
      <c r="AH22" s="655">
        <v>3</v>
      </c>
      <c r="AI22" s="655">
        <v>3</v>
      </c>
      <c r="AJ22" s="655">
        <v>3</v>
      </c>
      <c r="AK22" s="655"/>
      <c r="AL22" s="655"/>
      <c r="AM22" s="655"/>
      <c r="AN22" s="655"/>
      <c r="AO22" s="655"/>
      <c r="AP22" s="655"/>
      <c r="AQ22" s="655"/>
      <c r="AR22" s="655"/>
      <c r="AS22" s="655"/>
      <c r="AT22" s="655"/>
      <c r="AU22" s="655"/>
      <c r="AV22" s="655"/>
      <c r="AW22" s="655"/>
      <c r="AX22" s="655"/>
      <c r="AY22" s="655"/>
      <c r="AZ22" s="655"/>
      <c r="BA22" s="655"/>
      <c r="BB22" s="655"/>
      <c r="BC22" s="655"/>
      <c r="BD22" s="655"/>
      <c r="BE22" s="655"/>
      <c r="BF22" s="655"/>
      <c r="BG22" s="655"/>
      <c r="BH22" s="655"/>
    </row>
    <row r="23" spans="1:60" ht="14.25" customHeight="1" x14ac:dyDescent="0.2">
      <c r="A23" s="235">
        <v>1</v>
      </c>
      <c r="B23" s="48">
        <v>0.219</v>
      </c>
      <c r="C23" s="1"/>
      <c r="D23" s="239"/>
      <c r="G23"/>
      <c r="H23"/>
      <c r="I23"/>
      <c r="K23"/>
      <c r="L23"/>
      <c r="AC23" s="179"/>
      <c r="AD23" s="665" t="s">
        <v>335</v>
      </c>
      <c r="AE23" s="655"/>
      <c r="AF23" s="655">
        <v>3</v>
      </c>
      <c r="AG23" s="655">
        <v>3</v>
      </c>
      <c r="AH23" s="655">
        <v>3</v>
      </c>
      <c r="AI23" s="655">
        <v>3</v>
      </c>
      <c r="AJ23" s="655">
        <v>3</v>
      </c>
      <c r="AK23" s="655"/>
      <c r="AL23" s="655"/>
      <c r="AM23" s="655"/>
      <c r="AN23" s="655"/>
      <c r="AO23" s="655"/>
      <c r="AP23" s="655"/>
      <c r="AQ23" s="655"/>
      <c r="AR23" s="655"/>
      <c r="AS23" s="655"/>
      <c r="AT23" s="655"/>
      <c r="AU23" s="655"/>
      <c r="AV23" s="655"/>
      <c r="AW23" s="655"/>
      <c r="AX23" s="655"/>
      <c r="AY23" s="655"/>
      <c r="AZ23" s="655"/>
      <c r="BA23" s="655"/>
      <c r="BB23" s="655"/>
      <c r="BC23" s="655"/>
      <c r="BD23" s="655"/>
      <c r="BE23" s="655"/>
      <c r="BF23" s="655"/>
      <c r="BG23" s="655"/>
      <c r="BH23" s="655"/>
    </row>
    <row r="24" spans="1:60" x14ac:dyDescent="0.2">
      <c r="A24" s="235">
        <v>2</v>
      </c>
      <c r="B24" s="48">
        <v>0.25</v>
      </c>
      <c r="C24" s="1"/>
      <c r="D24" s="239"/>
      <c r="G24"/>
      <c r="H24"/>
      <c r="I24"/>
      <c r="K24"/>
      <c r="L24"/>
      <c r="AC24" s="179"/>
      <c r="AD24" s="165"/>
      <c r="AE24"/>
      <c r="AF24"/>
      <c r="AG24"/>
      <c r="AH24"/>
      <c r="AI24"/>
      <c r="AJ24"/>
      <c r="AK24"/>
      <c r="AL24"/>
      <c r="AM24"/>
      <c r="AN24"/>
      <c r="AO24"/>
      <c r="AP24"/>
      <c r="AQ24"/>
      <c r="AR24"/>
      <c r="AS24"/>
      <c r="AT24"/>
      <c r="AU24"/>
      <c r="AV24"/>
      <c r="AW24"/>
      <c r="AX24"/>
      <c r="AY24"/>
      <c r="AZ24"/>
    </row>
    <row r="25" spans="1:60" x14ac:dyDescent="0.2">
      <c r="A25" s="235">
        <v>3</v>
      </c>
      <c r="B25" s="48">
        <v>0.28100000000000003</v>
      </c>
      <c r="C25" s="1"/>
      <c r="D25" s="239"/>
      <c r="G25"/>
      <c r="H25"/>
      <c r="I25"/>
      <c r="K25"/>
      <c r="L25"/>
      <c r="AC25" s="179"/>
      <c r="AD25" s="166"/>
      <c r="AE25" s="657"/>
      <c r="AF25" s="657"/>
      <c r="AG25" s="657"/>
      <c r="AH25" s="657"/>
      <c r="AI25" s="657"/>
      <c r="AJ25" s="657"/>
      <c r="AK25" s="657"/>
      <c r="AL25" s="657"/>
      <c r="AM25" s="657"/>
      <c r="AN25" s="657"/>
      <c r="AO25" s="657"/>
      <c r="AP25" s="657"/>
      <c r="AQ25" s="657"/>
      <c r="AR25" s="657"/>
      <c r="AS25" s="657"/>
      <c r="AT25" s="657"/>
      <c r="AU25" s="657"/>
      <c r="AV25" s="657"/>
      <c r="AW25" s="657"/>
      <c r="AX25" s="657"/>
      <c r="AY25" s="657"/>
      <c r="AZ25" s="657"/>
      <c r="BA25" s="657"/>
      <c r="BB25" s="657"/>
      <c r="BC25" s="657"/>
      <c r="BD25" s="657"/>
      <c r="BE25" s="657"/>
      <c r="BF25" s="657"/>
      <c r="BG25" s="657"/>
      <c r="BH25" s="657"/>
    </row>
    <row r="26" spans="1:60" x14ac:dyDescent="0.2">
      <c r="A26" s="235">
        <v>4</v>
      </c>
      <c r="B26" s="48">
        <v>0.313</v>
      </c>
      <c r="C26" s="1"/>
      <c r="D26" s="239"/>
      <c r="G26"/>
      <c r="H26"/>
      <c r="I26"/>
      <c r="K26"/>
      <c r="L26"/>
      <c r="AC26" s="179"/>
      <c r="AE26"/>
      <c r="AF26"/>
      <c r="AG26"/>
      <c r="AH26"/>
      <c r="AI26"/>
      <c r="AJ26"/>
      <c r="AK26"/>
      <c r="AL26"/>
      <c r="AM26"/>
      <c r="AN26"/>
      <c r="AO26"/>
      <c r="AP26"/>
      <c r="AQ26"/>
      <c r="AR26"/>
      <c r="AS26"/>
      <c r="AT26"/>
      <c r="AU26"/>
      <c r="AV26"/>
      <c r="AW26"/>
    </row>
    <row r="27" spans="1:60" x14ac:dyDescent="0.2">
      <c r="A27" s="235">
        <v>5</v>
      </c>
      <c r="B27" s="48"/>
      <c r="C27" s="1"/>
      <c r="D27" s="239"/>
      <c r="G27"/>
      <c r="H27"/>
      <c r="I27"/>
      <c r="K27"/>
      <c r="L27"/>
      <c r="AC27" s="179"/>
      <c r="AE27"/>
      <c r="AF27"/>
      <c r="AG27"/>
      <c r="AH27"/>
      <c r="AI27"/>
      <c r="AJ27"/>
      <c r="AK27"/>
      <c r="AL27"/>
      <c r="AM27"/>
      <c r="AN27"/>
      <c r="AO27"/>
      <c r="AP27"/>
      <c r="AQ27"/>
      <c r="AR27"/>
      <c r="AS27"/>
      <c r="AT27"/>
      <c r="AU27"/>
      <c r="AV27"/>
      <c r="AW27"/>
    </row>
    <row r="28" spans="1:60" x14ac:dyDescent="0.2">
      <c r="A28" s="235">
        <v>6</v>
      </c>
      <c r="B28" s="48"/>
      <c r="C28" s="1"/>
      <c r="D28" s="239"/>
      <c r="G28"/>
      <c r="H28"/>
      <c r="I28"/>
      <c r="K28"/>
      <c r="L28"/>
      <c r="AC28" s="179"/>
      <c r="AE28"/>
      <c r="AF28"/>
      <c r="AG28"/>
      <c r="AH28"/>
      <c r="AI28"/>
      <c r="AJ28"/>
      <c r="AK28"/>
      <c r="AL28"/>
      <c r="AM28"/>
      <c r="AN28"/>
      <c r="AO28"/>
      <c r="AP28"/>
      <c r="AQ28"/>
      <c r="AR28"/>
      <c r="AS28"/>
      <c r="AT28"/>
      <c r="AU28"/>
      <c r="AV28"/>
      <c r="AW28"/>
    </row>
    <row r="29" spans="1:60" x14ac:dyDescent="0.2">
      <c r="A29" s="235">
        <v>7</v>
      </c>
      <c r="B29" s="48"/>
      <c r="C29" s="1"/>
      <c r="D29" s="239"/>
      <c r="G29"/>
      <c r="H29"/>
      <c r="I29"/>
      <c r="K29"/>
      <c r="L29"/>
      <c r="AC29" s="179"/>
      <c r="AE29"/>
      <c r="AF29"/>
      <c r="AG29"/>
      <c r="AH29"/>
      <c r="AI29"/>
      <c r="AJ29"/>
      <c r="AK29"/>
      <c r="AL29"/>
      <c r="AM29"/>
      <c r="AN29"/>
      <c r="AO29"/>
      <c r="AP29"/>
      <c r="AQ29"/>
      <c r="AR29"/>
      <c r="AS29"/>
      <c r="AT29"/>
      <c r="AU29"/>
      <c r="AV29"/>
      <c r="AW29"/>
    </row>
    <row r="30" spans="1:60" x14ac:dyDescent="0.2">
      <c r="A30" s="235">
        <v>8</v>
      </c>
      <c r="B30" s="48"/>
      <c r="C30" s="1"/>
      <c r="D30" s="239"/>
      <c r="G30"/>
      <c r="H30"/>
      <c r="I30"/>
      <c r="K30"/>
      <c r="L30"/>
      <c r="AC30" s="163"/>
      <c r="AE30"/>
      <c r="AF30"/>
      <c r="AG30"/>
      <c r="AH30"/>
      <c r="AI30"/>
      <c r="AJ30"/>
      <c r="AK30"/>
      <c r="AL30"/>
      <c r="AM30"/>
      <c r="AN30"/>
      <c r="AO30"/>
      <c r="AP30"/>
      <c r="AQ30"/>
      <c r="AR30"/>
      <c r="AS30"/>
      <c r="AT30"/>
      <c r="AU30"/>
      <c r="AV30"/>
      <c r="AW30"/>
    </row>
    <row r="31" spans="1:60" x14ac:dyDescent="0.2">
      <c r="A31" s="235">
        <v>9</v>
      </c>
      <c r="B31" s="48"/>
      <c r="C31" s="1"/>
      <c r="D31" s="239"/>
      <c r="G31"/>
      <c r="H31"/>
      <c r="I31"/>
      <c r="K31"/>
      <c r="L31"/>
      <c r="AC31" s="163"/>
      <c r="AD31" s="11"/>
      <c r="AE31"/>
      <c r="AF31"/>
      <c r="AG31"/>
      <c r="AH31"/>
      <c r="AI31"/>
      <c r="AJ31"/>
      <c r="AK31"/>
      <c r="AL31"/>
      <c r="AM31"/>
      <c r="AN31"/>
      <c r="AO31"/>
      <c r="AP31"/>
      <c r="AQ31"/>
      <c r="AR31"/>
      <c r="AS31"/>
      <c r="AT31"/>
      <c r="AU31"/>
      <c r="AV31"/>
      <c r="AW31"/>
    </row>
    <row r="32" spans="1:60" x14ac:dyDescent="0.2">
      <c r="A32" s="235">
        <v>10</v>
      </c>
      <c r="B32" s="48"/>
      <c r="C32" s="1"/>
      <c r="D32" s="239"/>
      <c r="G32"/>
      <c r="H32"/>
      <c r="I32"/>
      <c r="K32"/>
      <c r="L32"/>
      <c r="AC32" s="163"/>
      <c r="AE32"/>
      <c r="AF32"/>
      <c r="AG32"/>
      <c r="AH32"/>
      <c r="AI32"/>
      <c r="AJ32"/>
      <c r="AK32"/>
      <c r="AL32"/>
      <c r="AM32"/>
      <c r="AN32"/>
      <c r="AO32"/>
      <c r="AP32"/>
      <c r="AQ32"/>
      <c r="AR32"/>
      <c r="AS32"/>
      <c r="AT32"/>
      <c r="AU32"/>
      <c r="AV32"/>
      <c r="AW32"/>
    </row>
    <row r="33" spans="1:91" x14ac:dyDescent="0.2">
      <c r="A33" s="235">
        <v>11</v>
      </c>
      <c r="B33" s="48"/>
      <c r="C33" s="1"/>
      <c r="D33" s="239"/>
      <c r="G33"/>
      <c r="H33"/>
      <c r="I33"/>
      <c r="K33"/>
      <c r="L33"/>
      <c r="AC33" s="163"/>
      <c r="AE33"/>
      <c r="AF33"/>
      <c r="AG33"/>
      <c r="AH33"/>
      <c r="AI33"/>
      <c r="AJ33"/>
      <c r="AK33"/>
      <c r="AL33"/>
      <c r="AM33"/>
      <c r="AN33"/>
      <c r="AO33"/>
      <c r="AP33"/>
      <c r="AQ33"/>
      <c r="AR33"/>
      <c r="AS33"/>
      <c r="AT33"/>
      <c r="AU33"/>
      <c r="AV33"/>
      <c r="AW33"/>
    </row>
    <row r="34" spans="1:91" x14ac:dyDescent="0.2">
      <c r="A34" s="235">
        <v>12</v>
      </c>
      <c r="B34" s="48"/>
      <c r="C34" s="1"/>
      <c r="D34" s="239"/>
      <c r="G34"/>
      <c r="H34"/>
      <c r="I34"/>
      <c r="K34"/>
      <c r="L34"/>
      <c r="AC34" s="163"/>
      <c r="AE34"/>
      <c r="AF34"/>
      <c r="AG34"/>
      <c r="AH34"/>
      <c r="AI34"/>
      <c r="AJ34"/>
      <c r="AK34"/>
      <c r="AL34"/>
      <c r="AM34"/>
      <c r="AN34"/>
      <c r="AO34"/>
      <c r="AP34"/>
      <c r="AQ34"/>
      <c r="AR34"/>
      <c r="AS34"/>
      <c r="AT34"/>
      <c r="AU34"/>
      <c r="AV34"/>
      <c r="AW34"/>
    </row>
    <row r="35" spans="1:91" x14ac:dyDescent="0.2">
      <c r="A35" s="235">
        <v>13</v>
      </c>
      <c r="B35" s="48"/>
      <c r="C35" s="1"/>
      <c r="D35" s="239"/>
      <c r="G35"/>
      <c r="H35"/>
      <c r="I35"/>
      <c r="K35"/>
      <c r="L35"/>
      <c r="AC35" s="163"/>
      <c r="AE35"/>
      <c r="AF35"/>
      <c r="AG35"/>
      <c r="AH35"/>
      <c r="AI35"/>
      <c r="AJ35"/>
      <c r="AK35"/>
      <c r="AL35"/>
      <c r="AM35"/>
      <c r="AN35"/>
      <c r="AO35"/>
      <c r="AP35"/>
      <c r="AQ35"/>
      <c r="AR35"/>
      <c r="AS35"/>
      <c r="AT35"/>
      <c r="AU35"/>
      <c r="AV35"/>
      <c r="AW35"/>
    </row>
    <row r="36" spans="1:91" x14ac:dyDescent="0.2">
      <c r="A36" s="235">
        <v>14</v>
      </c>
      <c r="B36" s="48"/>
      <c r="C36" s="1"/>
      <c r="D36" s="239"/>
      <c r="G36"/>
      <c r="H36"/>
      <c r="I36"/>
      <c r="K36"/>
      <c r="L36"/>
      <c r="AC36" s="163"/>
      <c r="AE36"/>
      <c r="AF36"/>
      <c r="AG36"/>
      <c r="AH36"/>
      <c r="AI36"/>
      <c r="AJ36"/>
      <c r="AK36"/>
      <c r="AL36"/>
      <c r="AM36"/>
      <c r="AN36"/>
      <c r="AO36"/>
      <c r="AP36"/>
      <c r="AQ36"/>
      <c r="AR36"/>
      <c r="AS36"/>
      <c r="AT36"/>
      <c r="AU36"/>
      <c r="AV36"/>
      <c r="AW36"/>
    </row>
    <row r="37" spans="1:91" x14ac:dyDescent="0.2">
      <c r="A37" s="235">
        <v>15</v>
      </c>
      <c r="B37" s="48"/>
      <c r="C37" s="1"/>
      <c r="D37" s="239"/>
      <c r="G37"/>
      <c r="H37"/>
      <c r="I37"/>
      <c r="K37"/>
      <c r="L37"/>
      <c r="AC37" s="179"/>
      <c r="AE37"/>
      <c r="AF37"/>
      <c r="AG37"/>
      <c r="AH37"/>
      <c r="AI37"/>
      <c r="AJ37"/>
      <c r="AK37"/>
      <c r="AL37"/>
      <c r="AM37"/>
      <c r="AN37"/>
      <c r="AO37"/>
      <c r="AP37"/>
      <c r="AQ37"/>
      <c r="AR37"/>
      <c r="AS37"/>
      <c r="AT37"/>
      <c r="AU37"/>
      <c r="AV37"/>
      <c r="AW37"/>
    </row>
    <row r="38" spans="1:91" x14ac:dyDescent="0.2">
      <c r="A38" s="235">
        <v>16</v>
      </c>
      <c r="B38" s="48"/>
      <c r="C38" s="1"/>
      <c r="D38" s="239"/>
      <c r="G38"/>
      <c r="H38"/>
      <c r="I38"/>
      <c r="K38"/>
      <c r="L38"/>
      <c r="AC38" s="179"/>
      <c r="AE38"/>
      <c r="AF38"/>
      <c r="AG38"/>
      <c r="AH38"/>
      <c r="AI38"/>
      <c r="AJ38"/>
      <c r="AK38"/>
      <c r="AL38"/>
      <c r="AM38"/>
      <c r="AN38"/>
      <c r="AO38"/>
      <c r="AP38"/>
      <c r="AQ38"/>
      <c r="AR38"/>
      <c r="AS38"/>
      <c r="AT38"/>
      <c r="AU38"/>
      <c r="AV38"/>
      <c r="AW38"/>
    </row>
    <row r="39" spans="1:91" x14ac:dyDescent="0.2">
      <c r="A39" s="235">
        <v>17</v>
      </c>
      <c r="B39" s="48"/>
      <c r="C39" s="1"/>
      <c r="D39" s="239"/>
      <c r="G39"/>
      <c r="H39"/>
      <c r="I39"/>
      <c r="K39"/>
      <c r="L39"/>
      <c r="AC39" s="179"/>
      <c r="AE39"/>
      <c r="AF39"/>
      <c r="AG39"/>
      <c r="AH39"/>
      <c r="AI39"/>
      <c r="AJ39"/>
      <c r="AK39"/>
      <c r="AL39"/>
      <c r="AM39"/>
      <c r="AN39"/>
      <c r="AO39"/>
      <c r="AP39"/>
      <c r="AQ39"/>
      <c r="AR39"/>
      <c r="AS39"/>
      <c r="AT39"/>
      <c r="AU39"/>
      <c r="AV39"/>
      <c r="AW39"/>
    </row>
    <row r="40" spans="1:91" x14ac:dyDescent="0.2">
      <c r="A40" s="235">
        <v>18</v>
      </c>
      <c r="B40" s="48"/>
      <c r="C40" s="1"/>
      <c r="D40" s="239"/>
      <c r="G40"/>
      <c r="H40"/>
      <c r="I40"/>
      <c r="K40"/>
      <c r="L40"/>
      <c r="AC40" s="179"/>
      <c r="AE40"/>
      <c r="AF40"/>
      <c r="AG40"/>
      <c r="AH40"/>
      <c r="AI40"/>
      <c r="AJ40"/>
      <c r="AK40"/>
      <c r="AL40"/>
      <c r="AM40"/>
      <c r="AN40"/>
      <c r="AO40"/>
      <c r="AP40"/>
      <c r="AQ40"/>
      <c r="AR40"/>
      <c r="AS40"/>
      <c r="AT40"/>
      <c r="AU40"/>
      <c r="AV40"/>
      <c r="AW40"/>
    </row>
    <row r="41" spans="1:91" x14ac:dyDescent="0.2">
      <c r="A41" s="236">
        <v>19</v>
      </c>
      <c r="B41" s="470"/>
      <c r="C41" s="240"/>
      <c r="D41" s="241"/>
      <c r="G41"/>
      <c r="H41"/>
      <c r="I41"/>
      <c r="K41"/>
      <c r="L41"/>
      <c r="AC41" s="179"/>
      <c r="AE41"/>
      <c r="AF41"/>
      <c r="AG41"/>
      <c r="AH41"/>
      <c r="AI41"/>
      <c r="AJ41"/>
      <c r="AK41"/>
      <c r="AL41"/>
      <c r="AM41"/>
      <c r="AN41"/>
      <c r="AO41"/>
      <c r="AP41"/>
      <c r="AQ41"/>
      <c r="AR41"/>
      <c r="AS41"/>
      <c r="AT41"/>
      <c r="AU41"/>
      <c r="AV41"/>
      <c r="AW41"/>
    </row>
    <row r="42" spans="1:91" x14ac:dyDescent="0.2">
      <c r="G42"/>
      <c r="H42"/>
      <c r="I42"/>
      <c r="K42"/>
      <c r="L42"/>
      <c r="AC42" s="179"/>
      <c r="AE42"/>
      <c r="AF42"/>
      <c r="AG42"/>
      <c r="AH42"/>
      <c r="AI42"/>
      <c r="AJ42"/>
      <c r="AK42"/>
      <c r="AL42"/>
      <c r="AM42"/>
      <c r="AN42"/>
      <c r="AO42"/>
      <c r="AP42"/>
      <c r="AQ42"/>
      <c r="AR42"/>
      <c r="AS42"/>
      <c r="AT42"/>
      <c r="AU42"/>
      <c r="AV42"/>
      <c r="AW42"/>
    </row>
    <row r="43" spans="1:91" x14ac:dyDescent="0.2">
      <c r="A43" s="282" t="s">
        <v>312</v>
      </c>
      <c r="B43" s="284"/>
      <c r="G43"/>
      <c r="H43"/>
      <c r="I43"/>
      <c r="K43"/>
      <c r="L43"/>
      <c r="AC43" s="219"/>
      <c r="AE43"/>
      <c r="AF43"/>
      <c r="AG43"/>
      <c r="AH43"/>
      <c r="AI43"/>
      <c r="AJ43"/>
      <c r="AK43"/>
      <c r="AL43"/>
      <c r="AM43"/>
      <c r="AN43"/>
      <c r="AO43"/>
      <c r="AP43"/>
      <c r="AQ43"/>
      <c r="AR43"/>
      <c r="AS43"/>
      <c r="AT43"/>
      <c r="AU43"/>
      <c r="AV43"/>
      <c r="AW43"/>
    </row>
    <row r="44" spans="1:91" x14ac:dyDescent="0.2">
      <c r="A44" s="237" t="s">
        <v>8</v>
      </c>
      <c r="B44" s="472" t="s">
        <v>163</v>
      </c>
      <c r="G44"/>
      <c r="H44"/>
      <c r="I44"/>
      <c r="K44"/>
      <c r="L44"/>
      <c r="AC44" s="219"/>
    </row>
    <row r="45" spans="1:91" x14ac:dyDescent="0.2">
      <c r="A45" s="238"/>
      <c r="B45" s="473"/>
      <c r="G45"/>
      <c r="H45"/>
      <c r="I45"/>
      <c r="K45"/>
      <c r="L45"/>
      <c r="AC45" s="219"/>
    </row>
    <row r="46" spans="1:91" x14ac:dyDescent="0.2">
      <c r="A46" s="285">
        <v>0</v>
      </c>
      <c r="B46" s="474">
        <v>0.1</v>
      </c>
      <c r="G46"/>
      <c r="H46"/>
      <c r="I46"/>
      <c r="K46"/>
      <c r="L46"/>
      <c r="AC46" s="219"/>
    </row>
    <row r="47" spans="1:91" x14ac:dyDescent="0.2">
      <c r="A47" s="286">
        <v>1</v>
      </c>
      <c r="B47" s="475">
        <v>0.4</v>
      </c>
      <c r="D47">
        <v>0.188</v>
      </c>
      <c r="G47"/>
      <c r="H47"/>
      <c r="I47"/>
      <c r="K47"/>
      <c r="L47"/>
      <c r="AC47" s="219"/>
    </row>
    <row r="48" spans="1:91" x14ac:dyDescent="0.2">
      <c r="A48" s="286">
        <v>2</v>
      </c>
      <c r="B48" s="475">
        <v>0.7</v>
      </c>
      <c r="D48">
        <v>0.219</v>
      </c>
      <c r="G48"/>
      <c r="H48"/>
      <c r="I48"/>
      <c r="K48"/>
      <c r="L48"/>
      <c r="AC48" s="219"/>
      <c r="AF48" s="2" t="s">
        <v>459</v>
      </c>
      <c r="AG48" s="3" t="s">
        <v>314</v>
      </c>
      <c r="AH48" s="4" t="s">
        <v>315</v>
      </c>
      <c r="AI48" s="2" t="s">
        <v>460</v>
      </c>
      <c r="AJ48" s="3" t="s">
        <v>316</v>
      </c>
      <c r="AK48" s="4" t="s">
        <v>317</v>
      </c>
      <c r="AL48" s="2" t="s">
        <v>465</v>
      </c>
      <c r="AM48" s="3" t="s">
        <v>318</v>
      </c>
      <c r="AN48" s="4" t="s">
        <v>319</v>
      </c>
      <c r="AO48" s="2" t="s">
        <v>577</v>
      </c>
      <c r="AP48" s="3" t="s">
        <v>320</v>
      </c>
      <c r="AQ48" s="4" t="s">
        <v>321</v>
      </c>
      <c r="AR48" s="2" t="s">
        <v>590</v>
      </c>
      <c r="AS48" s="3" t="s">
        <v>591</v>
      </c>
      <c r="AT48" s="4" t="s">
        <v>592</v>
      </c>
      <c r="CA48" t="s">
        <v>593</v>
      </c>
      <c r="CB48" t="s">
        <v>594</v>
      </c>
      <c r="CC48" t="s">
        <v>595</v>
      </c>
      <c r="CD48" t="s">
        <v>596</v>
      </c>
      <c r="CE48" t="s">
        <v>597</v>
      </c>
      <c r="CF48" t="s">
        <v>598</v>
      </c>
      <c r="CG48" t="s">
        <v>599</v>
      </c>
      <c r="CH48" t="s">
        <v>600</v>
      </c>
      <c r="CI48" t="s">
        <v>601</v>
      </c>
      <c r="CJ48" t="s">
        <v>602</v>
      </c>
      <c r="CK48" t="s">
        <v>603</v>
      </c>
      <c r="CL48" t="s">
        <v>604</v>
      </c>
      <c r="CM48" t="s">
        <v>605</v>
      </c>
    </row>
    <row r="49" spans="1:91" x14ac:dyDescent="0.2">
      <c r="A49" s="286">
        <v>3</v>
      </c>
      <c r="B49" s="475">
        <v>1</v>
      </c>
      <c r="D49">
        <v>0.25</v>
      </c>
      <c r="G49"/>
      <c r="H49"/>
      <c r="I49"/>
      <c r="K49"/>
      <c r="L49"/>
      <c r="AC49" s="219"/>
      <c r="AF49" s="248"/>
      <c r="AG49" s="249"/>
      <c r="AH49" s="306"/>
      <c r="AI49" s="248"/>
      <c r="AJ49" s="249"/>
      <c r="AK49" s="306"/>
      <c r="AL49" s="248"/>
      <c r="AM49" s="249"/>
      <c r="AN49" s="306"/>
      <c r="AO49" s="248"/>
      <c r="AP49" s="249"/>
      <c r="AQ49" s="306"/>
      <c r="AR49" s="248"/>
      <c r="AS49" s="249"/>
      <c r="AT49" s="306"/>
    </row>
    <row r="50" spans="1:91" x14ac:dyDescent="0.2">
      <c r="A50" s="286">
        <v>4</v>
      </c>
      <c r="B50" s="475">
        <v>1.3</v>
      </c>
      <c r="D50">
        <v>0.28100000000000003</v>
      </c>
      <c r="G50"/>
      <c r="H50"/>
      <c r="I50"/>
      <c r="K50"/>
      <c r="L50"/>
      <c r="AF50" s="307">
        <v>0.1</v>
      </c>
      <c r="AG50" s="251">
        <v>1157.4000000000001</v>
      </c>
      <c r="AH50" s="484">
        <v>5997.51</v>
      </c>
      <c r="AI50" s="250">
        <v>0.1</v>
      </c>
      <c r="AJ50" s="251">
        <v>1155.82</v>
      </c>
      <c r="AK50" s="484">
        <v>5997.51</v>
      </c>
      <c r="AL50" s="250">
        <v>0.1</v>
      </c>
      <c r="AM50" s="251">
        <v>1155.1099999999999</v>
      </c>
      <c r="AN50" s="484">
        <v>5997.51</v>
      </c>
      <c r="AO50" s="250">
        <v>0.1</v>
      </c>
      <c r="AP50" s="251">
        <v>1154.53</v>
      </c>
      <c r="AQ50" s="484">
        <v>5997.51</v>
      </c>
      <c r="AR50" s="250">
        <v>0.1</v>
      </c>
      <c r="AS50" s="251">
        <v>1154.3900000000001</v>
      </c>
      <c r="AT50" s="484">
        <v>5997.51</v>
      </c>
      <c r="CA50">
        <v>6493.52</v>
      </c>
      <c r="CB50">
        <v>4.4538200000000003</v>
      </c>
      <c r="CC50">
        <v>5024.6000000000004</v>
      </c>
      <c r="CD50">
        <v>2994.59</v>
      </c>
      <c r="CE50">
        <v>4.4538200000000003</v>
      </c>
      <c r="CF50">
        <v>5024.6000000000004</v>
      </c>
      <c r="CG50">
        <v>4993.99</v>
      </c>
      <c r="CH50">
        <v>4.4538200000000003</v>
      </c>
      <c r="CI50">
        <v>5024.6000000000004</v>
      </c>
      <c r="CJ50">
        <v>5993.68</v>
      </c>
      <c r="CK50">
        <v>4.4538200000000003</v>
      </c>
      <c r="CL50">
        <v>5024.6000000000004</v>
      </c>
      <c r="CM50">
        <v>6493.52</v>
      </c>
    </row>
    <row r="51" spans="1:91" x14ac:dyDescent="0.2">
      <c r="A51" s="286">
        <v>5</v>
      </c>
      <c r="B51" s="475">
        <v>1.6</v>
      </c>
      <c r="D51">
        <v>0.313</v>
      </c>
      <c r="G51"/>
      <c r="H51"/>
      <c r="I51"/>
      <c r="K51"/>
      <c r="L51"/>
      <c r="AF51" s="308">
        <v>0.4</v>
      </c>
      <c r="AG51" s="253">
        <v>1209.0899999999999</v>
      </c>
      <c r="AH51" s="485">
        <v>5989.88</v>
      </c>
      <c r="AI51" s="252">
        <v>0.4</v>
      </c>
      <c r="AJ51" s="253">
        <v>1183.5899999999999</v>
      </c>
      <c r="AK51" s="485">
        <v>5989.88</v>
      </c>
      <c r="AL51" s="252">
        <v>0.4</v>
      </c>
      <c r="AM51" s="253">
        <v>1171.28</v>
      </c>
      <c r="AN51" s="485">
        <v>5989.88</v>
      </c>
      <c r="AO51" s="252">
        <v>0.4</v>
      </c>
      <c r="AP51" s="253">
        <v>1164.7</v>
      </c>
      <c r="AQ51" s="485">
        <v>5989.88</v>
      </c>
      <c r="AR51" s="252">
        <v>0.4</v>
      </c>
      <c r="AS51" s="253">
        <v>1160.69</v>
      </c>
      <c r="AT51" s="485">
        <v>5989.88</v>
      </c>
      <c r="CA51">
        <v>6152.88</v>
      </c>
      <c r="CB51">
        <v>238.44300000000001</v>
      </c>
      <c r="CC51">
        <v>4859.57</v>
      </c>
      <c r="CD51">
        <v>2710.42</v>
      </c>
      <c r="CE51">
        <v>238.44300000000001</v>
      </c>
      <c r="CF51">
        <v>4859.57</v>
      </c>
      <c r="CG51">
        <v>4678.2299999999996</v>
      </c>
      <c r="CH51">
        <v>238.44300000000001</v>
      </c>
      <c r="CI51">
        <v>4859.57</v>
      </c>
      <c r="CJ51">
        <v>5661.39</v>
      </c>
      <c r="CK51">
        <v>238.44300000000001</v>
      </c>
      <c r="CL51">
        <v>4859.57</v>
      </c>
      <c r="CM51">
        <v>6152.88</v>
      </c>
    </row>
    <row r="52" spans="1:91" x14ac:dyDescent="0.2">
      <c r="A52" s="286">
        <v>6</v>
      </c>
      <c r="B52" s="475">
        <v>1.9</v>
      </c>
      <c r="D52">
        <v>0.34399999999999997</v>
      </c>
      <c r="G52"/>
      <c r="H52"/>
      <c r="I52"/>
      <c r="K52"/>
      <c r="L52"/>
      <c r="AF52" s="308">
        <v>0.7</v>
      </c>
      <c r="AG52" s="253">
        <v>1327.2</v>
      </c>
      <c r="AH52" s="485">
        <v>5981.98</v>
      </c>
      <c r="AI52" s="252">
        <v>0.7</v>
      </c>
      <c r="AJ52" s="253">
        <v>1246.6400000000001</v>
      </c>
      <c r="AK52" s="485">
        <v>5981.98</v>
      </c>
      <c r="AL52" s="252">
        <v>0.7</v>
      </c>
      <c r="AM52" s="253">
        <v>1207.99</v>
      </c>
      <c r="AN52" s="485">
        <v>5981.98</v>
      </c>
      <c r="AO52" s="252">
        <v>0.7</v>
      </c>
      <c r="AP52" s="253">
        <v>1187.3900000000001</v>
      </c>
      <c r="AQ52" s="485">
        <v>5981.98</v>
      </c>
      <c r="AR52" s="252">
        <v>0.7</v>
      </c>
      <c r="AS52" s="253">
        <v>1175.3800000000001</v>
      </c>
      <c r="AT52" s="485">
        <v>5981.98</v>
      </c>
      <c r="CA52">
        <v>5812.15</v>
      </c>
      <c r="CB52">
        <v>472.43299999999999</v>
      </c>
      <c r="CC52">
        <v>5037</v>
      </c>
      <c r="CD52">
        <v>2426.16</v>
      </c>
      <c r="CE52">
        <v>472.43299999999999</v>
      </c>
      <c r="CF52">
        <v>5037</v>
      </c>
      <c r="CG52">
        <v>4362.3900000000003</v>
      </c>
      <c r="CH52">
        <v>472.43299999999999</v>
      </c>
      <c r="CI52">
        <v>5037</v>
      </c>
      <c r="CJ52">
        <v>5329.01</v>
      </c>
      <c r="CK52">
        <v>472.43299999999999</v>
      </c>
      <c r="CL52">
        <v>5037</v>
      </c>
      <c r="CM52">
        <v>5812.15</v>
      </c>
    </row>
    <row r="53" spans="1:91" x14ac:dyDescent="0.2">
      <c r="A53" s="286">
        <v>7</v>
      </c>
      <c r="B53" s="475">
        <v>2.2000000000000002</v>
      </c>
      <c r="D53">
        <v>0.375</v>
      </c>
      <c r="G53"/>
      <c r="H53"/>
      <c r="I53"/>
      <c r="K53"/>
      <c r="L53"/>
      <c r="M53" s="1"/>
      <c r="N53" s="1"/>
      <c r="O53" s="1"/>
      <c r="P53" s="1"/>
      <c r="AF53" s="308">
        <v>1</v>
      </c>
      <c r="AG53" s="253">
        <v>1517.63</v>
      </c>
      <c r="AH53" s="485">
        <v>5973.83</v>
      </c>
      <c r="AI53" s="252">
        <v>1</v>
      </c>
      <c r="AJ53" s="253">
        <v>1347.38</v>
      </c>
      <c r="AK53" s="485">
        <v>5973.83</v>
      </c>
      <c r="AL53" s="252">
        <v>1</v>
      </c>
      <c r="AM53" s="253">
        <v>1266.33</v>
      </c>
      <c r="AN53" s="485">
        <v>5973.83</v>
      </c>
      <c r="AO53" s="252">
        <v>1</v>
      </c>
      <c r="AP53" s="253">
        <v>1223.71</v>
      </c>
      <c r="AQ53" s="485">
        <v>5973.83</v>
      </c>
      <c r="AR53" s="252">
        <v>1</v>
      </c>
      <c r="AS53" s="253">
        <v>1198.8399999999999</v>
      </c>
      <c r="AT53" s="485">
        <v>5973.83</v>
      </c>
      <c r="CA53">
        <v>5471.33</v>
      </c>
      <c r="CB53">
        <v>706.423</v>
      </c>
      <c r="CC53">
        <v>5242.5200000000004</v>
      </c>
      <c r="CD53">
        <v>2141.81</v>
      </c>
      <c r="CE53">
        <v>706.423</v>
      </c>
      <c r="CF53">
        <v>5242.5200000000004</v>
      </c>
      <c r="CG53">
        <v>4046.46</v>
      </c>
      <c r="CH53">
        <v>706.423</v>
      </c>
      <c r="CI53">
        <v>5242.5200000000004</v>
      </c>
      <c r="CJ53">
        <v>4996.54</v>
      </c>
      <c r="CK53">
        <v>706.423</v>
      </c>
      <c r="CL53">
        <v>5242.5200000000004</v>
      </c>
      <c r="CM53">
        <v>5471.33</v>
      </c>
    </row>
    <row r="54" spans="1:91" x14ac:dyDescent="0.2">
      <c r="A54" s="286">
        <v>8</v>
      </c>
      <c r="B54" s="475">
        <v>2.5</v>
      </c>
      <c r="G54"/>
      <c r="H54"/>
      <c r="I54"/>
      <c r="K54"/>
      <c r="L54"/>
      <c r="M54" s="277"/>
      <c r="N54" s="277"/>
      <c r="O54" s="277"/>
      <c r="P54" s="277"/>
      <c r="AF54" s="308">
        <v>1.3</v>
      </c>
      <c r="AG54" s="253">
        <v>1786.63</v>
      </c>
      <c r="AH54" s="485">
        <v>5965.41</v>
      </c>
      <c r="AI54" s="252">
        <v>1.3</v>
      </c>
      <c r="AJ54" s="253">
        <v>1488.29</v>
      </c>
      <c r="AK54" s="485">
        <v>5965.41</v>
      </c>
      <c r="AL54" s="252">
        <v>1.3</v>
      </c>
      <c r="AM54" s="253">
        <v>1347.41</v>
      </c>
      <c r="AN54" s="485">
        <v>5965.41</v>
      </c>
      <c r="AO54" s="252">
        <v>1.3</v>
      </c>
      <c r="AP54" s="253">
        <v>1273.76</v>
      </c>
      <c r="AQ54" s="485">
        <v>5965.41</v>
      </c>
      <c r="AR54" s="252">
        <v>1.3</v>
      </c>
      <c r="AS54" s="253">
        <v>1231.2</v>
      </c>
      <c r="AT54" s="485">
        <v>5965.41</v>
      </c>
      <c r="CA54">
        <v>5130.42</v>
      </c>
      <c r="CB54">
        <v>940.41200000000003</v>
      </c>
      <c r="CC54">
        <v>5448.04</v>
      </c>
      <c r="CD54">
        <v>1857.38</v>
      </c>
      <c r="CE54">
        <v>940.41200000000003</v>
      </c>
      <c r="CF54">
        <v>5448.04</v>
      </c>
      <c r="CG54">
        <v>3730.43</v>
      </c>
      <c r="CH54">
        <v>940.41200000000003</v>
      </c>
      <c r="CI54">
        <v>5448.04</v>
      </c>
      <c r="CJ54">
        <v>4663.99</v>
      </c>
      <c r="CK54">
        <v>940.41200000000003</v>
      </c>
      <c r="CL54">
        <v>5448.04</v>
      </c>
      <c r="CM54">
        <v>5130.42</v>
      </c>
    </row>
    <row r="55" spans="1:91" x14ac:dyDescent="0.2">
      <c r="A55" s="286">
        <v>9</v>
      </c>
      <c r="B55" s="475">
        <v>2.8</v>
      </c>
      <c r="G55"/>
      <c r="H55"/>
      <c r="I55"/>
      <c r="K55"/>
      <c r="L55"/>
      <c r="M55" s="277"/>
      <c r="N55" s="277"/>
      <c r="O55" s="277"/>
      <c r="P55" s="277"/>
      <c r="AF55" s="308">
        <v>1.6</v>
      </c>
      <c r="AG55" s="253">
        <v>2141.83</v>
      </c>
      <c r="AH55" s="485">
        <v>5956.73</v>
      </c>
      <c r="AI55" s="252">
        <v>1.6</v>
      </c>
      <c r="AJ55" s="253">
        <v>1672.06</v>
      </c>
      <c r="AK55" s="485">
        <v>5956.73</v>
      </c>
      <c r="AL55" s="252">
        <v>1.6</v>
      </c>
      <c r="AM55" s="253">
        <v>1452.52</v>
      </c>
      <c r="AN55" s="485">
        <v>5956.73</v>
      </c>
      <c r="AO55" s="252">
        <v>1.6</v>
      </c>
      <c r="AP55" s="253">
        <v>1338.51</v>
      </c>
      <c r="AQ55" s="485">
        <v>5956.73</v>
      </c>
      <c r="AR55" s="252">
        <v>1.6</v>
      </c>
      <c r="AS55" s="253">
        <v>1272.83</v>
      </c>
      <c r="AT55" s="485">
        <v>5956.73</v>
      </c>
      <c r="CA55">
        <v>4789.43</v>
      </c>
      <c r="CB55">
        <v>1174.4000000000001</v>
      </c>
      <c r="CC55">
        <v>5647.22</v>
      </c>
      <c r="CD55">
        <v>1572.85</v>
      </c>
      <c r="CE55">
        <v>1174.4000000000001</v>
      </c>
      <c r="CF55">
        <v>5647.22</v>
      </c>
      <c r="CG55">
        <v>3414.32</v>
      </c>
      <c r="CH55">
        <v>1174.4000000000001</v>
      </c>
      <c r="CI55">
        <v>5647.22</v>
      </c>
      <c r="CJ55">
        <v>4331.34</v>
      </c>
      <c r="CK55">
        <v>1174.4000000000001</v>
      </c>
      <c r="CL55">
        <v>5647.22</v>
      </c>
      <c r="CM55">
        <v>4789.43</v>
      </c>
    </row>
    <row r="56" spans="1:91" x14ac:dyDescent="0.2">
      <c r="A56" s="286">
        <v>10</v>
      </c>
      <c r="B56" s="475">
        <v>3.1</v>
      </c>
      <c r="G56"/>
      <c r="H56"/>
      <c r="I56"/>
      <c r="K56"/>
      <c r="L56"/>
      <c r="M56" s="277"/>
      <c r="N56" s="277"/>
      <c r="O56" s="277"/>
      <c r="P56" s="277"/>
      <c r="AF56" s="308">
        <v>1.9</v>
      </c>
      <c r="AG56" s="253">
        <v>2533.2399999999998</v>
      </c>
      <c r="AH56" s="485">
        <v>5947.78</v>
      </c>
      <c r="AI56" s="252">
        <v>1.9</v>
      </c>
      <c r="AJ56" s="253">
        <v>1902.11</v>
      </c>
      <c r="AK56" s="485">
        <v>5947.78</v>
      </c>
      <c r="AL56" s="252">
        <v>1.9</v>
      </c>
      <c r="AM56" s="253">
        <v>1582.98</v>
      </c>
      <c r="AN56" s="485">
        <v>5947.78</v>
      </c>
      <c r="AO56" s="252">
        <v>1.9</v>
      </c>
      <c r="AP56" s="253">
        <v>1418.37</v>
      </c>
      <c r="AQ56" s="485">
        <v>5947.78</v>
      </c>
      <c r="AR56" s="252">
        <v>1.9</v>
      </c>
      <c r="AS56" s="253">
        <v>1323.87</v>
      </c>
      <c r="AT56" s="485">
        <v>5947.78</v>
      </c>
      <c r="CA56">
        <v>4448.34</v>
      </c>
      <c r="CB56">
        <v>1408.39</v>
      </c>
      <c r="CC56">
        <v>5838.4</v>
      </c>
      <c r="CD56">
        <v>1288.23</v>
      </c>
      <c r="CE56">
        <v>1408.39</v>
      </c>
      <c r="CF56">
        <v>5838.4</v>
      </c>
      <c r="CG56">
        <v>3098.12</v>
      </c>
      <c r="CH56">
        <v>1408.39</v>
      </c>
      <c r="CI56">
        <v>5838.4</v>
      </c>
      <c r="CJ56">
        <v>3998.61</v>
      </c>
      <c r="CK56">
        <v>1408.39</v>
      </c>
      <c r="CL56">
        <v>5838.4</v>
      </c>
      <c r="CM56">
        <v>4448.34</v>
      </c>
    </row>
    <row r="57" spans="1:91" x14ac:dyDescent="0.2">
      <c r="A57" s="286">
        <v>11</v>
      </c>
      <c r="B57" s="475">
        <v>3.4</v>
      </c>
      <c r="G57"/>
      <c r="H57"/>
      <c r="I57"/>
      <c r="K57"/>
      <c r="L57"/>
      <c r="M57" s="277"/>
      <c r="N57" s="277"/>
      <c r="O57" s="277"/>
      <c r="P57" s="277"/>
      <c r="AF57" s="308">
        <v>2.2000000000000002</v>
      </c>
      <c r="AG57" s="253">
        <v>2937.39</v>
      </c>
      <c r="AH57" s="485">
        <v>5938.57</v>
      </c>
      <c r="AI57" s="252">
        <v>2.2000000000000002</v>
      </c>
      <c r="AJ57" s="253">
        <v>2179.7399999999998</v>
      </c>
      <c r="AK57" s="485">
        <v>5938.57</v>
      </c>
      <c r="AL57" s="252">
        <v>2.2000000000000002</v>
      </c>
      <c r="AM57" s="253">
        <v>1740.29</v>
      </c>
      <c r="AN57" s="485">
        <v>5938.57</v>
      </c>
      <c r="AO57" s="252">
        <v>2.2000000000000002</v>
      </c>
      <c r="AP57" s="253">
        <v>1514.17</v>
      </c>
      <c r="AQ57" s="485">
        <v>5938.57</v>
      </c>
      <c r="AR57" s="252">
        <v>2.2000000000000002</v>
      </c>
      <c r="AS57" s="253">
        <v>1385</v>
      </c>
      <c r="AT57" s="485">
        <v>5938.57</v>
      </c>
      <c r="CA57">
        <v>4107.17</v>
      </c>
      <c r="CB57">
        <v>1642.38</v>
      </c>
      <c r="CC57">
        <v>6020.91</v>
      </c>
      <c r="CD57">
        <v>1003.52</v>
      </c>
      <c r="CE57">
        <v>1642.38</v>
      </c>
      <c r="CF57">
        <v>6020.91</v>
      </c>
      <c r="CG57">
        <v>2781.84</v>
      </c>
      <c r="CH57">
        <v>1642.38</v>
      </c>
      <c r="CI57">
        <v>6020.91</v>
      </c>
      <c r="CJ57">
        <v>3665.79</v>
      </c>
      <c r="CK57">
        <v>1642.38</v>
      </c>
      <c r="CL57">
        <v>6020.91</v>
      </c>
      <c r="CM57">
        <v>4107.17</v>
      </c>
    </row>
    <row r="58" spans="1:91" x14ac:dyDescent="0.2">
      <c r="A58" s="286">
        <v>12</v>
      </c>
      <c r="B58" s="475">
        <v>3.7</v>
      </c>
      <c r="G58"/>
      <c r="H58"/>
      <c r="I58"/>
      <c r="K58"/>
      <c r="L58"/>
      <c r="M58" s="277"/>
      <c r="N58" s="277"/>
      <c r="O58" s="277"/>
      <c r="P58" s="277"/>
      <c r="AF58" s="308">
        <v>2.5</v>
      </c>
      <c r="AG58" s="253">
        <v>3359.24</v>
      </c>
      <c r="AH58" s="485">
        <v>5929.1</v>
      </c>
      <c r="AI58" s="252">
        <v>2.5</v>
      </c>
      <c r="AJ58" s="253">
        <v>2470.83</v>
      </c>
      <c r="AK58" s="485">
        <v>5929.1</v>
      </c>
      <c r="AL58" s="252">
        <v>2.5</v>
      </c>
      <c r="AM58" s="253">
        <v>1926.37</v>
      </c>
      <c r="AN58" s="485">
        <v>5929.1</v>
      </c>
      <c r="AO58" s="252">
        <v>2.5</v>
      </c>
      <c r="AP58" s="253">
        <v>1626.57</v>
      </c>
      <c r="AQ58" s="485">
        <v>5929.1</v>
      </c>
      <c r="AR58" s="252">
        <v>2.5</v>
      </c>
      <c r="AS58" s="253">
        <v>1456.6</v>
      </c>
      <c r="AT58" s="485">
        <v>5929.1</v>
      </c>
      <c r="CA58">
        <v>3765.91</v>
      </c>
      <c r="CB58">
        <v>1876.37</v>
      </c>
      <c r="CC58">
        <v>6193.74</v>
      </c>
      <c r="CD58">
        <v>718.721</v>
      </c>
      <c r="CE58">
        <v>1876.37</v>
      </c>
      <c r="CF58">
        <v>6193.74</v>
      </c>
      <c r="CG58">
        <v>2465.46</v>
      </c>
      <c r="CH58">
        <v>1876.37</v>
      </c>
      <c r="CI58">
        <v>6193.74</v>
      </c>
      <c r="CJ58">
        <v>3332.88</v>
      </c>
      <c r="CK58">
        <v>1876.37</v>
      </c>
      <c r="CL58">
        <v>6193.74</v>
      </c>
      <c r="CM58">
        <v>3765.91</v>
      </c>
    </row>
    <row r="59" spans="1:91" x14ac:dyDescent="0.2">
      <c r="A59" s="286">
        <v>13</v>
      </c>
      <c r="B59" s="475"/>
      <c r="G59"/>
      <c r="H59"/>
      <c r="I59"/>
      <c r="K59"/>
      <c r="L59"/>
      <c r="M59" s="277"/>
      <c r="N59" s="277"/>
      <c r="O59" s="277"/>
      <c r="P59" s="277"/>
      <c r="AC59" s="219"/>
      <c r="AF59" s="308">
        <v>2.8</v>
      </c>
      <c r="AG59" s="253">
        <v>3802.37</v>
      </c>
      <c r="AH59" s="485">
        <v>5919.36</v>
      </c>
      <c r="AI59" s="252">
        <v>2.8</v>
      </c>
      <c r="AJ59" s="253">
        <v>2768.54</v>
      </c>
      <c r="AK59" s="485">
        <v>5919.36</v>
      </c>
      <c r="AL59" s="252">
        <v>2.8</v>
      </c>
      <c r="AM59" s="253">
        <v>2142.23</v>
      </c>
      <c r="AN59" s="485">
        <v>5919.36</v>
      </c>
      <c r="AO59" s="252">
        <v>2.8</v>
      </c>
      <c r="AP59" s="253">
        <v>1756.65</v>
      </c>
      <c r="AQ59" s="485">
        <v>5919.36</v>
      </c>
      <c r="AR59" s="252">
        <v>2.8</v>
      </c>
      <c r="AS59" s="253">
        <v>1538.81</v>
      </c>
      <c r="AT59" s="485">
        <v>5919.36</v>
      </c>
      <c r="CA59">
        <v>3424.56</v>
      </c>
      <c r="CB59">
        <v>2110.36</v>
      </c>
      <c r="CC59">
        <v>6355.49</v>
      </c>
      <c r="CD59">
        <v>433.83199999999999</v>
      </c>
      <c r="CE59">
        <v>2110.36</v>
      </c>
      <c r="CF59">
        <v>6355.49</v>
      </c>
      <c r="CG59">
        <v>2148.9899999999998</v>
      </c>
      <c r="CH59">
        <v>2110.36</v>
      </c>
      <c r="CI59">
        <v>6355.49</v>
      </c>
      <c r="CJ59">
        <v>2999.89</v>
      </c>
      <c r="CK59">
        <v>2110.36</v>
      </c>
      <c r="CL59">
        <v>6355.49</v>
      </c>
      <c r="CM59">
        <v>3424.56</v>
      </c>
    </row>
    <row r="60" spans="1:91" x14ac:dyDescent="0.2">
      <c r="A60" s="286">
        <v>14</v>
      </c>
      <c r="B60" s="475"/>
      <c r="G60"/>
      <c r="H60"/>
      <c r="I60"/>
      <c r="K60"/>
      <c r="L60"/>
      <c r="M60" s="277"/>
      <c r="N60" s="277"/>
      <c r="O60" s="277"/>
      <c r="P60" s="277"/>
      <c r="AC60" s="219"/>
      <c r="AF60" s="308">
        <v>2.8</v>
      </c>
      <c r="AG60" s="253">
        <v>3802.37</v>
      </c>
      <c r="AH60" s="485">
        <v>5919.36</v>
      </c>
      <c r="AI60" s="252">
        <v>2.8</v>
      </c>
      <c r="AJ60" s="253">
        <v>2768.54</v>
      </c>
      <c r="AK60" s="485">
        <v>5919.36</v>
      </c>
      <c r="AL60" s="252">
        <v>2.8</v>
      </c>
      <c r="AM60" s="253">
        <v>2142.23</v>
      </c>
      <c r="AN60" s="485">
        <v>5919.36</v>
      </c>
      <c r="AO60" s="252">
        <v>2.8</v>
      </c>
      <c r="AP60" s="253">
        <v>1756.65</v>
      </c>
      <c r="AQ60" s="485">
        <v>5919.36</v>
      </c>
      <c r="AR60" s="252">
        <v>2.8</v>
      </c>
      <c r="AS60" s="253">
        <v>1538.81</v>
      </c>
      <c r="AT60" s="485">
        <v>5919.36</v>
      </c>
      <c r="CA60">
        <v>3083.13</v>
      </c>
      <c r="CB60">
        <v>2344.35</v>
      </c>
      <c r="CC60">
        <v>6504.27</v>
      </c>
      <c r="CD60">
        <v>148.85400000000001</v>
      </c>
      <c r="CE60">
        <v>2344.35</v>
      </c>
      <c r="CF60">
        <v>6504.27</v>
      </c>
      <c r="CG60">
        <v>1832.44</v>
      </c>
      <c r="CH60">
        <v>2344.35</v>
      </c>
      <c r="CI60">
        <v>6504.27</v>
      </c>
      <c r="CJ60">
        <v>2666.8</v>
      </c>
      <c r="CK60">
        <v>2344.35</v>
      </c>
      <c r="CL60">
        <v>6504.27</v>
      </c>
      <c r="CM60">
        <v>3083.13</v>
      </c>
    </row>
    <row r="61" spans="1:91" x14ac:dyDescent="0.2">
      <c r="A61" s="286">
        <v>15</v>
      </c>
      <c r="B61" s="475"/>
      <c r="G61"/>
      <c r="H61"/>
      <c r="I61"/>
      <c r="K61"/>
      <c r="L61"/>
      <c r="M61" s="277"/>
      <c r="N61" s="277"/>
      <c r="O61" s="277"/>
      <c r="P61" s="277"/>
      <c r="AC61" s="219"/>
      <c r="AF61" s="308">
        <v>2.8</v>
      </c>
      <c r="AG61" s="253">
        <v>3802.37</v>
      </c>
      <c r="AH61" s="485">
        <v>5919.36</v>
      </c>
      <c r="AI61" s="252">
        <v>2.8</v>
      </c>
      <c r="AJ61" s="253">
        <v>2768.54</v>
      </c>
      <c r="AK61" s="485">
        <v>5919.36</v>
      </c>
      <c r="AL61" s="252">
        <v>2.8</v>
      </c>
      <c r="AM61" s="253">
        <v>2142.23</v>
      </c>
      <c r="AN61" s="485">
        <v>5919.36</v>
      </c>
      <c r="AO61" s="252">
        <v>2.8</v>
      </c>
      <c r="AP61" s="253">
        <v>1756.65</v>
      </c>
      <c r="AQ61" s="485">
        <v>5919.36</v>
      </c>
      <c r="AR61" s="252">
        <v>2.8</v>
      </c>
      <c r="AS61" s="253">
        <v>1538.81</v>
      </c>
      <c r="AT61" s="485">
        <v>5919.36</v>
      </c>
      <c r="CA61">
        <v>2741.6</v>
      </c>
      <c r="CB61">
        <v>2578.34</v>
      </c>
      <c r="CC61">
        <v>6638.04</v>
      </c>
      <c r="CD61">
        <v>-137.68700000000001</v>
      </c>
      <c r="CE61">
        <v>2578.34</v>
      </c>
      <c r="CF61">
        <v>6638.04</v>
      </c>
      <c r="CG61">
        <v>1515.8</v>
      </c>
      <c r="CH61">
        <v>2578.34</v>
      </c>
      <c r="CI61">
        <v>6638.04</v>
      </c>
      <c r="CJ61">
        <v>2333.63</v>
      </c>
      <c r="CK61">
        <v>2578.34</v>
      </c>
      <c r="CL61">
        <v>6638.04</v>
      </c>
      <c r="CM61">
        <v>2741.6</v>
      </c>
    </row>
    <row r="62" spans="1:91" x14ac:dyDescent="0.2">
      <c r="A62" s="286">
        <v>16</v>
      </c>
      <c r="B62" s="475"/>
      <c r="G62"/>
      <c r="H62"/>
      <c r="I62"/>
      <c r="K62"/>
      <c r="L62"/>
      <c r="M62" s="278"/>
      <c r="N62" s="278"/>
      <c r="O62" s="278"/>
      <c r="P62" s="278"/>
      <c r="AC62" s="219"/>
      <c r="AF62" s="308">
        <v>3.7</v>
      </c>
      <c r="AG62" s="253">
        <v>5280.79</v>
      </c>
      <c r="AH62" s="485">
        <v>5888.56</v>
      </c>
      <c r="AI62" s="252">
        <v>3.7</v>
      </c>
      <c r="AJ62" s="253">
        <v>3720.02</v>
      </c>
      <c r="AK62" s="485">
        <v>5888.56</v>
      </c>
      <c r="AL62" s="252">
        <v>3.7</v>
      </c>
      <c r="AM62" s="253">
        <v>2828.2</v>
      </c>
      <c r="AN62" s="485">
        <v>5888.56</v>
      </c>
      <c r="AO62" s="252">
        <v>3.7</v>
      </c>
      <c r="AP62" s="253">
        <v>2253.0700000000002</v>
      </c>
      <c r="AQ62" s="485">
        <v>5888.56</v>
      </c>
      <c r="AR62" s="252">
        <v>3.7</v>
      </c>
      <c r="AS62" s="253">
        <v>1854.79</v>
      </c>
      <c r="AT62" s="485">
        <v>5888.56</v>
      </c>
      <c r="CA62">
        <v>2399.9899999999998</v>
      </c>
      <c r="CB62">
        <v>2812.33</v>
      </c>
      <c r="CC62">
        <v>6754.77</v>
      </c>
      <c r="CD62">
        <v>0</v>
      </c>
      <c r="CE62">
        <v>2812.33</v>
      </c>
      <c r="CF62">
        <v>6754.77</v>
      </c>
      <c r="CG62">
        <v>1199.06</v>
      </c>
      <c r="CH62">
        <v>2812.33</v>
      </c>
      <c r="CI62">
        <v>6754.77</v>
      </c>
      <c r="CJ62">
        <v>2000.36</v>
      </c>
      <c r="CK62">
        <v>2812.33</v>
      </c>
      <c r="CL62">
        <v>6754.77</v>
      </c>
      <c r="CM62">
        <v>2399.9899999999998</v>
      </c>
    </row>
    <row r="63" spans="1:91" x14ac:dyDescent="0.2">
      <c r="A63" s="286">
        <v>17</v>
      </c>
      <c r="B63" s="475"/>
      <c r="G63"/>
      <c r="H63"/>
      <c r="I63"/>
      <c r="K63"/>
      <c r="L63"/>
      <c r="M63" s="278"/>
      <c r="N63" s="278"/>
      <c r="O63" s="278"/>
      <c r="P63" s="278"/>
      <c r="AC63" s="219"/>
      <c r="AF63" s="308">
        <v>11.0238</v>
      </c>
      <c r="AG63" s="253">
        <v>25793.1</v>
      </c>
      <c r="AH63" s="485">
        <v>5547.03</v>
      </c>
      <c r="AI63" s="252">
        <v>11.0238</v>
      </c>
      <c r="AJ63" s="253">
        <v>16057.6</v>
      </c>
      <c r="AK63" s="485">
        <v>5547.03</v>
      </c>
      <c r="AL63" s="252">
        <v>11.0238</v>
      </c>
      <c r="AM63" s="253">
        <v>10869.3</v>
      </c>
      <c r="AN63" s="485">
        <v>5547.03</v>
      </c>
      <c r="AO63" s="252">
        <v>11.0238</v>
      </c>
      <c r="AP63" s="253">
        <v>7871.02</v>
      </c>
      <c r="AQ63" s="485">
        <v>5547.03</v>
      </c>
      <c r="AR63" s="252">
        <v>11.0238</v>
      </c>
      <c r="AS63" s="253">
        <v>5974.34</v>
      </c>
      <c r="AT63" s="485">
        <v>5547.03</v>
      </c>
      <c r="CA63">
        <v>2058.29</v>
      </c>
      <c r="CB63">
        <v>3046.32</v>
      </c>
      <c r="CC63">
        <v>6852.99</v>
      </c>
      <c r="CD63">
        <v>0</v>
      </c>
      <c r="CE63">
        <v>3046.32</v>
      </c>
      <c r="CF63">
        <v>6852.99</v>
      </c>
      <c r="CG63">
        <v>882.24400000000003</v>
      </c>
      <c r="CH63">
        <v>3046.32</v>
      </c>
      <c r="CI63">
        <v>6852.99</v>
      </c>
      <c r="CJ63">
        <v>1667.01</v>
      </c>
      <c r="CK63">
        <v>3046.32</v>
      </c>
      <c r="CL63">
        <v>6852.99</v>
      </c>
      <c r="CM63">
        <v>2058.29</v>
      </c>
    </row>
    <row r="64" spans="1:91" x14ac:dyDescent="0.2">
      <c r="A64" s="286">
        <v>18</v>
      </c>
      <c r="B64" s="475"/>
      <c r="G64"/>
      <c r="H64"/>
      <c r="I64"/>
      <c r="K64"/>
      <c r="L64"/>
      <c r="M64" s="278"/>
      <c r="N64" s="278"/>
      <c r="O64" s="278"/>
      <c r="P64" s="278"/>
      <c r="AC64" s="219"/>
      <c r="AF64" s="308">
        <v>15.8565</v>
      </c>
      <c r="AG64" s="253">
        <v>46522.6</v>
      </c>
      <c r="AH64" s="485">
        <v>5227.7</v>
      </c>
      <c r="AI64" s="252">
        <v>15.8565</v>
      </c>
      <c r="AJ64" s="253">
        <v>28420.7</v>
      </c>
      <c r="AK64" s="485">
        <v>5227.7</v>
      </c>
      <c r="AL64" s="252">
        <v>15.8565</v>
      </c>
      <c r="AM64" s="253">
        <v>18784.099999999999</v>
      </c>
      <c r="AN64" s="485">
        <v>5227.7</v>
      </c>
      <c r="AO64" s="252">
        <v>15.8565</v>
      </c>
      <c r="AP64" s="253">
        <v>13225.1</v>
      </c>
      <c r="AQ64" s="485">
        <v>5227.7</v>
      </c>
      <c r="AR64" s="252">
        <v>15.8565</v>
      </c>
      <c r="AS64" s="253">
        <v>9725.93</v>
      </c>
      <c r="AT64" s="485">
        <v>5227.7</v>
      </c>
      <c r="CA64">
        <v>1716.5</v>
      </c>
      <c r="CB64">
        <v>3280.31</v>
      </c>
      <c r="CC64">
        <v>6931.48</v>
      </c>
      <c r="CD64">
        <v>0</v>
      </c>
      <c r="CE64">
        <v>3280.31</v>
      </c>
      <c r="CF64">
        <v>6931.48</v>
      </c>
      <c r="CG64">
        <v>565.33399999999995</v>
      </c>
      <c r="CH64">
        <v>3280.31</v>
      </c>
      <c r="CI64">
        <v>6931.48</v>
      </c>
      <c r="CJ64">
        <v>1333.57</v>
      </c>
      <c r="CK64">
        <v>3280.31</v>
      </c>
      <c r="CL64">
        <v>6931.48</v>
      </c>
      <c r="CM64">
        <v>1716.5</v>
      </c>
    </row>
    <row r="65" spans="1:91" x14ac:dyDescent="0.2">
      <c r="A65" s="287">
        <v>19</v>
      </c>
      <c r="B65" s="476"/>
      <c r="G65"/>
      <c r="H65"/>
      <c r="I65"/>
      <c r="K65"/>
      <c r="L65"/>
      <c r="M65" s="278"/>
      <c r="N65" s="278"/>
      <c r="O65" s="278"/>
      <c r="P65" s="278"/>
      <c r="AC65" s="219"/>
      <c r="AF65" s="308">
        <v>22.8079</v>
      </c>
      <c r="AG65" s="253">
        <v>85008.8</v>
      </c>
      <c r="AH65" s="485">
        <v>4617.97</v>
      </c>
      <c r="AI65" s="252">
        <v>22.8079</v>
      </c>
      <c r="AJ65" s="253">
        <v>51333.599999999999</v>
      </c>
      <c r="AK65" s="485">
        <v>4617.97</v>
      </c>
      <c r="AL65" s="252">
        <v>22.8079</v>
      </c>
      <c r="AM65" s="253">
        <v>33419.4</v>
      </c>
      <c r="AN65" s="485">
        <v>4617.97</v>
      </c>
      <c r="AO65" s="252">
        <v>22.8079</v>
      </c>
      <c r="AP65" s="253">
        <v>23094.400000000001</v>
      </c>
      <c r="AQ65" s="485">
        <v>4617.97</v>
      </c>
      <c r="AR65" s="252">
        <v>22.8079</v>
      </c>
      <c r="AS65" s="253">
        <v>16602.3</v>
      </c>
      <c r="AT65" s="485">
        <v>4617.97</v>
      </c>
      <c r="CA65">
        <v>1374.62</v>
      </c>
      <c r="CB65">
        <v>3514.3</v>
      </c>
      <c r="CC65">
        <v>7174.7</v>
      </c>
      <c r="CD65">
        <v>0</v>
      </c>
      <c r="CE65">
        <v>3514.3</v>
      </c>
      <c r="CF65">
        <v>7174.7</v>
      </c>
      <c r="CG65">
        <v>248.33600000000001</v>
      </c>
      <c r="CH65">
        <v>3514.3</v>
      </c>
      <c r="CI65">
        <v>7174.7</v>
      </c>
      <c r="CJ65">
        <v>1000.05</v>
      </c>
      <c r="CK65">
        <v>3514.3</v>
      </c>
      <c r="CL65">
        <v>7174.7</v>
      </c>
      <c r="CM65">
        <v>1374.62</v>
      </c>
    </row>
    <row r="66" spans="1:91" x14ac:dyDescent="0.2">
      <c r="G66"/>
      <c r="H66"/>
      <c r="I66"/>
      <c r="K66"/>
      <c r="L66"/>
      <c r="M66" s="278"/>
      <c r="N66" s="278"/>
      <c r="O66" s="278"/>
      <c r="P66" s="278"/>
      <c r="AC66" s="219"/>
      <c r="AF66" s="308"/>
      <c r="AG66" s="253"/>
      <c r="AH66" s="485"/>
      <c r="AI66" s="252"/>
      <c r="AJ66" s="253"/>
      <c r="AK66" s="485"/>
      <c r="AL66" s="252"/>
      <c r="AM66" s="253"/>
      <c r="AN66" s="485"/>
      <c r="AO66" s="252"/>
      <c r="AP66" s="253"/>
      <c r="AQ66" s="485"/>
      <c r="AR66" s="252"/>
      <c r="AS66" s="253"/>
      <c r="AT66" s="485"/>
      <c r="CA66">
        <v>1032.6500000000001</v>
      </c>
      <c r="CB66">
        <v>3748.29</v>
      </c>
      <c r="CC66">
        <v>7464.99</v>
      </c>
      <c r="CD66">
        <v>0</v>
      </c>
      <c r="CE66">
        <v>3748.29</v>
      </c>
      <c r="CF66">
        <v>7464.99</v>
      </c>
      <c r="CG66">
        <v>-69.7423</v>
      </c>
      <c r="CH66">
        <v>3748.29</v>
      </c>
      <c r="CI66">
        <v>7464.99</v>
      </c>
      <c r="CJ66">
        <v>666.43</v>
      </c>
      <c r="CK66">
        <v>3748.29</v>
      </c>
      <c r="CL66">
        <v>7464.99</v>
      </c>
      <c r="CM66">
        <v>1032.6500000000001</v>
      </c>
    </row>
    <row r="67" spans="1:91" x14ac:dyDescent="0.2">
      <c r="G67"/>
      <c r="H67"/>
      <c r="I67"/>
      <c r="K67"/>
      <c r="L67"/>
      <c r="M67" s="278"/>
      <c r="N67" s="278"/>
      <c r="O67" s="278"/>
      <c r="P67" s="278"/>
      <c r="AC67" s="219"/>
      <c r="AF67" s="308"/>
      <c r="AG67" s="253"/>
      <c r="AH67" s="485"/>
      <c r="AI67" s="252"/>
      <c r="AJ67" s="253"/>
      <c r="AK67" s="485"/>
      <c r="AL67" s="252"/>
      <c r="AM67" s="253"/>
      <c r="AN67" s="485"/>
      <c r="AO67" s="252"/>
      <c r="AP67" s="253"/>
      <c r="AQ67" s="485"/>
      <c r="AR67" s="252"/>
      <c r="AS67" s="253"/>
      <c r="AT67" s="485"/>
      <c r="CA67">
        <v>690.59900000000005</v>
      </c>
      <c r="CB67">
        <v>3982.28</v>
      </c>
      <c r="CC67">
        <v>7533.12</v>
      </c>
      <c r="CD67">
        <v>0</v>
      </c>
      <c r="CE67">
        <v>3982.28</v>
      </c>
      <c r="CF67">
        <v>7533.12</v>
      </c>
      <c r="CG67">
        <v>0</v>
      </c>
      <c r="CH67">
        <v>3982.28</v>
      </c>
      <c r="CI67">
        <v>7533.12</v>
      </c>
      <c r="CJ67">
        <v>332.726</v>
      </c>
      <c r="CK67">
        <v>3982.28</v>
      </c>
      <c r="CL67">
        <v>7533.12</v>
      </c>
      <c r="CM67">
        <v>690.59900000000005</v>
      </c>
    </row>
    <row r="68" spans="1:91" x14ac:dyDescent="0.2">
      <c r="G68"/>
      <c r="H68"/>
      <c r="I68"/>
      <c r="K68"/>
      <c r="L68"/>
      <c r="M68" s="278"/>
      <c r="N68" s="278"/>
      <c r="O68" s="278"/>
      <c r="P68" s="278"/>
      <c r="AC68" s="219"/>
      <c r="AF68" s="308"/>
      <c r="AG68" s="253"/>
      <c r="AH68" s="485"/>
      <c r="AI68" s="252"/>
      <c r="AJ68" s="253"/>
      <c r="AK68" s="485"/>
      <c r="AL68" s="252"/>
      <c r="AM68" s="253"/>
      <c r="AN68" s="485"/>
      <c r="AO68" s="252"/>
      <c r="AP68" s="253"/>
      <c r="AQ68" s="485"/>
      <c r="AR68" s="252"/>
      <c r="AS68" s="253"/>
      <c r="AT68" s="485"/>
      <c r="CA68">
        <v>348.45600000000002</v>
      </c>
      <c r="CB68">
        <v>4216.2700000000004</v>
      </c>
      <c r="CC68">
        <v>8098.94</v>
      </c>
      <c r="CD68">
        <v>0</v>
      </c>
      <c r="CE68">
        <v>4216.2700000000004</v>
      </c>
      <c r="CF68">
        <v>8098.94</v>
      </c>
      <c r="CG68">
        <v>0</v>
      </c>
      <c r="CH68">
        <v>4216.2700000000004</v>
      </c>
      <c r="CI68">
        <v>8098.94</v>
      </c>
      <c r="CJ68">
        <v>-2.4437700000000002</v>
      </c>
      <c r="CK68">
        <v>4216.2700000000004</v>
      </c>
      <c r="CL68">
        <v>8098.94</v>
      </c>
      <c r="CM68">
        <v>348.45600000000002</v>
      </c>
    </row>
    <row r="69" spans="1:91" x14ac:dyDescent="0.2">
      <c r="G69"/>
      <c r="H69"/>
      <c r="I69"/>
      <c r="K69"/>
      <c r="L69"/>
      <c r="M69" s="278"/>
      <c r="N69" s="278"/>
      <c r="O69" s="278"/>
      <c r="P69" s="278"/>
      <c r="AC69" s="219"/>
      <c r="AF69" s="309"/>
      <c r="AG69" s="255"/>
      <c r="AH69" s="486"/>
      <c r="AI69" s="254"/>
      <c r="AJ69" s="255"/>
      <c r="AK69" s="486"/>
      <c r="AL69" s="254"/>
      <c r="AM69" s="255"/>
      <c r="AN69" s="486"/>
      <c r="AO69" s="254"/>
      <c r="AP69" s="255"/>
      <c r="AQ69" s="486"/>
      <c r="AR69" s="254"/>
      <c r="AS69" s="255"/>
      <c r="AT69" s="486"/>
      <c r="CA69">
        <v>6.22607</v>
      </c>
      <c r="CB69">
        <v>4450.26</v>
      </c>
      <c r="CC69">
        <v>8442.89</v>
      </c>
      <c r="CD69">
        <v>0</v>
      </c>
      <c r="CE69">
        <v>4450.26</v>
      </c>
      <c r="CF69">
        <v>8442.89</v>
      </c>
      <c r="CG69">
        <v>0</v>
      </c>
      <c r="CH69">
        <v>4450.26</v>
      </c>
      <c r="CI69">
        <v>8442.89</v>
      </c>
      <c r="CJ69">
        <v>0</v>
      </c>
      <c r="CK69">
        <v>4450.26</v>
      </c>
      <c r="CL69">
        <v>8442.89</v>
      </c>
      <c r="CM69">
        <v>6.22607</v>
      </c>
    </row>
    <row r="70" spans="1:91" x14ac:dyDescent="0.2">
      <c r="G70"/>
      <c r="H70"/>
      <c r="I70"/>
      <c r="K70"/>
      <c r="L70"/>
    </row>
    <row r="71" spans="1:91" x14ac:dyDescent="0.2">
      <c r="G71"/>
      <c r="H71"/>
      <c r="I71"/>
      <c r="K71"/>
      <c r="L71"/>
    </row>
    <row r="72" spans="1:91" x14ac:dyDescent="0.2">
      <c r="G72"/>
      <c r="H72"/>
      <c r="I72"/>
      <c r="K72"/>
      <c r="L72"/>
    </row>
    <row r="73" spans="1:91" x14ac:dyDescent="0.2">
      <c r="G73"/>
      <c r="H73"/>
      <c r="I73"/>
      <c r="K73"/>
      <c r="L73"/>
    </row>
    <row r="74" spans="1:91" x14ac:dyDescent="0.2">
      <c r="G74"/>
      <c r="H74"/>
      <c r="I74"/>
      <c r="K74"/>
      <c r="L74"/>
    </row>
    <row r="75" spans="1:91" x14ac:dyDescent="0.2">
      <c r="G75"/>
      <c r="H75"/>
      <c r="I75"/>
      <c r="K75"/>
      <c r="L75"/>
    </row>
    <row r="76" spans="1:91" x14ac:dyDescent="0.2">
      <c r="G76"/>
      <c r="H76"/>
      <c r="I76"/>
      <c r="K76"/>
      <c r="L76"/>
    </row>
    <row r="77" spans="1:91" x14ac:dyDescent="0.2">
      <c r="G77"/>
      <c r="H77"/>
      <c r="I77"/>
      <c r="K77"/>
      <c r="L77"/>
    </row>
    <row r="78" spans="1:91" x14ac:dyDescent="0.2">
      <c r="G78"/>
      <c r="H78"/>
      <c r="I78"/>
      <c r="K78"/>
      <c r="L78"/>
    </row>
    <row r="79" spans="1:91" x14ac:dyDescent="0.2">
      <c r="G79"/>
      <c r="H79"/>
      <c r="I79"/>
      <c r="K79"/>
      <c r="L79"/>
    </row>
    <row r="80" spans="1:91" x14ac:dyDescent="0.2">
      <c r="G80"/>
      <c r="H80"/>
      <c r="I80"/>
      <c r="K80"/>
      <c r="L80"/>
    </row>
    <row r="81" spans="7:12" x14ac:dyDescent="0.2">
      <c r="G81"/>
      <c r="H81"/>
      <c r="I81"/>
      <c r="K81"/>
      <c r="L81"/>
    </row>
    <row r="82" spans="7:12" x14ac:dyDescent="0.2">
      <c r="G82"/>
      <c r="H82"/>
      <c r="I82"/>
      <c r="K82"/>
      <c r="L82"/>
    </row>
    <row r="83" spans="7:12" x14ac:dyDescent="0.2">
      <c r="G83"/>
      <c r="H83"/>
      <c r="I83"/>
      <c r="K83"/>
      <c r="L83"/>
    </row>
    <row r="84" spans="7:12" x14ac:dyDescent="0.2">
      <c r="G84"/>
      <c r="H84"/>
      <c r="I84"/>
      <c r="K84"/>
      <c r="L84"/>
    </row>
    <row r="85" spans="7:12" x14ac:dyDescent="0.2">
      <c r="G85"/>
      <c r="H85"/>
      <c r="I85"/>
      <c r="K85"/>
      <c r="L85"/>
    </row>
    <row r="86" spans="7:12" x14ac:dyDescent="0.2">
      <c r="G86"/>
      <c r="H86"/>
      <c r="I86"/>
      <c r="K86"/>
      <c r="L86"/>
    </row>
    <row r="87" spans="7:12" x14ac:dyDescent="0.2">
      <c r="G87"/>
      <c r="H87"/>
      <c r="I87"/>
      <c r="K87"/>
      <c r="L87"/>
    </row>
    <row r="88" spans="7:12" x14ac:dyDescent="0.2">
      <c r="G88"/>
      <c r="H88"/>
      <c r="I88"/>
      <c r="K88"/>
      <c r="L88"/>
    </row>
    <row r="89" spans="7:12" x14ac:dyDescent="0.2">
      <c r="G89"/>
      <c r="H89"/>
      <c r="I89"/>
      <c r="K89"/>
      <c r="L89"/>
    </row>
    <row r="90" spans="7:12" x14ac:dyDescent="0.2">
      <c r="G90"/>
      <c r="H90"/>
      <c r="I90"/>
      <c r="K90"/>
      <c r="L90"/>
    </row>
    <row r="91" spans="7:12" x14ac:dyDescent="0.2">
      <c r="G91"/>
      <c r="H91"/>
      <c r="I91"/>
      <c r="K91"/>
      <c r="L91"/>
    </row>
    <row r="92" spans="7:12" x14ac:dyDescent="0.2">
      <c r="G92"/>
      <c r="H92"/>
      <c r="I92"/>
      <c r="K92"/>
      <c r="L92"/>
    </row>
    <row r="93" spans="7:12" x14ac:dyDescent="0.2">
      <c r="G93"/>
      <c r="H93"/>
      <c r="I93"/>
      <c r="K93"/>
      <c r="L93"/>
    </row>
    <row r="94" spans="7:12" x14ac:dyDescent="0.2">
      <c r="G94"/>
      <c r="H94"/>
      <c r="I94"/>
      <c r="K94"/>
      <c r="L94"/>
    </row>
    <row r="95" spans="7:12" x14ac:dyDescent="0.2">
      <c r="G95"/>
      <c r="H95"/>
      <c r="I95"/>
      <c r="K95"/>
      <c r="L95"/>
    </row>
    <row r="96" spans="7:12" x14ac:dyDescent="0.2">
      <c r="G96"/>
      <c r="H96"/>
      <c r="I96"/>
      <c r="K96"/>
      <c r="L96"/>
    </row>
    <row r="97" spans="1:32" x14ac:dyDescent="0.2">
      <c r="G97"/>
      <c r="H97"/>
      <c r="I97"/>
      <c r="K97"/>
      <c r="L97"/>
    </row>
    <row r="98" spans="1:32" x14ac:dyDescent="0.2">
      <c r="G98"/>
      <c r="H98"/>
      <c r="I98"/>
      <c r="K98"/>
      <c r="L98"/>
    </row>
    <row r="99" spans="1:32" x14ac:dyDescent="0.2">
      <c r="A99" s="88" t="s">
        <v>14</v>
      </c>
      <c r="B99" s="88" t="s">
        <v>313</v>
      </c>
      <c r="C99" s="88" t="s">
        <v>322</v>
      </c>
      <c r="G99"/>
      <c r="H99"/>
      <c r="I99"/>
      <c r="K99"/>
      <c r="L99"/>
      <c r="AD99"/>
      <c r="AE99"/>
      <c r="AF99"/>
    </row>
    <row r="100" spans="1:32" x14ac:dyDescent="0.2">
      <c r="A100" s="277">
        <v>0.1</v>
      </c>
      <c r="B100" s="277">
        <v>1157.4000000000001</v>
      </c>
      <c r="C100" s="277">
        <v>5997.51</v>
      </c>
      <c r="G100"/>
      <c r="H100"/>
      <c r="I100"/>
      <c r="K100"/>
      <c r="L100"/>
      <c r="AD100"/>
      <c r="AE100"/>
      <c r="AF100"/>
    </row>
    <row r="101" spans="1:32" x14ac:dyDescent="0.2">
      <c r="A101" s="277">
        <v>0.4</v>
      </c>
      <c r="B101" s="277">
        <v>1209.0899999999999</v>
      </c>
      <c r="C101" s="277">
        <v>5989.88</v>
      </c>
      <c r="G101"/>
      <c r="H101"/>
      <c r="I101"/>
      <c r="K101"/>
      <c r="L101"/>
      <c r="AD101"/>
      <c r="AE101"/>
      <c r="AF101"/>
    </row>
    <row r="102" spans="1:32" x14ac:dyDescent="0.2">
      <c r="A102" s="277">
        <v>0.7</v>
      </c>
      <c r="B102" s="277">
        <v>1327.2</v>
      </c>
      <c r="C102" s="277">
        <v>5981.98</v>
      </c>
      <c r="G102"/>
      <c r="H102"/>
      <c r="I102"/>
      <c r="K102"/>
      <c r="L102"/>
      <c r="AD102"/>
      <c r="AE102"/>
      <c r="AF102"/>
    </row>
    <row r="103" spans="1:32" x14ac:dyDescent="0.2">
      <c r="A103" s="277">
        <v>1</v>
      </c>
      <c r="B103" s="277">
        <v>1517.63</v>
      </c>
      <c r="C103" s="277">
        <v>5973.83</v>
      </c>
      <c r="G103"/>
      <c r="H103"/>
      <c r="I103"/>
      <c r="K103"/>
      <c r="L103"/>
      <c r="AD103"/>
      <c r="AE103"/>
      <c r="AF103"/>
    </row>
    <row r="104" spans="1:32" x14ac:dyDescent="0.2">
      <c r="A104" s="277">
        <v>1.3</v>
      </c>
      <c r="B104" s="277">
        <v>1786.63</v>
      </c>
      <c r="C104" s="277">
        <v>5965.41</v>
      </c>
      <c r="G104"/>
      <c r="H104"/>
      <c r="I104"/>
      <c r="K104"/>
      <c r="L104"/>
      <c r="AD104"/>
      <c r="AE104"/>
      <c r="AF104"/>
    </row>
    <row r="105" spans="1:32" x14ac:dyDescent="0.2">
      <c r="A105" s="277">
        <v>1.6</v>
      </c>
      <c r="B105" s="277">
        <v>2141.83</v>
      </c>
      <c r="C105" s="277">
        <v>5956.73</v>
      </c>
      <c r="AD105"/>
      <c r="AE105"/>
      <c r="AF105"/>
    </row>
    <row r="106" spans="1:32" x14ac:dyDescent="0.2">
      <c r="A106" s="277">
        <v>1.9</v>
      </c>
      <c r="B106" s="277">
        <v>2533.2399999999998</v>
      </c>
      <c r="C106" s="277">
        <v>5947.78</v>
      </c>
      <c r="AD106"/>
      <c r="AE106"/>
      <c r="AF106"/>
    </row>
    <row r="107" spans="1:32" x14ac:dyDescent="0.2">
      <c r="A107" s="277">
        <v>2.2000000000000002</v>
      </c>
      <c r="B107" s="277">
        <v>2937.39</v>
      </c>
      <c r="C107" s="277">
        <v>5938.57</v>
      </c>
      <c r="AD107"/>
      <c r="AE107"/>
      <c r="AF107"/>
    </row>
    <row r="108" spans="1:32" x14ac:dyDescent="0.2">
      <c r="A108" s="277">
        <v>2.5</v>
      </c>
      <c r="B108" s="277">
        <v>3359.24</v>
      </c>
      <c r="C108" s="277">
        <v>5929.1</v>
      </c>
      <c r="AD108"/>
      <c r="AE108"/>
      <c r="AF108"/>
    </row>
    <row r="109" spans="1:32" x14ac:dyDescent="0.2">
      <c r="A109" s="277">
        <v>2.8</v>
      </c>
      <c r="B109" s="277">
        <v>3802.37</v>
      </c>
      <c r="C109" s="277">
        <v>5919.36</v>
      </c>
      <c r="AD109"/>
      <c r="AE109"/>
      <c r="AF109"/>
    </row>
    <row r="110" spans="1:32" x14ac:dyDescent="0.2">
      <c r="A110" s="277">
        <v>2.8</v>
      </c>
      <c r="B110" s="277">
        <v>3802.37</v>
      </c>
      <c r="C110" s="277">
        <v>5919.36</v>
      </c>
      <c r="AD110"/>
      <c r="AE110"/>
      <c r="AF110"/>
    </row>
    <row r="111" spans="1:32" x14ac:dyDescent="0.2">
      <c r="A111" s="277">
        <v>2.8</v>
      </c>
      <c r="B111" s="277">
        <v>3802.37</v>
      </c>
      <c r="C111" s="277">
        <v>5919.36</v>
      </c>
      <c r="AD111"/>
      <c r="AE111"/>
      <c r="AF111"/>
    </row>
    <row r="112" spans="1:32" x14ac:dyDescent="0.2">
      <c r="A112" s="277">
        <v>3.7</v>
      </c>
      <c r="B112" s="277">
        <v>5280.79</v>
      </c>
      <c r="C112" s="277">
        <v>5888.56</v>
      </c>
      <c r="AD112"/>
      <c r="AE112"/>
      <c r="AF112"/>
    </row>
    <row r="113" spans="1:32" x14ac:dyDescent="0.2">
      <c r="A113" s="277">
        <v>11.0238</v>
      </c>
      <c r="B113" s="277">
        <v>25793.1</v>
      </c>
      <c r="C113" s="277">
        <v>5547.03</v>
      </c>
      <c r="AD113"/>
      <c r="AE113"/>
      <c r="AF113"/>
    </row>
    <row r="114" spans="1:32" x14ac:dyDescent="0.2">
      <c r="A114" s="277">
        <v>15.8565</v>
      </c>
      <c r="B114" s="277">
        <v>46522.6</v>
      </c>
      <c r="C114" s="277">
        <v>5227.7</v>
      </c>
      <c r="AD114"/>
      <c r="AE114"/>
      <c r="AF114"/>
    </row>
    <row r="115" spans="1:32" x14ac:dyDescent="0.2">
      <c r="A115" s="277">
        <v>22.8079</v>
      </c>
      <c r="B115" s="277">
        <v>85008.8</v>
      </c>
      <c r="C115" s="277">
        <v>4617.97</v>
      </c>
      <c r="AD115"/>
      <c r="AE115"/>
      <c r="AF115"/>
    </row>
    <row r="116" spans="1:32" x14ac:dyDescent="0.2">
      <c r="A116" s="277">
        <v>0.1</v>
      </c>
      <c r="B116" s="277">
        <v>1155.82</v>
      </c>
      <c r="C116" s="277">
        <v>5997.51</v>
      </c>
      <c r="AD116"/>
      <c r="AE116"/>
      <c r="AF116"/>
    </row>
    <row r="117" spans="1:32" x14ac:dyDescent="0.2">
      <c r="A117" s="277">
        <v>0.4</v>
      </c>
      <c r="B117" s="277">
        <v>1183.5899999999999</v>
      </c>
      <c r="C117" s="277">
        <v>5989.88</v>
      </c>
      <c r="AD117"/>
      <c r="AE117"/>
      <c r="AF117"/>
    </row>
    <row r="118" spans="1:32" x14ac:dyDescent="0.2">
      <c r="A118" s="277">
        <v>0.7</v>
      </c>
      <c r="B118" s="277">
        <v>1246.6400000000001</v>
      </c>
      <c r="C118" s="277">
        <v>5981.98</v>
      </c>
      <c r="AD118"/>
      <c r="AE118"/>
      <c r="AF118"/>
    </row>
    <row r="119" spans="1:32" x14ac:dyDescent="0.2">
      <c r="A119" s="277">
        <v>1</v>
      </c>
      <c r="B119" s="277">
        <v>1347.38</v>
      </c>
      <c r="C119" s="277">
        <v>5973.83</v>
      </c>
      <c r="AD119"/>
      <c r="AE119"/>
      <c r="AF119"/>
    </row>
    <row r="120" spans="1:32" x14ac:dyDescent="0.2">
      <c r="A120" s="277">
        <v>1.3</v>
      </c>
      <c r="B120" s="277">
        <v>1488.29</v>
      </c>
      <c r="C120" s="277">
        <v>5965.41</v>
      </c>
      <c r="AD120"/>
      <c r="AE120"/>
      <c r="AF120"/>
    </row>
    <row r="121" spans="1:32" x14ac:dyDescent="0.2">
      <c r="A121" s="277">
        <v>1.6</v>
      </c>
      <c r="B121" s="277">
        <v>1672.06</v>
      </c>
      <c r="C121" s="277">
        <v>5956.73</v>
      </c>
      <c r="AD121"/>
      <c r="AE121"/>
      <c r="AF121"/>
    </row>
    <row r="122" spans="1:32" x14ac:dyDescent="0.2">
      <c r="A122" s="277">
        <v>1.9</v>
      </c>
      <c r="B122" s="277">
        <v>1902.11</v>
      </c>
      <c r="C122" s="277">
        <v>5947.78</v>
      </c>
      <c r="AD122"/>
      <c r="AE122"/>
      <c r="AF122"/>
    </row>
    <row r="123" spans="1:32" x14ac:dyDescent="0.2">
      <c r="A123" s="277">
        <v>2.2000000000000002</v>
      </c>
      <c r="B123" s="277">
        <v>2179.7399999999998</v>
      </c>
      <c r="C123" s="277">
        <v>5938.57</v>
      </c>
      <c r="AD123"/>
      <c r="AE123"/>
      <c r="AF123"/>
    </row>
    <row r="124" spans="1:32" x14ac:dyDescent="0.2">
      <c r="A124" s="277">
        <v>2.5</v>
      </c>
      <c r="B124" s="277">
        <v>2470.83</v>
      </c>
      <c r="C124" s="277">
        <v>5929.1</v>
      </c>
      <c r="AD124"/>
      <c r="AE124"/>
      <c r="AF124"/>
    </row>
    <row r="125" spans="1:32" x14ac:dyDescent="0.2">
      <c r="A125" s="277">
        <v>2.8</v>
      </c>
      <c r="B125" s="277">
        <v>2768.54</v>
      </c>
      <c r="C125" s="277">
        <v>5919.36</v>
      </c>
      <c r="AD125"/>
      <c r="AE125"/>
      <c r="AF125"/>
    </row>
    <row r="126" spans="1:32" x14ac:dyDescent="0.2">
      <c r="A126" s="277">
        <v>2.8</v>
      </c>
      <c r="B126" s="277">
        <v>2768.54</v>
      </c>
      <c r="C126" s="277">
        <v>5919.36</v>
      </c>
      <c r="AD126"/>
      <c r="AE126"/>
      <c r="AF126"/>
    </row>
    <row r="127" spans="1:32" x14ac:dyDescent="0.2">
      <c r="A127" s="277">
        <v>2.8</v>
      </c>
      <c r="B127" s="277">
        <v>2768.54</v>
      </c>
      <c r="C127" s="277">
        <v>5919.36</v>
      </c>
      <c r="AD127"/>
      <c r="AE127"/>
      <c r="AF127"/>
    </row>
    <row r="128" spans="1:32" x14ac:dyDescent="0.2">
      <c r="A128" s="277">
        <v>3.7</v>
      </c>
      <c r="B128" s="277">
        <v>3720.02</v>
      </c>
      <c r="C128" s="277">
        <v>5888.56</v>
      </c>
    </row>
    <row r="129" spans="1:3" x14ac:dyDescent="0.2">
      <c r="A129" s="277">
        <v>11.0238</v>
      </c>
      <c r="B129" s="277">
        <v>16057.6</v>
      </c>
      <c r="C129" s="277">
        <v>5547.03</v>
      </c>
    </row>
    <row r="130" spans="1:3" x14ac:dyDescent="0.2">
      <c r="A130" s="277">
        <v>15.8565</v>
      </c>
      <c r="B130" s="277">
        <v>28420.7</v>
      </c>
      <c r="C130" s="277">
        <v>5227.7</v>
      </c>
    </row>
    <row r="131" spans="1:3" x14ac:dyDescent="0.2">
      <c r="A131" s="277">
        <v>22.8079</v>
      </c>
      <c r="B131" s="277">
        <v>51333.599999999999</v>
      </c>
      <c r="C131" s="277">
        <v>4617.97</v>
      </c>
    </row>
    <row r="132" spans="1:3" x14ac:dyDescent="0.2">
      <c r="A132" s="277">
        <v>0.1</v>
      </c>
      <c r="B132" s="277">
        <v>1155.1099999999999</v>
      </c>
      <c r="C132" s="277">
        <v>5997.51</v>
      </c>
    </row>
    <row r="133" spans="1:3" x14ac:dyDescent="0.2">
      <c r="A133" s="277">
        <v>0.4</v>
      </c>
      <c r="B133" s="277">
        <v>1171.28</v>
      </c>
      <c r="C133" s="277">
        <v>5989.88</v>
      </c>
    </row>
    <row r="134" spans="1:3" x14ac:dyDescent="0.2">
      <c r="A134" s="278">
        <v>0.7</v>
      </c>
      <c r="B134" s="278">
        <v>1207.99</v>
      </c>
      <c r="C134" s="278">
        <v>5981.98</v>
      </c>
    </row>
    <row r="135" spans="1:3" x14ac:dyDescent="0.2">
      <c r="A135" s="278">
        <v>1</v>
      </c>
      <c r="B135" s="278">
        <v>1266.33</v>
      </c>
      <c r="C135" s="278">
        <v>5973.83</v>
      </c>
    </row>
    <row r="136" spans="1:3" x14ac:dyDescent="0.2">
      <c r="A136" s="278">
        <v>1.3</v>
      </c>
      <c r="B136" s="278">
        <v>1347.41</v>
      </c>
      <c r="C136" s="278">
        <v>5965.41</v>
      </c>
    </row>
    <row r="137" spans="1:3" x14ac:dyDescent="0.2">
      <c r="A137" s="278">
        <v>1.6</v>
      </c>
      <c r="B137" s="278">
        <v>1452.52</v>
      </c>
      <c r="C137" s="278">
        <v>5956.73</v>
      </c>
    </row>
    <row r="138" spans="1:3" x14ac:dyDescent="0.2">
      <c r="A138" s="278">
        <v>1.9</v>
      </c>
      <c r="B138" s="278">
        <v>1582.98</v>
      </c>
      <c r="C138" s="278">
        <v>5947.78</v>
      </c>
    </row>
    <row r="139" spans="1:3" x14ac:dyDescent="0.2">
      <c r="A139" s="278">
        <v>2.2000000000000002</v>
      </c>
      <c r="B139" s="278">
        <v>1740.29</v>
      </c>
      <c r="C139" s="278">
        <v>5938.57</v>
      </c>
    </row>
    <row r="140" spans="1:3" x14ac:dyDescent="0.2">
      <c r="A140" s="278">
        <v>2.5</v>
      </c>
      <c r="B140" s="278">
        <v>1926.37</v>
      </c>
      <c r="C140" s="278">
        <v>5929.1</v>
      </c>
    </row>
    <row r="141" spans="1:3" x14ac:dyDescent="0.2">
      <c r="A141" s="278">
        <v>2.8</v>
      </c>
      <c r="B141" s="278">
        <v>2142.23</v>
      </c>
      <c r="C141" s="278">
        <v>5919.36</v>
      </c>
    </row>
    <row r="142" spans="1:3" x14ac:dyDescent="0.2">
      <c r="A142" s="278">
        <v>2.8</v>
      </c>
      <c r="B142" s="278">
        <v>2142.23</v>
      </c>
      <c r="C142" s="278">
        <v>5919.36</v>
      </c>
    </row>
    <row r="143" spans="1:3" x14ac:dyDescent="0.2">
      <c r="A143" s="278">
        <v>2.8</v>
      </c>
      <c r="B143" s="278">
        <v>2142.23</v>
      </c>
      <c r="C143" s="278">
        <v>5919.36</v>
      </c>
    </row>
    <row r="144" spans="1:3" x14ac:dyDescent="0.2">
      <c r="A144" s="278">
        <v>3.7</v>
      </c>
      <c r="B144" s="278">
        <v>2828.2</v>
      </c>
      <c r="C144" s="278">
        <v>5888.56</v>
      </c>
    </row>
    <row r="145" spans="1:3" x14ac:dyDescent="0.2">
      <c r="A145" s="278">
        <v>11.0238</v>
      </c>
      <c r="B145" s="278">
        <v>10869.3</v>
      </c>
      <c r="C145" s="278">
        <v>5547.03</v>
      </c>
    </row>
    <row r="146" spans="1:3" x14ac:dyDescent="0.2">
      <c r="A146" s="278">
        <v>15.8565</v>
      </c>
      <c r="B146" s="278">
        <v>18784.099999999999</v>
      </c>
      <c r="C146" s="278">
        <v>5227.7</v>
      </c>
    </row>
    <row r="147" spans="1:3" x14ac:dyDescent="0.2">
      <c r="A147" s="278">
        <v>22.8079</v>
      </c>
      <c r="B147" s="278">
        <v>33419.4</v>
      </c>
      <c r="C147" s="278">
        <v>4617.97</v>
      </c>
    </row>
    <row r="148" spans="1:3" x14ac:dyDescent="0.2">
      <c r="A148" s="278">
        <v>0.1</v>
      </c>
      <c r="B148" s="278">
        <v>1154.53</v>
      </c>
      <c r="C148" s="278">
        <v>5997.51</v>
      </c>
    </row>
    <row r="149" spans="1:3" x14ac:dyDescent="0.2">
      <c r="A149" s="278">
        <v>0.4</v>
      </c>
      <c r="B149" s="278">
        <v>1164.7</v>
      </c>
      <c r="C149" s="278">
        <v>5989.88</v>
      </c>
    </row>
    <row r="150" spans="1:3" x14ac:dyDescent="0.2">
      <c r="A150" s="278">
        <v>0.7</v>
      </c>
      <c r="B150" s="278">
        <v>1187.3900000000001</v>
      </c>
      <c r="C150" s="278">
        <v>5981.98</v>
      </c>
    </row>
    <row r="151" spans="1:3" x14ac:dyDescent="0.2">
      <c r="A151" s="278">
        <v>1</v>
      </c>
      <c r="B151" s="278">
        <v>1223.71</v>
      </c>
      <c r="C151" s="278">
        <v>5973.83</v>
      </c>
    </row>
    <row r="152" spans="1:3" x14ac:dyDescent="0.2">
      <c r="A152" s="278">
        <v>1.3</v>
      </c>
      <c r="B152" s="278">
        <v>1273.76</v>
      </c>
      <c r="C152" s="278">
        <v>5965.41</v>
      </c>
    </row>
    <row r="153" spans="1:3" x14ac:dyDescent="0.2">
      <c r="A153" s="278">
        <v>1.6</v>
      </c>
      <c r="B153" s="278">
        <v>1338.51</v>
      </c>
      <c r="C153" s="278">
        <v>5956.73</v>
      </c>
    </row>
    <row r="154" spans="1:3" x14ac:dyDescent="0.2">
      <c r="A154" s="278">
        <v>1.9</v>
      </c>
      <c r="B154" s="278">
        <v>1418.37</v>
      </c>
      <c r="C154" s="278">
        <v>5947.78</v>
      </c>
    </row>
    <row r="155" spans="1:3" x14ac:dyDescent="0.2">
      <c r="A155" s="278">
        <v>2.2000000000000002</v>
      </c>
      <c r="B155" s="278">
        <v>1514.17</v>
      </c>
      <c r="C155" s="278">
        <v>5938.57</v>
      </c>
    </row>
    <row r="156" spans="1:3" x14ac:dyDescent="0.2">
      <c r="A156" s="278">
        <v>2.5</v>
      </c>
      <c r="B156" s="278">
        <v>1626.57</v>
      </c>
      <c r="C156" s="278">
        <v>5929.1</v>
      </c>
    </row>
    <row r="157" spans="1:3" x14ac:dyDescent="0.2">
      <c r="A157" s="278">
        <v>2.8</v>
      </c>
      <c r="B157" s="278">
        <v>1756.65</v>
      </c>
      <c r="C157" s="278">
        <v>5919.36</v>
      </c>
    </row>
    <row r="158" spans="1:3" x14ac:dyDescent="0.2">
      <c r="A158" s="278">
        <v>2.8</v>
      </c>
      <c r="B158" s="278">
        <v>1756.65</v>
      </c>
      <c r="C158" s="278">
        <v>5919.36</v>
      </c>
    </row>
    <row r="159" spans="1:3" x14ac:dyDescent="0.2">
      <c r="A159" s="278">
        <v>2.8</v>
      </c>
      <c r="B159" s="278">
        <v>1756.65</v>
      </c>
      <c r="C159" s="278">
        <v>5919.36</v>
      </c>
    </row>
    <row r="160" spans="1:3" x14ac:dyDescent="0.2">
      <c r="A160" s="278">
        <v>3.7</v>
      </c>
      <c r="B160" s="278">
        <v>2253.0700000000002</v>
      </c>
      <c r="C160" s="278">
        <v>5888.56</v>
      </c>
    </row>
    <row r="161" spans="1:3" x14ac:dyDescent="0.2">
      <c r="A161" s="278">
        <v>11.0238</v>
      </c>
      <c r="B161" s="278">
        <v>7871.02</v>
      </c>
      <c r="C161" s="278">
        <v>5547.03</v>
      </c>
    </row>
    <row r="162" spans="1:3" x14ac:dyDescent="0.2">
      <c r="A162" s="278">
        <v>15.8565</v>
      </c>
      <c r="B162" s="278">
        <v>13225.1</v>
      </c>
      <c r="C162" s="278">
        <v>5227.7</v>
      </c>
    </row>
    <row r="163" spans="1:3" x14ac:dyDescent="0.2">
      <c r="A163" s="278">
        <v>22.8079</v>
      </c>
      <c r="B163" s="278">
        <v>23094.400000000001</v>
      </c>
      <c r="C163" s="278">
        <v>4617.97</v>
      </c>
    </row>
    <row r="164" spans="1:3" x14ac:dyDescent="0.2">
      <c r="A164" s="278">
        <v>0.1</v>
      </c>
      <c r="B164" s="278">
        <v>1154.3900000000001</v>
      </c>
      <c r="C164" s="278">
        <v>5997.51</v>
      </c>
    </row>
    <row r="165" spans="1:3" x14ac:dyDescent="0.2">
      <c r="A165" s="278">
        <v>0.4</v>
      </c>
      <c r="B165" s="278">
        <v>1160.69</v>
      </c>
      <c r="C165" s="278">
        <v>5989.88</v>
      </c>
    </row>
    <row r="166" spans="1:3" x14ac:dyDescent="0.2">
      <c r="A166" s="278">
        <v>0.7</v>
      </c>
      <c r="B166" s="278">
        <v>1175.3800000000001</v>
      </c>
      <c r="C166" s="278">
        <v>5981.98</v>
      </c>
    </row>
    <row r="167" spans="1:3" x14ac:dyDescent="0.2">
      <c r="A167" s="278">
        <v>1</v>
      </c>
      <c r="B167" s="278">
        <v>1198.8399999999999</v>
      </c>
      <c r="C167" s="278">
        <v>5973.83</v>
      </c>
    </row>
    <row r="168" spans="1:3" x14ac:dyDescent="0.2">
      <c r="A168" s="278">
        <v>1.3</v>
      </c>
      <c r="B168" s="278">
        <v>1231.2</v>
      </c>
      <c r="C168" s="278">
        <v>5965.41</v>
      </c>
    </row>
    <row r="169" spans="1:3" x14ac:dyDescent="0.2">
      <c r="A169" s="278">
        <v>1.6</v>
      </c>
      <c r="B169" s="278">
        <v>1272.83</v>
      </c>
      <c r="C169" s="278">
        <v>5956.73</v>
      </c>
    </row>
    <row r="170" spans="1:3" x14ac:dyDescent="0.2">
      <c r="A170" s="278">
        <v>1.9</v>
      </c>
      <c r="B170" s="278">
        <v>1323.87</v>
      </c>
      <c r="C170" s="278">
        <v>5947.78</v>
      </c>
    </row>
    <row r="171" spans="1:3" x14ac:dyDescent="0.2">
      <c r="A171" s="278">
        <v>2.2000000000000002</v>
      </c>
      <c r="B171" s="278">
        <v>1385</v>
      </c>
      <c r="C171" s="278">
        <v>5938.57</v>
      </c>
    </row>
    <row r="172" spans="1:3" x14ac:dyDescent="0.2">
      <c r="A172" s="278">
        <v>2.5</v>
      </c>
      <c r="B172" s="278">
        <v>1456.6</v>
      </c>
      <c r="C172" s="278">
        <v>5929.1</v>
      </c>
    </row>
    <row r="173" spans="1:3" x14ac:dyDescent="0.2">
      <c r="A173" s="278">
        <v>2.8</v>
      </c>
      <c r="B173" s="278">
        <v>1538.81</v>
      </c>
      <c r="C173" s="278">
        <v>5919.36</v>
      </c>
    </row>
    <row r="174" spans="1:3" x14ac:dyDescent="0.2">
      <c r="A174" s="278">
        <v>2.8</v>
      </c>
      <c r="B174" s="278">
        <v>1538.81</v>
      </c>
      <c r="C174" s="278">
        <v>5919.36</v>
      </c>
    </row>
    <row r="175" spans="1:3" x14ac:dyDescent="0.2">
      <c r="A175" s="278">
        <v>2.8</v>
      </c>
      <c r="B175" s="278">
        <v>1538.81</v>
      </c>
      <c r="C175" s="278">
        <v>5919.36</v>
      </c>
    </row>
    <row r="176" spans="1:3" x14ac:dyDescent="0.2">
      <c r="A176" s="278">
        <v>3.7</v>
      </c>
      <c r="B176" s="278">
        <v>1854.79</v>
      </c>
      <c r="C176" s="278">
        <v>5888.56</v>
      </c>
    </row>
    <row r="177" spans="1:3" x14ac:dyDescent="0.2">
      <c r="A177" s="278">
        <v>11.0238</v>
      </c>
      <c r="B177" s="278">
        <v>5974.34</v>
      </c>
      <c r="C177" s="278">
        <v>5547.03</v>
      </c>
    </row>
    <row r="178" spans="1:3" x14ac:dyDescent="0.2">
      <c r="A178" s="278">
        <v>15.8565</v>
      </c>
      <c r="B178" s="278">
        <v>9725.93</v>
      </c>
      <c r="C178" s="278">
        <v>5227.7</v>
      </c>
    </row>
    <row r="179" spans="1:3" x14ac:dyDescent="0.2">
      <c r="A179" s="278">
        <v>22.8079</v>
      </c>
      <c r="B179" s="278">
        <v>16602.3</v>
      </c>
      <c r="C179" s="278">
        <v>4617.97</v>
      </c>
    </row>
    <row r="180" spans="1:3" x14ac:dyDescent="0.2">
      <c r="A180" s="278"/>
      <c r="B180" s="278"/>
      <c r="C180" s="278"/>
    </row>
    <row r="181" spans="1:3" x14ac:dyDescent="0.2">
      <c r="A181" s="278"/>
      <c r="B181" s="278"/>
      <c r="C181" s="278"/>
    </row>
  </sheetData>
  <sortState xmlns:xlrd2="http://schemas.microsoft.com/office/spreadsheetml/2017/richdata2" ref="D22:D41">
    <sortCondition ref="D22"/>
  </sortState>
  <mergeCells count="1">
    <mergeCell ref="A17:D17"/>
  </mergeCells>
  <pageMargins left="0.7" right="0.7" top="0.75" bottom="0.75" header="0.3" footer="0.3"/>
  <pageSetup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iconSet" priority="2" id="{E801CC7D-3768-4BE3-864E-F684A27E41C1}">
            <x14:iconSet iconSet="3Symbols2" showValue="0" custom="1">
              <x14:cfvo type="percent">
                <xm:f>0</xm:f>
              </x14:cfvo>
              <x14:cfvo type="num">
                <xm:f>0</xm:f>
              </x14:cfvo>
              <x14:cfvo type="num" gte="0">
                <xm:f>0</xm:f>
              </x14:cfvo>
              <x14:cfIcon iconSet="3Symbols2" iconId="0"/>
              <x14:cfIcon iconSet="3Symbols2" iconId="0"/>
              <x14:cfIcon iconSet="3Symbols2" iconId="2"/>
            </x14:iconSet>
          </x14:cfRule>
          <xm:sqref>AE1:AE2</xm:sqref>
        </x14:conditionalFormatting>
        <x14:conditionalFormatting xmlns:xm="http://schemas.microsoft.com/office/excel/2006/main">
          <x14:cfRule type="iconSet" priority="1" id="{6B84C576-AEF1-4E47-82CF-4C67EC399533}">
            <x14:iconSet showValue="0" custom="1">
              <x14:cfvo type="percent">
                <xm:f>0</xm:f>
              </x14:cfvo>
              <x14:cfvo type="num">
                <xm:f>0</xm:f>
              </x14:cfvo>
              <x14:cfvo type="num">
                <xm:f>1</xm:f>
              </x14:cfvo>
              <x14:cfIcon iconSet="5Quarters" iconId="0"/>
              <x14:cfIcon iconSet="5Quarters" iconId="0"/>
              <x14:cfIcon iconSet="3Symbols2" iconId="2"/>
            </x14:iconSet>
          </x14:cfRule>
          <xm:sqref>AF4:BH4</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500-000000000000}">
          <x14:formula1>
            <xm:f>Sensitivity_Variables_Hide!$L$8:$L$26</xm:f>
          </x14:formula1>
          <xm:sqref>C9</xm:sqref>
        </x14:dataValidation>
        <x14:dataValidation type="list" allowBlank="1" showInputMessage="1" showErrorMessage="1" xr:uid="{00000000-0002-0000-0500-000001000000}">
          <x14:formula1>
            <xm:f>Sensitivity_Variables_Hide!$V$8:$V$26</xm:f>
          </x14:formula1>
          <xm:sqref>C5</xm:sqref>
        </x14:dataValidation>
        <x14:dataValidation type="list" allowBlank="1" showInputMessage="1" showErrorMessage="1" xr:uid="{00000000-0002-0000-0500-000002000000}">
          <x14:formula1>
            <xm:f>Sensitivity_Variables_Hide!$O$8:$O$10</xm:f>
          </x14:formula1>
          <xm:sqref>C14</xm:sqref>
        </x14:dataValidation>
        <x14:dataValidation type="list" allowBlank="1" showErrorMessage="1" promptTitle="PROSPER Openserver" prompt="Select variable for sensitivity analysis" xr:uid="{00000000-0002-0000-0500-000003000000}">
          <x14:formula1>
            <xm:f>Sensitivity_Variables_Hide!$D$6:$D$30</xm:f>
          </x14:formula1>
          <xm:sqref>D19</xm:sqref>
        </x14:dataValidation>
        <x14:dataValidation type="list" allowBlank="1" showErrorMessage="1" promptTitle="PROSPER Openserver" prompt="Select Variable for Sensitivity Analysis" xr:uid="{00000000-0002-0000-0500-000004000000}">
          <x14:formula1>
            <xm:f>Sensitivity_Variables_Hide!$D$6:$D$30</xm:f>
          </x14:formula1>
          <xm:sqref>B19</xm:sqref>
        </x14:dataValidation>
        <x14:dataValidation type="list" allowBlank="1" showErrorMessage="1" promptTitle="PROSPER Openserver" prompt="Select variable for sensitivity analysis" xr:uid="{00000000-0002-0000-0500-000005000000}">
          <x14:formula1>
            <xm:f>Sensitivity_Variables_Hide!$D$5:$D$30</xm:f>
          </x14:formula1>
          <xm:sqref>C19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4">
    <tabColor rgb="FF92D050"/>
  </sheetPr>
  <dimension ref="B1:CW36"/>
  <sheetViews>
    <sheetView showGridLines="0" topLeftCell="CD1" workbookViewId="0">
      <selection activeCell="CO20" sqref="CO20"/>
    </sheetView>
  </sheetViews>
  <sheetFormatPr defaultColWidth="9.33203125" defaultRowHeight="12" x14ac:dyDescent="0.2"/>
  <cols>
    <col min="2" max="3" width="11.6640625" style="20" customWidth="1"/>
    <col min="4" max="4" width="46.83203125" customWidth="1"/>
    <col min="12" max="12" width="25.83203125" customWidth="1"/>
    <col min="15" max="15" width="24.33203125" customWidth="1"/>
    <col min="51" max="51" width="12.5" customWidth="1"/>
    <col min="52" max="53" width="13" customWidth="1"/>
    <col min="61" max="70" width="11.33203125" customWidth="1"/>
    <col min="100" max="100" width="15.33203125" customWidth="1"/>
  </cols>
  <sheetData>
    <row r="1" spans="2:101" ht="15.75" x14ac:dyDescent="0.25">
      <c r="AM1" s="415" t="s">
        <v>82</v>
      </c>
      <c r="AN1" s="416" t="s">
        <v>9</v>
      </c>
      <c r="AO1" s="417" t="s">
        <v>405</v>
      </c>
      <c r="AP1" s="417" t="s">
        <v>2</v>
      </c>
      <c r="AQ1" s="417" t="s">
        <v>248</v>
      </c>
      <c r="AR1" s="417" t="s">
        <v>406</v>
      </c>
      <c r="AS1" s="417" t="s">
        <v>191</v>
      </c>
      <c r="AT1" s="417" t="s">
        <v>192</v>
      </c>
      <c r="AU1" s="417" t="s">
        <v>407</v>
      </c>
      <c r="AV1" s="417" t="s">
        <v>408</v>
      </c>
      <c r="AW1" s="417" t="s">
        <v>409</v>
      </c>
      <c r="AX1" s="417" t="s">
        <v>410</v>
      </c>
      <c r="AY1" s="417" t="s">
        <v>411</v>
      </c>
      <c r="AZ1" s="417" t="s">
        <v>412</v>
      </c>
      <c r="BA1" s="417" t="s">
        <v>413</v>
      </c>
      <c r="BB1" s="417" t="s">
        <v>414</v>
      </c>
      <c r="BC1" s="417" t="s">
        <v>415</v>
      </c>
      <c r="BD1" s="417" t="s">
        <v>416</v>
      </c>
      <c r="BE1" s="417" t="s">
        <v>417</v>
      </c>
      <c r="BF1" s="417" t="s">
        <v>418</v>
      </c>
      <c r="BG1" s="417" t="s">
        <v>419</v>
      </c>
      <c r="BH1" s="417" t="s">
        <v>420</v>
      </c>
      <c r="BI1" s="417" t="s">
        <v>421</v>
      </c>
      <c r="BJ1" s="417" t="s">
        <v>422</v>
      </c>
      <c r="BK1" s="417" t="s">
        <v>423</v>
      </c>
      <c r="BL1" s="417" t="s">
        <v>424</v>
      </c>
      <c r="BM1" s="418" t="s">
        <v>425</v>
      </c>
      <c r="CV1" s="634" t="s">
        <v>430</v>
      </c>
      <c r="CW1" s="634" t="s">
        <v>177</v>
      </c>
    </row>
    <row r="2" spans="2:101" x14ac:dyDescent="0.2">
      <c r="B2" s="20" t="s">
        <v>266</v>
      </c>
      <c r="J2" t="s">
        <v>281</v>
      </c>
      <c r="T2" t="s">
        <v>301</v>
      </c>
      <c r="AN2" s="268"/>
      <c r="AO2" s="425" t="s">
        <v>148</v>
      </c>
      <c r="AP2" s="426" t="s">
        <v>390</v>
      </c>
      <c r="AQ2" s="425"/>
      <c r="AR2" s="425"/>
      <c r="AS2" s="425"/>
      <c r="AT2" s="425"/>
      <c r="AU2" s="425" t="s">
        <v>384</v>
      </c>
      <c r="AV2" s="425" t="s">
        <v>386</v>
      </c>
      <c r="AW2" s="425" t="s">
        <v>387</v>
      </c>
      <c r="AX2" s="425" t="s">
        <v>387</v>
      </c>
      <c r="AY2" s="425" t="s">
        <v>391</v>
      </c>
      <c r="AZ2" s="425" t="s">
        <v>391</v>
      </c>
      <c r="BA2" s="425" t="s">
        <v>391</v>
      </c>
      <c r="BB2" s="425"/>
      <c r="BC2" s="425"/>
      <c r="BD2" s="425"/>
      <c r="BE2" s="425"/>
      <c r="BF2" s="425"/>
      <c r="BG2" s="425"/>
      <c r="BH2" s="425"/>
      <c r="BI2" s="425" t="s">
        <v>399</v>
      </c>
      <c r="BJ2" s="425" t="s">
        <v>402</v>
      </c>
      <c r="BK2" s="425" t="s">
        <v>403</v>
      </c>
      <c r="BL2" s="425" t="s">
        <v>404</v>
      </c>
      <c r="BM2" s="427" t="s">
        <v>6</v>
      </c>
      <c r="CV2" t="s">
        <v>431</v>
      </c>
      <c r="CW2">
        <v>1</v>
      </c>
    </row>
    <row r="3" spans="2:101" x14ac:dyDescent="0.2">
      <c r="B3" s="20" t="s">
        <v>10</v>
      </c>
      <c r="C3" s="20" t="s">
        <v>8</v>
      </c>
      <c r="D3" t="s">
        <v>267</v>
      </c>
      <c r="AN3" s="419"/>
      <c r="AO3" s="428" t="s">
        <v>17</v>
      </c>
      <c r="AP3" s="428" t="s">
        <v>389</v>
      </c>
      <c r="AQ3" s="428"/>
      <c r="AR3" s="428"/>
      <c r="AS3" s="428"/>
      <c r="AT3" s="428"/>
      <c r="AU3" s="428" t="s">
        <v>57</v>
      </c>
      <c r="AV3" s="428" t="s">
        <v>57</v>
      </c>
      <c r="AW3" s="428" t="s">
        <v>388</v>
      </c>
      <c r="AX3" s="428" t="s">
        <v>53</v>
      </c>
      <c r="AY3" s="428" t="s">
        <v>388</v>
      </c>
      <c r="AZ3" s="428" t="s">
        <v>53</v>
      </c>
      <c r="BA3" s="428" t="s">
        <v>392</v>
      </c>
      <c r="BB3" s="428" t="s">
        <v>393</v>
      </c>
      <c r="BC3" s="428" t="s">
        <v>394</v>
      </c>
      <c r="BD3" s="428"/>
      <c r="BE3" s="428" t="s">
        <v>396</v>
      </c>
      <c r="BF3" s="428" t="s">
        <v>53</v>
      </c>
      <c r="BG3" s="428" t="s">
        <v>392</v>
      </c>
      <c r="BH3" s="428" t="s">
        <v>398</v>
      </c>
      <c r="BI3" s="428" t="s">
        <v>400</v>
      </c>
      <c r="BJ3" s="428" t="s">
        <v>400</v>
      </c>
      <c r="BK3" s="428" t="s">
        <v>400</v>
      </c>
      <c r="BL3" s="428" t="s">
        <v>400</v>
      </c>
      <c r="BM3" s="429" t="s">
        <v>388</v>
      </c>
      <c r="CV3" t="s">
        <v>432</v>
      </c>
      <c r="CW3">
        <v>1</v>
      </c>
    </row>
    <row r="4" spans="2:101" x14ac:dyDescent="0.2">
      <c r="B4" s="20" t="s">
        <v>268</v>
      </c>
      <c r="C4" s="20" t="s">
        <v>268</v>
      </c>
      <c r="D4" t="s">
        <v>268</v>
      </c>
      <c r="J4" t="s">
        <v>282</v>
      </c>
      <c r="AN4" s="419" t="s">
        <v>9</v>
      </c>
      <c r="AO4" s="428" t="s">
        <v>18</v>
      </c>
      <c r="AP4" s="428" t="s">
        <v>18</v>
      </c>
      <c r="AQ4" s="428" t="s">
        <v>57</v>
      </c>
      <c r="AR4" s="428" t="s">
        <v>189</v>
      </c>
      <c r="AS4" s="428" t="s">
        <v>191</v>
      </c>
      <c r="AT4" s="428" t="s">
        <v>192</v>
      </c>
      <c r="AU4" s="428" t="s">
        <v>385</v>
      </c>
      <c r="AV4" s="428" t="s">
        <v>385</v>
      </c>
      <c r="AW4" s="428" t="s">
        <v>133</v>
      </c>
      <c r="AX4" s="428" t="s">
        <v>133</v>
      </c>
      <c r="AY4" s="428" t="s">
        <v>133</v>
      </c>
      <c r="AZ4" s="428" t="s">
        <v>133</v>
      </c>
      <c r="BA4" s="428" t="s">
        <v>133</v>
      </c>
      <c r="BB4" s="428" t="s">
        <v>133</v>
      </c>
      <c r="BC4" s="428" t="s">
        <v>133</v>
      </c>
      <c r="BD4" s="428" t="s">
        <v>395</v>
      </c>
      <c r="BE4" s="428" t="s">
        <v>397</v>
      </c>
      <c r="BF4" s="428" t="s">
        <v>397</v>
      </c>
      <c r="BG4" s="428" t="s">
        <v>397</v>
      </c>
      <c r="BH4" s="428" t="s">
        <v>397</v>
      </c>
      <c r="BI4" s="428" t="s">
        <v>401</v>
      </c>
      <c r="BJ4" s="428" t="s">
        <v>401</v>
      </c>
      <c r="BK4" s="428" t="s">
        <v>401</v>
      </c>
      <c r="BL4" s="428" t="s">
        <v>401</v>
      </c>
      <c r="BM4" s="429" t="s">
        <v>191</v>
      </c>
      <c r="CV4" t="s">
        <v>362</v>
      </c>
      <c r="CW4">
        <v>1</v>
      </c>
    </row>
    <row r="5" spans="2:101" x14ac:dyDescent="0.2">
      <c r="D5" s="40" t="s">
        <v>309</v>
      </c>
      <c r="AN5" s="420"/>
      <c r="AO5" s="256"/>
      <c r="AP5" s="256"/>
      <c r="AQ5" s="256"/>
      <c r="AR5" s="256"/>
      <c r="AS5" s="256"/>
      <c r="AT5" s="256"/>
      <c r="AU5" s="256"/>
      <c r="AV5" s="256"/>
      <c r="AW5" s="256"/>
      <c r="AX5" s="256"/>
      <c r="AY5" s="256"/>
      <c r="AZ5" s="256"/>
      <c r="BA5" s="256"/>
      <c r="BB5" s="256"/>
      <c r="BC5" s="256"/>
      <c r="BD5" s="256"/>
      <c r="BE5" s="256"/>
      <c r="BF5" s="256"/>
      <c r="BG5" s="256"/>
      <c r="BH5" s="256"/>
      <c r="BI5" s="256"/>
      <c r="BJ5" s="256"/>
      <c r="BK5" s="256"/>
      <c r="BL5" s="256"/>
      <c r="BM5" s="430"/>
      <c r="CV5" t="s">
        <v>433</v>
      </c>
      <c r="CW5">
        <v>0</v>
      </c>
    </row>
    <row r="6" spans="2:101" x14ac:dyDescent="0.2">
      <c r="B6" s="20">
        <v>18</v>
      </c>
      <c r="C6" s="20">
        <v>152</v>
      </c>
      <c r="D6" t="s">
        <v>269</v>
      </c>
      <c r="E6" t="s">
        <v>313</v>
      </c>
      <c r="J6" t="s">
        <v>283</v>
      </c>
      <c r="U6" s="40" t="s">
        <v>258</v>
      </c>
      <c r="CV6" t="s">
        <v>576</v>
      </c>
      <c r="CW6">
        <v>0</v>
      </c>
    </row>
    <row r="7" spans="2:101" x14ac:dyDescent="0.2">
      <c r="B7" s="20">
        <v>19</v>
      </c>
      <c r="C7" s="20">
        <v>153</v>
      </c>
      <c r="D7" t="s">
        <v>270</v>
      </c>
      <c r="E7" t="s">
        <v>313</v>
      </c>
      <c r="K7" s="234" t="s">
        <v>8</v>
      </c>
      <c r="L7" s="234" t="s">
        <v>9</v>
      </c>
      <c r="N7" s="234" t="s">
        <v>8</v>
      </c>
      <c r="O7" s="234" t="s">
        <v>9</v>
      </c>
      <c r="U7" s="234" t="s">
        <v>8</v>
      </c>
      <c r="V7" s="234" t="s">
        <v>9</v>
      </c>
    </row>
    <row r="8" spans="2:101" x14ac:dyDescent="0.2">
      <c r="B8" s="20">
        <v>1</v>
      </c>
      <c r="C8" s="20">
        <v>1</v>
      </c>
      <c r="D8" t="s">
        <v>72</v>
      </c>
      <c r="E8" t="s">
        <v>322</v>
      </c>
      <c r="K8" s="20">
        <v>0</v>
      </c>
      <c r="L8" s="20" t="s">
        <v>284</v>
      </c>
      <c r="N8">
        <v>0</v>
      </c>
      <c r="O8" t="s">
        <v>310</v>
      </c>
      <c r="U8">
        <v>4</v>
      </c>
      <c r="V8" t="s">
        <v>287</v>
      </c>
    </row>
    <row r="9" spans="2:101" x14ac:dyDescent="0.2">
      <c r="B9" s="20">
        <v>53</v>
      </c>
      <c r="C9" s="20">
        <v>2</v>
      </c>
      <c r="D9" t="s">
        <v>71</v>
      </c>
      <c r="K9" s="20">
        <v>1</v>
      </c>
      <c r="L9" s="20" t="s">
        <v>285</v>
      </c>
      <c r="N9">
        <v>1</v>
      </c>
      <c r="O9" t="s">
        <v>311</v>
      </c>
      <c r="U9">
        <v>5</v>
      </c>
      <c r="V9" t="s">
        <v>288</v>
      </c>
    </row>
    <row r="10" spans="2:101" x14ac:dyDescent="0.2">
      <c r="B10" s="20">
        <v>51</v>
      </c>
      <c r="C10" s="20">
        <v>7</v>
      </c>
      <c r="D10" t="s">
        <v>234</v>
      </c>
      <c r="E10" t="s">
        <v>322</v>
      </c>
      <c r="K10" s="20">
        <v>2</v>
      </c>
      <c r="L10" s="20" t="s">
        <v>286</v>
      </c>
      <c r="N10">
        <v>2</v>
      </c>
      <c r="O10" t="s">
        <v>263</v>
      </c>
      <c r="U10">
        <v>6</v>
      </c>
      <c r="V10" t="s">
        <v>302</v>
      </c>
    </row>
    <row r="11" spans="2:101" x14ac:dyDescent="0.2">
      <c r="B11" s="20">
        <v>56</v>
      </c>
      <c r="C11" s="20">
        <v>8</v>
      </c>
      <c r="D11" t="s">
        <v>235</v>
      </c>
      <c r="E11" t="s">
        <v>322</v>
      </c>
      <c r="K11" s="20">
        <v>4</v>
      </c>
      <c r="L11" s="20" t="s">
        <v>287</v>
      </c>
      <c r="U11">
        <v>7</v>
      </c>
      <c r="V11" t="s">
        <v>303</v>
      </c>
    </row>
    <row r="12" spans="2:101" x14ac:dyDescent="0.2">
      <c r="B12" s="20">
        <v>57</v>
      </c>
      <c r="C12" s="20">
        <v>9</v>
      </c>
      <c r="D12" t="s">
        <v>236</v>
      </c>
      <c r="E12" t="s">
        <v>322</v>
      </c>
      <c r="K12" s="20">
        <v>5</v>
      </c>
      <c r="L12" s="20" t="s">
        <v>288</v>
      </c>
      <c r="U12">
        <v>13</v>
      </c>
      <c r="V12" t="s">
        <v>304</v>
      </c>
    </row>
    <row r="13" spans="2:101" x14ac:dyDescent="0.2">
      <c r="B13" s="20">
        <v>58</v>
      </c>
      <c r="C13" s="20">
        <v>10</v>
      </c>
      <c r="D13" t="s">
        <v>237</v>
      </c>
      <c r="E13" t="s">
        <v>322</v>
      </c>
      <c r="K13" s="20">
        <v>8</v>
      </c>
      <c r="L13" s="20" t="s">
        <v>289</v>
      </c>
      <c r="U13">
        <v>14</v>
      </c>
      <c r="V13" t="s">
        <v>292</v>
      </c>
    </row>
    <row r="14" spans="2:101" x14ac:dyDescent="0.2">
      <c r="B14" s="20">
        <v>59</v>
      </c>
      <c r="C14" s="20">
        <v>11</v>
      </c>
      <c r="D14" t="s">
        <v>238</v>
      </c>
      <c r="E14" t="s">
        <v>322</v>
      </c>
      <c r="K14" s="20">
        <v>9</v>
      </c>
      <c r="L14" s="20" t="s">
        <v>179</v>
      </c>
      <c r="U14">
        <v>15</v>
      </c>
      <c r="V14" t="s">
        <v>305</v>
      </c>
    </row>
    <row r="15" spans="2:101" x14ac:dyDescent="0.2">
      <c r="B15" s="20">
        <v>61</v>
      </c>
      <c r="C15" s="20">
        <v>13</v>
      </c>
      <c r="D15" t="s">
        <v>239</v>
      </c>
      <c r="E15" t="s">
        <v>322</v>
      </c>
      <c r="K15" s="20">
        <v>10</v>
      </c>
      <c r="L15" s="20" t="s">
        <v>251</v>
      </c>
      <c r="U15">
        <v>16</v>
      </c>
      <c r="V15" t="s">
        <v>306</v>
      </c>
    </row>
    <row r="16" spans="2:101" x14ac:dyDescent="0.2">
      <c r="B16" s="20">
        <v>2</v>
      </c>
      <c r="C16" s="20">
        <v>27</v>
      </c>
      <c r="D16" t="s">
        <v>123</v>
      </c>
      <c r="E16" t="s">
        <v>322</v>
      </c>
      <c r="K16" s="20">
        <v>11</v>
      </c>
      <c r="L16" s="20" t="s">
        <v>290</v>
      </c>
      <c r="U16">
        <v>17</v>
      </c>
      <c r="V16" t="s">
        <v>307</v>
      </c>
    </row>
    <row r="17" spans="2:22" x14ac:dyDescent="0.2">
      <c r="B17" s="20">
        <v>16</v>
      </c>
      <c r="C17" s="20">
        <v>6</v>
      </c>
      <c r="D17" t="s">
        <v>271</v>
      </c>
      <c r="E17" t="s">
        <v>313</v>
      </c>
      <c r="K17" s="20">
        <v>12</v>
      </c>
      <c r="L17" s="20" t="s">
        <v>291</v>
      </c>
      <c r="U17">
        <v>18</v>
      </c>
      <c r="V17" t="s">
        <v>293</v>
      </c>
    </row>
    <row r="18" spans="2:22" x14ac:dyDescent="0.2">
      <c r="B18" s="20">
        <v>40</v>
      </c>
      <c r="C18" s="20">
        <v>155</v>
      </c>
      <c r="D18" t="s">
        <v>272</v>
      </c>
      <c r="E18" t="s">
        <v>313</v>
      </c>
      <c r="K18" s="20">
        <v>14</v>
      </c>
      <c r="L18" s="20" t="s">
        <v>292</v>
      </c>
      <c r="U18">
        <v>19</v>
      </c>
      <c r="V18" t="s">
        <v>294</v>
      </c>
    </row>
    <row r="19" spans="2:22" x14ac:dyDescent="0.2">
      <c r="B19" s="20">
        <v>27</v>
      </c>
      <c r="C19" s="20">
        <v>145</v>
      </c>
      <c r="D19" t="s">
        <v>243</v>
      </c>
      <c r="E19" t="s">
        <v>313</v>
      </c>
      <c r="K19" s="20">
        <v>18</v>
      </c>
      <c r="L19" s="20" t="s">
        <v>293</v>
      </c>
      <c r="U19">
        <v>20</v>
      </c>
      <c r="V19" t="s">
        <v>295</v>
      </c>
    </row>
    <row r="20" spans="2:22" x14ac:dyDescent="0.2">
      <c r="B20" s="20">
        <v>26</v>
      </c>
      <c r="C20" s="20">
        <v>144</v>
      </c>
      <c r="D20" t="s">
        <v>273</v>
      </c>
      <c r="E20" t="s">
        <v>313</v>
      </c>
      <c r="K20" s="20">
        <v>19</v>
      </c>
      <c r="L20" s="20" t="s">
        <v>294</v>
      </c>
      <c r="U20">
        <v>25</v>
      </c>
      <c r="V20" t="s">
        <v>249</v>
      </c>
    </row>
    <row r="21" spans="2:22" x14ac:dyDescent="0.2">
      <c r="B21" s="20">
        <v>307</v>
      </c>
      <c r="C21" s="20">
        <v>168</v>
      </c>
      <c r="D21" t="s">
        <v>274</v>
      </c>
      <c r="E21" t="s">
        <v>313</v>
      </c>
      <c r="K21" s="20">
        <v>20</v>
      </c>
      <c r="L21" s="20" t="s">
        <v>295</v>
      </c>
      <c r="U21">
        <v>27</v>
      </c>
      <c r="V21" t="s">
        <v>308</v>
      </c>
    </row>
    <row r="22" spans="2:22" x14ac:dyDescent="0.2">
      <c r="B22" s="20">
        <v>28</v>
      </c>
      <c r="C22" s="20">
        <v>146</v>
      </c>
      <c r="D22" t="s">
        <v>277</v>
      </c>
      <c r="E22" t="s">
        <v>313</v>
      </c>
      <c r="K22" s="20">
        <v>25</v>
      </c>
      <c r="L22" s="20" t="s">
        <v>296</v>
      </c>
      <c r="U22">
        <v>28</v>
      </c>
      <c r="V22" t="s">
        <v>296</v>
      </c>
    </row>
    <row r="23" spans="2:22" x14ac:dyDescent="0.2">
      <c r="B23" s="20">
        <v>21</v>
      </c>
      <c r="C23" s="20">
        <v>147</v>
      </c>
      <c r="D23" t="s">
        <v>278</v>
      </c>
      <c r="E23" t="s">
        <v>313</v>
      </c>
      <c r="K23" s="20">
        <v>26</v>
      </c>
      <c r="L23" s="20" t="s">
        <v>297</v>
      </c>
      <c r="U23">
        <v>29</v>
      </c>
      <c r="V23" t="s">
        <v>297</v>
      </c>
    </row>
    <row r="24" spans="2:22" x14ac:dyDescent="0.2">
      <c r="B24" s="20">
        <v>341</v>
      </c>
      <c r="C24" s="20">
        <v>202</v>
      </c>
      <c r="D24" t="s">
        <v>279</v>
      </c>
      <c r="K24" s="20">
        <v>27</v>
      </c>
      <c r="L24" s="20" t="s">
        <v>298</v>
      </c>
      <c r="U24">
        <v>30</v>
      </c>
      <c r="V24" t="s">
        <v>298</v>
      </c>
    </row>
    <row r="25" spans="2:22" x14ac:dyDescent="0.2">
      <c r="B25" s="20">
        <v>342</v>
      </c>
      <c r="C25" s="20">
        <v>203</v>
      </c>
      <c r="D25" t="s">
        <v>25</v>
      </c>
      <c r="K25" s="20">
        <v>28</v>
      </c>
      <c r="L25" s="20" t="s">
        <v>299</v>
      </c>
      <c r="U25">
        <v>31</v>
      </c>
      <c r="V25" t="s">
        <v>299</v>
      </c>
    </row>
    <row r="26" spans="2:22" x14ac:dyDescent="0.2">
      <c r="B26" s="20">
        <v>367</v>
      </c>
      <c r="C26" s="20">
        <v>242</v>
      </c>
      <c r="D26" t="s">
        <v>435</v>
      </c>
      <c r="E26" t="s">
        <v>313</v>
      </c>
      <c r="K26" s="20">
        <v>29</v>
      </c>
      <c r="L26" s="20" t="s">
        <v>300</v>
      </c>
      <c r="U26">
        <v>32</v>
      </c>
      <c r="V26" t="s">
        <v>300</v>
      </c>
    </row>
    <row r="27" spans="2:22" x14ac:dyDescent="0.2">
      <c r="B27" s="20">
        <v>82</v>
      </c>
      <c r="C27" s="20">
        <v>46</v>
      </c>
      <c r="D27" t="s">
        <v>436</v>
      </c>
    </row>
    <row r="28" spans="2:22" x14ac:dyDescent="0.2">
      <c r="B28" s="20">
        <v>83</v>
      </c>
      <c r="C28" s="20">
        <v>47</v>
      </c>
      <c r="D28" t="s">
        <v>437</v>
      </c>
    </row>
    <row r="29" spans="2:22" x14ac:dyDescent="0.2">
      <c r="B29" s="20">
        <v>334</v>
      </c>
      <c r="C29" s="20">
        <v>195</v>
      </c>
      <c r="D29" t="s">
        <v>275</v>
      </c>
    </row>
    <row r="30" spans="2:22" x14ac:dyDescent="0.2">
      <c r="B30" s="20">
        <v>335</v>
      </c>
      <c r="C30" s="20">
        <v>196</v>
      </c>
      <c r="D30" t="s">
        <v>276</v>
      </c>
    </row>
    <row r="36" spans="2:2" x14ac:dyDescent="0.2">
      <c r="B36" s="20" t="s">
        <v>280</v>
      </c>
    </row>
  </sheetData>
  <pageMargins left="0.7" right="0.7" top="0.75" bottom="0.75" header="0.3" footer="0.3"/>
  <pageSetup orientation="portrait" horizontalDpi="1200" verticalDpi="1200"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tabColor rgb="FF002060"/>
  </sheetPr>
  <dimension ref="A1:EO145"/>
  <sheetViews>
    <sheetView showGridLines="0" workbookViewId="0">
      <selection activeCell="L40" sqref="L40"/>
    </sheetView>
  </sheetViews>
  <sheetFormatPr defaultRowHeight="12" x14ac:dyDescent="0.2"/>
  <cols>
    <col min="1" max="1" width="5.83203125" customWidth="1"/>
    <col min="2" max="2" width="26.83203125" style="1" customWidth="1"/>
    <col min="3" max="3" width="9.83203125" style="351" customWidth="1"/>
    <col min="4" max="10" width="10.33203125" style="1" customWidth="1"/>
    <col min="11" max="13" width="10.33203125" customWidth="1"/>
    <col min="14" max="14" width="1.6640625" customWidth="1"/>
    <col min="15" max="28" width="11.5" customWidth="1"/>
    <col min="29" max="29" width="3" customWidth="1"/>
    <col min="30" max="53" width="12.5" customWidth="1"/>
  </cols>
  <sheetData>
    <row r="1" spans="1:41" x14ac:dyDescent="0.2">
      <c r="A1" s="318" t="s">
        <v>358</v>
      </c>
      <c r="B1" s="423" t="s">
        <v>428</v>
      </c>
      <c r="C1" s="421">
        <v>60</v>
      </c>
    </row>
    <row r="2" spans="1:41" x14ac:dyDescent="0.2">
      <c r="B2" s="424" t="s">
        <v>429</v>
      </c>
      <c r="C2" s="422">
        <v>10000</v>
      </c>
    </row>
    <row r="4" spans="1:41" x14ac:dyDescent="0.2">
      <c r="A4" s="299" t="s">
        <v>82</v>
      </c>
      <c r="B4" s="300" t="s">
        <v>79</v>
      </c>
      <c r="C4" s="352" t="s">
        <v>81</v>
      </c>
      <c r="D4" s="301" t="s">
        <v>344</v>
      </c>
      <c r="E4" s="301" t="s">
        <v>345</v>
      </c>
      <c r="F4" s="301" t="s">
        <v>346</v>
      </c>
      <c r="G4" s="301" t="s">
        <v>347</v>
      </c>
      <c r="H4" s="301" t="s">
        <v>348</v>
      </c>
      <c r="I4" s="301" t="s">
        <v>349</v>
      </c>
      <c r="J4" s="301" t="s">
        <v>350</v>
      </c>
      <c r="K4" s="301" t="s">
        <v>351</v>
      </c>
      <c r="L4" s="301" t="s">
        <v>352</v>
      </c>
      <c r="M4" s="302" t="s">
        <v>353</v>
      </c>
    </row>
    <row r="5" spans="1:41" x14ac:dyDescent="0.2">
      <c r="A5" s="292" t="s">
        <v>248</v>
      </c>
      <c r="B5" s="230" t="s">
        <v>243</v>
      </c>
      <c r="C5" s="353"/>
      <c r="D5" s="330">
        <v>500</v>
      </c>
      <c r="E5" s="331">
        <v>500</v>
      </c>
      <c r="F5" s="331">
        <v>500</v>
      </c>
      <c r="G5" s="331">
        <v>500</v>
      </c>
      <c r="H5" s="331"/>
      <c r="I5" s="331"/>
      <c r="J5" s="331"/>
      <c r="K5" s="332"/>
      <c r="L5" s="332"/>
      <c r="M5" s="333"/>
    </row>
    <row r="6" spans="1:41" x14ac:dyDescent="0.2">
      <c r="A6" s="294" t="s">
        <v>50</v>
      </c>
      <c r="B6" s="40" t="s">
        <v>50</v>
      </c>
      <c r="C6" s="354"/>
      <c r="D6" s="334">
        <v>10</v>
      </c>
      <c r="E6" s="335">
        <v>10</v>
      </c>
      <c r="F6" s="335">
        <v>20</v>
      </c>
      <c r="G6" s="335">
        <v>100</v>
      </c>
      <c r="H6" s="335"/>
      <c r="I6" s="335"/>
      <c r="J6" s="335"/>
      <c r="K6" s="336"/>
      <c r="L6" s="336"/>
      <c r="M6" s="337"/>
    </row>
    <row r="7" spans="1:41" x14ac:dyDescent="0.2">
      <c r="A7" s="294" t="s">
        <v>52</v>
      </c>
      <c r="B7" s="40" t="s">
        <v>52</v>
      </c>
      <c r="C7" s="354"/>
      <c r="D7" s="334">
        <v>25</v>
      </c>
      <c r="E7" s="335">
        <v>25</v>
      </c>
      <c r="F7" s="335">
        <v>10</v>
      </c>
      <c r="G7" s="335">
        <v>25</v>
      </c>
      <c r="H7" s="335"/>
      <c r="I7" s="335"/>
      <c r="J7" s="335"/>
      <c r="K7" s="336"/>
      <c r="L7" s="336"/>
      <c r="M7" s="337"/>
    </row>
    <row r="8" spans="1:41" x14ac:dyDescent="0.2">
      <c r="A8" s="298"/>
      <c r="B8" s="288" t="s">
        <v>342</v>
      </c>
      <c r="C8" s="355" t="s">
        <v>0</v>
      </c>
      <c r="D8" s="338">
        <v>1220</v>
      </c>
      <c r="E8" s="338">
        <v>2500</v>
      </c>
      <c r="F8" s="338">
        <v>3500</v>
      </c>
      <c r="G8" s="338">
        <v>3700</v>
      </c>
      <c r="H8" s="338"/>
      <c r="I8" s="338"/>
      <c r="J8" s="338"/>
      <c r="K8" s="339"/>
      <c r="L8" s="339"/>
      <c r="M8" s="340"/>
      <c r="AD8" s="2" t="s">
        <v>354</v>
      </c>
      <c r="AE8" s="3" t="s">
        <v>314</v>
      </c>
      <c r="AF8" s="3" t="s">
        <v>315</v>
      </c>
      <c r="AG8" s="2" t="s">
        <v>355</v>
      </c>
      <c r="AH8" s="3" t="s">
        <v>316</v>
      </c>
      <c r="AI8" s="4" t="s">
        <v>317</v>
      </c>
      <c r="AJ8" s="2" t="s">
        <v>357</v>
      </c>
      <c r="AK8" s="3" t="s">
        <v>318</v>
      </c>
      <c r="AL8" s="4" t="s">
        <v>319</v>
      </c>
      <c r="AM8" s="2" t="s">
        <v>427</v>
      </c>
      <c r="AN8" s="3" t="s">
        <v>320</v>
      </c>
      <c r="AO8" s="4" t="s">
        <v>321</v>
      </c>
    </row>
    <row r="9" spans="1:41" x14ac:dyDescent="0.2">
      <c r="A9" s="298"/>
      <c r="B9" s="288" t="s">
        <v>343</v>
      </c>
      <c r="C9" s="355" t="s">
        <v>24</v>
      </c>
      <c r="D9" s="341">
        <v>0.1</v>
      </c>
      <c r="E9" s="341">
        <v>0.1</v>
      </c>
      <c r="F9" s="341">
        <v>0.2</v>
      </c>
      <c r="G9" s="341">
        <v>0.1</v>
      </c>
      <c r="H9" s="341"/>
      <c r="I9" s="341"/>
      <c r="J9" s="341"/>
      <c r="K9" s="342"/>
      <c r="L9" s="342"/>
      <c r="M9" s="343"/>
      <c r="AD9" s="248" t="s">
        <v>118</v>
      </c>
      <c r="AE9" s="249" t="s">
        <v>66</v>
      </c>
      <c r="AF9" s="249" t="s">
        <v>66</v>
      </c>
      <c r="AG9" s="248" t="s">
        <v>118</v>
      </c>
      <c r="AH9" s="249" t="s">
        <v>66</v>
      </c>
      <c r="AI9" s="306" t="s">
        <v>66</v>
      </c>
      <c r="AJ9" s="248" t="s">
        <v>118</v>
      </c>
      <c r="AK9" s="249" t="s">
        <v>66</v>
      </c>
      <c r="AL9" s="306" t="s">
        <v>66</v>
      </c>
      <c r="AM9" s="248" t="s">
        <v>118</v>
      </c>
      <c r="AN9" s="249" t="s">
        <v>66</v>
      </c>
      <c r="AO9" s="306" t="s">
        <v>66</v>
      </c>
    </row>
    <row r="10" spans="1:41" x14ac:dyDescent="0.2">
      <c r="A10" s="295"/>
      <c r="B10" s="40" t="s">
        <v>277</v>
      </c>
      <c r="C10" s="356" t="s">
        <v>359</v>
      </c>
      <c r="D10" s="335">
        <v>14</v>
      </c>
      <c r="E10" s="335">
        <v>14</v>
      </c>
      <c r="F10" s="335">
        <v>26</v>
      </c>
      <c r="G10" s="335">
        <v>26</v>
      </c>
      <c r="H10" s="335"/>
      <c r="I10" s="335"/>
      <c r="J10" s="335"/>
      <c r="K10" s="336"/>
      <c r="L10" s="336"/>
      <c r="M10" s="337"/>
      <c r="AD10" s="307">
        <v>3.9689799999999997E-2</v>
      </c>
      <c r="AE10" s="293">
        <v>734.86500000000001</v>
      </c>
      <c r="AF10" s="319">
        <v>5996.94</v>
      </c>
      <c r="AG10" s="322">
        <v>3.9689799999999997E-2</v>
      </c>
      <c r="AH10" s="293">
        <v>732.77499999999998</v>
      </c>
      <c r="AI10" s="319">
        <v>5996.94</v>
      </c>
      <c r="AJ10" s="322">
        <v>3.3398900000000002E-2</v>
      </c>
      <c r="AK10" s="293">
        <v>716.96100000000001</v>
      </c>
      <c r="AL10" s="319">
        <v>4997.57</v>
      </c>
      <c r="AM10" s="293">
        <v>3.9689799999999997E-2</v>
      </c>
      <c r="AN10" s="293">
        <v>5445.23</v>
      </c>
      <c r="AO10" s="293">
        <v>5996.94</v>
      </c>
    </row>
    <row r="11" spans="1:41" x14ac:dyDescent="0.2">
      <c r="A11" s="296"/>
      <c r="B11" s="297" t="s">
        <v>72</v>
      </c>
      <c r="C11" s="357"/>
      <c r="D11" s="344">
        <v>6000</v>
      </c>
      <c r="E11" s="344">
        <v>6000</v>
      </c>
      <c r="F11" s="344">
        <v>5000</v>
      </c>
      <c r="G11" s="344">
        <v>6000</v>
      </c>
      <c r="H11" s="344"/>
      <c r="I11" s="344"/>
      <c r="J11" s="344"/>
      <c r="K11" s="345"/>
      <c r="L11" s="345"/>
      <c r="M11" s="346"/>
      <c r="AD11" s="308">
        <v>5.7089399999999998E-2</v>
      </c>
      <c r="AE11" s="291">
        <v>753.12300000000005</v>
      </c>
      <c r="AF11" s="320">
        <v>5995.6</v>
      </c>
      <c r="AG11" s="323">
        <v>5.7089399999999998E-2</v>
      </c>
      <c r="AH11" s="291">
        <v>748.75099999999998</v>
      </c>
      <c r="AI11" s="320">
        <v>5995.6</v>
      </c>
      <c r="AJ11" s="323">
        <v>4.8040600000000003E-2</v>
      </c>
      <c r="AK11" s="291">
        <v>717.66399999999999</v>
      </c>
      <c r="AL11" s="320">
        <v>4996.51</v>
      </c>
      <c r="AM11" s="291">
        <v>5.7089399999999998E-2</v>
      </c>
      <c r="AN11" s="291">
        <v>5328.53</v>
      </c>
      <c r="AO11" s="291">
        <v>5995.6</v>
      </c>
    </row>
    <row r="12" spans="1:41" x14ac:dyDescent="0.2">
      <c r="B12"/>
      <c r="C12" s="303"/>
      <c r="AD12" s="308">
        <v>8.2116700000000001E-2</v>
      </c>
      <c r="AE12" s="291">
        <v>791.61099999999999</v>
      </c>
      <c r="AF12" s="320">
        <v>5993.66</v>
      </c>
      <c r="AG12" s="323">
        <v>8.2116700000000001E-2</v>
      </c>
      <c r="AH12" s="291">
        <v>782.36400000000003</v>
      </c>
      <c r="AI12" s="320">
        <v>5993.66</v>
      </c>
      <c r="AJ12" s="323">
        <v>6.9101099999999999E-2</v>
      </c>
      <c r="AK12" s="291">
        <v>719.13499999999999</v>
      </c>
      <c r="AL12" s="320">
        <v>4994.97</v>
      </c>
      <c r="AM12" s="291">
        <v>8.2116700000000001E-2</v>
      </c>
      <c r="AN12" s="291">
        <v>5176.1499999999996</v>
      </c>
      <c r="AO12" s="291">
        <v>5993.66</v>
      </c>
    </row>
    <row r="13" spans="1:41" x14ac:dyDescent="0.2">
      <c r="B13"/>
      <c r="C13" s="303"/>
      <c r="AD13" s="308">
        <v>0.118116</v>
      </c>
      <c r="AE13" s="291">
        <v>873.88099999999997</v>
      </c>
      <c r="AF13" s="320">
        <v>5990.88</v>
      </c>
      <c r="AG13" s="323">
        <v>0.118116</v>
      </c>
      <c r="AH13" s="291">
        <v>854.024</v>
      </c>
      <c r="AI13" s="320">
        <v>5990.88</v>
      </c>
      <c r="AJ13" s="323">
        <v>9.9394300000000005E-2</v>
      </c>
      <c r="AK13" s="291">
        <v>722.20500000000004</v>
      </c>
      <c r="AL13" s="320">
        <v>4992.7700000000004</v>
      </c>
      <c r="AM13" s="291">
        <v>0.118116</v>
      </c>
      <c r="AN13" s="291">
        <v>4980.37</v>
      </c>
      <c r="AO13" s="291">
        <v>5990.88</v>
      </c>
    </row>
    <row r="14" spans="1:41" x14ac:dyDescent="0.2">
      <c r="B14"/>
      <c r="C14" s="303"/>
      <c r="AD14" s="308">
        <v>0.16989699999999999</v>
      </c>
      <c r="AE14" s="291">
        <v>1052.68</v>
      </c>
      <c r="AF14" s="320">
        <v>5986.88</v>
      </c>
      <c r="AG14" s="323">
        <v>0.16989699999999999</v>
      </c>
      <c r="AH14" s="291">
        <v>1009.5</v>
      </c>
      <c r="AI14" s="320">
        <v>5986.88</v>
      </c>
      <c r="AJ14" s="323">
        <v>0.14296800000000001</v>
      </c>
      <c r="AK14" s="291">
        <v>728.61099999999999</v>
      </c>
      <c r="AL14" s="320">
        <v>4989.59</v>
      </c>
      <c r="AM14" s="291">
        <v>0.16989699999999999</v>
      </c>
      <c r="AN14" s="291">
        <v>4782.3</v>
      </c>
      <c r="AO14" s="291">
        <v>5986.88</v>
      </c>
    </row>
    <row r="15" spans="1:41" x14ac:dyDescent="0.2">
      <c r="B15" s="347" t="s">
        <v>360</v>
      </c>
      <c r="C15" s="358" t="s">
        <v>81</v>
      </c>
      <c r="D15" s="348" t="s">
        <v>337</v>
      </c>
      <c r="E15" s="348" t="s">
        <v>338</v>
      </c>
      <c r="F15" s="348" t="s">
        <v>339</v>
      </c>
      <c r="G15" s="348" t="s">
        <v>340</v>
      </c>
      <c r="H15" s="348"/>
      <c r="I15" s="348"/>
      <c r="J15" s="348"/>
      <c r="K15" s="349"/>
      <c r="L15" s="349"/>
      <c r="M15" s="350"/>
      <c r="AD15" s="308">
        <v>0.24437700000000001</v>
      </c>
      <c r="AE15" s="291">
        <v>1437.13</v>
      </c>
      <c r="AF15" s="320">
        <v>5981.11</v>
      </c>
      <c r="AG15" s="323">
        <v>0.24437700000000001</v>
      </c>
      <c r="AH15" s="291">
        <v>1350.71</v>
      </c>
      <c r="AI15" s="320">
        <v>5981.11</v>
      </c>
      <c r="AJ15" s="323">
        <v>0.20564299999999999</v>
      </c>
      <c r="AK15" s="291">
        <v>742.00900000000001</v>
      </c>
      <c r="AL15" s="320">
        <v>4985.0200000000004</v>
      </c>
      <c r="AM15" s="291">
        <v>0.24437700000000001</v>
      </c>
      <c r="AN15" s="291">
        <v>4635.3999999999996</v>
      </c>
      <c r="AO15" s="291">
        <v>5981.11</v>
      </c>
    </row>
    <row r="16" spans="1:41" x14ac:dyDescent="0.2">
      <c r="A16" s="1"/>
      <c r="B16" s="43" t="s">
        <v>242</v>
      </c>
      <c r="C16" s="359" t="s">
        <v>66</v>
      </c>
      <c r="D16" s="326">
        <v>5936.380859375</v>
      </c>
      <c r="E16" s="326">
        <v>5927.3178710940001</v>
      </c>
      <c r="F16" s="326">
        <v>4765.7333984380002</v>
      </c>
      <c r="G16" s="326">
        <v>5942.76171875</v>
      </c>
      <c r="H16" s="326"/>
      <c r="I16" s="326"/>
      <c r="J16" s="326"/>
      <c r="K16" s="326"/>
      <c r="L16" s="326"/>
      <c r="M16" s="327"/>
      <c r="AD16" s="308">
        <v>0.35150999999999999</v>
      </c>
      <c r="AE16" s="291">
        <v>2041.3</v>
      </c>
      <c r="AF16" s="320">
        <v>5972.82</v>
      </c>
      <c r="AG16" s="323">
        <v>0.35150999999999999</v>
      </c>
      <c r="AH16" s="291">
        <v>1926.47</v>
      </c>
      <c r="AI16" s="320">
        <v>5972.82</v>
      </c>
      <c r="AJ16" s="323">
        <v>0.29579499999999997</v>
      </c>
      <c r="AK16" s="291">
        <v>770.18200000000002</v>
      </c>
      <c r="AL16" s="320">
        <v>4978.4399999999996</v>
      </c>
      <c r="AM16" s="291">
        <v>0.35150999999999999</v>
      </c>
      <c r="AN16" s="291">
        <v>4605.34</v>
      </c>
      <c r="AO16" s="291">
        <v>5972.82</v>
      </c>
    </row>
    <row r="17" spans="2:41" x14ac:dyDescent="0.2">
      <c r="B17" s="24" t="s">
        <v>163</v>
      </c>
      <c r="C17" s="360" t="s">
        <v>118</v>
      </c>
      <c r="D17" s="328">
        <v>0.82004821299999997</v>
      </c>
      <c r="E17" s="328">
        <v>0.93611574200000003</v>
      </c>
      <c r="F17" s="328">
        <v>3.1249055860000001</v>
      </c>
      <c r="G17" s="328">
        <v>0.73833221199999999</v>
      </c>
      <c r="H17" s="328"/>
      <c r="I17" s="328"/>
      <c r="J17" s="328"/>
      <c r="K17" s="328"/>
      <c r="L17" s="328"/>
      <c r="M17" s="329"/>
      <c r="AD17" s="308">
        <v>0.50560799999999995</v>
      </c>
      <c r="AE17" s="291">
        <v>2908.1</v>
      </c>
      <c r="AF17" s="320">
        <v>5960.87</v>
      </c>
      <c r="AG17" s="323">
        <v>0.50560799999999995</v>
      </c>
      <c r="AH17" s="291">
        <v>2763.24</v>
      </c>
      <c r="AI17" s="320">
        <v>5960.87</v>
      </c>
      <c r="AJ17" s="323">
        <v>0.42546800000000001</v>
      </c>
      <c r="AK17" s="291">
        <v>830.09900000000005</v>
      </c>
      <c r="AL17" s="320">
        <v>4968.9399999999996</v>
      </c>
      <c r="AM17" s="291">
        <v>0.50560799999999995</v>
      </c>
      <c r="AN17" s="291">
        <v>4835.66</v>
      </c>
      <c r="AO17" s="291">
        <v>5960.87</v>
      </c>
    </row>
    <row r="18" spans="2:41" x14ac:dyDescent="0.2">
      <c r="B18" s="24" t="s">
        <v>324</v>
      </c>
      <c r="C18" s="360" t="s">
        <v>356</v>
      </c>
      <c r="D18" s="279">
        <v>20.501205444</v>
      </c>
      <c r="E18" s="279">
        <v>23.402893066000001</v>
      </c>
      <c r="F18" s="279">
        <v>31.249055861999999</v>
      </c>
      <c r="G18" s="279">
        <v>18.458305359000001</v>
      </c>
      <c r="H18" s="279"/>
      <c r="I18" s="279"/>
      <c r="J18" s="279"/>
      <c r="K18" s="279"/>
      <c r="L18" s="279"/>
      <c r="M18" s="314"/>
      <c r="AD18" s="308">
        <v>0.72726100000000005</v>
      </c>
      <c r="AE18" s="291">
        <v>5291.22</v>
      </c>
      <c r="AF18" s="320">
        <v>5943.63</v>
      </c>
      <c r="AG18" s="323">
        <v>0.72726100000000005</v>
      </c>
      <c r="AH18" s="291">
        <v>4504.62</v>
      </c>
      <c r="AI18" s="320">
        <v>5943.63</v>
      </c>
      <c r="AJ18" s="323">
        <v>0.61198900000000001</v>
      </c>
      <c r="AK18" s="291">
        <v>959.69500000000005</v>
      </c>
      <c r="AL18" s="320">
        <v>4955.25</v>
      </c>
      <c r="AM18" s="291">
        <v>0.72726100000000005</v>
      </c>
      <c r="AN18" s="291">
        <v>5830.09</v>
      </c>
      <c r="AO18" s="291">
        <v>5943.63</v>
      </c>
    </row>
    <row r="19" spans="2:41" x14ac:dyDescent="0.2">
      <c r="B19" s="24" t="s">
        <v>325</v>
      </c>
      <c r="C19" s="360" t="s">
        <v>356</v>
      </c>
      <c r="D19" s="279">
        <v>8.2004823679999994</v>
      </c>
      <c r="E19" s="279">
        <v>9.3611574169999994</v>
      </c>
      <c r="F19" s="279">
        <v>62.498111725000001</v>
      </c>
      <c r="G19" s="279">
        <v>73.833221436000002</v>
      </c>
      <c r="H19" s="279"/>
      <c r="I19" s="279"/>
      <c r="J19" s="279"/>
      <c r="K19" s="279"/>
      <c r="L19" s="279"/>
      <c r="M19" s="314"/>
      <c r="AD19" s="308">
        <v>1.0460799999999999</v>
      </c>
      <c r="AE19" s="291">
        <v>7508.04</v>
      </c>
      <c r="AF19" s="320">
        <v>5918.73</v>
      </c>
      <c r="AG19" s="323">
        <v>1.0460799999999999</v>
      </c>
      <c r="AH19" s="291">
        <v>6676.41</v>
      </c>
      <c r="AI19" s="320">
        <v>5918.73</v>
      </c>
      <c r="AJ19" s="323">
        <v>0.880278</v>
      </c>
      <c r="AK19" s="291">
        <v>1244.52</v>
      </c>
      <c r="AL19" s="320">
        <v>4935.47</v>
      </c>
      <c r="AM19" s="291">
        <v>1.0460799999999999</v>
      </c>
      <c r="AN19" s="291">
        <v>9074.75</v>
      </c>
      <c r="AO19" s="291">
        <v>5918.73</v>
      </c>
    </row>
    <row r="20" spans="2:41" x14ac:dyDescent="0.2">
      <c r="B20" s="325" t="s">
        <v>46</v>
      </c>
      <c r="C20" s="361" t="s">
        <v>66</v>
      </c>
      <c r="D20" s="280">
        <v>776.57574462900004</v>
      </c>
      <c r="E20" s="280">
        <v>865.07366943399995</v>
      </c>
      <c r="F20" s="280">
        <v>893.93975830099998</v>
      </c>
      <c r="G20" s="280">
        <v>526.78436279300001</v>
      </c>
      <c r="H20" s="280"/>
      <c r="I20" s="280"/>
      <c r="J20" s="280"/>
      <c r="K20" s="280"/>
      <c r="L20" s="280"/>
      <c r="M20" s="315"/>
      <c r="AD20" s="308">
        <v>1.50468</v>
      </c>
      <c r="AE20" s="291">
        <v>11374.7</v>
      </c>
      <c r="AF20" s="320">
        <v>5882.72</v>
      </c>
      <c r="AG20" s="323">
        <v>1.50468</v>
      </c>
      <c r="AH20" s="291">
        <v>10498.9</v>
      </c>
      <c r="AI20" s="320">
        <v>5882.72</v>
      </c>
      <c r="AJ20" s="323">
        <v>1.2661800000000001</v>
      </c>
      <c r="AK20" s="291">
        <v>1883.27</v>
      </c>
      <c r="AL20" s="320">
        <v>4906.84</v>
      </c>
      <c r="AM20" s="291">
        <v>1.50468</v>
      </c>
      <c r="AN20" s="291"/>
      <c r="AO20" s="291">
        <v>5882.72</v>
      </c>
    </row>
    <row r="21" spans="2:41" x14ac:dyDescent="0.2">
      <c r="B21" s="312" t="s">
        <v>327</v>
      </c>
      <c r="C21" s="362" t="s">
        <v>66</v>
      </c>
      <c r="D21" s="277">
        <v>500</v>
      </c>
      <c r="E21" s="277">
        <v>500</v>
      </c>
      <c r="F21" s="277">
        <v>500</v>
      </c>
      <c r="G21" s="277">
        <v>500</v>
      </c>
      <c r="H21" s="277"/>
      <c r="I21" s="277"/>
      <c r="J21" s="277"/>
      <c r="K21" s="277"/>
      <c r="L21" s="277"/>
      <c r="M21" s="316"/>
      <c r="AD21" s="308">
        <v>2.16431</v>
      </c>
      <c r="AE21" s="291"/>
      <c r="AF21" s="320">
        <v>5830.52</v>
      </c>
      <c r="AG21" s="323">
        <v>2.16431</v>
      </c>
      <c r="AH21" s="291"/>
      <c r="AI21" s="320">
        <v>5830.52</v>
      </c>
      <c r="AJ21" s="323">
        <v>1.8212600000000001</v>
      </c>
      <c r="AK21" s="291">
        <v>2687.99</v>
      </c>
      <c r="AL21" s="320">
        <v>4865.3</v>
      </c>
      <c r="AM21" s="291">
        <v>2.16431</v>
      </c>
      <c r="AN21" s="291"/>
      <c r="AO21" s="291">
        <v>5830.52</v>
      </c>
    </row>
    <row r="22" spans="2:41" x14ac:dyDescent="0.2">
      <c r="B22" s="312" t="s">
        <v>328</v>
      </c>
      <c r="C22" s="362" t="s">
        <v>44</v>
      </c>
      <c r="D22" s="277">
        <v>1.634150505</v>
      </c>
      <c r="E22" s="277">
        <v>2.2368853089999998</v>
      </c>
      <c r="F22" s="277">
        <v>29.675470352000001</v>
      </c>
      <c r="G22" s="277">
        <v>3.0171263220000002</v>
      </c>
      <c r="H22" s="277"/>
      <c r="I22" s="277"/>
      <c r="J22" s="277"/>
      <c r="K22" s="277"/>
      <c r="L22" s="277"/>
      <c r="M22" s="316"/>
      <c r="AD22" s="308">
        <v>3.1131199999999999</v>
      </c>
      <c r="AE22" s="291"/>
      <c r="AF22" s="320">
        <v>5754.56</v>
      </c>
      <c r="AG22" s="323">
        <v>3.1131199999999999</v>
      </c>
      <c r="AH22" s="291"/>
      <c r="AI22" s="320">
        <v>5754.56</v>
      </c>
      <c r="AJ22" s="323">
        <v>2.6196899999999999</v>
      </c>
      <c r="AK22" s="291">
        <v>3910.19</v>
      </c>
      <c r="AL22" s="320">
        <v>4804.76</v>
      </c>
      <c r="AM22" s="291">
        <v>3.1131199999999999</v>
      </c>
      <c r="AN22" s="291"/>
      <c r="AO22" s="291">
        <v>5754.56</v>
      </c>
    </row>
    <row r="23" spans="2:41" x14ac:dyDescent="0.2">
      <c r="B23" s="312" t="s">
        <v>329</v>
      </c>
      <c r="C23" s="362" t="s">
        <v>44</v>
      </c>
      <c r="D23" s="277">
        <v>2138.26953125</v>
      </c>
      <c r="E23" s="277">
        <v>1282.1489257809999</v>
      </c>
      <c r="F23" s="277">
        <v>618.927246094</v>
      </c>
      <c r="G23" s="277">
        <v>3373.080078125</v>
      </c>
      <c r="H23" s="277"/>
      <c r="I23" s="277"/>
      <c r="J23" s="277"/>
      <c r="K23" s="277"/>
      <c r="L23" s="277"/>
      <c r="M23" s="316"/>
      <c r="AD23" s="308">
        <v>4.4778799999999999</v>
      </c>
      <c r="AE23" s="291"/>
      <c r="AF23" s="320">
        <v>5643.48</v>
      </c>
      <c r="AG23" s="323">
        <v>4.4778799999999999</v>
      </c>
      <c r="AH23" s="291"/>
      <c r="AI23" s="320">
        <v>5643.48</v>
      </c>
      <c r="AJ23" s="323">
        <v>3.7681300000000002</v>
      </c>
      <c r="AK23" s="291">
        <v>5854.98</v>
      </c>
      <c r="AL23" s="320">
        <v>4716.04</v>
      </c>
      <c r="AM23" s="291">
        <v>4.4778799999999999</v>
      </c>
      <c r="AN23" s="291"/>
      <c r="AO23" s="291">
        <v>5643.48</v>
      </c>
    </row>
    <row r="24" spans="2:41" x14ac:dyDescent="0.2">
      <c r="B24" s="312" t="s">
        <v>330</v>
      </c>
      <c r="C24" s="362" t="s">
        <v>44</v>
      </c>
      <c r="D24" s="277">
        <v>13.993652343999999</v>
      </c>
      <c r="E24" s="277">
        <v>15.973144531000001</v>
      </c>
      <c r="F24" s="277">
        <v>50.5859375</v>
      </c>
      <c r="G24" s="277">
        <v>12.600097656000001</v>
      </c>
      <c r="H24" s="277"/>
      <c r="I24" s="277"/>
      <c r="J24" s="277"/>
      <c r="K24" s="277"/>
      <c r="L24" s="277"/>
      <c r="M24" s="316"/>
      <c r="AD24" s="308">
        <v>6.4409299999999998</v>
      </c>
      <c r="AE24" s="291"/>
      <c r="AF24" s="320">
        <v>5479.48</v>
      </c>
      <c r="AG24" s="323">
        <v>6.4409299999999998</v>
      </c>
      <c r="AH24" s="291"/>
      <c r="AI24" s="320">
        <v>5479.48</v>
      </c>
      <c r="AJ24" s="323">
        <v>5.4200400000000002</v>
      </c>
      <c r="AK24" s="291">
        <v>9251.6299999999992</v>
      </c>
      <c r="AL24" s="320">
        <v>4584.87</v>
      </c>
      <c r="AM24" s="291">
        <v>6.4409299999999998</v>
      </c>
      <c r="AN24" s="291"/>
      <c r="AO24" s="291">
        <v>5479.48</v>
      </c>
    </row>
    <row r="25" spans="2:41" x14ac:dyDescent="0.2">
      <c r="B25" s="312" t="s">
        <v>331</v>
      </c>
      <c r="C25" s="362" t="s">
        <v>44</v>
      </c>
      <c r="D25" s="277">
        <v>0</v>
      </c>
      <c r="E25" s="277">
        <v>0</v>
      </c>
      <c r="F25" s="277">
        <v>0</v>
      </c>
      <c r="G25" s="277">
        <v>0</v>
      </c>
      <c r="H25" s="277"/>
      <c r="I25" s="277"/>
      <c r="J25" s="277"/>
      <c r="K25" s="277"/>
      <c r="L25" s="277"/>
      <c r="M25" s="316"/>
      <c r="AD25" s="308">
        <v>9.2645700000000009</v>
      </c>
      <c r="AE25" s="291"/>
      <c r="AF25" s="320">
        <v>5234.75</v>
      </c>
      <c r="AG25" s="323">
        <v>9.2645700000000009</v>
      </c>
      <c r="AH25" s="291"/>
      <c r="AI25" s="320">
        <v>5234.75</v>
      </c>
      <c r="AJ25" s="323">
        <v>7.7961200000000002</v>
      </c>
      <c r="AK25" s="291"/>
      <c r="AL25" s="320">
        <v>4387.96</v>
      </c>
      <c r="AM25" s="291">
        <v>9.2645700000000009</v>
      </c>
      <c r="AN25" s="291"/>
      <c r="AO25" s="291">
        <v>5234.75</v>
      </c>
    </row>
    <row r="26" spans="2:41" x14ac:dyDescent="0.2">
      <c r="B26" s="312" t="s">
        <v>332</v>
      </c>
      <c r="C26" s="362" t="s">
        <v>44</v>
      </c>
      <c r="D26" s="277">
        <v>0</v>
      </c>
      <c r="E26" s="277">
        <v>0</v>
      </c>
      <c r="F26" s="277">
        <v>0</v>
      </c>
      <c r="G26" s="277">
        <v>0</v>
      </c>
      <c r="H26" s="277"/>
      <c r="I26" s="277"/>
      <c r="J26" s="277"/>
      <c r="K26" s="277"/>
      <c r="L26" s="277"/>
      <c r="M26" s="316"/>
      <c r="AD26" s="308">
        <v>13.3261</v>
      </c>
      <c r="AE26" s="291"/>
      <c r="AF26" s="320">
        <v>4861.84</v>
      </c>
      <c r="AG26" s="323">
        <v>13.3261</v>
      </c>
      <c r="AH26" s="291"/>
      <c r="AI26" s="320">
        <v>4861.84</v>
      </c>
      <c r="AJ26" s="323">
        <v>11.213900000000001</v>
      </c>
      <c r="AK26" s="291"/>
      <c r="AL26" s="320">
        <v>4086.31</v>
      </c>
      <c r="AM26" s="291">
        <v>13.3261</v>
      </c>
      <c r="AN26" s="291"/>
      <c r="AO26" s="291">
        <v>4861.84</v>
      </c>
    </row>
    <row r="27" spans="2:41" x14ac:dyDescent="0.2">
      <c r="B27" s="312" t="s">
        <v>333</v>
      </c>
      <c r="C27" s="362" t="s">
        <v>44</v>
      </c>
      <c r="D27" s="277">
        <v>13.993652343999999</v>
      </c>
      <c r="E27" s="277">
        <v>15.973144531000001</v>
      </c>
      <c r="F27" s="277">
        <v>50.5859375</v>
      </c>
      <c r="G27" s="277">
        <v>12.600097656000001</v>
      </c>
      <c r="H27" s="277"/>
      <c r="I27" s="277"/>
      <c r="J27" s="277"/>
      <c r="K27" s="277"/>
      <c r="L27" s="277"/>
      <c r="M27" s="316"/>
      <c r="AD27" s="308">
        <v>19.168099999999999</v>
      </c>
      <c r="AE27" s="291"/>
      <c r="AF27" s="320">
        <v>4273.33</v>
      </c>
      <c r="AG27" s="323">
        <v>19.168099999999999</v>
      </c>
      <c r="AH27" s="291"/>
      <c r="AI27" s="320">
        <v>4273.33</v>
      </c>
      <c r="AJ27" s="323">
        <v>16.129899999999999</v>
      </c>
      <c r="AK27" s="291"/>
      <c r="AL27" s="320">
        <v>3605.18</v>
      </c>
      <c r="AM27" s="291">
        <v>19.168099999999999</v>
      </c>
      <c r="AN27" s="291"/>
      <c r="AO27" s="291">
        <v>4273.33</v>
      </c>
    </row>
    <row r="28" spans="2:41" x14ac:dyDescent="0.2">
      <c r="B28" s="312" t="s">
        <v>334</v>
      </c>
      <c r="C28" s="362"/>
      <c r="D28" s="277">
        <v>2</v>
      </c>
      <c r="E28" s="277">
        <v>2</v>
      </c>
      <c r="F28" s="277">
        <v>2</v>
      </c>
      <c r="G28" s="277">
        <v>2</v>
      </c>
      <c r="H28" s="277"/>
      <c r="I28" s="277"/>
      <c r="J28" s="277"/>
      <c r="K28" s="277"/>
      <c r="L28" s="277"/>
      <c r="M28" s="316"/>
      <c r="AD28" s="308">
        <v>27.571100000000001</v>
      </c>
      <c r="AE28" s="291"/>
      <c r="AF28" s="320">
        <v>3261.49</v>
      </c>
      <c r="AG28" s="323">
        <v>27.571100000000001</v>
      </c>
      <c r="AH28" s="291"/>
      <c r="AI28" s="320">
        <v>3261.49</v>
      </c>
      <c r="AJ28" s="323">
        <v>23.2011</v>
      </c>
      <c r="AK28" s="291"/>
      <c r="AL28" s="320">
        <v>2768.25</v>
      </c>
      <c r="AM28" s="291">
        <v>27.571100000000001</v>
      </c>
      <c r="AN28" s="291"/>
      <c r="AO28" s="291">
        <v>3261.49</v>
      </c>
    </row>
    <row r="29" spans="2:41" x14ac:dyDescent="0.2">
      <c r="B29" s="313" t="s">
        <v>335</v>
      </c>
      <c r="C29" s="363"/>
      <c r="D29" s="311">
        <v>2</v>
      </c>
      <c r="E29" s="311">
        <v>2</v>
      </c>
      <c r="F29" s="311">
        <v>2</v>
      </c>
      <c r="G29" s="311">
        <v>2</v>
      </c>
      <c r="H29" s="311"/>
      <c r="I29" s="311"/>
      <c r="J29" s="311"/>
      <c r="K29" s="311"/>
      <c r="L29" s="311"/>
      <c r="M29" s="317"/>
      <c r="AD29" s="309">
        <v>39.658000000000001</v>
      </c>
      <c r="AE29" s="310"/>
      <c r="AF29" s="321">
        <v>163.40700000000001</v>
      </c>
      <c r="AG29" s="324">
        <v>39.658000000000001</v>
      </c>
      <c r="AH29" s="310"/>
      <c r="AI29" s="321">
        <v>163.40700000000001</v>
      </c>
      <c r="AJ29" s="324">
        <v>33.372199999999999</v>
      </c>
      <c r="AK29" s="310"/>
      <c r="AL29" s="321">
        <v>140.25</v>
      </c>
      <c r="AM29" s="310">
        <v>39.658000000000001</v>
      </c>
      <c r="AN29" s="310"/>
      <c r="AO29" s="310">
        <v>163.40700000000001</v>
      </c>
    </row>
    <row r="36" spans="1:145" x14ac:dyDescent="0.2">
      <c r="A36" s="12"/>
      <c r="B36" s="20"/>
      <c r="C36" s="364"/>
      <c r="D36" s="290"/>
      <c r="G36" s="7"/>
      <c r="K36" s="1"/>
      <c r="L36" s="1"/>
      <c r="M36" s="1"/>
      <c r="AD36" s="268"/>
      <c r="AE36" s="425" t="s">
        <v>148</v>
      </c>
      <c r="AF36" s="426" t="s">
        <v>390</v>
      </c>
      <c r="AG36" s="425"/>
      <c r="AH36" s="425"/>
      <c r="AI36" s="425"/>
      <c r="AJ36" s="425"/>
      <c r="AK36" s="425" t="s">
        <v>384</v>
      </c>
      <c r="AL36" s="425" t="s">
        <v>386</v>
      </c>
      <c r="AM36" s="425" t="s">
        <v>387</v>
      </c>
      <c r="AN36" s="425" t="s">
        <v>387</v>
      </c>
      <c r="AO36" s="425" t="s">
        <v>391</v>
      </c>
      <c r="AP36" s="425" t="s">
        <v>391</v>
      </c>
      <c r="AQ36" s="425" t="s">
        <v>391</v>
      </c>
      <c r="AR36" s="425"/>
      <c r="AS36" s="425"/>
      <c r="AT36" s="425"/>
      <c r="AU36" s="425"/>
      <c r="AV36" s="425"/>
      <c r="AW36" s="425"/>
      <c r="AX36" s="425"/>
      <c r="AY36" s="425" t="s">
        <v>399</v>
      </c>
      <c r="AZ36" s="425" t="s">
        <v>402</v>
      </c>
      <c r="BA36" s="425" t="s">
        <v>403</v>
      </c>
      <c r="BB36" s="425" t="s">
        <v>404</v>
      </c>
      <c r="BC36" s="427" t="s">
        <v>6</v>
      </c>
      <c r="BH36" s="268"/>
      <c r="BI36" s="425" t="s">
        <v>148</v>
      </c>
      <c r="BJ36" s="426" t="s">
        <v>390</v>
      </c>
      <c r="BK36" s="425"/>
      <c r="BL36" s="425"/>
      <c r="BM36" s="425"/>
      <c r="BN36" s="425"/>
      <c r="BO36" s="425" t="s">
        <v>384</v>
      </c>
      <c r="BP36" s="425" t="s">
        <v>386</v>
      </c>
      <c r="BQ36" s="425" t="s">
        <v>387</v>
      </c>
      <c r="BR36" s="425" t="s">
        <v>387</v>
      </c>
      <c r="BS36" s="425" t="s">
        <v>391</v>
      </c>
      <c r="BT36" s="425" t="s">
        <v>391</v>
      </c>
      <c r="BU36" s="425" t="s">
        <v>391</v>
      </c>
      <c r="BV36" s="425"/>
      <c r="BW36" s="425"/>
      <c r="BX36" s="425"/>
      <c r="BY36" s="425"/>
      <c r="BZ36" s="425"/>
      <c r="CA36" s="425"/>
      <c r="CB36" s="425"/>
      <c r="CC36" s="425" t="s">
        <v>399</v>
      </c>
      <c r="CD36" s="425" t="s">
        <v>402</v>
      </c>
      <c r="CE36" s="425" t="s">
        <v>403</v>
      </c>
      <c r="CF36" s="425" t="s">
        <v>404</v>
      </c>
      <c r="CG36" s="427" t="s">
        <v>6</v>
      </c>
      <c r="CL36" s="268"/>
      <c r="CM36" s="425" t="s">
        <v>148</v>
      </c>
      <c r="CN36" s="426" t="s">
        <v>390</v>
      </c>
      <c r="CO36" s="425"/>
      <c r="CP36" s="425"/>
      <c r="CQ36" s="425"/>
      <c r="CR36" s="425"/>
      <c r="CS36" s="425" t="s">
        <v>384</v>
      </c>
      <c r="CT36" s="425" t="s">
        <v>386</v>
      </c>
      <c r="CU36" s="425" t="s">
        <v>387</v>
      </c>
      <c r="CV36" s="425" t="s">
        <v>387</v>
      </c>
      <c r="CW36" s="425" t="s">
        <v>391</v>
      </c>
      <c r="CX36" s="425" t="s">
        <v>391</v>
      </c>
      <c r="CY36" s="425" t="s">
        <v>391</v>
      </c>
      <c r="CZ36" s="425"/>
      <c r="DA36" s="425"/>
      <c r="DB36" s="425"/>
      <c r="DC36" s="425"/>
      <c r="DD36" s="425"/>
      <c r="DE36" s="425"/>
      <c r="DF36" s="425"/>
      <c r="DG36" s="425" t="s">
        <v>399</v>
      </c>
      <c r="DH36" s="425" t="s">
        <v>402</v>
      </c>
      <c r="DI36" s="425" t="s">
        <v>403</v>
      </c>
      <c r="DJ36" s="425" t="s">
        <v>404</v>
      </c>
      <c r="DK36" s="427" t="s">
        <v>6</v>
      </c>
      <c r="DP36" s="268"/>
      <c r="DQ36" s="425" t="s">
        <v>148</v>
      </c>
      <c r="DR36" s="426" t="s">
        <v>390</v>
      </c>
      <c r="DS36" s="425"/>
      <c r="DT36" s="425"/>
      <c r="DU36" s="425"/>
      <c r="DV36" s="425"/>
      <c r="DW36" s="425" t="s">
        <v>384</v>
      </c>
      <c r="DX36" s="425" t="s">
        <v>386</v>
      </c>
      <c r="DY36" s="425" t="s">
        <v>387</v>
      </c>
      <c r="DZ36" s="425" t="s">
        <v>387</v>
      </c>
      <c r="EA36" s="425" t="s">
        <v>391</v>
      </c>
      <c r="EB36" s="425" t="s">
        <v>391</v>
      </c>
      <c r="EC36" s="425" t="s">
        <v>391</v>
      </c>
      <c r="ED36" s="425"/>
      <c r="EE36" s="425"/>
      <c r="EF36" s="425"/>
      <c r="EG36" s="425"/>
      <c r="EH36" s="425"/>
      <c r="EI36" s="425"/>
      <c r="EJ36" s="425"/>
      <c r="EK36" s="425" t="s">
        <v>399</v>
      </c>
      <c r="EL36" s="425" t="s">
        <v>402</v>
      </c>
      <c r="EM36" s="425" t="s">
        <v>403</v>
      </c>
      <c r="EN36" s="425" t="s">
        <v>404</v>
      </c>
      <c r="EO36" s="427" t="s">
        <v>6</v>
      </c>
    </row>
    <row r="37" spans="1:145" x14ac:dyDescent="0.2">
      <c r="A37" s="12"/>
      <c r="B37" s="20"/>
      <c r="C37" s="364"/>
      <c r="D37" s="290"/>
      <c r="G37" s="7"/>
      <c r="K37" s="1"/>
      <c r="L37" s="1"/>
      <c r="M37" s="1"/>
      <c r="AD37" s="419"/>
      <c r="AE37" s="428" t="s">
        <v>17</v>
      </c>
      <c r="AF37" s="428" t="s">
        <v>389</v>
      </c>
      <c r="AG37" s="428"/>
      <c r="AH37" s="428"/>
      <c r="AI37" s="428"/>
      <c r="AJ37" s="428"/>
      <c r="AK37" s="428" t="s">
        <v>57</v>
      </c>
      <c r="AL37" s="428" t="s">
        <v>57</v>
      </c>
      <c r="AM37" s="428" t="s">
        <v>388</v>
      </c>
      <c r="AN37" s="428" t="s">
        <v>53</v>
      </c>
      <c r="AO37" s="428" t="s">
        <v>388</v>
      </c>
      <c r="AP37" s="428" t="s">
        <v>53</v>
      </c>
      <c r="AQ37" s="428" t="s">
        <v>392</v>
      </c>
      <c r="AR37" s="428" t="s">
        <v>393</v>
      </c>
      <c r="AS37" s="428" t="s">
        <v>394</v>
      </c>
      <c r="AT37" s="428"/>
      <c r="AU37" s="428" t="s">
        <v>396</v>
      </c>
      <c r="AV37" s="428" t="s">
        <v>53</v>
      </c>
      <c r="AW37" s="428" t="s">
        <v>392</v>
      </c>
      <c r="AX37" s="428" t="s">
        <v>398</v>
      </c>
      <c r="AY37" s="428" t="s">
        <v>400</v>
      </c>
      <c r="AZ37" s="428" t="s">
        <v>400</v>
      </c>
      <c r="BA37" s="428" t="s">
        <v>400</v>
      </c>
      <c r="BB37" s="428" t="s">
        <v>400</v>
      </c>
      <c r="BC37" s="429" t="s">
        <v>388</v>
      </c>
      <c r="BD37" s="414"/>
      <c r="BH37" s="419"/>
      <c r="BI37" s="428" t="s">
        <v>17</v>
      </c>
      <c r="BJ37" s="428" t="s">
        <v>389</v>
      </c>
      <c r="BK37" s="428"/>
      <c r="BL37" s="428"/>
      <c r="BM37" s="428"/>
      <c r="BN37" s="428"/>
      <c r="BO37" s="428" t="s">
        <v>57</v>
      </c>
      <c r="BP37" s="428" t="s">
        <v>57</v>
      </c>
      <c r="BQ37" s="428" t="s">
        <v>388</v>
      </c>
      <c r="BR37" s="428" t="s">
        <v>53</v>
      </c>
      <c r="BS37" s="428" t="s">
        <v>388</v>
      </c>
      <c r="BT37" s="428" t="s">
        <v>53</v>
      </c>
      <c r="BU37" s="428" t="s">
        <v>392</v>
      </c>
      <c r="BV37" s="428" t="s">
        <v>393</v>
      </c>
      <c r="BW37" s="428" t="s">
        <v>394</v>
      </c>
      <c r="BX37" s="428"/>
      <c r="BY37" s="428" t="s">
        <v>396</v>
      </c>
      <c r="BZ37" s="428" t="s">
        <v>53</v>
      </c>
      <c r="CA37" s="428" t="s">
        <v>392</v>
      </c>
      <c r="CB37" s="428" t="s">
        <v>398</v>
      </c>
      <c r="CC37" s="428" t="s">
        <v>400</v>
      </c>
      <c r="CD37" s="428" t="s">
        <v>400</v>
      </c>
      <c r="CE37" s="428" t="s">
        <v>400</v>
      </c>
      <c r="CF37" s="428" t="s">
        <v>400</v>
      </c>
      <c r="CG37" s="429" t="s">
        <v>388</v>
      </c>
      <c r="CL37" s="419"/>
      <c r="CM37" s="428" t="s">
        <v>17</v>
      </c>
      <c r="CN37" s="428" t="s">
        <v>389</v>
      </c>
      <c r="CO37" s="428"/>
      <c r="CP37" s="428"/>
      <c r="CQ37" s="428"/>
      <c r="CR37" s="428"/>
      <c r="CS37" s="428" t="s">
        <v>57</v>
      </c>
      <c r="CT37" s="428" t="s">
        <v>57</v>
      </c>
      <c r="CU37" s="428" t="s">
        <v>388</v>
      </c>
      <c r="CV37" s="428" t="s">
        <v>53</v>
      </c>
      <c r="CW37" s="428" t="s">
        <v>388</v>
      </c>
      <c r="CX37" s="428" t="s">
        <v>53</v>
      </c>
      <c r="CY37" s="428" t="s">
        <v>392</v>
      </c>
      <c r="CZ37" s="428" t="s">
        <v>393</v>
      </c>
      <c r="DA37" s="428" t="s">
        <v>394</v>
      </c>
      <c r="DB37" s="428"/>
      <c r="DC37" s="428" t="s">
        <v>396</v>
      </c>
      <c r="DD37" s="428" t="s">
        <v>53</v>
      </c>
      <c r="DE37" s="428" t="s">
        <v>392</v>
      </c>
      <c r="DF37" s="428" t="s">
        <v>398</v>
      </c>
      <c r="DG37" s="428" t="s">
        <v>400</v>
      </c>
      <c r="DH37" s="428" t="s">
        <v>400</v>
      </c>
      <c r="DI37" s="428" t="s">
        <v>400</v>
      </c>
      <c r="DJ37" s="428" t="s">
        <v>400</v>
      </c>
      <c r="DK37" s="429" t="s">
        <v>388</v>
      </c>
      <c r="DP37" s="419"/>
      <c r="DQ37" s="428" t="s">
        <v>17</v>
      </c>
      <c r="DR37" s="428" t="s">
        <v>389</v>
      </c>
      <c r="DS37" s="428"/>
      <c r="DT37" s="428"/>
      <c r="DU37" s="428"/>
      <c r="DV37" s="428"/>
      <c r="DW37" s="428" t="s">
        <v>57</v>
      </c>
      <c r="DX37" s="428" t="s">
        <v>57</v>
      </c>
      <c r="DY37" s="428" t="s">
        <v>388</v>
      </c>
      <c r="DZ37" s="428" t="s">
        <v>53</v>
      </c>
      <c r="EA37" s="428" t="s">
        <v>388</v>
      </c>
      <c r="EB37" s="428" t="s">
        <v>53</v>
      </c>
      <c r="EC37" s="428" t="s">
        <v>392</v>
      </c>
      <c r="ED37" s="428" t="s">
        <v>393</v>
      </c>
      <c r="EE37" s="428" t="s">
        <v>394</v>
      </c>
      <c r="EF37" s="428"/>
      <c r="EG37" s="428" t="s">
        <v>396</v>
      </c>
      <c r="EH37" s="428" t="s">
        <v>53</v>
      </c>
      <c r="EI37" s="428" t="s">
        <v>392</v>
      </c>
      <c r="EJ37" s="428" t="s">
        <v>398</v>
      </c>
      <c r="EK37" s="428" t="s">
        <v>400</v>
      </c>
      <c r="EL37" s="428" t="s">
        <v>400</v>
      </c>
      <c r="EM37" s="428" t="s">
        <v>400</v>
      </c>
      <c r="EN37" s="428" t="s">
        <v>400</v>
      </c>
      <c r="EO37" s="429" t="s">
        <v>388</v>
      </c>
    </row>
    <row r="38" spans="1:145" x14ac:dyDescent="0.2">
      <c r="A38" s="12"/>
      <c r="B38" s="20"/>
      <c r="C38" s="364"/>
      <c r="D38" s="290"/>
      <c r="G38" s="7"/>
      <c r="K38" s="1"/>
      <c r="L38" s="1"/>
      <c r="M38" s="1"/>
      <c r="AD38" s="419" t="s">
        <v>9</v>
      </c>
      <c r="AE38" s="428" t="s">
        <v>18</v>
      </c>
      <c r="AF38" s="428" t="s">
        <v>18</v>
      </c>
      <c r="AG38" s="428" t="s">
        <v>57</v>
      </c>
      <c r="AH38" s="428" t="s">
        <v>189</v>
      </c>
      <c r="AI38" s="428" t="s">
        <v>191</v>
      </c>
      <c r="AJ38" s="428" t="s">
        <v>192</v>
      </c>
      <c r="AK38" s="428" t="s">
        <v>385</v>
      </c>
      <c r="AL38" s="428" t="s">
        <v>385</v>
      </c>
      <c r="AM38" s="428" t="s">
        <v>133</v>
      </c>
      <c r="AN38" s="428" t="s">
        <v>133</v>
      </c>
      <c r="AO38" s="428" t="s">
        <v>133</v>
      </c>
      <c r="AP38" s="428" t="s">
        <v>133</v>
      </c>
      <c r="AQ38" s="428" t="s">
        <v>133</v>
      </c>
      <c r="AR38" s="428" t="s">
        <v>133</v>
      </c>
      <c r="AS38" s="428" t="s">
        <v>133</v>
      </c>
      <c r="AT38" s="428" t="s">
        <v>395</v>
      </c>
      <c r="AU38" s="428" t="s">
        <v>397</v>
      </c>
      <c r="AV38" s="428" t="s">
        <v>397</v>
      </c>
      <c r="AW38" s="428" t="s">
        <v>397</v>
      </c>
      <c r="AX38" s="428" t="s">
        <v>397</v>
      </c>
      <c r="AY38" s="428" t="s">
        <v>401</v>
      </c>
      <c r="AZ38" s="428" t="s">
        <v>401</v>
      </c>
      <c r="BA38" s="428" t="s">
        <v>401</v>
      </c>
      <c r="BB38" s="428" t="s">
        <v>401</v>
      </c>
      <c r="BC38" s="429" t="s">
        <v>191</v>
      </c>
      <c r="BH38" s="419" t="s">
        <v>9</v>
      </c>
      <c r="BI38" s="428" t="s">
        <v>18</v>
      </c>
      <c r="BJ38" s="428" t="s">
        <v>18</v>
      </c>
      <c r="BK38" s="428" t="s">
        <v>57</v>
      </c>
      <c r="BL38" s="428" t="s">
        <v>189</v>
      </c>
      <c r="BM38" s="428" t="s">
        <v>191</v>
      </c>
      <c r="BN38" s="428" t="s">
        <v>192</v>
      </c>
      <c r="BO38" s="428" t="s">
        <v>385</v>
      </c>
      <c r="BP38" s="428" t="s">
        <v>385</v>
      </c>
      <c r="BQ38" s="428" t="s">
        <v>133</v>
      </c>
      <c r="BR38" s="428" t="s">
        <v>133</v>
      </c>
      <c r="BS38" s="428" t="s">
        <v>133</v>
      </c>
      <c r="BT38" s="428" t="s">
        <v>133</v>
      </c>
      <c r="BU38" s="428" t="s">
        <v>133</v>
      </c>
      <c r="BV38" s="428" t="s">
        <v>133</v>
      </c>
      <c r="BW38" s="428" t="s">
        <v>133</v>
      </c>
      <c r="BX38" s="428" t="s">
        <v>395</v>
      </c>
      <c r="BY38" s="428" t="s">
        <v>397</v>
      </c>
      <c r="BZ38" s="428" t="s">
        <v>397</v>
      </c>
      <c r="CA38" s="428" t="s">
        <v>397</v>
      </c>
      <c r="CB38" s="428" t="s">
        <v>397</v>
      </c>
      <c r="CC38" s="428" t="s">
        <v>401</v>
      </c>
      <c r="CD38" s="428" t="s">
        <v>401</v>
      </c>
      <c r="CE38" s="428" t="s">
        <v>401</v>
      </c>
      <c r="CF38" s="428" t="s">
        <v>401</v>
      </c>
      <c r="CG38" s="429" t="s">
        <v>191</v>
      </c>
      <c r="CL38" s="419" t="s">
        <v>9</v>
      </c>
      <c r="CM38" s="428" t="s">
        <v>18</v>
      </c>
      <c r="CN38" s="428" t="s">
        <v>18</v>
      </c>
      <c r="CO38" s="428" t="s">
        <v>57</v>
      </c>
      <c r="CP38" s="428" t="s">
        <v>189</v>
      </c>
      <c r="CQ38" s="428" t="s">
        <v>191</v>
      </c>
      <c r="CR38" s="428" t="s">
        <v>192</v>
      </c>
      <c r="CS38" s="428" t="s">
        <v>385</v>
      </c>
      <c r="CT38" s="428" t="s">
        <v>385</v>
      </c>
      <c r="CU38" s="428" t="s">
        <v>133</v>
      </c>
      <c r="CV38" s="428" t="s">
        <v>133</v>
      </c>
      <c r="CW38" s="428" t="s">
        <v>133</v>
      </c>
      <c r="CX38" s="428" t="s">
        <v>133</v>
      </c>
      <c r="CY38" s="428" t="s">
        <v>133</v>
      </c>
      <c r="CZ38" s="428" t="s">
        <v>133</v>
      </c>
      <c r="DA38" s="428" t="s">
        <v>133</v>
      </c>
      <c r="DB38" s="428" t="s">
        <v>395</v>
      </c>
      <c r="DC38" s="428" t="s">
        <v>397</v>
      </c>
      <c r="DD38" s="428" t="s">
        <v>397</v>
      </c>
      <c r="DE38" s="428" t="s">
        <v>397</v>
      </c>
      <c r="DF38" s="428" t="s">
        <v>397</v>
      </c>
      <c r="DG38" s="428" t="s">
        <v>401</v>
      </c>
      <c r="DH38" s="428" t="s">
        <v>401</v>
      </c>
      <c r="DI38" s="428" t="s">
        <v>401</v>
      </c>
      <c r="DJ38" s="428" t="s">
        <v>401</v>
      </c>
      <c r="DK38" s="429" t="s">
        <v>191</v>
      </c>
      <c r="DP38" s="419" t="s">
        <v>9</v>
      </c>
      <c r="DQ38" s="428" t="s">
        <v>18</v>
      </c>
      <c r="DR38" s="428" t="s">
        <v>18</v>
      </c>
      <c r="DS38" s="428" t="s">
        <v>57</v>
      </c>
      <c r="DT38" s="428" t="s">
        <v>189</v>
      </c>
      <c r="DU38" s="428" t="s">
        <v>191</v>
      </c>
      <c r="DV38" s="428" t="s">
        <v>192</v>
      </c>
      <c r="DW38" s="428" t="s">
        <v>385</v>
      </c>
      <c r="DX38" s="428" t="s">
        <v>385</v>
      </c>
      <c r="DY38" s="428" t="s">
        <v>133</v>
      </c>
      <c r="DZ38" s="428" t="s">
        <v>133</v>
      </c>
      <c r="EA38" s="428" t="s">
        <v>133</v>
      </c>
      <c r="EB38" s="428" t="s">
        <v>133</v>
      </c>
      <c r="EC38" s="428" t="s">
        <v>133</v>
      </c>
      <c r="ED38" s="428" t="s">
        <v>133</v>
      </c>
      <c r="EE38" s="428" t="s">
        <v>133</v>
      </c>
      <c r="EF38" s="428" t="s">
        <v>395</v>
      </c>
      <c r="EG38" s="428" t="s">
        <v>397</v>
      </c>
      <c r="EH38" s="428" t="s">
        <v>397</v>
      </c>
      <c r="EI38" s="428" t="s">
        <v>397</v>
      </c>
      <c r="EJ38" s="428" t="s">
        <v>397</v>
      </c>
      <c r="EK38" s="428" t="s">
        <v>401</v>
      </c>
      <c r="EL38" s="428" t="s">
        <v>401</v>
      </c>
      <c r="EM38" s="428" t="s">
        <v>401</v>
      </c>
      <c r="EN38" s="428" t="s">
        <v>401</v>
      </c>
      <c r="EO38" s="429" t="s">
        <v>191</v>
      </c>
    </row>
    <row r="39" spans="1:145" x14ac:dyDescent="0.2">
      <c r="A39" s="12"/>
      <c r="B39" s="20"/>
      <c r="C39" s="364"/>
      <c r="D39" s="290"/>
      <c r="G39" s="7"/>
      <c r="K39" s="1"/>
      <c r="L39" s="1"/>
      <c r="M39" s="1"/>
      <c r="AD39" s="420"/>
      <c r="AE39" s="256"/>
      <c r="AF39" s="256"/>
      <c r="AG39" s="256"/>
      <c r="AH39" s="256"/>
      <c r="AI39" s="256"/>
      <c r="AJ39" s="256"/>
      <c r="AK39" s="256"/>
      <c r="AL39" s="256"/>
      <c r="AM39" s="256"/>
      <c r="AN39" s="256"/>
      <c r="AO39" s="256"/>
      <c r="AP39" s="256"/>
      <c r="AQ39" s="256"/>
      <c r="AR39" s="256"/>
      <c r="AS39" s="256"/>
      <c r="AT39" s="256"/>
      <c r="AU39" s="256"/>
      <c r="AV39" s="256"/>
      <c r="AW39" s="256"/>
      <c r="AX39" s="256"/>
      <c r="AY39" s="256"/>
      <c r="AZ39" s="256"/>
      <c r="BA39" s="256"/>
      <c r="BB39" s="256"/>
      <c r="BC39" s="430"/>
      <c r="BH39" s="420"/>
      <c r="BI39" s="256"/>
      <c r="BJ39" s="256"/>
      <c r="BK39" s="256"/>
      <c r="BL39" s="256"/>
      <c r="BM39" s="256"/>
      <c r="BN39" s="256"/>
      <c r="BO39" s="256"/>
      <c r="BP39" s="256"/>
      <c r="BQ39" s="256"/>
      <c r="BR39" s="256"/>
      <c r="BS39" s="256"/>
      <c r="BT39" s="256"/>
      <c r="BU39" s="256"/>
      <c r="BV39" s="256"/>
      <c r="BW39" s="256"/>
      <c r="BX39" s="256"/>
      <c r="BY39" s="256"/>
      <c r="BZ39" s="256"/>
      <c r="CA39" s="256"/>
      <c r="CB39" s="256"/>
      <c r="CC39" s="256"/>
      <c r="CD39" s="256"/>
      <c r="CE39" s="256"/>
      <c r="CF39" s="256"/>
      <c r="CG39" s="430"/>
      <c r="CL39" s="420"/>
      <c r="CM39" s="256"/>
      <c r="CN39" s="256"/>
      <c r="CO39" s="256"/>
      <c r="CP39" s="256"/>
      <c r="CQ39" s="256"/>
      <c r="CR39" s="256"/>
      <c r="CS39" s="256"/>
      <c r="CT39" s="256"/>
      <c r="CU39" s="256"/>
      <c r="CV39" s="256"/>
      <c r="CW39" s="256"/>
      <c r="CX39" s="256"/>
      <c r="CY39" s="256"/>
      <c r="CZ39" s="256"/>
      <c r="DA39" s="256"/>
      <c r="DB39" s="256"/>
      <c r="DC39" s="256"/>
      <c r="DD39" s="256"/>
      <c r="DE39" s="256"/>
      <c r="DF39" s="256"/>
      <c r="DG39" s="256"/>
      <c r="DH39" s="256"/>
      <c r="DI39" s="256"/>
      <c r="DJ39" s="256"/>
      <c r="DK39" s="430"/>
      <c r="DP39" s="420"/>
      <c r="DQ39" s="256"/>
      <c r="DR39" s="256"/>
      <c r="DS39" s="256"/>
      <c r="DT39" s="256"/>
      <c r="DU39" s="256"/>
      <c r="DV39" s="256"/>
      <c r="DW39" s="256"/>
      <c r="DX39" s="256"/>
      <c r="DY39" s="256"/>
      <c r="DZ39" s="256"/>
      <c r="EA39" s="256"/>
      <c r="EB39" s="256"/>
      <c r="EC39" s="256"/>
      <c r="ED39" s="256"/>
      <c r="EE39" s="256"/>
      <c r="EF39" s="256"/>
      <c r="EG39" s="256"/>
      <c r="EH39" s="256"/>
      <c r="EI39" s="256"/>
      <c r="EJ39" s="256"/>
      <c r="EK39" s="256"/>
      <c r="EL39" s="256"/>
      <c r="EM39" s="256"/>
      <c r="EN39" s="256"/>
      <c r="EO39" s="430"/>
    </row>
    <row r="40" spans="1:145" x14ac:dyDescent="0.2">
      <c r="A40" s="12"/>
      <c r="B40" s="20"/>
      <c r="C40" s="364"/>
      <c r="D40" s="290"/>
      <c r="G40" s="7"/>
      <c r="K40" s="1"/>
      <c r="L40" s="1"/>
      <c r="M40" s="1"/>
      <c r="AE40">
        <v>-4.6451500000000001</v>
      </c>
      <c r="AF40">
        <v>0</v>
      </c>
      <c r="AG40">
        <v>500</v>
      </c>
      <c r="AH40">
        <v>0</v>
      </c>
      <c r="AI40">
        <v>0</v>
      </c>
      <c r="AJ40">
        <v>-5</v>
      </c>
      <c r="AK40">
        <v>0</v>
      </c>
      <c r="AL40">
        <v>0</v>
      </c>
      <c r="AM40">
        <v>0</v>
      </c>
      <c r="AN40">
        <v>0</v>
      </c>
      <c r="AO40">
        <v>0</v>
      </c>
      <c r="AP40">
        <v>0</v>
      </c>
      <c r="AQ40">
        <v>0</v>
      </c>
      <c r="AR40">
        <v>0</v>
      </c>
      <c r="AS40">
        <v>0</v>
      </c>
      <c r="AT40">
        <v>0</v>
      </c>
      <c r="AU40">
        <v>47.321300000000001</v>
      </c>
      <c r="AV40">
        <v>2.1862699999999999</v>
      </c>
      <c r="AW40">
        <v>62.574399999999997</v>
      </c>
      <c r="AX40">
        <v>0</v>
      </c>
      <c r="AY40">
        <v>59.770499999999998</v>
      </c>
      <c r="AZ40">
        <v>59.770499999999998</v>
      </c>
      <c r="BA40">
        <v>10.809799999999999</v>
      </c>
      <c r="BB40">
        <v>18.766200000000001</v>
      </c>
      <c r="BC40">
        <v>0</v>
      </c>
      <c r="BI40">
        <v>-4.6451500000000001</v>
      </c>
      <c r="BJ40">
        <v>0</v>
      </c>
      <c r="BK40">
        <v>500</v>
      </c>
      <c r="BL40">
        <v>0</v>
      </c>
      <c r="BM40">
        <v>0</v>
      </c>
      <c r="BN40">
        <v>-5</v>
      </c>
      <c r="BO40">
        <v>0</v>
      </c>
      <c r="BP40">
        <v>0</v>
      </c>
      <c r="BQ40">
        <v>0</v>
      </c>
      <c r="BR40">
        <v>0</v>
      </c>
      <c r="BS40">
        <v>0</v>
      </c>
      <c r="BT40">
        <v>0</v>
      </c>
      <c r="BU40">
        <v>0</v>
      </c>
      <c r="BV40">
        <v>0</v>
      </c>
      <c r="BW40">
        <v>0</v>
      </c>
      <c r="BX40">
        <v>0</v>
      </c>
      <c r="BY40">
        <v>47.317900000000002</v>
      </c>
      <c r="BZ40">
        <v>2.1849500000000002</v>
      </c>
      <c r="CA40">
        <v>62.572699999999998</v>
      </c>
      <c r="CB40">
        <v>0</v>
      </c>
      <c r="CC40">
        <v>59.771900000000002</v>
      </c>
      <c r="CD40">
        <v>59.771900000000002</v>
      </c>
      <c r="CE40">
        <v>10.8089</v>
      </c>
      <c r="CF40">
        <v>18.767199999999999</v>
      </c>
      <c r="CG40">
        <v>0</v>
      </c>
      <c r="CM40">
        <v>-4.6451500000000001</v>
      </c>
      <c r="CN40">
        <v>0</v>
      </c>
      <c r="CO40">
        <v>500</v>
      </c>
      <c r="CP40">
        <v>0</v>
      </c>
      <c r="CQ40">
        <v>0</v>
      </c>
      <c r="CR40">
        <v>-5</v>
      </c>
      <c r="CS40">
        <v>0</v>
      </c>
      <c r="CT40">
        <v>0</v>
      </c>
      <c r="CU40">
        <v>0</v>
      </c>
      <c r="CV40">
        <v>0</v>
      </c>
      <c r="CW40">
        <v>0</v>
      </c>
      <c r="CX40">
        <v>0</v>
      </c>
      <c r="CY40">
        <v>0</v>
      </c>
      <c r="CZ40">
        <v>0</v>
      </c>
      <c r="DA40">
        <v>0</v>
      </c>
      <c r="DB40">
        <v>0</v>
      </c>
      <c r="DC40">
        <v>47.2498</v>
      </c>
      <c r="DD40">
        <v>2.0068700000000002</v>
      </c>
      <c r="DE40">
        <v>62.524900000000002</v>
      </c>
      <c r="DF40">
        <v>0</v>
      </c>
      <c r="DG40">
        <v>60.614899999999999</v>
      </c>
      <c r="DH40">
        <v>60.614899999999999</v>
      </c>
      <c r="DI40">
        <v>11.041399999999999</v>
      </c>
      <c r="DJ40">
        <v>18.7761</v>
      </c>
      <c r="DK40">
        <v>0</v>
      </c>
      <c r="DQ40">
        <v>-4.6451500000000001</v>
      </c>
      <c r="DR40">
        <v>0</v>
      </c>
      <c r="DS40">
        <v>500</v>
      </c>
      <c r="DT40">
        <v>0</v>
      </c>
      <c r="DU40">
        <v>0</v>
      </c>
      <c r="DV40">
        <v>-5</v>
      </c>
      <c r="DW40">
        <v>0</v>
      </c>
      <c r="DX40">
        <v>0</v>
      </c>
      <c r="DY40">
        <v>0</v>
      </c>
      <c r="DZ40">
        <v>0</v>
      </c>
      <c r="EA40">
        <v>0</v>
      </c>
      <c r="EB40">
        <v>0</v>
      </c>
      <c r="EC40">
        <v>0</v>
      </c>
      <c r="ED40">
        <v>0</v>
      </c>
      <c r="EE40">
        <v>0</v>
      </c>
      <c r="EF40">
        <v>0</v>
      </c>
      <c r="EG40">
        <v>47.3018</v>
      </c>
      <c r="EH40">
        <v>2.1781899999999998</v>
      </c>
      <c r="EI40">
        <v>62.564100000000003</v>
      </c>
      <c r="EJ40">
        <v>0</v>
      </c>
      <c r="EK40">
        <v>59.778399999999998</v>
      </c>
      <c r="EL40">
        <v>59.778399999999998</v>
      </c>
      <c r="EM40">
        <v>10.805400000000001</v>
      </c>
      <c r="EN40">
        <v>18.7715</v>
      </c>
      <c r="EO40">
        <v>0</v>
      </c>
    </row>
    <row r="41" spans="1:145" x14ac:dyDescent="0.2">
      <c r="A41" s="12"/>
      <c r="B41" s="20"/>
      <c r="C41" s="364"/>
      <c r="D41" s="290"/>
      <c r="G41" s="7"/>
      <c r="K41" s="1"/>
      <c r="L41" s="1"/>
      <c r="M41" s="1"/>
      <c r="AD41" s="94"/>
      <c r="AE41" s="94">
        <v>-2.3225799999999999</v>
      </c>
      <c r="AF41" s="94"/>
      <c r="AG41" s="94">
        <v>500.00400000000002</v>
      </c>
      <c r="AH41" s="94">
        <v>5.1574499999999996E-4</v>
      </c>
      <c r="AI41" s="94">
        <v>1.80885E-2</v>
      </c>
      <c r="AJ41" s="94">
        <v>2</v>
      </c>
      <c r="AK41" s="94">
        <v>3.9299799999999996E-3</v>
      </c>
      <c r="AL41" s="94"/>
      <c r="AM41" s="94">
        <v>0.641262</v>
      </c>
      <c r="AN41" s="94">
        <v>5.6743100000000002</v>
      </c>
      <c r="AO41" s="94">
        <v>1.15995E-2</v>
      </c>
      <c r="AP41" s="94">
        <v>5.5716700000000001</v>
      </c>
      <c r="AQ41" s="94">
        <v>1.1605300000000001E-2</v>
      </c>
      <c r="AR41" s="94">
        <v>10.6906</v>
      </c>
      <c r="AS41" s="94">
        <v>263.00700000000001</v>
      </c>
      <c r="AT41" s="94">
        <v>8.4932800000000004</v>
      </c>
      <c r="AU41" s="94">
        <v>47.327100000000002</v>
      </c>
      <c r="AV41" s="94">
        <v>2.18859</v>
      </c>
      <c r="AW41" s="94">
        <v>62.577199999999998</v>
      </c>
      <c r="AX41" s="94">
        <v>2.3140499999999999</v>
      </c>
      <c r="AY41" s="94">
        <v>59.767899999999997</v>
      </c>
      <c r="AZ41" s="94">
        <v>59.767899999999997</v>
      </c>
      <c r="BA41" s="94">
        <v>10.811299999999999</v>
      </c>
      <c r="BB41" s="94">
        <v>18.764399999999998</v>
      </c>
      <c r="BC41" s="94">
        <v>1.80885E-2</v>
      </c>
      <c r="BD41" s="94"/>
      <c r="BE41" s="94"/>
      <c r="BF41" s="94"/>
      <c r="BG41" s="94"/>
      <c r="BH41" s="94"/>
      <c r="BI41" s="94">
        <v>-2.3225799999999999</v>
      </c>
      <c r="BJ41" s="94"/>
      <c r="BK41" s="94">
        <v>500.005</v>
      </c>
      <c r="BL41" s="94">
        <v>6.6604399999999997E-4</v>
      </c>
      <c r="BM41" s="94">
        <v>1.75634E-2</v>
      </c>
      <c r="BN41" s="94">
        <v>2</v>
      </c>
      <c r="BO41" s="94">
        <v>5.0752599999999998E-3</v>
      </c>
      <c r="BP41" s="94"/>
      <c r="BQ41" s="94">
        <v>0.75393399999999999</v>
      </c>
      <c r="BR41" s="94">
        <v>6.4783600000000003</v>
      </c>
      <c r="BS41" s="94">
        <v>1.3241599999999999E-2</v>
      </c>
      <c r="BT41" s="94">
        <v>6.3645800000000001</v>
      </c>
      <c r="BU41" s="94">
        <v>1.3248299999999999E-2</v>
      </c>
      <c r="BV41" s="94">
        <v>10.6943</v>
      </c>
      <c r="BW41" s="94">
        <v>263.09500000000003</v>
      </c>
      <c r="BX41" s="94">
        <v>9.6983599999999992</v>
      </c>
      <c r="BY41" s="94">
        <v>47.322899999999997</v>
      </c>
      <c r="BZ41" s="94">
        <v>2.18696</v>
      </c>
      <c r="CA41">
        <v>62.575200000000002</v>
      </c>
      <c r="CB41">
        <v>2.3123399999999998</v>
      </c>
      <c r="CC41">
        <v>59.7697</v>
      </c>
      <c r="CD41">
        <v>59.7697</v>
      </c>
      <c r="CE41">
        <v>10.8102</v>
      </c>
      <c r="CF41">
        <v>18.765699999999999</v>
      </c>
      <c r="CG41">
        <v>1.75634E-2</v>
      </c>
      <c r="CM41">
        <v>-2.3225799999999999</v>
      </c>
      <c r="CN41">
        <v>0</v>
      </c>
      <c r="CO41">
        <v>500.05200000000002</v>
      </c>
      <c r="CP41">
        <v>6.8190400000000002E-3</v>
      </c>
      <c r="CQ41">
        <v>2.6985700000000001E-2</v>
      </c>
      <c r="CR41">
        <v>2</v>
      </c>
      <c r="CS41">
        <v>5.1961E-2</v>
      </c>
      <c r="CT41">
        <v>0</v>
      </c>
      <c r="CU41">
        <v>3.2785600000000001</v>
      </c>
      <c r="CV41">
        <v>21.998999999999999</v>
      </c>
      <c r="CW41">
        <v>8.8474200000000003E-2</v>
      </c>
      <c r="CX41">
        <v>21.4053</v>
      </c>
      <c r="CY41">
        <v>8.8519100000000003E-2</v>
      </c>
      <c r="CZ41">
        <v>11.2059</v>
      </c>
      <c r="DA41">
        <v>266.29300000000001</v>
      </c>
      <c r="DB41">
        <v>32.287799999999997</v>
      </c>
      <c r="DC41">
        <v>47.250599999999999</v>
      </c>
      <c r="DD41">
        <v>2.0074700000000001</v>
      </c>
      <c r="DE41">
        <v>62.525500000000001</v>
      </c>
      <c r="DF41">
        <v>2.25658</v>
      </c>
      <c r="DG41">
        <v>60.613900000000001</v>
      </c>
      <c r="DH41">
        <v>60.613900000000001</v>
      </c>
      <c r="DI41">
        <v>11.0411</v>
      </c>
      <c r="DJ41">
        <v>18.776</v>
      </c>
      <c r="DK41">
        <v>2.6985700000000001E-2</v>
      </c>
      <c r="DQ41">
        <v>-2.3225799999999999</v>
      </c>
      <c r="DR41">
        <v>0</v>
      </c>
      <c r="DS41">
        <v>500.00400000000002</v>
      </c>
      <c r="DT41">
        <v>5.6733499999999997E-4</v>
      </c>
      <c r="DU41">
        <v>0.12033000000000001</v>
      </c>
      <c r="DV41">
        <v>2</v>
      </c>
      <c r="DW41">
        <v>4.3230899999999999E-3</v>
      </c>
      <c r="DX41">
        <v>0</v>
      </c>
      <c r="DY41">
        <v>0.86806799999999995</v>
      </c>
      <c r="DZ41">
        <v>5.7252099999999997</v>
      </c>
      <c r="EA41">
        <v>0.10445400000000001</v>
      </c>
      <c r="EB41">
        <v>5.0362999999999998</v>
      </c>
      <c r="EC41">
        <v>0.104507</v>
      </c>
      <c r="ED41">
        <v>10.712</v>
      </c>
      <c r="EE41">
        <v>216.74100000000001</v>
      </c>
      <c r="EF41">
        <v>9.4880300000000002</v>
      </c>
      <c r="EG41">
        <v>47.304099999999998</v>
      </c>
      <c r="EH41">
        <v>2.1794500000000001</v>
      </c>
      <c r="EI41">
        <v>62.5657</v>
      </c>
      <c r="EJ41">
        <v>3.4064299999999998</v>
      </c>
      <c r="EK41">
        <v>59.777200000000001</v>
      </c>
      <c r="EL41">
        <v>59.777200000000001</v>
      </c>
      <c r="EM41">
        <v>10.805300000000001</v>
      </c>
      <c r="EN41">
        <v>18.7713</v>
      </c>
      <c r="EO41">
        <v>0.12033000000000001</v>
      </c>
    </row>
    <row r="42" spans="1:145" x14ac:dyDescent="0.2">
      <c r="A42" s="12"/>
      <c r="B42" s="20"/>
      <c r="C42" s="364"/>
      <c r="D42" s="290"/>
      <c r="G42" s="7"/>
      <c r="K42" s="1"/>
      <c r="L42" s="1"/>
      <c r="M42" s="1"/>
      <c r="AD42" s="94"/>
      <c r="AE42" s="94"/>
      <c r="AF42" s="94"/>
      <c r="AG42" s="94">
        <v>500.00799999999998</v>
      </c>
      <c r="AH42" s="94">
        <v>5.1515299999999997E-4</v>
      </c>
      <c r="AI42" s="94">
        <v>1.8122900000000001E-2</v>
      </c>
      <c r="AJ42" s="94">
        <v>2</v>
      </c>
      <c r="AK42" s="94">
        <v>7.85544E-3</v>
      </c>
      <c r="AL42" s="94"/>
      <c r="AM42" s="94">
        <v>0.64001600000000003</v>
      </c>
      <c r="AN42" s="94">
        <v>5.6684400000000004</v>
      </c>
      <c r="AO42" s="94">
        <v>1.1598900000000001E-2</v>
      </c>
      <c r="AP42" s="94">
        <v>5.5657100000000002</v>
      </c>
      <c r="AQ42" s="94">
        <v>1.16048E-2</v>
      </c>
      <c r="AR42" s="94">
        <v>10.684799999999999</v>
      </c>
      <c r="AS42" s="94">
        <v>262.86599999999999</v>
      </c>
      <c r="AT42" s="94">
        <v>8.4887800000000002</v>
      </c>
      <c r="AU42" s="94">
        <v>47.332999999999998</v>
      </c>
      <c r="AV42" s="94">
        <v>2.19096</v>
      </c>
      <c r="AW42" s="94">
        <v>62.580100000000002</v>
      </c>
      <c r="AX42" s="94">
        <v>2.3165499999999999</v>
      </c>
      <c r="AY42" s="94">
        <v>59.765099999999997</v>
      </c>
      <c r="AZ42" s="94">
        <v>59.765099999999997</v>
      </c>
      <c r="BA42" s="94">
        <v>10.812900000000001</v>
      </c>
      <c r="BB42" s="94">
        <v>18.762499999999999</v>
      </c>
      <c r="BC42" s="94">
        <v>1.8105699999999999E-2</v>
      </c>
      <c r="BD42" s="94"/>
      <c r="BE42" s="94"/>
      <c r="BF42" s="94"/>
      <c r="BG42" s="94"/>
      <c r="BH42" s="94"/>
      <c r="BI42" s="94"/>
      <c r="BJ42" s="94"/>
      <c r="BK42" s="94">
        <v>500.01</v>
      </c>
      <c r="BL42" s="94">
        <v>6.6547000000000004E-4</v>
      </c>
      <c r="BM42" s="94">
        <v>1.7583700000000001E-2</v>
      </c>
      <c r="BN42" s="94">
        <v>2</v>
      </c>
      <c r="BO42" s="94">
        <v>1.01461E-2</v>
      </c>
      <c r="BP42" s="94"/>
      <c r="BQ42" s="94">
        <v>0.75303299999999995</v>
      </c>
      <c r="BR42" s="94">
        <v>6.4724700000000004</v>
      </c>
      <c r="BS42" s="94">
        <v>1.32411E-2</v>
      </c>
      <c r="BT42" s="94">
        <v>6.3586600000000004</v>
      </c>
      <c r="BU42" s="94">
        <v>1.3247800000000001E-2</v>
      </c>
      <c r="BV42" s="94">
        <v>10.6892</v>
      </c>
      <c r="BW42" s="94">
        <v>262.97300000000001</v>
      </c>
      <c r="BX42" s="94">
        <v>9.6938899999999997</v>
      </c>
      <c r="BY42" s="94">
        <v>47.328099999999999</v>
      </c>
      <c r="BZ42" s="94">
        <v>2.1890100000000001</v>
      </c>
      <c r="CA42">
        <v>62.5777</v>
      </c>
      <c r="CB42">
        <v>2.3144999999999998</v>
      </c>
      <c r="CC42">
        <v>59.767299999999999</v>
      </c>
      <c r="CD42">
        <v>59.767299999999999</v>
      </c>
      <c r="CE42">
        <v>10.811500000000001</v>
      </c>
      <c r="CF42">
        <v>18.763999999999999</v>
      </c>
      <c r="CG42">
        <v>1.7573499999999999E-2</v>
      </c>
      <c r="CM42">
        <v>0</v>
      </c>
      <c r="CN42">
        <v>0</v>
      </c>
      <c r="CO42">
        <v>500.10399999999998</v>
      </c>
      <c r="CP42">
        <v>6.8171400000000002E-3</v>
      </c>
      <c r="CQ42">
        <v>2.6992200000000001E-2</v>
      </c>
      <c r="CR42">
        <v>2</v>
      </c>
      <c r="CS42">
        <v>0.103908</v>
      </c>
      <c r="CT42">
        <v>0</v>
      </c>
      <c r="CU42">
        <v>3.2777400000000001</v>
      </c>
      <c r="CV42">
        <v>21.9925</v>
      </c>
      <c r="CW42">
        <v>8.8473300000000005E-2</v>
      </c>
      <c r="CX42">
        <v>21.398900000000001</v>
      </c>
      <c r="CY42">
        <v>8.8518200000000005E-2</v>
      </c>
      <c r="CZ42">
        <v>11.2042</v>
      </c>
      <c r="DA42">
        <v>266.25299999999999</v>
      </c>
      <c r="DB42">
        <v>32.283000000000001</v>
      </c>
      <c r="DC42">
        <v>47.2515</v>
      </c>
      <c r="DD42">
        <v>2.00807</v>
      </c>
      <c r="DE42">
        <v>62.526200000000003</v>
      </c>
      <c r="DF42">
        <v>2.25725</v>
      </c>
      <c r="DG42">
        <v>60.6128</v>
      </c>
      <c r="DH42">
        <v>60.6128</v>
      </c>
      <c r="DI42">
        <v>11.040900000000001</v>
      </c>
      <c r="DJ42">
        <v>18.776</v>
      </c>
      <c r="DK42">
        <v>2.6988999999999999E-2</v>
      </c>
      <c r="DQ42">
        <v>0</v>
      </c>
      <c r="DR42">
        <v>0</v>
      </c>
      <c r="DS42">
        <v>500.00900000000001</v>
      </c>
      <c r="DT42">
        <v>5.6708799999999999E-4</v>
      </c>
      <c r="DU42">
        <v>0.12041200000000001</v>
      </c>
      <c r="DV42">
        <v>2</v>
      </c>
      <c r="DW42">
        <v>8.6443000000000006E-3</v>
      </c>
      <c r="DX42">
        <v>0</v>
      </c>
      <c r="DY42">
        <v>0.86745499999999998</v>
      </c>
      <c r="DZ42">
        <v>5.7224399999999997</v>
      </c>
      <c r="EA42">
        <v>0.104452</v>
      </c>
      <c r="EB42">
        <v>5.0333899999999998</v>
      </c>
      <c r="EC42">
        <v>0.104505</v>
      </c>
      <c r="ED42">
        <v>10.7089</v>
      </c>
      <c r="EE42">
        <v>216.679</v>
      </c>
      <c r="EF42">
        <v>9.48536</v>
      </c>
      <c r="EG42">
        <v>47.306899999999999</v>
      </c>
      <c r="EH42">
        <v>2.1807099999999999</v>
      </c>
      <c r="EI42">
        <v>62.567300000000003</v>
      </c>
      <c r="EJ42">
        <v>3.4083600000000001</v>
      </c>
      <c r="EK42">
        <v>59.7759</v>
      </c>
      <c r="EL42">
        <v>59.7759</v>
      </c>
      <c r="EM42">
        <v>10.805899999999999</v>
      </c>
      <c r="EN42">
        <v>18.770600000000002</v>
      </c>
      <c r="EO42">
        <v>0.12037100000000001</v>
      </c>
    </row>
    <row r="43" spans="1:145" x14ac:dyDescent="0.2">
      <c r="AD43" s="94"/>
      <c r="AE43" s="94"/>
      <c r="AF43" s="94"/>
      <c r="AG43" s="94">
        <v>766.61199999999997</v>
      </c>
      <c r="AH43" s="94">
        <v>5.1515299999999997E-4</v>
      </c>
      <c r="AI43" s="94"/>
      <c r="AJ43" s="94">
        <v>-10</v>
      </c>
      <c r="AK43" s="94">
        <v>7.85544E-3</v>
      </c>
      <c r="AL43" s="94"/>
      <c r="AM43" s="94"/>
      <c r="AN43" s="94"/>
      <c r="AO43" s="94">
        <v>2.0366900000000001</v>
      </c>
      <c r="AP43" s="94">
        <v>611.31299999999999</v>
      </c>
      <c r="AQ43" s="94">
        <v>1.16048E-2</v>
      </c>
      <c r="AR43" s="94"/>
      <c r="AS43" s="94"/>
      <c r="AT43" s="94">
        <v>1179.8900000000001</v>
      </c>
      <c r="AU43" s="94">
        <v>47.345599999999997</v>
      </c>
      <c r="AV43" s="94">
        <v>3.50421</v>
      </c>
      <c r="AW43" s="94">
        <v>62.630800000000001</v>
      </c>
      <c r="AX43" s="94">
        <v>3.7005499999999998</v>
      </c>
      <c r="AY43" s="94">
        <v>52.781399999999998</v>
      </c>
      <c r="AZ43" s="94">
        <v>52.781399999999998</v>
      </c>
      <c r="BA43" s="94">
        <v>8.8149599999999992</v>
      </c>
      <c r="BB43" s="94">
        <v>18.796399999999998</v>
      </c>
      <c r="BC43" s="94">
        <v>1.8105699999999999E-2</v>
      </c>
      <c r="BD43" s="94"/>
      <c r="BE43" s="94"/>
      <c r="BF43" s="94"/>
      <c r="BG43" s="94"/>
      <c r="BH43" s="94"/>
      <c r="BI43" s="94"/>
      <c r="BJ43" s="94"/>
      <c r="BK43" s="94">
        <v>855.31700000000001</v>
      </c>
      <c r="BL43" s="94">
        <v>6.6547000000000004E-4</v>
      </c>
      <c r="BM43" s="94"/>
      <c r="BN43" s="94">
        <v>-10</v>
      </c>
      <c r="BO43" s="94">
        <v>1.01461E-2</v>
      </c>
      <c r="BP43" s="94"/>
      <c r="BQ43" s="94"/>
      <c r="BR43" s="94"/>
      <c r="BS43" s="94">
        <v>2.3244199999999999</v>
      </c>
      <c r="BT43" s="94">
        <v>616.57500000000005</v>
      </c>
      <c r="BU43" s="94">
        <v>1.3247800000000001E-2</v>
      </c>
      <c r="BV43" s="94"/>
      <c r="BW43" s="94"/>
      <c r="BX43" s="94">
        <v>1266.32</v>
      </c>
      <c r="BY43" s="94">
        <v>47.344900000000003</v>
      </c>
      <c r="BZ43" s="94">
        <v>3.9660500000000001</v>
      </c>
      <c r="CA43">
        <v>62.645200000000003</v>
      </c>
      <c r="CB43">
        <v>4.1864400000000002</v>
      </c>
      <c r="CC43">
        <v>50.4619</v>
      </c>
      <c r="CD43">
        <v>50.4619</v>
      </c>
      <c r="CE43">
        <v>8.1771399999999996</v>
      </c>
      <c r="CF43">
        <v>18.809200000000001</v>
      </c>
      <c r="CG43">
        <v>1.7573499999999999E-2</v>
      </c>
      <c r="CM43">
        <v>0</v>
      </c>
      <c r="CN43">
        <v>0</v>
      </c>
      <c r="CO43">
        <v>887.70299999999997</v>
      </c>
      <c r="CP43">
        <v>6.8171400000000002E-3</v>
      </c>
      <c r="CQ43">
        <v>0</v>
      </c>
      <c r="CR43">
        <v>-10</v>
      </c>
      <c r="CS43">
        <v>0.103908</v>
      </c>
      <c r="CT43">
        <v>0</v>
      </c>
      <c r="CU43">
        <v>0</v>
      </c>
      <c r="CV43">
        <v>0</v>
      </c>
      <c r="CW43">
        <v>4.5027900000000001</v>
      </c>
      <c r="CX43">
        <v>584.42899999999997</v>
      </c>
      <c r="CY43">
        <v>8.8518200000000005E-2</v>
      </c>
      <c r="CZ43">
        <v>0</v>
      </c>
      <c r="DA43">
        <v>0</v>
      </c>
      <c r="DB43">
        <v>1206.4000000000001</v>
      </c>
      <c r="DC43">
        <v>47.265000000000001</v>
      </c>
      <c r="DD43">
        <v>3.7462300000000002</v>
      </c>
      <c r="DE43">
        <v>62.5991</v>
      </c>
      <c r="DF43">
        <v>4.1962000000000002</v>
      </c>
      <c r="DG43">
        <v>51.425800000000002</v>
      </c>
      <c r="DH43">
        <v>51.425800000000002</v>
      </c>
      <c r="DI43">
        <v>8.4150899999999993</v>
      </c>
      <c r="DJ43">
        <v>18.828099999999999</v>
      </c>
      <c r="DK43">
        <v>2.6988999999999999E-2</v>
      </c>
      <c r="DQ43">
        <v>0</v>
      </c>
      <c r="DR43">
        <v>0</v>
      </c>
      <c r="DS43">
        <v>526.58699999999999</v>
      </c>
      <c r="DT43">
        <v>5.6708799999999999E-4</v>
      </c>
      <c r="DU43">
        <v>0</v>
      </c>
      <c r="DV43">
        <v>-10</v>
      </c>
      <c r="DW43">
        <v>8.6443000000000006E-3</v>
      </c>
      <c r="DX43">
        <v>0</v>
      </c>
      <c r="DY43">
        <v>0</v>
      </c>
      <c r="DZ43">
        <v>0</v>
      </c>
      <c r="EA43">
        <v>5.32172</v>
      </c>
      <c r="EB43">
        <v>242.60499999999999</v>
      </c>
      <c r="EC43">
        <v>0.104505</v>
      </c>
      <c r="ED43">
        <v>0</v>
      </c>
      <c r="EE43">
        <v>0</v>
      </c>
      <c r="EF43">
        <v>470.32</v>
      </c>
      <c r="EG43">
        <v>47.308199999999999</v>
      </c>
      <c r="EH43">
        <v>2.3050299999999999</v>
      </c>
      <c r="EI43">
        <v>62.572299999999998</v>
      </c>
      <c r="EJ43">
        <v>3.5986600000000002</v>
      </c>
      <c r="EK43">
        <v>59.0884</v>
      </c>
      <c r="EL43">
        <v>59.0884</v>
      </c>
      <c r="EM43">
        <v>10.603999999999999</v>
      </c>
      <c r="EN43">
        <v>18.773900000000001</v>
      </c>
      <c r="EO43">
        <v>0.12037100000000001</v>
      </c>
    </row>
    <row r="44" spans="1:145" x14ac:dyDescent="0.2">
      <c r="AD44" s="94"/>
      <c r="AE44" s="94"/>
      <c r="AF44" s="94"/>
      <c r="AG44" s="94">
        <v>766.61199999999997</v>
      </c>
      <c r="AH44" s="94">
        <v>5.1515299999999997E-4</v>
      </c>
      <c r="AI44" s="94"/>
      <c r="AJ44" s="94">
        <v>-6</v>
      </c>
      <c r="AK44" s="94">
        <v>7.85544E-3</v>
      </c>
      <c r="AL44" s="94"/>
      <c r="AM44" s="94"/>
      <c r="AN44" s="94"/>
      <c r="AO44" s="94">
        <v>2.0366900000000001</v>
      </c>
      <c r="AP44" s="94">
        <v>611.31299999999999</v>
      </c>
      <c r="AQ44" s="94">
        <v>1.16048E-2</v>
      </c>
      <c r="AR44" s="94">
        <v>8.1451799999999999</v>
      </c>
      <c r="AS44" s="94">
        <v>207.935</v>
      </c>
      <c r="AT44" s="94">
        <v>1179.8900000000001</v>
      </c>
      <c r="AU44" s="94">
        <v>47.345599999999997</v>
      </c>
      <c r="AV44" s="94">
        <v>3.50421</v>
      </c>
      <c r="AW44" s="94">
        <v>62.630800000000001</v>
      </c>
      <c r="AX44" s="94">
        <v>3.7005499999999998</v>
      </c>
      <c r="AY44" s="94">
        <v>52.781399999999998</v>
      </c>
      <c r="AZ44" s="94">
        <v>52.781399999999998</v>
      </c>
      <c r="BA44" s="94">
        <v>8.8149599999999992</v>
      </c>
      <c r="BB44" s="94">
        <v>18.796399999999998</v>
      </c>
      <c r="BC44" s="94">
        <v>1.8105699999999999E-2</v>
      </c>
      <c r="BD44" s="94"/>
      <c r="BE44" s="94"/>
      <c r="BF44" s="94"/>
      <c r="BG44" s="94"/>
      <c r="BH44" s="94"/>
      <c r="BI44" s="94"/>
      <c r="BJ44" s="94"/>
      <c r="BK44" s="94">
        <v>855.31700000000001</v>
      </c>
      <c r="BL44" s="94">
        <v>6.6547000000000004E-4</v>
      </c>
      <c r="BM44" s="94"/>
      <c r="BN44" s="94">
        <v>-6</v>
      </c>
      <c r="BO44" s="94">
        <v>1.01461E-2</v>
      </c>
      <c r="BP44" s="94"/>
      <c r="BQ44" s="94"/>
      <c r="BR44" s="94"/>
      <c r="BS44" s="94">
        <v>2.3244199999999999</v>
      </c>
      <c r="BT44" s="94">
        <v>616.57500000000005</v>
      </c>
      <c r="BU44" s="94">
        <v>1.3247800000000001E-2</v>
      </c>
      <c r="BV44" s="94">
        <v>7.5563599999999997</v>
      </c>
      <c r="BW44" s="94">
        <v>195.49600000000001</v>
      </c>
      <c r="BX44" s="94">
        <v>1266.32</v>
      </c>
      <c r="BY44" s="94">
        <v>47.344900000000003</v>
      </c>
      <c r="BZ44" s="94">
        <v>3.9660500000000001</v>
      </c>
      <c r="CA44">
        <v>62.645200000000003</v>
      </c>
      <c r="CB44">
        <v>4.1864400000000002</v>
      </c>
      <c r="CC44">
        <v>50.4619</v>
      </c>
      <c r="CD44">
        <v>50.4619</v>
      </c>
      <c r="CE44">
        <v>8.1771399999999996</v>
      </c>
      <c r="CF44">
        <v>18.809200000000001</v>
      </c>
      <c r="CG44">
        <v>1.7573499999999999E-2</v>
      </c>
      <c r="CM44">
        <v>0</v>
      </c>
      <c r="CN44">
        <v>0</v>
      </c>
      <c r="CO44">
        <v>887.70299999999997</v>
      </c>
      <c r="CP44">
        <v>6.8171400000000002E-3</v>
      </c>
      <c r="CQ44">
        <v>0</v>
      </c>
      <c r="CR44">
        <v>-6</v>
      </c>
      <c r="CS44">
        <v>0.103908</v>
      </c>
      <c r="CT44">
        <v>0</v>
      </c>
      <c r="CU44">
        <v>0</v>
      </c>
      <c r="CV44">
        <v>0</v>
      </c>
      <c r="CW44">
        <v>4.5027900000000001</v>
      </c>
      <c r="CX44">
        <v>584.42899999999997</v>
      </c>
      <c r="CY44">
        <v>8.8518200000000005E-2</v>
      </c>
      <c r="CZ44">
        <v>7.8175400000000002</v>
      </c>
      <c r="DA44">
        <v>195.268</v>
      </c>
      <c r="DB44">
        <v>1206.4000000000001</v>
      </c>
      <c r="DC44">
        <v>47.265000000000001</v>
      </c>
      <c r="DD44">
        <v>3.7462300000000002</v>
      </c>
      <c r="DE44">
        <v>62.5991</v>
      </c>
      <c r="DF44">
        <v>4.1962000000000002</v>
      </c>
      <c r="DG44">
        <v>51.425800000000002</v>
      </c>
      <c r="DH44">
        <v>51.425800000000002</v>
      </c>
      <c r="DI44">
        <v>8.4150899999999993</v>
      </c>
      <c r="DJ44">
        <v>18.828099999999999</v>
      </c>
      <c r="DK44">
        <v>2.6988999999999999E-2</v>
      </c>
      <c r="DQ44">
        <v>0</v>
      </c>
      <c r="DR44">
        <v>0</v>
      </c>
      <c r="DS44">
        <v>526.58699999999999</v>
      </c>
      <c r="DT44">
        <v>5.6708799999999999E-4</v>
      </c>
      <c r="DU44">
        <v>0</v>
      </c>
      <c r="DV44">
        <v>-6</v>
      </c>
      <c r="DW44">
        <v>8.6443000000000006E-3</v>
      </c>
      <c r="DX44">
        <v>0</v>
      </c>
      <c r="DY44">
        <v>0</v>
      </c>
      <c r="DZ44">
        <v>0</v>
      </c>
      <c r="EA44">
        <v>5.32172</v>
      </c>
      <c r="EB44">
        <v>242.60499999999999</v>
      </c>
      <c r="EC44">
        <v>0.104505</v>
      </c>
      <c r="ED44">
        <v>10.379799999999999</v>
      </c>
      <c r="EE44">
        <v>210.858</v>
      </c>
      <c r="EF44">
        <v>470.32</v>
      </c>
      <c r="EG44">
        <v>47.308199999999999</v>
      </c>
      <c r="EH44">
        <v>2.3050299999999999</v>
      </c>
      <c r="EI44">
        <v>62.572299999999998</v>
      </c>
      <c r="EJ44">
        <v>3.5986600000000002</v>
      </c>
      <c r="EK44">
        <v>59.0884</v>
      </c>
      <c r="EL44">
        <v>59.0884</v>
      </c>
      <c r="EM44">
        <v>10.603999999999999</v>
      </c>
      <c r="EN44">
        <v>18.773900000000001</v>
      </c>
      <c r="EO44">
        <v>0.12037100000000001</v>
      </c>
    </row>
    <row r="45" spans="1:145" x14ac:dyDescent="0.2">
      <c r="AD45" s="94"/>
      <c r="AE45" s="94">
        <v>74.757300000000001</v>
      </c>
      <c r="AF45" s="94">
        <v>74.748699999999999</v>
      </c>
      <c r="AG45" s="94">
        <v>772.93200000000002</v>
      </c>
      <c r="AH45" s="94">
        <v>2.5769899999999998E-2</v>
      </c>
      <c r="AI45" s="94">
        <v>3.323E-3</v>
      </c>
      <c r="AJ45" s="94">
        <v>102</v>
      </c>
      <c r="AK45" s="94">
        <v>2.2918600000000001E-2</v>
      </c>
      <c r="AL45" s="94">
        <v>6.3046899999999999</v>
      </c>
      <c r="AM45" s="94">
        <v>1.8334299999999999</v>
      </c>
      <c r="AN45" s="94">
        <v>1.8334299999999999</v>
      </c>
      <c r="AO45" s="94">
        <v>6.0924999999999998E-3</v>
      </c>
      <c r="AP45" s="94">
        <v>1.82734</v>
      </c>
      <c r="AQ45" s="94"/>
      <c r="AR45" s="94">
        <v>8.1412099999999992</v>
      </c>
      <c r="AS45" s="94">
        <v>207.88200000000001</v>
      </c>
      <c r="AT45" s="94">
        <v>3.5287000000000002</v>
      </c>
      <c r="AU45" s="94">
        <v>47.306800000000003</v>
      </c>
      <c r="AV45" s="94">
        <v>3.5078499999999999</v>
      </c>
      <c r="AW45" s="94">
        <v>62.612299999999998</v>
      </c>
      <c r="AX45" s="94">
        <v>3.70425</v>
      </c>
      <c r="AY45" s="94">
        <v>52.7</v>
      </c>
      <c r="AZ45" s="94">
        <v>52.7</v>
      </c>
      <c r="BA45" s="94">
        <v>8.7792600000000007</v>
      </c>
      <c r="BB45" s="94">
        <v>18.809000000000001</v>
      </c>
      <c r="BC45" s="94">
        <v>3.7905399999999998E-3</v>
      </c>
      <c r="BD45" s="94"/>
      <c r="BE45" s="94"/>
      <c r="BF45" s="94"/>
      <c r="BG45" s="94"/>
      <c r="BH45" s="94"/>
      <c r="BI45" s="94">
        <v>74.757300000000001</v>
      </c>
      <c r="BJ45" s="94">
        <v>74.748699999999999</v>
      </c>
      <c r="BK45" s="94">
        <v>862.46699999999998</v>
      </c>
      <c r="BL45" s="94">
        <v>2.91515E-2</v>
      </c>
      <c r="BM45" s="94">
        <v>3.75815E-3</v>
      </c>
      <c r="BN45" s="94">
        <v>102</v>
      </c>
      <c r="BO45" s="94">
        <v>2.7262700000000001E-2</v>
      </c>
      <c r="BP45" s="94">
        <v>7.1319400000000002</v>
      </c>
      <c r="BQ45" s="94">
        <v>1.8501700000000001</v>
      </c>
      <c r="BR45" s="94">
        <v>1.8501700000000001</v>
      </c>
      <c r="BS45" s="94">
        <v>6.9532200000000004E-3</v>
      </c>
      <c r="BT45" s="94">
        <v>1.84321</v>
      </c>
      <c r="BU45" s="94"/>
      <c r="BV45" s="94">
        <v>7.5529599999999997</v>
      </c>
      <c r="BW45" s="94">
        <v>195.45400000000001</v>
      </c>
      <c r="BX45" s="94">
        <v>3.7871999999999999</v>
      </c>
      <c r="BY45" s="94">
        <v>47.306100000000001</v>
      </c>
      <c r="BZ45" s="94">
        <v>3.9695499999999999</v>
      </c>
      <c r="CA45">
        <v>62.6267</v>
      </c>
      <c r="CB45">
        <v>4.1899899999999999</v>
      </c>
      <c r="CC45">
        <v>50.383600000000001</v>
      </c>
      <c r="CD45">
        <v>50.383600000000001</v>
      </c>
      <c r="CE45">
        <v>8.1435200000000005</v>
      </c>
      <c r="CF45">
        <v>18.8217</v>
      </c>
      <c r="CG45">
        <v>4.1951000000000002E-3</v>
      </c>
      <c r="CM45">
        <v>74.757300000000001</v>
      </c>
      <c r="CN45">
        <v>74.748699999999999</v>
      </c>
      <c r="CO45">
        <v>895.00900000000001</v>
      </c>
      <c r="CP45">
        <v>2.9789400000000001E-2</v>
      </c>
      <c r="CQ45">
        <v>7.6516800000000001E-3</v>
      </c>
      <c r="CR45">
        <v>102</v>
      </c>
      <c r="CS45">
        <v>0.25973299999999999</v>
      </c>
      <c r="CT45">
        <v>7.1494299999999997</v>
      </c>
      <c r="CU45">
        <v>6.07151</v>
      </c>
      <c r="CV45">
        <v>6.0715199999999996</v>
      </c>
      <c r="CW45">
        <v>4.64573E-2</v>
      </c>
      <c r="CX45">
        <v>6.0250599999999999</v>
      </c>
      <c r="CY45">
        <v>0</v>
      </c>
      <c r="CZ45">
        <v>7.81325</v>
      </c>
      <c r="DA45">
        <v>195.215</v>
      </c>
      <c r="DB45">
        <v>12.4437</v>
      </c>
      <c r="DC45">
        <v>47.241300000000003</v>
      </c>
      <c r="DD45">
        <v>3.7504</v>
      </c>
      <c r="DE45">
        <v>62.577500000000001</v>
      </c>
      <c r="DF45">
        <v>4.2005299999999997</v>
      </c>
      <c r="DG45">
        <v>51.333100000000002</v>
      </c>
      <c r="DH45">
        <v>51.333100000000002</v>
      </c>
      <c r="DI45">
        <v>8.3913499999999992</v>
      </c>
      <c r="DJ45">
        <v>18.827100000000002</v>
      </c>
      <c r="DK45">
        <v>8.2632699999999996E-3</v>
      </c>
      <c r="DQ45">
        <v>74.757300000000001</v>
      </c>
      <c r="DR45">
        <v>74.748699999999999</v>
      </c>
      <c r="DS45">
        <v>562.40300000000002</v>
      </c>
      <c r="DT45">
        <v>0.14602699999999999</v>
      </c>
      <c r="DU45">
        <v>0.30945299999999998</v>
      </c>
      <c r="DV45">
        <v>105</v>
      </c>
      <c r="DW45">
        <v>4.9576000000000002E-2</v>
      </c>
      <c r="DX45">
        <v>35.768900000000002</v>
      </c>
      <c r="DY45">
        <v>0.17741999999999999</v>
      </c>
      <c r="DZ45">
        <v>3.5083700000000002</v>
      </c>
      <c r="EA45">
        <v>5.4903100000000003E-2</v>
      </c>
      <c r="EB45">
        <v>2.4226899999999998</v>
      </c>
      <c r="EC45">
        <v>0</v>
      </c>
      <c r="ED45">
        <v>10.1899</v>
      </c>
      <c r="EE45">
        <v>207.541</v>
      </c>
      <c r="EF45">
        <v>4.8224499999999999</v>
      </c>
      <c r="EG45">
        <v>47.280999999999999</v>
      </c>
      <c r="EH45">
        <v>2.4567100000000002</v>
      </c>
      <c r="EI45">
        <v>62.558799999999998</v>
      </c>
      <c r="EJ45">
        <v>3.7885599999999999</v>
      </c>
      <c r="EK45">
        <v>58.1858</v>
      </c>
      <c r="EL45">
        <v>58.1858</v>
      </c>
      <c r="EM45">
        <v>10.3361</v>
      </c>
      <c r="EN45">
        <v>18.7822</v>
      </c>
      <c r="EO45">
        <v>0.30347299999999999</v>
      </c>
    </row>
    <row r="46" spans="1:145" x14ac:dyDescent="0.2">
      <c r="A46" s="12"/>
      <c r="B46" s="20"/>
      <c r="C46" s="364"/>
      <c r="D46" s="290"/>
      <c r="G46" s="7"/>
      <c r="K46" s="1"/>
      <c r="L46" s="1"/>
      <c r="M46" s="1"/>
      <c r="AD46" s="94"/>
      <c r="AE46" s="94">
        <v>149.51499999999999</v>
      </c>
      <c r="AF46" s="94">
        <v>149.49700000000001</v>
      </c>
      <c r="AG46" s="94">
        <v>779.25900000000001</v>
      </c>
      <c r="AH46" s="94">
        <v>2.5796400000000001E-2</v>
      </c>
      <c r="AI46" s="94">
        <v>3.3274400000000001E-3</v>
      </c>
      <c r="AJ46" s="94">
        <v>102</v>
      </c>
      <c r="AK46" s="94">
        <v>3.7975299999999997E-2</v>
      </c>
      <c r="AL46" s="94">
        <v>12.6159</v>
      </c>
      <c r="AM46" s="94">
        <v>1.8315399999999999</v>
      </c>
      <c r="AN46" s="94">
        <v>1.8315399999999999</v>
      </c>
      <c r="AO46" s="94">
        <v>6.0943600000000001E-3</v>
      </c>
      <c r="AP46" s="94">
        <v>1.82545</v>
      </c>
      <c r="AQ46" s="94"/>
      <c r="AR46" s="94">
        <v>8.1329899999999995</v>
      </c>
      <c r="AS46" s="94">
        <v>207.77500000000001</v>
      </c>
      <c r="AT46" s="94">
        <v>3.5268799999999998</v>
      </c>
      <c r="AU46" s="94">
        <v>47.278100000000002</v>
      </c>
      <c r="AV46" s="94">
        <v>3.5114700000000001</v>
      </c>
      <c r="AW46" s="94">
        <v>62.592599999999997</v>
      </c>
      <c r="AX46" s="94">
        <v>3.7080600000000001</v>
      </c>
      <c r="AY46" s="94">
        <v>52.614600000000003</v>
      </c>
      <c r="AZ46" s="94">
        <v>52.614600000000003</v>
      </c>
      <c r="BA46" s="94">
        <v>8.7516499999999997</v>
      </c>
      <c r="BB46" s="94">
        <v>18.813099999999999</v>
      </c>
      <c r="BC46" s="94">
        <v>3.5627100000000002E-3</v>
      </c>
      <c r="BD46" s="94"/>
      <c r="BE46" s="94"/>
      <c r="BF46" s="94"/>
      <c r="BG46" s="94"/>
      <c r="BH46" s="94"/>
      <c r="BI46" s="94">
        <v>149.51499999999999</v>
      </c>
      <c r="BJ46" s="94">
        <v>149.49700000000001</v>
      </c>
      <c r="BK46" s="94">
        <v>869.62300000000005</v>
      </c>
      <c r="BL46" s="94">
        <v>2.9177000000000002E-2</v>
      </c>
      <c r="BM46" s="94">
        <v>3.7626000000000001E-3</v>
      </c>
      <c r="BN46" s="94">
        <v>102</v>
      </c>
      <c r="BO46" s="94">
        <v>4.4373900000000001E-2</v>
      </c>
      <c r="BP46" s="94">
        <v>14.270099999999999</v>
      </c>
      <c r="BQ46" s="94">
        <v>1.8485499999999999</v>
      </c>
      <c r="BR46" s="94">
        <v>1.8485499999999999</v>
      </c>
      <c r="BS46" s="94">
        <v>6.95534E-3</v>
      </c>
      <c r="BT46" s="94">
        <v>1.8415900000000001</v>
      </c>
      <c r="BU46" s="94"/>
      <c r="BV46" s="94">
        <v>7.5459100000000001</v>
      </c>
      <c r="BW46" s="94">
        <v>195.36799999999999</v>
      </c>
      <c r="BX46" s="94">
        <v>3.7855300000000001</v>
      </c>
      <c r="BY46" s="94">
        <v>47.276800000000001</v>
      </c>
      <c r="BZ46" s="94">
        <v>3.9730400000000001</v>
      </c>
      <c r="CA46">
        <v>62.606900000000003</v>
      </c>
      <c r="CB46">
        <v>4.1936600000000004</v>
      </c>
      <c r="CC46">
        <v>50.301400000000001</v>
      </c>
      <c r="CD46">
        <v>50.301400000000001</v>
      </c>
      <c r="CE46">
        <v>8.1171000000000006</v>
      </c>
      <c r="CF46">
        <v>18.8262</v>
      </c>
      <c r="CG46">
        <v>3.9823300000000001E-3</v>
      </c>
      <c r="CM46">
        <v>149.51499999999999</v>
      </c>
      <c r="CN46">
        <v>149.49700000000001</v>
      </c>
      <c r="CO46">
        <v>902.32299999999998</v>
      </c>
      <c r="CP46">
        <v>2.9820900000000001E-2</v>
      </c>
      <c r="CQ46">
        <v>7.6628099999999999E-3</v>
      </c>
      <c r="CR46">
        <v>102</v>
      </c>
      <c r="CS46">
        <v>0.415439</v>
      </c>
      <c r="CT46">
        <v>14.306699999999999</v>
      </c>
      <c r="CU46">
        <v>6.0648400000000002</v>
      </c>
      <c r="CV46">
        <v>6.0648400000000002</v>
      </c>
      <c r="CW46">
        <v>4.64737E-2</v>
      </c>
      <c r="CX46">
        <v>6.01837</v>
      </c>
      <c r="CY46">
        <v>0</v>
      </c>
      <c r="CZ46">
        <v>7.8044399999999996</v>
      </c>
      <c r="DA46">
        <v>195.108</v>
      </c>
      <c r="DB46">
        <v>12.4368</v>
      </c>
      <c r="DC46">
        <v>47.217300000000002</v>
      </c>
      <c r="DD46">
        <v>3.7545700000000002</v>
      </c>
      <c r="DE46">
        <v>62.5548</v>
      </c>
      <c r="DF46">
        <v>4.2051400000000001</v>
      </c>
      <c r="DG46">
        <v>51.236600000000003</v>
      </c>
      <c r="DH46">
        <v>51.236600000000003</v>
      </c>
      <c r="DI46">
        <v>8.3674300000000006</v>
      </c>
      <c r="DJ46">
        <v>18.825199999999999</v>
      </c>
      <c r="DK46">
        <v>7.9678700000000002E-3</v>
      </c>
      <c r="DQ46">
        <v>149.51499999999999</v>
      </c>
      <c r="DR46">
        <v>149.49700000000001</v>
      </c>
      <c r="DS46">
        <v>599.57100000000003</v>
      </c>
      <c r="DT46">
        <v>0.15154100000000001</v>
      </c>
      <c r="DU46">
        <v>0.32100299999999998</v>
      </c>
      <c r="DV46">
        <v>105</v>
      </c>
      <c r="DW46">
        <v>8.8195700000000002E-2</v>
      </c>
      <c r="DX46">
        <v>72.892399999999995</v>
      </c>
      <c r="DY46">
        <v>0.171075</v>
      </c>
      <c r="DZ46">
        <v>3.35053</v>
      </c>
      <c r="EA46">
        <v>5.4915400000000003E-2</v>
      </c>
      <c r="EB46">
        <v>2.2749999999999999</v>
      </c>
      <c r="EC46">
        <v>0</v>
      </c>
      <c r="ED46">
        <v>9.8287899999999997</v>
      </c>
      <c r="EE46">
        <v>201.261</v>
      </c>
      <c r="EF46">
        <v>4.6753499999999999</v>
      </c>
      <c r="EG46">
        <v>47.255800000000001</v>
      </c>
      <c r="EH46">
        <v>2.61415</v>
      </c>
      <c r="EI46">
        <v>62.544199999999996</v>
      </c>
      <c r="EJ46">
        <v>4.0266799999999998</v>
      </c>
      <c r="EK46">
        <v>57.257800000000003</v>
      </c>
      <c r="EL46">
        <v>57.257800000000003</v>
      </c>
      <c r="EM46">
        <v>10.065799999999999</v>
      </c>
      <c r="EN46">
        <v>18.7882</v>
      </c>
      <c r="EO46">
        <v>0.31209700000000001</v>
      </c>
    </row>
    <row r="47" spans="1:145" x14ac:dyDescent="0.2">
      <c r="A47" s="304"/>
      <c r="B47" s="22"/>
      <c r="C47" s="365" t="s">
        <v>8</v>
      </c>
      <c r="D47" s="265" t="s">
        <v>361</v>
      </c>
      <c r="E47" s="3" t="s">
        <v>17</v>
      </c>
      <c r="F47" s="3" t="s">
        <v>15</v>
      </c>
      <c r="G47" s="3" t="s">
        <v>11</v>
      </c>
      <c r="H47" s="3" t="s">
        <v>15</v>
      </c>
      <c r="I47" s="3" t="s">
        <v>12</v>
      </c>
      <c r="J47" s="3" t="s">
        <v>21</v>
      </c>
      <c r="K47" s="3" t="s">
        <v>13</v>
      </c>
      <c r="L47" s="4" t="s">
        <v>14</v>
      </c>
      <c r="AD47" s="94"/>
      <c r="AE47" s="94">
        <v>224.27199999999999</v>
      </c>
      <c r="AF47" s="94">
        <v>224.24600000000001</v>
      </c>
      <c r="AG47" s="94">
        <v>785.59299999999996</v>
      </c>
      <c r="AH47" s="94">
        <v>2.58228E-2</v>
      </c>
      <c r="AI47" s="94">
        <v>3.3319399999999998E-3</v>
      </c>
      <c r="AJ47" s="94">
        <v>102</v>
      </c>
      <c r="AK47" s="94">
        <v>5.3025700000000002E-2</v>
      </c>
      <c r="AL47" s="94">
        <v>18.933599999999998</v>
      </c>
      <c r="AM47" s="94">
        <v>1.8296600000000001</v>
      </c>
      <c r="AN47" s="94">
        <v>1.8296600000000001</v>
      </c>
      <c r="AO47" s="94">
        <v>6.0963399999999996E-3</v>
      </c>
      <c r="AP47" s="94">
        <v>1.8235699999999999</v>
      </c>
      <c r="AQ47" s="94"/>
      <c r="AR47" s="94">
        <v>8.1245999999999992</v>
      </c>
      <c r="AS47" s="94">
        <v>207.66800000000001</v>
      </c>
      <c r="AT47" s="94">
        <v>3.5250599999999999</v>
      </c>
      <c r="AU47" s="94">
        <v>47.253799999999998</v>
      </c>
      <c r="AV47" s="94">
        <v>3.5150899999999998</v>
      </c>
      <c r="AW47" s="94">
        <v>62.5717</v>
      </c>
      <c r="AX47" s="94">
        <v>3.7118600000000002</v>
      </c>
      <c r="AY47" s="94">
        <v>52.525399999999998</v>
      </c>
      <c r="AZ47" s="94">
        <v>52.525399999999998</v>
      </c>
      <c r="BA47" s="94">
        <v>8.7275299999999998</v>
      </c>
      <c r="BB47" s="94">
        <v>18.812999999999999</v>
      </c>
      <c r="BC47" s="94">
        <v>3.4866200000000002E-3</v>
      </c>
      <c r="BD47" s="94"/>
      <c r="BE47" s="94"/>
      <c r="BF47" s="94"/>
      <c r="BG47" s="94"/>
      <c r="BH47" s="94"/>
      <c r="BI47" s="94">
        <v>224.27199999999999</v>
      </c>
      <c r="BJ47" s="94">
        <v>224.24600000000001</v>
      </c>
      <c r="BK47" s="94">
        <v>876.78499999999997</v>
      </c>
      <c r="BL47" s="94">
        <v>2.92024E-2</v>
      </c>
      <c r="BM47" s="94">
        <v>3.7671200000000001E-3</v>
      </c>
      <c r="BN47" s="94">
        <v>102</v>
      </c>
      <c r="BO47" s="94">
        <v>6.1479699999999998E-2</v>
      </c>
      <c r="BP47" s="94">
        <v>21.4146</v>
      </c>
      <c r="BQ47" s="94">
        <v>1.84693</v>
      </c>
      <c r="BR47" s="94">
        <v>1.84693</v>
      </c>
      <c r="BS47" s="94">
        <v>6.9576100000000004E-3</v>
      </c>
      <c r="BT47" s="94">
        <v>1.8399700000000001</v>
      </c>
      <c r="BU47" s="94"/>
      <c r="BV47" s="94">
        <v>7.5386699999999998</v>
      </c>
      <c r="BW47" s="94">
        <v>195.28299999999999</v>
      </c>
      <c r="BX47" s="94">
        <v>3.7838699999999998</v>
      </c>
      <c r="BY47" s="94">
        <v>47.253100000000003</v>
      </c>
      <c r="BZ47" s="94">
        <v>3.9765299999999999</v>
      </c>
      <c r="CA47">
        <v>62.585999999999999</v>
      </c>
      <c r="CB47">
        <v>4.1973200000000004</v>
      </c>
      <c r="CC47">
        <v>50.215499999999999</v>
      </c>
      <c r="CD47">
        <v>50.215499999999999</v>
      </c>
      <c r="CE47">
        <v>8.0949100000000005</v>
      </c>
      <c r="CF47">
        <v>18.825600000000001</v>
      </c>
      <c r="CG47">
        <v>3.91136E-3</v>
      </c>
      <c r="CM47">
        <v>224.27199999999999</v>
      </c>
      <c r="CN47">
        <v>224.24600000000001</v>
      </c>
      <c r="CO47">
        <v>909.64499999999998</v>
      </c>
      <c r="CP47">
        <v>2.9852500000000001E-2</v>
      </c>
      <c r="CQ47">
        <v>7.6740799999999998E-3</v>
      </c>
      <c r="CR47">
        <v>102</v>
      </c>
      <c r="CS47">
        <v>0.57102399999999998</v>
      </c>
      <c r="CT47">
        <v>21.471900000000002</v>
      </c>
      <c r="CU47">
        <v>6.0581899999999997</v>
      </c>
      <c r="CV47">
        <v>6.0581899999999997</v>
      </c>
      <c r="CW47">
        <v>4.6490999999999998E-2</v>
      </c>
      <c r="CX47">
        <v>6.0117000000000003</v>
      </c>
      <c r="CY47">
        <v>0</v>
      </c>
      <c r="CZ47">
        <v>7.7954600000000003</v>
      </c>
      <c r="DA47">
        <v>195</v>
      </c>
      <c r="DB47">
        <v>12.43</v>
      </c>
      <c r="DC47">
        <v>47.192900000000002</v>
      </c>
      <c r="DD47">
        <v>3.7587299999999999</v>
      </c>
      <c r="DE47">
        <v>62.530900000000003</v>
      </c>
      <c r="DF47">
        <v>4.2097499999999997</v>
      </c>
      <c r="DG47">
        <v>51.136499999999998</v>
      </c>
      <c r="DH47">
        <v>51.136499999999998</v>
      </c>
      <c r="DI47">
        <v>8.3433299999999999</v>
      </c>
      <c r="DJ47">
        <v>18.822600000000001</v>
      </c>
      <c r="DK47">
        <v>7.8709899999999996E-3</v>
      </c>
      <c r="DQ47">
        <v>224.27199999999999</v>
      </c>
      <c r="DR47">
        <v>224.24600000000001</v>
      </c>
      <c r="DS47">
        <v>638.10599999999999</v>
      </c>
      <c r="DT47">
        <v>0.157115</v>
      </c>
      <c r="DU47">
        <v>0.3327</v>
      </c>
      <c r="DV47">
        <v>105</v>
      </c>
      <c r="DW47">
        <v>0.124691</v>
      </c>
      <c r="DX47">
        <v>111.38500000000001</v>
      </c>
      <c r="DY47">
        <v>0.165099</v>
      </c>
      <c r="DZ47">
        <v>3.2065000000000001</v>
      </c>
      <c r="EA47">
        <v>5.4928600000000001E-2</v>
      </c>
      <c r="EB47">
        <v>2.1396899999999999</v>
      </c>
      <c r="EC47">
        <v>0</v>
      </c>
      <c r="ED47">
        <v>9.4860199999999999</v>
      </c>
      <c r="EE47">
        <v>195.33</v>
      </c>
      <c r="EF47">
        <v>4.5364899999999997</v>
      </c>
      <c r="EG47">
        <v>47.231000000000002</v>
      </c>
      <c r="EH47">
        <v>2.7773699999999999</v>
      </c>
      <c r="EI47">
        <v>62.528700000000001</v>
      </c>
      <c r="EJ47">
        <v>4.2728700000000002</v>
      </c>
      <c r="EK47">
        <v>56.305500000000002</v>
      </c>
      <c r="EL47">
        <v>56.305500000000002</v>
      </c>
      <c r="EM47">
        <v>9.7922200000000004</v>
      </c>
      <c r="EN47">
        <v>18.792999999999999</v>
      </c>
      <c r="EO47">
        <v>0.31889099999999998</v>
      </c>
    </row>
    <row r="48" spans="1:145" x14ac:dyDescent="0.2">
      <c r="A48" s="283" t="s">
        <v>8</v>
      </c>
      <c r="B48" s="25" t="s">
        <v>9</v>
      </c>
      <c r="C48" s="366" t="s">
        <v>10</v>
      </c>
      <c r="D48" s="289" t="s">
        <v>362</v>
      </c>
      <c r="E48" s="5" t="s">
        <v>18</v>
      </c>
      <c r="F48" s="5" t="s">
        <v>16</v>
      </c>
      <c r="G48" s="5" t="s">
        <v>19</v>
      </c>
      <c r="H48" s="5" t="s">
        <v>20</v>
      </c>
      <c r="I48" s="5" t="s">
        <v>19</v>
      </c>
      <c r="J48" s="5" t="s">
        <v>16</v>
      </c>
      <c r="K48" s="5" t="s">
        <v>19</v>
      </c>
      <c r="L48" s="6" t="s">
        <v>22</v>
      </c>
      <c r="AD48" s="94"/>
      <c r="AE48" s="94">
        <v>299.029</v>
      </c>
      <c r="AF48" s="94">
        <v>298.995</v>
      </c>
      <c r="AG48" s="94">
        <v>791.93299999999999</v>
      </c>
      <c r="AH48" s="94">
        <v>2.5849199999999999E-2</v>
      </c>
      <c r="AI48" s="94">
        <v>3.3365000000000001E-3</v>
      </c>
      <c r="AJ48" s="94">
        <v>102</v>
      </c>
      <c r="AK48" s="94">
        <v>6.8069699999999997E-2</v>
      </c>
      <c r="AL48" s="94">
        <v>25.2577</v>
      </c>
      <c r="AM48" s="94">
        <v>1.82779</v>
      </c>
      <c r="AN48" s="94">
        <v>1.82779</v>
      </c>
      <c r="AO48" s="94">
        <v>6.0984300000000002E-3</v>
      </c>
      <c r="AP48" s="94">
        <v>1.82169</v>
      </c>
      <c r="AQ48" s="94"/>
      <c r="AR48" s="94">
        <v>8.1160399999999999</v>
      </c>
      <c r="AS48" s="94">
        <v>207.56200000000001</v>
      </c>
      <c r="AT48" s="94">
        <v>3.5232600000000001</v>
      </c>
      <c r="AU48" s="94">
        <v>47.229199999999999</v>
      </c>
      <c r="AV48" s="94">
        <v>3.5186999999999999</v>
      </c>
      <c r="AW48" s="94">
        <v>62.549599999999998</v>
      </c>
      <c r="AX48" s="94">
        <v>3.7156600000000002</v>
      </c>
      <c r="AY48" s="94">
        <v>52.432200000000002</v>
      </c>
      <c r="AZ48" s="94">
        <v>52.432200000000002</v>
      </c>
      <c r="BA48" s="94">
        <v>8.7032100000000003</v>
      </c>
      <c r="BB48" s="94">
        <v>18.812100000000001</v>
      </c>
      <c r="BC48" s="94">
        <v>3.4493900000000001E-3</v>
      </c>
      <c r="BD48" s="94"/>
      <c r="BE48" s="94"/>
      <c r="BF48" s="94"/>
      <c r="BG48" s="94"/>
      <c r="BH48" s="94"/>
      <c r="BI48" s="94">
        <v>299.029</v>
      </c>
      <c r="BJ48" s="94">
        <v>298.995</v>
      </c>
      <c r="BK48" s="94">
        <v>883.95399999999995</v>
      </c>
      <c r="BL48" s="94">
        <v>2.9227800000000002E-2</v>
      </c>
      <c r="BM48" s="94">
        <v>3.7717100000000002E-3</v>
      </c>
      <c r="BN48" s="94">
        <v>102</v>
      </c>
      <c r="BO48" s="94">
        <v>7.8580200000000003E-2</v>
      </c>
      <c r="BP48" s="94">
        <v>28.565200000000001</v>
      </c>
      <c r="BQ48" s="94">
        <v>1.8453200000000001</v>
      </c>
      <c r="BR48" s="94">
        <v>1.8453200000000001</v>
      </c>
      <c r="BS48" s="94">
        <v>6.96001E-3</v>
      </c>
      <c r="BT48" s="94">
        <v>1.83836</v>
      </c>
      <c r="BU48" s="94"/>
      <c r="BV48" s="94">
        <v>7.5312599999999996</v>
      </c>
      <c r="BW48" s="94">
        <v>195.19800000000001</v>
      </c>
      <c r="BX48" s="94">
        <v>3.7822200000000001</v>
      </c>
      <c r="BY48" s="94">
        <v>47.229100000000003</v>
      </c>
      <c r="BZ48" s="94">
        <v>3.9800200000000001</v>
      </c>
      <c r="CA48">
        <v>62.563800000000001</v>
      </c>
      <c r="CB48">
        <v>4.2009800000000004</v>
      </c>
      <c r="CC48">
        <v>50.125700000000002</v>
      </c>
      <c r="CD48">
        <v>50.125700000000002</v>
      </c>
      <c r="CE48">
        <v>8.07254</v>
      </c>
      <c r="CF48">
        <v>18.824200000000001</v>
      </c>
      <c r="CG48">
        <v>3.8767300000000001E-3</v>
      </c>
      <c r="CM48">
        <v>299.029</v>
      </c>
      <c r="CN48">
        <v>298.995</v>
      </c>
      <c r="CO48">
        <v>916.97500000000002</v>
      </c>
      <c r="CP48">
        <v>2.9884000000000001E-2</v>
      </c>
      <c r="CQ48">
        <v>7.6854999999999996E-3</v>
      </c>
      <c r="CR48">
        <v>102</v>
      </c>
      <c r="CS48">
        <v>0.726491</v>
      </c>
      <c r="CT48">
        <v>28.6449</v>
      </c>
      <c r="CU48">
        <v>6.0515600000000003</v>
      </c>
      <c r="CV48">
        <v>6.0515600000000003</v>
      </c>
      <c r="CW48">
        <v>4.6509200000000001E-2</v>
      </c>
      <c r="CX48">
        <v>6.0050499999999998</v>
      </c>
      <c r="CY48">
        <v>0</v>
      </c>
      <c r="CZ48">
        <v>7.7863300000000004</v>
      </c>
      <c r="DA48">
        <v>194.89400000000001</v>
      </c>
      <c r="DB48">
        <v>12.4232</v>
      </c>
      <c r="DC48">
        <v>47.168300000000002</v>
      </c>
      <c r="DD48">
        <v>3.7628900000000001</v>
      </c>
      <c r="DE48">
        <v>62.506</v>
      </c>
      <c r="DF48">
        <v>4.2143600000000001</v>
      </c>
      <c r="DG48">
        <v>51.032899999999998</v>
      </c>
      <c r="DH48">
        <v>51.032899999999998</v>
      </c>
      <c r="DI48">
        <v>8.3190799999999996</v>
      </c>
      <c r="DJ48">
        <v>18.819299999999998</v>
      </c>
      <c r="DK48">
        <v>7.8250000000000004E-3</v>
      </c>
      <c r="DQ48">
        <v>299.029</v>
      </c>
      <c r="DR48">
        <v>298.995</v>
      </c>
      <c r="DS48">
        <v>678.02200000000005</v>
      </c>
      <c r="DT48">
        <v>0.162745</v>
      </c>
      <c r="DU48">
        <v>0.34454400000000002</v>
      </c>
      <c r="DV48">
        <v>105</v>
      </c>
      <c r="DW48">
        <v>0.15922900000000001</v>
      </c>
      <c r="DX48">
        <v>151.261</v>
      </c>
      <c r="DY48">
        <v>0.159465</v>
      </c>
      <c r="DZ48">
        <v>3.0749399999999998</v>
      </c>
      <c r="EA48">
        <v>5.4942699999999997E-2</v>
      </c>
      <c r="EB48">
        <v>2.0154899999999998</v>
      </c>
      <c r="EC48">
        <v>0</v>
      </c>
      <c r="ED48">
        <v>9.1602599999999992</v>
      </c>
      <c r="EE48">
        <v>189.72300000000001</v>
      </c>
      <c r="EF48">
        <v>4.40524</v>
      </c>
      <c r="EG48">
        <v>47.206699999999998</v>
      </c>
      <c r="EH48">
        <v>2.9464000000000001</v>
      </c>
      <c r="EI48">
        <v>62.512099999999997</v>
      </c>
      <c r="EJ48">
        <v>4.5270900000000003</v>
      </c>
      <c r="EK48">
        <v>55.330100000000002</v>
      </c>
      <c r="EL48">
        <v>55.330100000000002</v>
      </c>
      <c r="EM48">
        <v>9.5157600000000002</v>
      </c>
      <c r="EN48">
        <v>18.796600000000002</v>
      </c>
      <c r="EO48">
        <v>0.32525199999999999</v>
      </c>
    </row>
    <row r="49" spans="1:145" x14ac:dyDescent="0.2">
      <c r="A49" s="305"/>
      <c r="B49" s="27"/>
      <c r="C49" s="367"/>
      <c r="D49" s="267"/>
      <c r="E49" s="28" t="s">
        <v>0</v>
      </c>
      <c r="F49" s="28" t="s">
        <v>24</v>
      </c>
      <c r="G49" s="28" t="s">
        <v>24</v>
      </c>
      <c r="H49" s="28" t="s">
        <v>24</v>
      </c>
      <c r="I49" s="28" t="s">
        <v>24</v>
      </c>
      <c r="J49" s="28" t="s">
        <v>24</v>
      </c>
      <c r="K49" s="28" t="s">
        <v>24</v>
      </c>
      <c r="L49" s="29"/>
      <c r="AD49" s="94"/>
      <c r="AE49" s="94">
        <v>373.786</v>
      </c>
      <c r="AF49" s="94">
        <v>373.74400000000003</v>
      </c>
      <c r="AG49" s="94">
        <v>798.279</v>
      </c>
      <c r="AH49" s="94">
        <v>2.58754E-2</v>
      </c>
      <c r="AI49" s="94">
        <v>3.3411199999999999E-3</v>
      </c>
      <c r="AJ49" s="94">
        <v>102</v>
      </c>
      <c r="AK49" s="94">
        <v>8.3107299999999995E-2</v>
      </c>
      <c r="AL49" s="94">
        <v>31.5883</v>
      </c>
      <c r="AM49" s="94">
        <v>1.8259300000000001</v>
      </c>
      <c r="AN49" s="94">
        <v>1.8259300000000001</v>
      </c>
      <c r="AO49" s="94">
        <v>6.1006400000000001E-3</v>
      </c>
      <c r="AP49" s="94">
        <v>1.8198300000000001</v>
      </c>
      <c r="AQ49" s="94"/>
      <c r="AR49" s="94">
        <v>8.1073000000000004</v>
      </c>
      <c r="AS49" s="94">
        <v>207.45599999999999</v>
      </c>
      <c r="AT49" s="94">
        <v>3.5214599999999998</v>
      </c>
      <c r="AU49" s="94">
        <v>47.2042</v>
      </c>
      <c r="AV49" s="94">
        <v>3.5223</v>
      </c>
      <c r="AW49" s="94">
        <v>62.526299999999999</v>
      </c>
      <c r="AX49" s="94">
        <v>3.7194400000000001</v>
      </c>
      <c r="AY49" s="94">
        <v>52.3352</v>
      </c>
      <c r="AZ49" s="94">
        <v>52.3352</v>
      </c>
      <c r="BA49" s="94">
        <v>8.6786999999999992</v>
      </c>
      <c r="BB49" s="94">
        <v>18.810500000000001</v>
      </c>
      <c r="BC49" s="94">
        <v>3.4278799999999999E-3</v>
      </c>
      <c r="BD49" s="94"/>
      <c r="BE49" s="94"/>
      <c r="BF49" s="94"/>
      <c r="BG49" s="94"/>
      <c r="BH49" s="94"/>
      <c r="BI49" s="94">
        <v>373.786</v>
      </c>
      <c r="BJ49" s="94">
        <v>373.74400000000003</v>
      </c>
      <c r="BK49" s="94">
        <v>891.12900000000002</v>
      </c>
      <c r="BL49" s="94">
        <v>2.92532E-2</v>
      </c>
      <c r="BM49" s="94">
        <v>3.7763599999999999E-3</v>
      </c>
      <c r="BN49" s="94">
        <v>102</v>
      </c>
      <c r="BO49" s="94">
        <v>9.5675399999999994E-2</v>
      </c>
      <c r="BP49" s="94">
        <v>35.722099999999998</v>
      </c>
      <c r="BQ49" s="94">
        <v>1.84372</v>
      </c>
      <c r="BR49" s="94">
        <v>1.84372</v>
      </c>
      <c r="BS49" s="94">
        <v>6.9625399999999997E-3</v>
      </c>
      <c r="BT49" s="94">
        <v>1.8367500000000001</v>
      </c>
      <c r="BU49" s="94"/>
      <c r="BV49" s="94">
        <v>7.5236900000000002</v>
      </c>
      <c r="BW49" s="94">
        <v>195.113</v>
      </c>
      <c r="BX49" s="94">
        <v>3.78057</v>
      </c>
      <c r="BY49" s="94">
        <v>47.204799999999999</v>
      </c>
      <c r="BZ49" s="94">
        <v>3.9834900000000002</v>
      </c>
      <c r="CA49">
        <v>62.540500000000002</v>
      </c>
      <c r="CB49">
        <v>4.2046299999999999</v>
      </c>
      <c r="CC49">
        <v>50.032299999999999</v>
      </c>
      <c r="CD49">
        <v>50.032299999999999</v>
      </c>
      <c r="CE49">
        <v>8.0499799999999997</v>
      </c>
      <c r="CF49">
        <v>18.822099999999999</v>
      </c>
      <c r="CG49">
        <v>3.8567900000000001E-3</v>
      </c>
      <c r="CM49">
        <v>373.786</v>
      </c>
      <c r="CN49">
        <v>373.74400000000003</v>
      </c>
      <c r="CO49">
        <v>924.31200000000001</v>
      </c>
      <c r="CP49">
        <v>2.9915600000000001E-2</v>
      </c>
      <c r="CQ49">
        <v>7.6970600000000004E-3</v>
      </c>
      <c r="CR49">
        <v>102</v>
      </c>
      <c r="CS49">
        <v>0.88183800000000001</v>
      </c>
      <c r="CT49">
        <v>35.825699999999998</v>
      </c>
      <c r="CU49">
        <v>6.0449299999999999</v>
      </c>
      <c r="CV49">
        <v>6.0449299999999999</v>
      </c>
      <c r="CW49">
        <v>4.6528199999999999E-2</v>
      </c>
      <c r="CX49">
        <v>5.9984000000000002</v>
      </c>
      <c r="CY49">
        <v>0</v>
      </c>
      <c r="CZ49">
        <v>7.7770200000000003</v>
      </c>
      <c r="DA49">
        <v>194.78700000000001</v>
      </c>
      <c r="DB49">
        <v>12.416399999999999</v>
      </c>
      <c r="DC49">
        <v>47.143500000000003</v>
      </c>
      <c r="DD49">
        <v>3.7670499999999998</v>
      </c>
      <c r="DE49">
        <v>62.479900000000001</v>
      </c>
      <c r="DF49">
        <v>4.2189699999999997</v>
      </c>
      <c r="DG49">
        <v>50.925800000000002</v>
      </c>
      <c r="DH49">
        <v>50.925800000000002</v>
      </c>
      <c r="DI49">
        <v>8.2946799999999996</v>
      </c>
      <c r="DJ49">
        <v>18.815200000000001</v>
      </c>
      <c r="DK49">
        <v>7.7995699999999996E-3</v>
      </c>
      <c r="DQ49">
        <v>373.786</v>
      </c>
      <c r="DR49">
        <v>373.74400000000003</v>
      </c>
      <c r="DS49">
        <v>719.33199999999999</v>
      </c>
      <c r="DT49">
        <v>0.16843</v>
      </c>
      <c r="DU49">
        <v>0.35653200000000002</v>
      </c>
      <c r="DV49">
        <v>105</v>
      </c>
      <c r="DW49">
        <v>0.19196299999999999</v>
      </c>
      <c r="DX49">
        <v>192.53200000000001</v>
      </c>
      <c r="DY49">
        <v>0.154145</v>
      </c>
      <c r="DZ49">
        <v>2.9547099999999999</v>
      </c>
      <c r="EA49">
        <v>5.4957600000000002E-2</v>
      </c>
      <c r="EB49">
        <v>1.90126</v>
      </c>
      <c r="EC49">
        <v>0</v>
      </c>
      <c r="ED49">
        <v>8.8503100000000003</v>
      </c>
      <c r="EE49">
        <v>184.416</v>
      </c>
      <c r="EF49">
        <v>4.2810600000000001</v>
      </c>
      <c r="EG49">
        <v>47.1828</v>
      </c>
      <c r="EH49">
        <v>3.1212300000000002</v>
      </c>
      <c r="EI49">
        <v>62.494700000000002</v>
      </c>
      <c r="EJ49">
        <v>4.7892599999999996</v>
      </c>
      <c r="EK49">
        <v>54.332900000000002</v>
      </c>
      <c r="EL49">
        <v>54.332900000000002</v>
      </c>
      <c r="EM49">
        <v>9.2367699999999999</v>
      </c>
      <c r="EN49">
        <v>18.799199999999999</v>
      </c>
      <c r="EO49">
        <v>0.33146799999999998</v>
      </c>
    </row>
    <row r="50" spans="1:145" x14ac:dyDescent="0.2">
      <c r="A50" s="74">
        <v>0</v>
      </c>
      <c r="B50" s="303" t="s">
        <v>23</v>
      </c>
      <c r="C50" s="368">
        <v>0</v>
      </c>
      <c r="D50" s="1" t="s">
        <v>147</v>
      </c>
      <c r="E50" s="277">
        <v>0</v>
      </c>
      <c r="F50" s="7"/>
      <c r="K50" s="1"/>
      <c r="L50" s="1"/>
      <c r="AD50" s="94"/>
      <c r="AE50" s="94">
        <v>448.54399999999998</v>
      </c>
      <c r="AF50" s="94">
        <v>448.49200000000002</v>
      </c>
      <c r="AG50" s="94">
        <v>804.63199999999995</v>
      </c>
      <c r="AH50" s="94">
        <v>2.59017E-2</v>
      </c>
      <c r="AI50" s="94">
        <v>3.3457999999999999E-3</v>
      </c>
      <c r="AJ50" s="94">
        <v>102</v>
      </c>
      <c r="AK50" s="94">
        <v>9.8138699999999995E-2</v>
      </c>
      <c r="AL50" s="94">
        <v>37.9253</v>
      </c>
      <c r="AM50" s="94">
        <v>1.8240700000000001</v>
      </c>
      <c r="AN50" s="94">
        <v>1.8240700000000001</v>
      </c>
      <c r="AO50" s="94">
        <v>6.1029700000000001E-3</v>
      </c>
      <c r="AP50" s="94">
        <v>1.8179700000000001</v>
      </c>
      <c r="AQ50" s="94"/>
      <c r="AR50" s="94">
        <v>8.0983999999999998</v>
      </c>
      <c r="AS50" s="94">
        <v>207.351</v>
      </c>
      <c r="AT50" s="94">
        <v>3.51966</v>
      </c>
      <c r="AU50" s="94">
        <v>47.179000000000002</v>
      </c>
      <c r="AV50" s="94">
        <v>3.52589</v>
      </c>
      <c r="AW50" s="94">
        <v>62.501899999999999</v>
      </c>
      <c r="AX50" s="94">
        <v>3.7232099999999999</v>
      </c>
      <c r="AY50" s="94">
        <v>52.2346</v>
      </c>
      <c r="AZ50" s="94">
        <v>52.2346</v>
      </c>
      <c r="BA50" s="94">
        <v>8.6540300000000006</v>
      </c>
      <c r="BB50" s="94">
        <v>18.8081</v>
      </c>
      <c r="BC50" s="94">
        <v>3.4142700000000001E-3</v>
      </c>
      <c r="BD50" s="94"/>
      <c r="BE50" s="94"/>
      <c r="BF50" s="94"/>
      <c r="BG50" s="94"/>
      <c r="BH50" s="94"/>
      <c r="BI50" s="94">
        <v>448.54399999999998</v>
      </c>
      <c r="BJ50" s="94">
        <v>448.49200000000002</v>
      </c>
      <c r="BK50" s="94">
        <v>898.31</v>
      </c>
      <c r="BL50" s="94">
        <v>2.9278499999999999E-2</v>
      </c>
      <c r="BM50" s="94">
        <v>3.78109E-3</v>
      </c>
      <c r="BN50" s="94">
        <v>102</v>
      </c>
      <c r="BO50" s="94">
        <v>0.112765</v>
      </c>
      <c r="BP50" s="94">
        <v>42.885199999999998</v>
      </c>
      <c r="BQ50" s="94">
        <v>1.84212</v>
      </c>
      <c r="BR50" s="94">
        <v>1.84212</v>
      </c>
      <c r="BS50" s="94">
        <v>6.9652000000000004E-3</v>
      </c>
      <c r="BT50" s="94">
        <v>1.8351500000000001</v>
      </c>
      <c r="BU50" s="94"/>
      <c r="BV50" s="94">
        <v>7.5159500000000001</v>
      </c>
      <c r="BW50" s="94">
        <v>195.02799999999999</v>
      </c>
      <c r="BX50" s="94">
        <v>3.7789299999999999</v>
      </c>
      <c r="BY50" s="94">
        <v>47.180199999999999</v>
      </c>
      <c r="BZ50" s="94">
        <v>3.9869699999999999</v>
      </c>
      <c r="CA50">
        <v>62.515999999999998</v>
      </c>
      <c r="CB50">
        <v>4.2082699999999997</v>
      </c>
      <c r="CC50">
        <v>49.935400000000001</v>
      </c>
      <c r="CD50">
        <v>49.935400000000001</v>
      </c>
      <c r="CE50">
        <v>8.0272600000000001</v>
      </c>
      <c r="CF50">
        <v>18.819199999999999</v>
      </c>
      <c r="CG50">
        <v>3.8442400000000001E-3</v>
      </c>
      <c r="CM50">
        <v>448.54399999999998</v>
      </c>
      <c r="CN50">
        <v>448.49200000000002</v>
      </c>
      <c r="CO50">
        <v>931.65700000000004</v>
      </c>
      <c r="CP50">
        <v>2.99472E-2</v>
      </c>
      <c r="CQ50">
        <v>7.7087800000000001E-3</v>
      </c>
      <c r="CR50">
        <v>102</v>
      </c>
      <c r="CS50">
        <v>1.0370699999999999</v>
      </c>
      <c r="CT50">
        <v>43.014499999999998</v>
      </c>
      <c r="CU50">
        <v>6.0383100000000001</v>
      </c>
      <c r="CV50">
        <v>6.0383100000000001</v>
      </c>
      <c r="CW50">
        <v>4.6547999999999999E-2</v>
      </c>
      <c r="CX50">
        <v>5.9917600000000002</v>
      </c>
      <c r="CY50">
        <v>0</v>
      </c>
      <c r="CZ50">
        <v>7.7675400000000003</v>
      </c>
      <c r="DA50">
        <v>194.68</v>
      </c>
      <c r="DB50">
        <v>12.409599999999999</v>
      </c>
      <c r="DC50">
        <v>47.118400000000001</v>
      </c>
      <c r="DD50">
        <v>3.7712300000000001</v>
      </c>
      <c r="DE50">
        <v>62.452800000000003</v>
      </c>
      <c r="DF50">
        <v>4.2236000000000002</v>
      </c>
      <c r="DG50">
        <v>50.815300000000001</v>
      </c>
      <c r="DH50">
        <v>50.815300000000001</v>
      </c>
      <c r="DI50">
        <v>8.2701200000000004</v>
      </c>
      <c r="DJ50">
        <v>18.810400000000001</v>
      </c>
      <c r="DK50">
        <v>7.7845199999999996E-3</v>
      </c>
      <c r="DQ50">
        <v>448.54399999999998</v>
      </c>
      <c r="DR50">
        <v>448.49200000000002</v>
      </c>
      <c r="DS50">
        <v>762.04899999999998</v>
      </c>
      <c r="DT50">
        <v>0.17416499999999999</v>
      </c>
      <c r="DU50">
        <v>0.36866199999999999</v>
      </c>
      <c r="DV50">
        <v>105</v>
      </c>
      <c r="DW50">
        <v>0.22303000000000001</v>
      </c>
      <c r="DX50">
        <v>235.21199999999999</v>
      </c>
      <c r="DY50">
        <v>0.149116</v>
      </c>
      <c r="DZ50">
        <v>2.8448199999999999</v>
      </c>
      <c r="EA50">
        <v>5.4973399999999999E-2</v>
      </c>
      <c r="EB50">
        <v>1.7960400000000001</v>
      </c>
      <c r="EC50">
        <v>0</v>
      </c>
      <c r="ED50">
        <v>8.5550800000000002</v>
      </c>
      <c r="EE50">
        <v>179.38800000000001</v>
      </c>
      <c r="EF50">
        <v>4.1634599999999997</v>
      </c>
      <c r="EG50">
        <v>47.159100000000002</v>
      </c>
      <c r="EH50">
        <v>3.30185</v>
      </c>
      <c r="EI50">
        <v>62.476300000000002</v>
      </c>
      <c r="EJ50">
        <v>5.0592699999999997</v>
      </c>
      <c r="EK50">
        <v>53.315300000000001</v>
      </c>
      <c r="EL50">
        <v>53.315300000000001</v>
      </c>
      <c r="EM50">
        <v>8.9557199999999995</v>
      </c>
      <c r="EN50">
        <v>18.800799999999999</v>
      </c>
      <c r="EO50">
        <v>0.33763300000000002</v>
      </c>
    </row>
    <row r="51" spans="1:145" x14ac:dyDescent="0.2">
      <c r="A51" s="74">
        <v>1</v>
      </c>
      <c r="B51" s="303" t="s">
        <v>363</v>
      </c>
      <c r="C51" s="368">
        <v>1</v>
      </c>
      <c r="D51" s="1" t="s">
        <v>15</v>
      </c>
      <c r="E51" s="277">
        <v>2500</v>
      </c>
      <c r="F51" s="7">
        <v>4</v>
      </c>
      <c r="G51" s="1">
        <v>5.9999999999999995E-4</v>
      </c>
      <c r="K51" s="1"/>
      <c r="L51" s="1">
        <v>1</v>
      </c>
      <c r="AD51" s="94"/>
      <c r="AE51" s="94">
        <v>523.30100000000004</v>
      </c>
      <c r="AF51" s="94">
        <v>523.24099999999999</v>
      </c>
      <c r="AG51" s="94">
        <v>810.99099999999999</v>
      </c>
      <c r="AH51" s="94">
        <v>2.5927800000000001E-2</v>
      </c>
      <c r="AI51" s="94">
        <v>3.3505200000000001E-3</v>
      </c>
      <c r="AJ51" s="94">
        <v>102</v>
      </c>
      <c r="AK51" s="94">
        <v>0.113164</v>
      </c>
      <c r="AL51" s="94">
        <v>44.268799999999999</v>
      </c>
      <c r="AM51" s="94">
        <v>1.82223</v>
      </c>
      <c r="AN51" s="94">
        <v>1.82223</v>
      </c>
      <c r="AO51" s="94">
        <v>6.1054100000000004E-3</v>
      </c>
      <c r="AP51" s="94">
        <v>1.81612</v>
      </c>
      <c r="AQ51" s="94"/>
      <c r="AR51" s="94">
        <v>8.0893300000000004</v>
      </c>
      <c r="AS51" s="94">
        <v>207.24600000000001</v>
      </c>
      <c r="AT51" s="94">
        <v>3.5178799999999999</v>
      </c>
      <c r="AU51" s="94">
        <v>47.153399999999998</v>
      </c>
      <c r="AV51" s="94">
        <v>3.5294699999999999</v>
      </c>
      <c r="AW51" s="94">
        <v>62.476399999999998</v>
      </c>
      <c r="AX51" s="94">
        <v>3.7269700000000001</v>
      </c>
      <c r="AY51" s="94">
        <v>52.130499999999998</v>
      </c>
      <c r="AZ51" s="94">
        <v>52.130499999999998</v>
      </c>
      <c r="BA51" s="94">
        <v>8.6291899999999995</v>
      </c>
      <c r="BB51" s="94">
        <v>18.805</v>
      </c>
      <c r="BC51" s="94">
        <v>3.4052100000000001E-3</v>
      </c>
      <c r="BD51" s="94"/>
      <c r="BE51" s="94"/>
      <c r="BF51" s="94"/>
      <c r="BG51" s="94"/>
      <c r="BH51" s="94"/>
      <c r="BI51" s="94">
        <v>523.30100000000004</v>
      </c>
      <c r="BJ51" s="94">
        <v>523.24099999999999</v>
      </c>
      <c r="BK51" s="94">
        <v>905.49699999999996</v>
      </c>
      <c r="BL51" s="94">
        <v>2.9303800000000001E-2</v>
      </c>
      <c r="BM51" s="94">
        <v>3.7858800000000001E-3</v>
      </c>
      <c r="BN51" s="94">
        <v>102</v>
      </c>
      <c r="BO51" s="94">
        <v>0.12984999999999999</v>
      </c>
      <c r="BP51" s="94">
        <v>50.054600000000001</v>
      </c>
      <c r="BQ51" s="94">
        <v>1.8405199999999999</v>
      </c>
      <c r="BR51" s="94">
        <v>1.8405199999999999</v>
      </c>
      <c r="BS51" s="94">
        <v>6.9679900000000003E-3</v>
      </c>
      <c r="BT51" s="94">
        <v>1.8335600000000001</v>
      </c>
      <c r="BU51" s="94"/>
      <c r="BV51" s="94">
        <v>7.5080600000000004</v>
      </c>
      <c r="BW51" s="94">
        <v>194.94399999999999</v>
      </c>
      <c r="BX51" s="94">
        <v>3.7772899999999998</v>
      </c>
      <c r="BY51" s="94">
        <v>47.155299999999997</v>
      </c>
      <c r="BZ51" s="94">
        <v>3.9904299999999999</v>
      </c>
      <c r="CA51">
        <v>62.490400000000001</v>
      </c>
      <c r="CB51">
        <v>4.2119</v>
      </c>
      <c r="CC51">
        <v>49.835000000000001</v>
      </c>
      <c r="CD51">
        <v>49.835000000000001</v>
      </c>
      <c r="CE51">
        <v>8.0043799999999994</v>
      </c>
      <c r="CF51">
        <v>18.8155</v>
      </c>
      <c r="CG51">
        <v>3.8359399999999999E-3</v>
      </c>
      <c r="CM51">
        <v>523.30100000000004</v>
      </c>
      <c r="CN51">
        <v>523.24099999999999</v>
      </c>
      <c r="CO51">
        <v>939.01</v>
      </c>
      <c r="CP51">
        <v>2.9978899999999999E-2</v>
      </c>
      <c r="CQ51">
        <v>7.7206699999999998E-3</v>
      </c>
      <c r="CR51">
        <v>102</v>
      </c>
      <c r="CS51">
        <v>1.19217</v>
      </c>
      <c r="CT51">
        <v>50.211100000000002</v>
      </c>
      <c r="CU51">
        <v>6.0316799999999997</v>
      </c>
      <c r="CV51">
        <v>6.0316799999999997</v>
      </c>
      <c r="CW51">
        <v>4.6568600000000002E-2</v>
      </c>
      <c r="CX51">
        <v>5.9851099999999997</v>
      </c>
      <c r="CY51">
        <v>0</v>
      </c>
      <c r="CZ51">
        <v>7.7579000000000002</v>
      </c>
      <c r="DA51">
        <v>194.57300000000001</v>
      </c>
      <c r="DB51">
        <v>12.402799999999999</v>
      </c>
      <c r="DC51">
        <v>47.0931</v>
      </c>
      <c r="DD51">
        <v>3.7754300000000001</v>
      </c>
      <c r="DE51">
        <v>62.424599999999998</v>
      </c>
      <c r="DF51">
        <v>4.2282400000000004</v>
      </c>
      <c r="DG51">
        <v>50.701500000000003</v>
      </c>
      <c r="DH51">
        <v>50.701500000000003</v>
      </c>
      <c r="DI51">
        <v>8.2454099999999997</v>
      </c>
      <c r="DJ51">
        <v>18.8049</v>
      </c>
      <c r="DK51">
        <v>7.7754399999999998E-3</v>
      </c>
      <c r="DQ51">
        <v>523.30100000000004</v>
      </c>
      <c r="DR51">
        <v>523.24099999999999</v>
      </c>
      <c r="DS51">
        <v>806.18299999999999</v>
      </c>
      <c r="DT51">
        <v>0.17994599999999999</v>
      </c>
      <c r="DU51">
        <v>0.38093100000000002</v>
      </c>
      <c r="DV51">
        <v>105</v>
      </c>
      <c r="DW51">
        <v>0.252554</v>
      </c>
      <c r="DX51">
        <v>279.31200000000001</v>
      </c>
      <c r="DY51">
        <v>0.14435700000000001</v>
      </c>
      <c r="DZ51">
        <v>2.7443900000000001</v>
      </c>
      <c r="EA51">
        <v>5.4989999999999997E-2</v>
      </c>
      <c r="EB51">
        <v>1.6989700000000001</v>
      </c>
      <c r="EC51">
        <v>0</v>
      </c>
      <c r="ED51">
        <v>8.2736099999999997</v>
      </c>
      <c r="EE51">
        <v>174.62200000000001</v>
      </c>
      <c r="EF51">
        <v>4.0519800000000004</v>
      </c>
      <c r="EG51">
        <v>47.135599999999997</v>
      </c>
      <c r="EH51">
        <v>3.48821</v>
      </c>
      <c r="EI51">
        <v>62.457000000000001</v>
      </c>
      <c r="EJ51">
        <v>5.3369999999999997</v>
      </c>
      <c r="EK51">
        <v>52.278799999999997</v>
      </c>
      <c r="EL51">
        <v>52.278799999999997</v>
      </c>
      <c r="EM51">
        <v>8.6730599999999995</v>
      </c>
      <c r="EN51">
        <v>18.801500000000001</v>
      </c>
      <c r="EO51">
        <v>0.34378999999999998</v>
      </c>
    </row>
    <row r="52" spans="1:145" x14ac:dyDescent="0.2">
      <c r="A52" s="74">
        <v>2</v>
      </c>
      <c r="B52" s="303" t="s">
        <v>364</v>
      </c>
      <c r="C52" s="368">
        <v>1</v>
      </c>
      <c r="D52" s="1" t="s">
        <v>15</v>
      </c>
      <c r="E52" s="277">
        <v>3500</v>
      </c>
      <c r="F52" s="7">
        <v>3</v>
      </c>
      <c r="G52" s="1">
        <v>5.9999999999999995E-4</v>
      </c>
      <c r="K52" s="1"/>
      <c r="L52" s="1">
        <v>1</v>
      </c>
      <c r="AD52" s="94"/>
      <c r="AE52" s="94"/>
      <c r="AF52" s="94"/>
      <c r="AG52" s="94"/>
      <c r="AH52" s="94"/>
      <c r="AI52" s="94"/>
      <c r="AJ52" s="94"/>
      <c r="AK52" s="94"/>
      <c r="AL52" s="94"/>
      <c r="AM52" s="94"/>
      <c r="AN52" s="94"/>
      <c r="AO52" s="94"/>
      <c r="AP52" s="94"/>
      <c r="AQ52" s="94"/>
      <c r="AR52" s="94"/>
      <c r="AS52" s="94"/>
      <c r="AT52" s="94"/>
      <c r="AU52" s="94"/>
      <c r="AV52" s="94"/>
      <c r="AW52" s="94"/>
      <c r="AX52" s="94"/>
      <c r="AY52" s="94"/>
      <c r="AZ52" s="94"/>
      <c r="BA52" s="94"/>
      <c r="BB52" s="94"/>
      <c r="BC52" s="94"/>
      <c r="BD52" s="94"/>
      <c r="BE52" s="94"/>
      <c r="BF52" s="94"/>
      <c r="BG52" s="94"/>
      <c r="BH52" s="94"/>
      <c r="BI52" s="94">
        <v>598.05799999999999</v>
      </c>
      <c r="BJ52" s="94">
        <v>597.99</v>
      </c>
      <c r="BK52" s="94">
        <v>912.69100000000003</v>
      </c>
      <c r="BL52" s="94">
        <v>2.9329000000000001E-2</v>
      </c>
      <c r="BM52" s="94">
        <v>3.79073E-3</v>
      </c>
      <c r="BN52" s="94">
        <v>102</v>
      </c>
      <c r="BO52" s="94">
        <v>0.146929</v>
      </c>
      <c r="BP52" s="94">
        <v>57.2301</v>
      </c>
      <c r="BQ52" s="94">
        <v>1.83894</v>
      </c>
      <c r="BR52" s="94">
        <v>1.83894</v>
      </c>
      <c r="BS52" s="94">
        <v>6.9709100000000003E-3</v>
      </c>
      <c r="BT52" s="94">
        <v>1.83196</v>
      </c>
      <c r="BU52" s="94"/>
      <c r="BV52" s="94">
        <v>7.5000099999999996</v>
      </c>
      <c r="BW52" s="94">
        <v>194.86</v>
      </c>
      <c r="BX52" s="94">
        <v>3.7756599999999998</v>
      </c>
      <c r="BY52" s="94">
        <v>47.130099999999999</v>
      </c>
      <c r="BZ52" s="94">
        <v>3.9938899999999999</v>
      </c>
      <c r="CA52">
        <v>62.463700000000003</v>
      </c>
      <c r="CB52">
        <v>4.2155300000000002</v>
      </c>
      <c r="CC52">
        <v>49.731099999999998</v>
      </c>
      <c r="CD52">
        <v>49.731099999999998</v>
      </c>
      <c r="CE52">
        <v>7.9813400000000003</v>
      </c>
      <c r="CF52">
        <v>18.8111</v>
      </c>
      <c r="CG52">
        <v>3.83031E-3</v>
      </c>
      <c r="CM52">
        <v>598.05799999999999</v>
      </c>
      <c r="CN52">
        <v>597.99</v>
      </c>
      <c r="CO52">
        <v>946.37</v>
      </c>
      <c r="CP52">
        <v>3.00109E-2</v>
      </c>
      <c r="CQ52">
        <v>7.73276E-3</v>
      </c>
      <c r="CR52">
        <v>102</v>
      </c>
      <c r="CS52">
        <v>1.3471599999999999</v>
      </c>
      <c r="CT52">
        <v>57.415700000000001</v>
      </c>
      <c r="CU52">
        <v>6.0250199999999996</v>
      </c>
      <c r="CV52">
        <v>6.0250199999999996</v>
      </c>
      <c r="CW52">
        <v>4.6589999999999999E-2</v>
      </c>
      <c r="CX52">
        <v>5.9784300000000004</v>
      </c>
      <c r="CY52">
        <v>0</v>
      </c>
      <c r="CZ52">
        <v>7.7480700000000002</v>
      </c>
      <c r="DA52">
        <v>194.46600000000001</v>
      </c>
      <c r="DB52">
        <v>12.395899999999999</v>
      </c>
      <c r="DC52">
        <v>47.067500000000003</v>
      </c>
      <c r="DD52">
        <v>3.7796599999999998</v>
      </c>
      <c r="DE52">
        <v>62.395499999999998</v>
      </c>
      <c r="DF52">
        <v>4.2329299999999996</v>
      </c>
      <c r="DG52">
        <v>50.584499999999998</v>
      </c>
      <c r="DH52">
        <v>50.584499999999998</v>
      </c>
      <c r="DI52">
        <v>8.2205600000000008</v>
      </c>
      <c r="DJ52">
        <v>18.7987</v>
      </c>
      <c r="DK52">
        <v>7.7701300000000001E-3</v>
      </c>
      <c r="DQ52">
        <v>598.05799999999999</v>
      </c>
      <c r="DR52">
        <v>597.99</v>
      </c>
      <c r="DS52">
        <v>851.74699999999996</v>
      </c>
      <c r="DT52">
        <v>0.18577099999999999</v>
      </c>
      <c r="DU52">
        <v>0.39333299999999999</v>
      </c>
      <c r="DV52">
        <v>105</v>
      </c>
      <c r="DW52">
        <v>0.28064899999999998</v>
      </c>
      <c r="DX52">
        <v>324.84100000000001</v>
      </c>
      <c r="DY52">
        <v>0.139849</v>
      </c>
      <c r="DZ52">
        <v>2.65266</v>
      </c>
      <c r="EA52">
        <v>5.5007399999999998E-2</v>
      </c>
      <c r="EB52">
        <v>1.60928</v>
      </c>
      <c r="EC52">
        <v>0</v>
      </c>
      <c r="ED52">
        <v>8.00502</v>
      </c>
      <c r="EE52">
        <v>170.09899999999999</v>
      </c>
      <c r="EF52">
        <v>3.94624</v>
      </c>
      <c r="EG52">
        <v>47.112299999999998</v>
      </c>
      <c r="EH52">
        <v>3.68024</v>
      </c>
      <c r="EI52">
        <v>62.436900000000001</v>
      </c>
      <c r="EJ52">
        <v>5.6222500000000002</v>
      </c>
      <c r="EK52">
        <v>51.225299999999997</v>
      </c>
      <c r="EL52">
        <v>51.225299999999997</v>
      </c>
      <c r="EM52">
        <v>8.3893199999999997</v>
      </c>
      <c r="EN52">
        <v>18.801300000000001</v>
      </c>
      <c r="EO52">
        <v>0.34995799999999999</v>
      </c>
    </row>
    <row r="53" spans="1:145" x14ac:dyDescent="0.2">
      <c r="A53" s="74"/>
      <c r="B53" s="303" t="s">
        <v>426</v>
      </c>
      <c r="C53" s="368">
        <v>1</v>
      </c>
      <c r="D53" s="1" t="s">
        <v>15</v>
      </c>
      <c r="E53" s="277">
        <v>3700</v>
      </c>
      <c r="F53" s="7">
        <v>2</v>
      </c>
      <c r="K53" s="1"/>
      <c r="L53" s="1"/>
      <c r="AD53" s="94"/>
      <c r="AE53" s="94"/>
      <c r="AF53" s="94"/>
      <c r="AG53" s="94"/>
      <c r="AH53" s="94"/>
      <c r="AI53" s="94"/>
      <c r="AJ53" s="94"/>
      <c r="AK53" s="94"/>
      <c r="AL53" s="94"/>
      <c r="AM53" s="94"/>
      <c r="AN53" s="94"/>
      <c r="AO53" s="94"/>
      <c r="AP53" s="94"/>
      <c r="AQ53" s="94"/>
      <c r="AR53" s="94"/>
      <c r="AS53" s="94"/>
      <c r="AT53" s="94"/>
      <c r="AU53" s="94"/>
      <c r="AV53" s="94"/>
      <c r="AW53" s="94"/>
      <c r="AX53" s="94"/>
      <c r="AY53" s="94"/>
      <c r="AZ53" s="94"/>
      <c r="BA53" s="94"/>
      <c r="BB53" s="94"/>
      <c r="BC53" s="94"/>
      <c r="BD53" s="94"/>
      <c r="BE53" s="94"/>
      <c r="BF53" s="94"/>
      <c r="BG53" s="94"/>
      <c r="BH53" s="94"/>
      <c r="BI53" s="94"/>
      <c r="BJ53" s="94"/>
      <c r="BK53" s="94"/>
      <c r="BL53" s="94"/>
      <c r="BM53" s="94"/>
      <c r="BN53" s="94"/>
      <c r="BO53" s="94"/>
      <c r="BP53" s="94"/>
      <c r="BQ53" s="94"/>
      <c r="BR53" s="94"/>
      <c r="BS53" s="94"/>
      <c r="BT53" s="94"/>
      <c r="BU53" s="94"/>
      <c r="BV53" s="94"/>
      <c r="BW53" s="94"/>
      <c r="BX53" s="94"/>
      <c r="BY53" s="94"/>
      <c r="BZ53" s="94"/>
      <c r="DQ53">
        <v>672.81500000000005</v>
      </c>
      <c r="DR53">
        <v>672.73900000000003</v>
      </c>
      <c r="DS53">
        <v>898.74800000000005</v>
      </c>
      <c r="DT53">
        <v>0.191633</v>
      </c>
      <c r="DU53">
        <v>0.405866</v>
      </c>
      <c r="DV53">
        <v>105</v>
      </c>
      <c r="DW53">
        <v>0.30741800000000002</v>
      </c>
      <c r="DX53">
        <v>371.80900000000003</v>
      </c>
      <c r="DY53">
        <v>0.135576</v>
      </c>
      <c r="DZ53">
        <v>2.5689600000000001</v>
      </c>
      <c r="EA53">
        <v>5.5025499999999998E-2</v>
      </c>
      <c r="EB53">
        <v>1.5263100000000001</v>
      </c>
      <c r="EC53">
        <v>0</v>
      </c>
      <c r="ED53">
        <v>7.7485299999999997</v>
      </c>
      <c r="EE53">
        <v>165.80600000000001</v>
      </c>
      <c r="EF53">
        <v>3.8458600000000001</v>
      </c>
      <c r="EG53">
        <v>47.089199999999998</v>
      </c>
      <c r="EH53">
        <v>3.8778700000000002</v>
      </c>
      <c r="EI53">
        <v>62.415799999999997</v>
      </c>
      <c r="EJ53">
        <v>5.9148100000000001</v>
      </c>
      <c r="EK53">
        <v>50.156500000000001</v>
      </c>
      <c r="EL53">
        <v>50.156500000000001</v>
      </c>
      <c r="EM53">
        <v>8.1050599999999999</v>
      </c>
      <c r="EN53">
        <v>18.8003</v>
      </c>
      <c r="EO53">
        <v>0.35614699999999999</v>
      </c>
    </row>
    <row r="54" spans="1:145" x14ac:dyDescent="0.2">
      <c r="A54" s="74"/>
      <c r="B54" s="303" t="s">
        <v>341</v>
      </c>
      <c r="C54" s="368">
        <v>3</v>
      </c>
      <c r="D54" s="1" t="s">
        <v>341</v>
      </c>
      <c r="E54" s="277">
        <v>3700</v>
      </c>
      <c r="F54" s="7">
        <v>0.1</v>
      </c>
      <c r="K54" s="1"/>
      <c r="L54" s="1"/>
      <c r="AD54" s="94"/>
      <c r="AE54" s="94"/>
      <c r="AF54" s="94"/>
      <c r="AG54" s="94"/>
      <c r="AH54" s="94"/>
      <c r="AI54" s="94"/>
      <c r="AJ54" s="94"/>
      <c r="AK54" s="94"/>
      <c r="AL54" s="94"/>
      <c r="AM54" s="94"/>
      <c r="AN54" s="94"/>
      <c r="AO54" s="94"/>
      <c r="AP54" s="94"/>
      <c r="AQ54" s="94"/>
      <c r="AR54" s="94"/>
      <c r="AS54" s="94"/>
      <c r="AT54" s="94"/>
      <c r="AU54" s="94"/>
      <c r="AV54" s="94"/>
      <c r="AW54" s="94"/>
      <c r="AX54" s="94"/>
      <c r="AY54" s="94"/>
      <c r="AZ54" s="94"/>
      <c r="BA54" s="94"/>
      <c r="BB54" s="94"/>
      <c r="BC54" s="94"/>
      <c r="BD54" s="94"/>
      <c r="BE54" s="94"/>
      <c r="BF54" s="94"/>
      <c r="BG54" s="94"/>
      <c r="BH54" s="94"/>
      <c r="BI54" s="94"/>
      <c r="BJ54" s="94"/>
      <c r="BK54" s="94"/>
      <c r="BL54" s="94"/>
      <c r="BM54" s="94"/>
      <c r="BN54" s="94"/>
      <c r="BO54" s="94"/>
      <c r="BP54" s="94"/>
      <c r="BQ54" s="94"/>
      <c r="BR54" s="94"/>
      <c r="BS54" s="94"/>
      <c r="BT54" s="94"/>
      <c r="BU54" s="94"/>
      <c r="BV54" s="94"/>
      <c r="BW54" s="94"/>
      <c r="BX54" s="94"/>
      <c r="BY54" s="94"/>
      <c r="BZ54" s="94"/>
      <c r="DQ54">
        <v>747.57299999999998</v>
      </c>
      <c r="DR54">
        <v>747.48699999999997</v>
      </c>
      <c r="DS54">
        <v>947.19500000000005</v>
      </c>
      <c r="DT54">
        <v>0.19752800000000001</v>
      </c>
      <c r="DU54">
        <v>0.41852099999999998</v>
      </c>
      <c r="DV54">
        <v>105</v>
      </c>
      <c r="DW54">
        <v>0.332955</v>
      </c>
      <c r="DX54">
        <v>420.22399999999999</v>
      </c>
      <c r="DY54">
        <v>0.131521</v>
      </c>
      <c r="DZ54">
        <v>2.4927000000000001</v>
      </c>
      <c r="EA54">
        <v>5.50444E-2</v>
      </c>
      <c r="EB54">
        <v>1.4494499999999999</v>
      </c>
      <c r="EC54">
        <v>0</v>
      </c>
      <c r="ED54">
        <v>7.5034299999999998</v>
      </c>
      <c r="EE54">
        <v>161.72800000000001</v>
      </c>
      <c r="EF54">
        <v>3.7505299999999999</v>
      </c>
      <c r="EG54">
        <v>47.066200000000002</v>
      </c>
      <c r="EH54">
        <v>4.0809699999999998</v>
      </c>
      <c r="EI54">
        <v>62.393999999999998</v>
      </c>
      <c r="EJ54">
        <v>6.2144399999999997</v>
      </c>
      <c r="EK54">
        <v>49.074199999999998</v>
      </c>
      <c r="EL54">
        <v>49.074199999999998</v>
      </c>
      <c r="EM54">
        <v>7.8208399999999996</v>
      </c>
      <c r="EN54">
        <v>18.798400000000001</v>
      </c>
      <c r="EO54">
        <v>0.36236400000000002</v>
      </c>
    </row>
    <row r="55" spans="1:145" x14ac:dyDescent="0.2">
      <c r="A55" s="74">
        <v>3</v>
      </c>
      <c r="B55" s="303" t="s">
        <v>365</v>
      </c>
      <c r="C55" s="368">
        <v>1</v>
      </c>
      <c r="D55" s="1" t="s">
        <v>15</v>
      </c>
      <c r="E55" s="277">
        <v>3800</v>
      </c>
      <c r="F55" s="7">
        <v>2</v>
      </c>
      <c r="G55" s="1">
        <v>5.9999999999999995E-4</v>
      </c>
      <c r="K55" s="1"/>
      <c r="L55" s="1">
        <v>1</v>
      </c>
      <c r="AD55" s="94"/>
      <c r="AE55" s="94"/>
      <c r="AF55" s="94"/>
      <c r="AG55" s="94"/>
      <c r="AH55" s="94"/>
      <c r="AI55" s="94"/>
      <c r="AJ55" s="94"/>
      <c r="AK55" s="94"/>
      <c r="AL55" s="94"/>
      <c r="AM55" s="94"/>
      <c r="AN55" s="94"/>
      <c r="AO55" s="94"/>
      <c r="AP55" s="94"/>
      <c r="AQ55" s="94"/>
      <c r="AR55" s="94"/>
      <c r="AS55" s="94"/>
      <c r="AT55" s="94"/>
      <c r="AU55" s="94"/>
      <c r="AV55" s="94"/>
      <c r="AW55" s="94"/>
      <c r="AX55" s="94"/>
      <c r="AY55" s="94"/>
      <c r="AZ55" s="94"/>
      <c r="BA55" s="94"/>
      <c r="BB55" s="94"/>
      <c r="BC55" s="94"/>
      <c r="BD55" s="94"/>
      <c r="BE55" s="94"/>
      <c r="BF55" s="94"/>
      <c r="BG55" s="94"/>
      <c r="BH55" s="94"/>
      <c r="BI55" s="94"/>
      <c r="BJ55" s="94"/>
      <c r="BK55" s="94"/>
      <c r="BL55" s="94"/>
      <c r="BM55" s="94"/>
      <c r="BN55" s="94"/>
      <c r="BO55" s="94"/>
      <c r="BP55" s="94"/>
      <c r="BQ55" s="94"/>
      <c r="BR55" s="94"/>
      <c r="BS55" s="94"/>
      <c r="BT55" s="94"/>
      <c r="BU55" s="94"/>
      <c r="BV55" s="94"/>
      <c r="BW55" s="94"/>
      <c r="BX55" s="94"/>
      <c r="BY55" s="94"/>
      <c r="BZ55" s="94"/>
      <c r="CM55">
        <v>672.81500000000005</v>
      </c>
      <c r="CN55">
        <v>672.73900000000003</v>
      </c>
      <c r="CO55">
        <v>953.73900000000003</v>
      </c>
      <c r="CP55">
        <v>3.00431E-2</v>
      </c>
      <c r="CQ55">
        <v>7.7450499999999999E-3</v>
      </c>
      <c r="CR55">
        <v>102</v>
      </c>
      <c r="CS55">
        <v>1.50203</v>
      </c>
      <c r="CT55">
        <v>64.628399999999999</v>
      </c>
      <c r="CU55">
        <v>6.0183099999999996</v>
      </c>
      <c r="CV55">
        <v>6.0183099999999996</v>
      </c>
      <c r="CW55">
        <v>4.6612099999999997E-2</v>
      </c>
      <c r="CX55">
        <v>5.9717000000000002</v>
      </c>
      <c r="CY55">
        <v>0</v>
      </c>
      <c r="CZ55">
        <v>7.7380500000000003</v>
      </c>
      <c r="DA55">
        <v>194.358</v>
      </c>
      <c r="DB55">
        <v>12.388999999999999</v>
      </c>
      <c r="DC55">
        <v>47.041800000000002</v>
      </c>
      <c r="DD55">
        <v>3.7839499999999999</v>
      </c>
      <c r="DE55">
        <v>62.365400000000001</v>
      </c>
      <c r="DF55">
        <v>4.23766</v>
      </c>
      <c r="DG55">
        <v>50.464199999999998</v>
      </c>
      <c r="DH55">
        <v>50.464199999999998</v>
      </c>
      <c r="DI55">
        <v>8.1955600000000004</v>
      </c>
      <c r="DJ55">
        <v>18.791899999999998</v>
      </c>
      <c r="DK55">
        <v>7.7673500000000001E-3</v>
      </c>
      <c r="DQ55">
        <v>822.33</v>
      </c>
      <c r="DR55">
        <v>822.23599999999999</v>
      </c>
      <c r="DS55">
        <v>997.09500000000003</v>
      </c>
      <c r="DT55">
        <v>0.20345099999999999</v>
      </c>
      <c r="DU55">
        <v>0.43129299999999998</v>
      </c>
      <c r="DV55">
        <v>105</v>
      </c>
      <c r="DW55">
        <v>0.357346</v>
      </c>
      <c r="DX55">
        <v>470.09300000000002</v>
      </c>
      <c r="DY55">
        <v>0.12767200000000001</v>
      </c>
      <c r="DZ55">
        <v>2.4233600000000002</v>
      </c>
      <c r="EA55">
        <v>5.5064000000000002E-2</v>
      </c>
      <c r="EB55">
        <v>1.37818</v>
      </c>
      <c r="EC55">
        <v>0</v>
      </c>
      <c r="ED55">
        <v>7.2690700000000001</v>
      </c>
      <c r="EE55">
        <v>157.852</v>
      </c>
      <c r="EF55">
        <v>3.6599400000000002</v>
      </c>
      <c r="EG55">
        <v>47.043300000000002</v>
      </c>
      <c r="EH55">
        <v>4.2894100000000002</v>
      </c>
      <c r="EI55">
        <v>62.371400000000001</v>
      </c>
      <c r="EJ55">
        <v>6.5208700000000004</v>
      </c>
      <c r="EK55">
        <v>47.980699999999999</v>
      </c>
      <c r="EL55">
        <v>47.980699999999999</v>
      </c>
      <c r="EM55">
        <v>7.5372500000000002</v>
      </c>
      <c r="EN55">
        <v>18.7959</v>
      </c>
      <c r="EO55">
        <v>0.368612</v>
      </c>
    </row>
    <row r="56" spans="1:145" x14ac:dyDescent="0.2">
      <c r="A56" s="74">
        <v>4</v>
      </c>
      <c r="B56" s="303" t="s">
        <v>366</v>
      </c>
      <c r="C56" s="368">
        <v>1</v>
      </c>
      <c r="D56" s="1" t="s">
        <v>15</v>
      </c>
      <c r="E56" s="277">
        <v>4000</v>
      </c>
      <c r="F56" s="7">
        <v>2</v>
      </c>
      <c r="G56" s="1">
        <v>5.9999999999999995E-4</v>
      </c>
      <c r="K56" s="1"/>
      <c r="L56" s="1">
        <v>1</v>
      </c>
      <c r="AD56" s="94"/>
      <c r="AE56" s="94">
        <v>598.05799999999999</v>
      </c>
      <c r="AF56" s="94">
        <v>597.99</v>
      </c>
      <c r="AG56" s="94">
        <v>817.35699999999997</v>
      </c>
      <c r="AH56" s="94">
        <v>2.5953899999999998E-2</v>
      </c>
      <c r="AI56" s="94">
        <v>3.3553099999999998E-3</v>
      </c>
      <c r="AJ56" s="94">
        <v>102</v>
      </c>
      <c r="AK56" s="94">
        <v>0.12818299999999999</v>
      </c>
      <c r="AL56" s="94">
        <v>50.618699999999997</v>
      </c>
      <c r="AM56" s="94">
        <v>1.82039</v>
      </c>
      <c r="AN56" s="94">
        <v>1.82039</v>
      </c>
      <c r="AO56" s="94">
        <v>6.1079699999999999E-3</v>
      </c>
      <c r="AP56" s="94">
        <v>1.8142799999999999</v>
      </c>
      <c r="AQ56" s="94"/>
      <c r="AR56" s="94">
        <v>8.0801099999999995</v>
      </c>
      <c r="AS56" s="94">
        <v>207.14099999999999</v>
      </c>
      <c r="AT56" s="94">
        <v>3.5160999999999998</v>
      </c>
      <c r="AU56" s="94">
        <v>47.127600000000001</v>
      </c>
      <c r="AV56" s="94">
        <v>3.5330400000000002</v>
      </c>
      <c r="AW56" s="94">
        <v>62.4497</v>
      </c>
      <c r="AX56" s="94">
        <v>3.7307299999999999</v>
      </c>
      <c r="AY56" s="94">
        <v>52.0227</v>
      </c>
      <c r="AZ56" s="94">
        <v>52.0227</v>
      </c>
      <c r="BA56" s="94">
        <v>8.6041899999999991</v>
      </c>
      <c r="BB56" s="94">
        <v>18.801100000000002</v>
      </c>
      <c r="BC56" s="94">
        <v>3.3990000000000001E-3</v>
      </c>
      <c r="BD56" s="94"/>
      <c r="BE56" s="94"/>
      <c r="BF56" s="94"/>
      <c r="BG56" s="94"/>
      <c r="BH56" s="94"/>
      <c r="BI56" s="94">
        <v>672.81500000000005</v>
      </c>
      <c r="BJ56" s="94">
        <v>672.73900000000003</v>
      </c>
      <c r="BK56" s="94">
        <v>919.89</v>
      </c>
      <c r="BL56" s="94">
        <v>2.93542E-2</v>
      </c>
      <c r="BM56" s="94">
        <v>3.7956499999999998E-3</v>
      </c>
      <c r="BN56" s="94">
        <v>102</v>
      </c>
      <c r="BO56" s="94">
        <v>0.16400400000000001</v>
      </c>
      <c r="BP56" s="94">
        <v>64.411699999999996</v>
      </c>
      <c r="BQ56" s="94">
        <v>1.83735</v>
      </c>
      <c r="BR56" s="94">
        <v>1.83735</v>
      </c>
      <c r="BS56" s="94">
        <v>6.9739499999999996E-3</v>
      </c>
      <c r="BT56" s="94">
        <v>1.8303799999999999</v>
      </c>
      <c r="BU56" s="94"/>
      <c r="BV56" s="94">
        <v>7.4918100000000001</v>
      </c>
      <c r="BW56" s="94">
        <v>194.77600000000001</v>
      </c>
      <c r="BX56" s="94">
        <v>3.7740300000000002</v>
      </c>
      <c r="BY56" s="94">
        <v>47.104700000000001</v>
      </c>
      <c r="BZ56" s="94">
        <v>3.9973399999999999</v>
      </c>
      <c r="CA56">
        <v>62.435899999999997</v>
      </c>
      <c r="CB56">
        <v>4.21915</v>
      </c>
      <c r="CC56">
        <v>49.624000000000002</v>
      </c>
      <c r="CD56">
        <v>49.624000000000002</v>
      </c>
      <c r="CE56">
        <v>7.9581799999999996</v>
      </c>
      <c r="CF56">
        <v>18.806000000000001</v>
      </c>
      <c r="CG56">
        <v>3.8264699999999998E-3</v>
      </c>
      <c r="CM56">
        <v>747.57299999999998</v>
      </c>
      <c r="CN56">
        <v>747.48699999999997</v>
      </c>
      <c r="CO56">
        <v>961.11599999999999</v>
      </c>
      <c r="CP56">
        <v>3.00758E-2</v>
      </c>
      <c r="CQ56">
        <v>7.7575999999999999E-3</v>
      </c>
      <c r="CR56">
        <v>102</v>
      </c>
      <c r="CS56">
        <v>1.6567700000000001</v>
      </c>
      <c r="CT56">
        <v>71.849100000000007</v>
      </c>
      <c r="CU56">
        <v>6.01152</v>
      </c>
      <c r="CV56">
        <v>6.01152</v>
      </c>
      <c r="CW56">
        <v>4.6635000000000003E-2</v>
      </c>
      <c r="CX56">
        <v>5.9648899999999996</v>
      </c>
      <c r="CY56">
        <v>0</v>
      </c>
      <c r="CZ56">
        <v>7.7278099999999998</v>
      </c>
      <c r="DA56">
        <v>194.24799999999999</v>
      </c>
      <c r="DB56">
        <v>12.382099999999999</v>
      </c>
      <c r="DC56">
        <v>47.015900000000002</v>
      </c>
      <c r="DD56">
        <v>3.7883</v>
      </c>
      <c r="DE56">
        <v>62.334299999999999</v>
      </c>
      <c r="DF56">
        <v>4.24247</v>
      </c>
      <c r="DG56">
        <v>50.340899999999998</v>
      </c>
      <c r="DH56">
        <v>50.340899999999998</v>
      </c>
      <c r="DI56">
        <v>8.1704000000000008</v>
      </c>
      <c r="DJ56">
        <v>18.784300000000002</v>
      </c>
      <c r="DK56">
        <v>7.7663799999999998E-3</v>
      </c>
      <c r="DQ56">
        <v>897.08699999999999</v>
      </c>
      <c r="DR56">
        <v>896.98500000000001</v>
      </c>
      <c r="DS56">
        <v>1048.45</v>
      </c>
      <c r="DT56">
        <v>0.209397</v>
      </c>
      <c r="DU56">
        <v>0.44417699999999999</v>
      </c>
      <c r="DV56">
        <v>105</v>
      </c>
      <c r="DW56">
        <v>0.38067200000000001</v>
      </c>
      <c r="DX56">
        <v>521.42200000000003</v>
      </c>
      <c r="DY56">
        <v>0.124014</v>
      </c>
      <c r="DZ56">
        <v>2.36049</v>
      </c>
      <c r="EA56">
        <v>5.5084300000000003E-2</v>
      </c>
      <c r="EB56">
        <v>1.3120099999999999</v>
      </c>
      <c r="EC56">
        <v>0</v>
      </c>
      <c r="ED56">
        <v>7.0448399999999998</v>
      </c>
      <c r="EE56">
        <v>154.166</v>
      </c>
      <c r="EF56">
        <v>3.5738099999999999</v>
      </c>
      <c r="EG56">
        <v>47.020600000000002</v>
      </c>
      <c r="EH56">
        <v>4.5030799999999997</v>
      </c>
      <c r="EI56">
        <v>62.348100000000002</v>
      </c>
      <c r="EJ56">
        <v>6.8338200000000002</v>
      </c>
      <c r="EK56">
        <v>46.877899999999997</v>
      </c>
      <c r="EL56">
        <v>46.877899999999997</v>
      </c>
      <c r="EM56">
        <v>7.25488</v>
      </c>
      <c r="EN56">
        <v>18.7926</v>
      </c>
      <c r="EO56">
        <v>0.374892</v>
      </c>
    </row>
    <row r="57" spans="1:145" x14ac:dyDescent="0.2">
      <c r="A57" s="74"/>
      <c r="B57" s="303"/>
      <c r="C57" s="368"/>
      <c r="E57" s="277"/>
      <c r="F57" s="7"/>
      <c r="K57" s="1"/>
      <c r="L57" s="1"/>
      <c r="AD57" s="94"/>
      <c r="AE57" s="94">
        <v>672.81500000000005</v>
      </c>
      <c r="AF57" s="94">
        <v>672.73900000000003</v>
      </c>
      <c r="AG57" s="94">
        <v>823.72900000000004</v>
      </c>
      <c r="AH57" s="94">
        <v>2.59799E-2</v>
      </c>
      <c r="AI57" s="94">
        <v>3.3601400000000002E-3</v>
      </c>
      <c r="AJ57" s="94">
        <v>102</v>
      </c>
      <c r="AK57" s="94">
        <v>0.14319599999999999</v>
      </c>
      <c r="AL57" s="94">
        <v>56.974899999999998</v>
      </c>
      <c r="AM57" s="94">
        <v>1.81856</v>
      </c>
      <c r="AN57" s="94">
        <v>1.81856</v>
      </c>
      <c r="AO57" s="94">
        <v>6.1106299999999997E-3</v>
      </c>
      <c r="AP57" s="94">
        <v>1.8124499999999999</v>
      </c>
      <c r="AQ57" s="94"/>
      <c r="AR57" s="94">
        <v>8.0707299999999993</v>
      </c>
      <c r="AS57" s="94">
        <v>207.03700000000001</v>
      </c>
      <c r="AT57" s="94">
        <v>3.5143300000000002</v>
      </c>
      <c r="AU57" s="94">
        <v>47.101500000000001</v>
      </c>
      <c r="AV57" s="94">
        <v>3.5366</v>
      </c>
      <c r="AW57" s="94">
        <v>62.421900000000001</v>
      </c>
      <c r="AX57" s="94">
        <v>3.73447</v>
      </c>
      <c r="AY57" s="94">
        <v>51.9116</v>
      </c>
      <c r="AZ57" s="94">
        <v>51.9116</v>
      </c>
      <c r="BA57" s="94">
        <v>8.5790600000000001</v>
      </c>
      <c r="BB57" s="94">
        <v>18.796500000000002</v>
      </c>
      <c r="BC57" s="94">
        <v>3.3946900000000001E-3</v>
      </c>
      <c r="BD57" s="94"/>
      <c r="BE57" s="94"/>
      <c r="BF57" s="94"/>
      <c r="BG57" s="94"/>
      <c r="BH57" s="94"/>
      <c r="BI57" s="94">
        <v>747.57299999999998</v>
      </c>
      <c r="BJ57" s="94">
        <v>747.48699999999997</v>
      </c>
      <c r="BK57" s="94">
        <v>927.096</v>
      </c>
      <c r="BL57" s="94">
        <v>2.9379300000000001E-2</v>
      </c>
      <c r="BM57" s="94">
        <v>3.8006300000000002E-3</v>
      </c>
      <c r="BN57" s="94">
        <v>102</v>
      </c>
      <c r="BO57" s="94">
        <v>0.18107300000000001</v>
      </c>
      <c r="BP57" s="94">
        <v>71.599599999999995</v>
      </c>
      <c r="BQ57" s="94">
        <v>1.83578</v>
      </c>
      <c r="BR57" s="94">
        <v>1.83578</v>
      </c>
      <c r="BS57" s="94">
        <v>6.9771199999999998E-3</v>
      </c>
      <c r="BT57" s="94">
        <v>1.8288</v>
      </c>
      <c r="BU57" s="94"/>
      <c r="BV57" s="94">
        <v>7.4834500000000004</v>
      </c>
      <c r="BW57" s="94">
        <v>194.69200000000001</v>
      </c>
      <c r="BX57" s="94">
        <v>3.7724099999999998</v>
      </c>
      <c r="BY57" s="94">
        <v>47.079000000000001</v>
      </c>
      <c r="BZ57" s="94">
        <v>4.0007900000000003</v>
      </c>
      <c r="CA57">
        <v>62.406999999999996</v>
      </c>
      <c r="CB57">
        <v>4.2227699999999997</v>
      </c>
      <c r="CC57">
        <v>49.513500000000001</v>
      </c>
      <c r="CD57">
        <v>49.513500000000001</v>
      </c>
      <c r="CE57">
        <v>7.9348700000000001</v>
      </c>
      <c r="CF57">
        <v>18.8002</v>
      </c>
      <c r="CG57">
        <v>3.8238999999999999E-3</v>
      </c>
      <c r="CM57">
        <v>822.33</v>
      </c>
      <c r="CN57">
        <v>822.23599999999999</v>
      </c>
      <c r="CO57">
        <v>968.5</v>
      </c>
      <c r="CP57">
        <v>3.01091E-2</v>
      </c>
      <c r="CQ57">
        <v>7.77043E-3</v>
      </c>
      <c r="CR57">
        <v>102</v>
      </c>
      <c r="CS57">
        <v>1.81138</v>
      </c>
      <c r="CT57">
        <v>79.078199999999995</v>
      </c>
      <c r="CU57">
        <v>6.0046200000000001</v>
      </c>
      <c r="CV57">
        <v>6.0046200000000001</v>
      </c>
      <c r="CW57">
        <v>4.6658499999999999E-2</v>
      </c>
      <c r="CX57">
        <v>5.9579599999999999</v>
      </c>
      <c r="CY57">
        <v>0</v>
      </c>
      <c r="CZ57">
        <v>7.7173600000000002</v>
      </c>
      <c r="DA57">
        <v>194.136</v>
      </c>
      <c r="DB57">
        <v>12.375</v>
      </c>
      <c r="DC57">
        <v>46.989899999999999</v>
      </c>
      <c r="DD57">
        <v>3.7927499999999998</v>
      </c>
      <c r="DE57">
        <v>62.302500000000002</v>
      </c>
      <c r="DF57">
        <v>4.2473900000000002</v>
      </c>
      <c r="DG57">
        <v>50.214399999999998</v>
      </c>
      <c r="DH57">
        <v>50.214399999999998</v>
      </c>
      <c r="DI57">
        <v>8.1450899999999997</v>
      </c>
      <c r="DJ57">
        <v>18.7761</v>
      </c>
      <c r="DK57">
        <v>7.7667500000000002E-3</v>
      </c>
      <c r="DQ57">
        <v>971.84500000000003</v>
      </c>
      <c r="DR57">
        <v>971.73400000000004</v>
      </c>
      <c r="DS57">
        <v>1101.27</v>
      </c>
      <c r="DT57">
        <v>0.215361</v>
      </c>
      <c r="DU57">
        <v>0.45716699999999999</v>
      </c>
      <c r="DV57">
        <v>105</v>
      </c>
      <c r="DW57">
        <v>0.40300399999999997</v>
      </c>
      <c r="DX57">
        <v>574.21299999999997</v>
      </c>
      <c r="DY57">
        <v>0.120536</v>
      </c>
      <c r="DZ57">
        <v>2.3036599999999998</v>
      </c>
      <c r="EA57">
        <v>5.5105099999999997E-2</v>
      </c>
      <c r="EB57">
        <v>1.2504999999999999</v>
      </c>
      <c r="EC57">
        <v>0</v>
      </c>
      <c r="ED57">
        <v>6.8301699999999999</v>
      </c>
      <c r="EE57">
        <v>150.65899999999999</v>
      </c>
      <c r="EF57">
        <v>3.49187</v>
      </c>
      <c r="EG57">
        <v>46.997999999999998</v>
      </c>
      <c r="EH57">
        <v>4.7218499999999999</v>
      </c>
      <c r="EI57">
        <v>62.324199999999998</v>
      </c>
      <c r="EJ57">
        <v>7.1530500000000004</v>
      </c>
      <c r="EK57">
        <v>45.767800000000001</v>
      </c>
      <c r="EL57">
        <v>45.767800000000001</v>
      </c>
      <c r="EM57">
        <v>6.9743000000000004</v>
      </c>
      <c r="EN57">
        <v>18.788799999999998</v>
      </c>
      <c r="EO57">
        <v>0.38120500000000002</v>
      </c>
    </row>
    <row r="58" spans="1:145" x14ac:dyDescent="0.2">
      <c r="A58" s="74"/>
      <c r="B58" s="303"/>
      <c r="C58" s="368"/>
      <c r="E58" s="277"/>
      <c r="F58" s="7"/>
      <c r="K58" s="1"/>
      <c r="L58" s="1"/>
      <c r="AD58" s="94"/>
      <c r="AE58" s="94">
        <v>747.57299999999998</v>
      </c>
      <c r="AF58" s="94">
        <v>747.48699999999997</v>
      </c>
      <c r="AG58" s="94">
        <v>830.10699999999997</v>
      </c>
      <c r="AH58" s="94">
        <v>2.6005799999999999E-2</v>
      </c>
      <c r="AI58" s="94">
        <v>3.3650300000000002E-3</v>
      </c>
      <c r="AJ58" s="94">
        <v>102</v>
      </c>
      <c r="AK58" s="94">
        <v>0.15820200000000001</v>
      </c>
      <c r="AL58" s="94">
        <v>63.337499999999999</v>
      </c>
      <c r="AM58" s="94">
        <v>1.81674</v>
      </c>
      <c r="AN58" s="94">
        <v>1.81674</v>
      </c>
      <c r="AO58" s="94">
        <v>6.1133999999999997E-3</v>
      </c>
      <c r="AP58" s="94">
        <v>1.81063</v>
      </c>
      <c r="AQ58" s="94"/>
      <c r="AR58" s="94">
        <v>8.0611999999999995</v>
      </c>
      <c r="AS58" s="94">
        <v>206.93299999999999</v>
      </c>
      <c r="AT58" s="94">
        <v>3.5125700000000002</v>
      </c>
      <c r="AU58" s="94">
        <v>47.075099999999999</v>
      </c>
      <c r="AV58" s="94">
        <v>3.5401600000000002</v>
      </c>
      <c r="AW58" s="94">
        <v>62.393099999999997</v>
      </c>
      <c r="AX58" s="94">
        <v>3.7382</v>
      </c>
      <c r="AY58" s="94">
        <v>51.796999999999997</v>
      </c>
      <c r="AZ58" s="94">
        <v>51.796999999999997</v>
      </c>
      <c r="BA58" s="94">
        <v>8.5537799999999997</v>
      </c>
      <c r="BB58" s="94">
        <v>18.7912</v>
      </c>
      <c r="BC58" s="94">
        <v>3.3917399999999999E-3</v>
      </c>
      <c r="BD58" s="94"/>
      <c r="BE58" s="94"/>
      <c r="BF58" s="94"/>
      <c r="BG58" s="94"/>
      <c r="BH58" s="94"/>
      <c r="BI58" s="94">
        <v>822.33</v>
      </c>
      <c r="BJ58" s="94">
        <v>822.23599999999999</v>
      </c>
      <c r="BK58" s="94">
        <v>934.30799999999999</v>
      </c>
      <c r="BL58" s="94">
        <v>2.9404400000000001E-2</v>
      </c>
      <c r="BM58" s="94">
        <v>3.80569E-3</v>
      </c>
      <c r="BN58" s="94">
        <v>102</v>
      </c>
      <c r="BO58" s="94">
        <v>0.19813600000000001</v>
      </c>
      <c r="BP58" s="94">
        <v>78.793599999999998</v>
      </c>
      <c r="BQ58" s="94">
        <v>1.8342000000000001</v>
      </c>
      <c r="BR58" s="94">
        <v>1.8342000000000001</v>
      </c>
      <c r="BS58" s="94">
        <v>6.9804000000000003E-3</v>
      </c>
      <c r="BT58" s="94">
        <v>1.8272200000000001</v>
      </c>
      <c r="BU58" s="94"/>
      <c r="BV58" s="94">
        <v>7.4749400000000001</v>
      </c>
      <c r="BW58" s="94">
        <v>194.60900000000001</v>
      </c>
      <c r="BX58" s="94">
        <v>3.7707899999999999</v>
      </c>
      <c r="BY58" s="94">
        <v>47.053100000000001</v>
      </c>
      <c r="BZ58" s="94">
        <v>4.0042400000000002</v>
      </c>
      <c r="CA58">
        <v>62.377099999999999</v>
      </c>
      <c r="CB58">
        <v>4.2263900000000003</v>
      </c>
      <c r="CC58">
        <v>49.399900000000002</v>
      </c>
      <c r="CD58">
        <v>49.399900000000002</v>
      </c>
      <c r="CE58">
        <v>7.9114300000000002</v>
      </c>
      <c r="CF58">
        <v>18.793600000000001</v>
      </c>
      <c r="CG58">
        <v>3.8222500000000001E-3</v>
      </c>
      <c r="CM58">
        <v>897.08699999999999</v>
      </c>
      <c r="CN58">
        <v>896.98500000000001</v>
      </c>
      <c r="CO58">
        <v>975.89300000000003</v>
      </c>
      <c r="CP58">
        <v>3.0143300000000001E-2</v>
      </c>
      <c r="CQ58">
        <v>7.7836199999999998E-3</v>
      </c>
      <c r="CR58">
        <v>102</v>
      </c>
      <c r="CS58">
        <v>1.9658599999999999</v>
      </c>
      <c r="CT58">
        <v>86.315799999999996</v>
      </c>
      <c r="CU58">
        <v>5.99756</v>
      </c>
      <c r="CV58">
        <v>5.99756</v>
      </c>
      <c r="CW58">
        <v>4.6682700000000001E-2</v>
      </c>
      <c r="CX58">
        <v>5.9508700000000001</v>
      </c>
      <c r="CY58">
        <v>0</v>
      </c>
      <c r="CZ58">
        <v>7.7066400000000002</v>
      </c>
      <c r="DA58">
        <v>194.02199999999999</v>
      </c>
      <c r="DB58">
        <v>12.367800000000001</v>
      </c>
      <c r="DC58">
        <v>46.963799999999999</v>
      </c>
      <c r="DD58">
        <v>3.7973300000000001</v>
      </c>
      <c r="DE58">
        <v>62.269799999999996</v>
      </c>
      <c r="DF58">
        <v>4.2524499999999996</v>
      </c>
      <c r="DG58">
        <v>50.085000000000001</v>
      </c>
      <c r="DH58">
        <v>50.085000000000001</v>
      </c>
      <c r="DI58">
        <v>8.1196099999999998</v>
      </c>
      <c r="DJ58">
        <v>18.767299999999999</v>
      </c>
      <c r="DK58">
        <v>7.7681499999999997E-3</v>
      </c>
      <c r="DQ58">
        <v>1046.5999999999999</v>
      </c>
      <c r="DR58">
        <v>1046.48</v>
      </c>
      <c r="DS58">
        <v>1155.56</v>
      </c>
      <c r="DT58">
        <v>0.22134100000000001</v>
      </c>
      <c r="DU58">
        <v>0.47026200000000001</v>
      </c>
      <c r="DV58">
        <v>105</v>
      </c>
      <c r="DW58">
        <v>0.42441000000000001</v>
      </c>
      <c r="DX58">
        <v>628.47299999999996</v>
      </c>
      <c r="DY58">
        <v>0.117225</v>
      </c>
      <c r="DZ58">
        <v>2.25251</v>
      </c>
      <c r="EA58">
        <v>5.5126399999999999E-2</v>
      </c>
      <c r="EB58">
        <v>1.1932400000000001</v>
      </c>
      <c r="EC58">
        <v>0</v>
      </c>
      <c r="ED58">
        <v>6.6244500000000004</v>
      </c>
      <c r="EE58">
        <v>147.31899999999999</v>
      </c>
      <c r="EF58">
        <v>3.4138799999999998</v>
      </c>
      <c r="EG58">
        <v>46.975700000000003</v>
      </c>
      <c r="EH58">
        <v>4.9457399999999998</v>
      </c>
      <c r="EI58">
        <v>62.3</v>
      </c>
      <c r="EJ58">
        <v>7.47844</v>
      </c>
      <c r="EK58">
        <v>44.6524</v>
      </c>
      <c r="EL58">
        <v>44.6524</v>
      </c>
      <c r="EM58">
        <v>6.6959400000000002</v>
      </c>
      <c r="EN58">
        <v>18.784400000000002</v>
      </c>
      <c r="EO58">
        <v>0.38755099999999998</v>
      </c>
    </row>
    <row r="59" spans="1:145" x14ac:dyDescent="0.2">
      <c r="A59" s="74"/>
      <c r="B59" s="303"/>
      <c r="C59" s="368"/>
      <c r="E59" s="277"/>
      <c r="F59" s="7"/>
      <c r="K59" s="1"/>
      <c r="L59" s="1"/>
      <c r="AD59" s="94"/>
      <c r="AE59" s="94">
        <v>822.33</v>
      </c>
      <c r="AF59" s="94">
        <v>822.23599999999999</v>
      </c>
      <c r="AG59" s="94">
        <v>836.49199999999996</v>
      </c>
      <c r="AH59" s="94">
        <v>2.6031700000000001E-2</v>
      </c>
      <c r="AI59" s="94">
        <v>3.3699799999999999E-3</v>
      </c>
      <c r="AJ59" s="94">
        <v>102</v>
      </c>
      <c r="AK59" s="94">
        <v>0.173203</v>
      </c>
      <c r="AL59" s="94">
        <v>69.706500000000005</v>
      </c>
      <c r="AM59" s="94">
        <v>1.8149299999999999</v>
      </c>
      <c r="AN59" s="94">
        <v>1.8149299999999999</v>
      </c>
      <c r="AO59" s="94">
        <v>6.11628E-3</v>
      </c>
      <c r="AP59" s="94">
        <v>1.80881</v>
      </c>
      <c r="AQ59" s="94"/>
      <c r="AR59" s="94">
        <v>8.0515100000000004</v>
      </c>
      <c r="AS59" s="94">
        <v>206.83</v>
      </c>
      <c r="AT59" s="94">
        <v>3.5108100000000002</v>
      </c>
      <c r="AU59" s="94">
        <v>47.048499999999997</v>
      </c>
      <c r="AV59" s="94">
        <v>3.5437099999999999</v>
      </c>
      <c r="AW59" s="94">
        <v>62.363199999999999</v>
      </c>
      <c r="AX59" s="94">
        <v>3.74193</v>
      </c>
      <c r="AY59" s="94">
        <v>51.679200000000002</v>
      </c>
      <c r="AZ59" s="94">
        <v>51.679200000000002</v>
      </c>
      <c r="BA59" s="94">
        <v>8.5283800000000003</v>
      </c>
      <c r="BB59" s="94">
        <v>18.7852</v>
      </c>
      <c r="BC59" s="94">
        <v>3.3897699999999998E-3</v>
      </c>
      <c r="BD59" s="94"/>
      <c r="BE59" s="94"/>
      <c r="BF59" s="94"/>
      <c r="BG59" s="94"/>
      <c r="BH59" s="94"/>
      <c r="BI59" s="94">
        <v>897.08699999999999</v>
      </c>
      <c r="BJ59" s="94">
        <v>896.98500000000001</v>
      </c>
      <c r="BK59" s="94">
        <v>941.52599999999995</v>
      </c>
      <c r="BL59" s="94">
        <v>2.94296E-2</v>
      </c>
      <c r="BM59" s="94">
        <v>3.8108199999999999E-3</v>
      </c>
      <c r="BN59" s="94">
        <v>102</v>
      </c>
      <c r="BO59" s="94">
        <v>0.215195</v>
      </c>
      <c r="BP59" s="94">
        <v>85.993799999999993</v>
      </c>
      <c r="BQ59" s="94">
        <v>1.83263</v>
      </c>
      <c r="BR59" s="94">
        <v>1.83263</v>
      </c>
      <c r="BS59" s="94">
        <v>6.98381E-3</v>
      </c>
      <c r="BT59" s="94">
        <v>1.8256399999999999</v>
      </c>
      <c r="BU59" s="94"/>
      <c r="BV59" s="94">
        <v>7.4662699999999997</v>
      </c>
      <c r="BW59" s="94">
        <v>194.52500000000001</v>
      </c>
      <c r="BX59" s="94">
        <v>3.7691699999999999</v>
      </c>
      <c r="BY59" s="94">
        <v>47.026899999999998</v>
      </c>
      <c r="BZ59" s="94">
        <v>4.0077199999999999</v>
      </c>
      <c r="CA59">
        <v>62.346200000000003</v>
      </c>
      <c r="CB59">
        <v>4.2300300000000002</v>
      </c>
      <c r="CC59">
        <v>49.283099999999997</v>
      </c>
      <c r="CD59">
        <v>49.283099999999997</v>
      </c>
      <c r="CE59">
        <v>7.8878500000000003</v>
      </c>
      <c r="CF59">
        <v>18.7864</v>
      </c>
      <c r="CG59">
        <v>3.8213000000000001E-3</v>
      </c>
      <c r="CM59">
        <v>971.84500000000003</v>
      </c>
      <c r="CN59">
        <v>971.73400000000004</v>
      </c>
      <c r="CO59">
        <v>983.29499999999996</v>
      </c>
      <c r="CP59">
        <v>3.01786E-2</v>
      </c>
      <c r="CQ59">
        <v>7.7972199999999997E-3</v>
      </c>
      <c r="CR59">
        <v>102</v>
      </c>
      <c r="CS59">
        <v>2.1202000000000001</v>
      </c>
      <c r="CT59">
        <v>93.562200000000004</v>
      </c>
      <c r="CU59">
        <v>5.9902699999999998</v>
      </c>
      <c r="CV59">
        <v>5.9902699999999998</v>
      </c>
      <c r="CW59">
        <v>4.6707400000000003E-2</v>
      </c>
      <c r="CX59">
        <v>5.9435599999999997</v>
      </c>
      <c r="CY59">
        <v>0</v>
      </c>
      <c r="CZ59">
        <v>7.69564</v>
      </c>
      <c r="DA59">
        <v>193.904</v>
      </c>
      <c r="DB59">
        <v>12.3605</v>
      </c>
      <c r="DC59">
        <v>46.937800000000003</v>
      </c>
      <c r="DD59">
        <v>3.8020900000000002</v>
      </c>
      <c r="DE59">
        <v>62.236499999999999</v>
      </c>
      <c r="DF59">
        <v>4.2577100000000003</v>
      </c>
      <c r="DG59">
        <v>49.952800000000003</v>
      </c>
      <c r="DH59">
        <v>49.952800000000003</v>
      </c>
      <c r="DI59">
        <v>8.0939399999999999</v>
      </c>
      <c r="DJ59">
        <v>18.757999999999999</v>
      </c>
      <c r="DK59">
        <v>7.7703800000000003E-3</v>
      </c>
      <c r="DQ59">
        <v>1121.3599999999999</v>
      </c>
      <c r="DR59">
        <v>1121.23</v>
      </c>
      <c r="DS59">
        <v>1211.32</v>
      </c>
      <c r="DT59">
        <v>0.22733999999999999</v>
      </c>
      <c r="DU59">
        <v>0.48346899999999998</v>
      </c>
      <c r="DV59">
        <v>105</v>
      </c>
      <c r="DW59">
        <v>0.44495000000000001</v>
      </c>
      <c r="DX59">
        <v>684.20399999999995</v>
      </c>
      <c r="DY59">
        <v>0.114067</v>
      </c>
      <c r="DZ59">
        <v>2.2066699999999999</v>
      </c>
      <c r="EA59">
        <v>5.5147799999999997E-2</v>
      </c>
      <c r="EB59">
        <v>1.1398200000000001</v>
      </c>
      <c r="EC59">
        <v>0</v>
      </c>
      <c r="ED59">
        <v>6.4270199999999997</v>
      </c>
      <c r="EE59">
        <v>144.13399999999999</v>
      </c>
      <c r="EF59">
        <v>3.3395299999999999</v>
      </c>
      <c r="EG59">
        <v>46.954000000000001</v>
      </c>
      <c r="EH59">
        <v>5.1749599999999996</v>
      </c>
      <c r="EI59">
        <v>62.2759</v>
      </c>
      <c r="EJ59">
        <v>7.8101799999999999</v>
      </c>
      <c r="EK59">
        <v>43.532899999999998</v>
      </c>
      <c r="EL59">
        <v>43.532899999999998</v>
      </c>
      <c r="EM59">
        <v>6.4200999999999997</v>
      </c>
      <c r="EN59">
        <v>18.779699999999998</v>
      </c>
      <c r="EO59">
        <v>0.393932</v>
      </c>
    </row>
    <row r="60" spans="1:145" x14ac:dyDescent="0.2">
      <c r="A60" s="74"/>
      <c r="B60" s="303"/>
      <c r="C60" s="368"/>
      <c r="E60" s="277"/>
      <c r="F60" s="7"/>
      <c r="K60" s="1"/>
      <c r="L60" s="1"/>
      <c r="AD60" s="94"/>
      <c r="AE60" s="94">
        <v>897.08699999999999</v>
      </c>
      <c r="AF60" s="94">
        <v>896.98500000000001</v>
      </c>
      <c r="AG60" s="94">
        <v>842.88300000000004</v>
      </c>
      <c r="AH60" s="94">
        <v>2.60576E-2</v>
      </c>
      <c r="AI60" s="94">
        <v>3.37499E-3</v>
      </c>
      <c r="AJ60" s="94">
        <v>102</v>
      </c>
      <c r="AK60" s="94">
        <v>0.188197</v>
      </c>
      <c r="AL60" s="94">
        <v>76.081800000000001</v>
      </c>
      <c r="AM60" s="94">
        <v>1.8131200000000001</v>
      </c>
      <c r="AN60" s="94">
        <v>1.8131200000000001</v>
      </c>
      <c r="AO60" s="94">
        <v>6.1192599999999996E-3</v>
      </c>
      <c r="AP60" s="94">
        <v>1.8069999999999999</v>
      </c>
      <c r="AQ60" s="94"/>
      <c r="AR60" s="94">
        <v>8.0416699999999999</v>
      </c>
      <c r="AS60" s="94">
        <v>206.727</v>
      </c>
      <c r="AT60" s="94">
        <v>3.5090599999999998</v>
      </c>
      <c r="AU60" s="94">
        <v>47.021599999999999</v>
      </c>
      <c r="AV60" s="94">
        <v>3.5472600000000001</v>
      </c>
      <c r="AW60" s="94">
        <v>62.332299999999996</v>
      </c>
      <c r="AX60" s="94">
        <v>3.7456499999999999</v>
      </c>
      <c r="AY60" s="94">
        <v>51.558100000000003</v>
      </c>
      <c r="AZ60" s="94">
        <v>51.558100000000003</v>
      </c>
      <c r="BA60" s="94">
        <v>8.5028400000000008</v>
      </c>
      <c r="BB60" s="94">
        <v>18.778400000000001</v>
      </c>
      <c r="BC60" s="94">
        <v>3.3885400000000002E-3</v>
      </c>
      <c r="BD60" s="94"/>
      <c r="BE60" s="94"/>
      <c r="BF60" s="94"/>
      <c r="BG60" s="94"/>
      <c r="BH60" s="94"/>
      <c r="BI60" s="94">
        <v>971.84500000000003</v>
      </c>
      <c r="BJ60" s="94">
        <v>971.73400000000004</v>
      </c>
      <c r="BK60" s="94">
        <v>948.75</v>
      </c>
      <c r="BL60" s="94">
        <v>2.9455200000000001E-2</v>
      </c>
      <c r="BM60" s="94">
        <v>3.81606E-3</v>
      </c>
      <c r="BN60" s="94">
        <v>102</v>
      </c>
      <c r="BO60" s="94">
        <v>0.23224800000000001</v>
      </c>
      <c r="BP60" s="94">
        <v>93.200299999999999</v>
      </c>
      <c r="BQ60" s="94">
        <v>1.8310299999999999</v>
      </c>
      <c r="BR60" s="94">
        <v>1.8310299999999999</v>
      </c>
      <c r="BS60" s="94">
        <v>6.9873299999999999E-3</v>
      </c>
      <c r="BT60" s="94">
        <v>1.8240400000000001</v>
      </c>
      <c r="BU60" s="94"/>
      <c r="BV60" s="94">
        <v>7.4573999999999998</v>
      </c>
      <c r="BW60" s="94">
        <v>194.441</v>
      </c>
      <c r="BX60" s="94">
        <v>3.7675399999999999</v>
      </c>
      <c r="BY60" s="94">
        <v>47.000599999999999</v>
      </c>
      <c r="BZ60" s="94">
        <v>4.01126</v>
      </c>
      <c r="CA60">
        <v>62.314300000000003</v>
      </c>
      <c r="CB60">
        <v>4.2337499999999997</v>
      </c>
      <c r="CC60">
        <v>49.1631</v>
      </c>
      <c r="CD60">
        <v>49.1631</v>
      </c>
      <c r="CE60">
        <v>7.8641199999999998</v>
      </c>
      <c r="CF60">
        <v>18.778500000000001</v>
      </c>
      <c r="CG60">
        <v>3.8208999999999999E-3</v>
      </c>
      <c r="CM60">
        <v>1046.5999999999999</v>
      </c>
      <c r="CN60">
        <v>1046.48</v>
      </c>
      <c r="CO60">
        <v>990.70600000000002</v>
      </c>
      <c r="CP60">
        <v>3.0215599999999999E-2</v>
      </c>
      <c r="CQ60">
        <v>7.8113499999999999E-3</v>
      </c>
      <c r="CR60">
        <v>102</v>
      </c>
      <c r="CS60">
        <v>2.2744</v>
      </c>
      <c r="CT60">
        <v>100.818</v>
      </c>
      <c r="CU60">
        <v>5.9826699999999997</v>
      </c>
      <c r="CV60">
        <v>5.9826699999999997</v>
      </c>
      <c r="CW60">
        <v>4.6732700000000002E-2</v>
      </c>
      <c r="CX60">
        <v>5.9359299999999999</v>
      </c>
      <c r="CY60">
        <v>0</v>
      </c>
      <c r="CZ60">
        <v>7.6842899999999998</v>
      </c>
      <c r="DA60">
        <v>193.78100000000001</v>
      </c>
      <c r="DB60">
        <v>12.3528</v>
      </c>
      <c r="DC60">
        <v>46.911799999999999</v>
      </c>
      <c r="DD60">
        <v>3.8070900000000001</v>
      </c>
      <c r="DE60">
        <v>62.202599999999997</v>
      </c>
      <c r="DF60">
        <v>4.2632300000000001</v>
      </c>
      <c r="DG60">
        <v>49.817799999999998</v>
      </c>
      <c r="DH60">
        <v>49.817799999999998</v>
      </c>
      <c r="DI60">
        <v>8.0680599999999991</v>
      </c>
      <c r="DJ60">
        <v>18.748100000000001</v>
      </c>
      <c r="DK60">
        <v>7.7733000000000003E-3</v>
      </c>
      <c r="DQ60">
        <v>1125.6300000000001</v>
      </c>
      <c r="DR60">
        <v>1125.5</v>
      </c>
      <c r="DS60">
        <v>1214.67</v>
      </c>
      <c r="DT60">
        <v>0.23955099999999999</v>
      </c>
      <c r="DU60">
        <v>0.51365300000000003</v>
      </c>
      <c r="DV60">
        <v>105</v>
      </c>
      <c r="DW60">
        <v>0.44609399999999999</v>
      </c>
      <c r="DX60">
        <v>687.55499999999995</v>
      </c>
      <c r="DY60">
        <v>0.107386</v>
      </c>
      <c r="DZ60">
        <v>2.2888000000000002</v>
      </c>
      <c r="EA60">
        <v>5.5159199999999999E-2</v>
      </c>
      <c r="EB60">
        <v>1.1131500000000001</v>
      </c>
      <c r="EC60">
        <v>0</v>
      </c>
      <c r="ED60">
        <v>6.3263600000000002</v>
      </c>
      <c r="EE60">
        <v>142.517</v>
      </c>
      <c r="EF60">
        <v>3.28043</v>
      </c>
      <c r="EG60">
        <v>46.952800000000003</v>
      </c>
      <c r="EH60">
        <v>5.1888300000000003</v>
      </c>
      <c r="EI60">
        <v>62.2746</v>
      </c>
      <c r="EJ60">
        <v>7.8840000000000003</v>
      </c>
      <c r="EK60">
        <v>43.466200000000001</v>
      </c>
      <c r="EL60">
        <v>43.466200000000001</v>
      </c>
      <c r="EM60">
        <v>6.4037499999999996</v>
      </c>
      <c r="EN60">
        <v>18.779399999999999</v>
      </c>
      <c r="EO60">
        <v>0.39438499999999999</v>
      </c>
    </row>
    <row r="61" spans="1:145" x14ac:dyDescent="0.2">
      <c r="A61" s="74"/>
      <c r="B61" s="303"/>
      <c r="C61" s="368"/>
      <c r="E61" s="277"/>
      <c r="F61" s="7"/>
      <c r="K61" s="1"/>
      <c r="L61" s="1"/>
      <c r="AD61" s="94"/>
      <c r="AE61" s="94">
        <v>971.84500000000003</v>
      </c>
      <c r="AF61" s="94">
        <v>971.73400000000004</v>
      </c>
      <c r="AG61" s="94">
        <v>849.28099999999995</v>
      </c>
      <c r="AH61" s="94">
        <v>2.6083599999999998E-2</v>
      </c>
      <c r="AI61" s="94">
        <v>3.3800700000000002E-3</v>
      </c>
      <c r="AJ61" s="94">
        <v>102</v>
      </c>
      <c r="AK61" s="94">
        <v>0.20318600000000001</v>
      </c>
      <c r="AL61" s="94">
        <v>82.463499999999996</v>
      </c>
      <c r="AM61" s="94">
        <v>1.81131</v>
      </c>
      <c r="AN61" s="94">
        <v>1.81131</v>
      </c>
      <c r="AO61" s="94">
        <v>6.1223400000000004E-3</v>
      </c>
      <c r="AP61" s="94">
        <v>1.8051900000000001</v>
      </c>
      <c r="AQ61" s="94"/>
      <c r="AR61" s="94">
        <v>8.0316500000000008</v>
      </c>
      <c r="AS61" s="94">
        <v>206.624</v>
      </c>
      <c r="AT61" s="94">
        <v>3.5073099999999999</v>
      </c>
      <c r="AU61" s="94">
        <v>46.994599999999998</v>
      </c>
      <c r="AV61" s="94">
        <v>3.55084</v>
      </c>
      <c r="AW61" s="94">
        <v>62.300400000000003</v>
      </c>
      <c r="AX61" s="94">
        <v>3.7494200000000002</v>
      </c>
      <c r="AY61" s="94">
        <v>51.433900000000001</v>
      </c>
      <c r="AZ61" s="94">
        <v>51.433900000000001</v>
      </c>
      <c r="BA61" s="94">
        <v>8.4771800000000006</v>
      </c>
      <c r="BB61" s="94">
        <v>18.771000000000001</v>
      </c>
      <c r="BC61" s="94">
        <v>3.3878900000000002E-3</v>
      </c>
      <c r="BD61" s="94"/>
      <c r="BE61" s="94"/>
      <c r="BF61" s="94"/>
      <c r="BG61" s="94"/>
      <c r="BH61" s="94"/>
      <c r="BI61" s="94">
        <v>1046.5999999999999</v>
      </c>
      <c r="BJ61" s="94">
        <v>1046.48</v>
      </c>
      <c r="BK61" s="94">
        <v>955.98099999999999</v>
      </c>
      <c r="BL61" s="94">
        <v>2.94817E-2</v>
      </c>
      <c r="BM61" s="94">
        <v>3.8214799999999999E-3</v>
      </c>
      <c r="BN61" s="94">
        <v>102</v>
      </c>
      <c r="BO61" s="94">
        <v>0.24929499999999999</v>
      </c>
      <c r="BP61" s="94">
        <v>100.413</v>
      </c>
      <c r="BQ61" s="94">
        <v>1.82938</v>
      </c>
      <c r="BR61" s="94">
        <v>1.82938</v>
      </c>
      <c r="BS61" s="94">
        <v>6.9909400000000002E-3</v>
      </c>
      <c r="BT61" s="94">
        <v>1.82239</v>
      </c>
      <c r="BU61" s="94"/>
      <c r="BV61" s="94">
        <v>7.4482699999999999</v>
      </c>
      <c r="BW61" s="94">
        <v>194.35300000000001</v>
      </c>
      <c r="BX61" s="94">
        <v>3.7658900000000002</v>
      </c>
      <c r="BY61" s="94">
        <v>46.974200000000003</v>
      </c>
      <c r="BZ61" s="94">
        <v>4.0149999999999997</v>
      </c>
      <c r="CA61">
        <v>62.281700000000001</v>
      </c>
      <c r="CB61">
        <v>4.23766</v>
      </c>
      <c r="CC61">
        <v>49.039900000000003</v>
      </c>
      <c r="CD61">
        <v>49.039900000000003</v>
      </c>
      <c r="CE61">
        <v>7.8401399999999999</v>
      </c>
      <c r="CF61">
        <v>18.7699</v>
      </c>
      <c r="CG61">
        <v>3.8209400000000001E-3</v>
      </c>
      <c r="CM61">
        <v>1121.3599999999999</v>
      </c>
      <c r="CN61">
        <v>1121.23</v>
      </c>
      <c r="CO61">
        <v>998.12699999999995</v>
      </c>
      <c r="CP61">
        <v>3.02546E-2</v>
      </c>
      <c r="CQ61">
        <v>7.8261300000000006E-3</v>
      </c>
      <c r="CR61">
        <v>102</v>
      </c>
      <c r="CS61">
        <v>2.4284400000000002</v>
      </c>
      <c r="CT61">
        <v>108.083</v>
      </c>
      <c r="CU61">
        <v>5.97464</v>
      </c>
      <c r="CV61">
        <v>5.97464</v>
      </c>
      <c r="CW61">
        <v>4.6758300000000003E-2</v>
      </c>
      <c r="CX61">
        <v>5.92788</v>
      </c>
      <c r="CY61">
        <v>0</v>
      </c>
      <c r="CZ61">
        <v>7.6725300000000001</v>
      </c>
      <c r="DA61">
        <v>193.65100000000001</v>
      </c>
      <c r="DB61">
        <v>12.3447</v>
      </c>
      <c r="DC61">
        <v>46.886000000000003</v>
      </c>
      <c r="DD61">
        <v>3.8124099999999999</v>
      </c>
      <c r="DE61">
        <v>62.168300000000002</v>
      </c>
      <c r="DF61">
        <v>4.2691100000000004</v>
      </c>
      <c r="DG61">
        <v>49.680100000000003</v>
      </c>
      <c r="DH61">
        <v>49.680100000000003</v>
      </c>
      <c r="DI61">
        <v>8.0419400000000003</v>
      </c>
      <c r="DJ61">
        <v>18.7377</v>
      </c>
      <c r="DK61">
        <v>7.7768100000000003E-3</v>
      </c>
      <c r="DQ61">
        <v>1129.8900000000001</v>
      </c>
      <c r="DR61">
        <v>1129.76</v>
      </c>
      <c r="DS61">
        <v>1218.03</v>
      </c>
      <c r="DT61">
        <v>0.239923</v>
      </c>
      <c r="DU61">
        <v>0.51448499999999997</v>
      </c>
      <c r="DV61">
        <v>105</v>
      </c>
      <c r="DW61">
        <v>0.44723600000000002</v>
      </c>
      <c r="DX61">
        <v>690.91</v>
      </c>
      <c r="DY61">
        <v>0.107215</v>
      </c>
      <c r="DZ61">
        <v>2.2866</v>
      </c>
      <c r="EA61">
        <v>5.5160300000000002E-2</v>
      </c>
      <c r="EB61">
        <v>1.1101799999999999</v>
      </c>
      <c r="EC61">
        <v>0</v>
      </c>
      <c r="ED61">
        <v>6.3150599999999999</v>
      </c>
      <c r="EE61">
        <v>142.33600000000001</v>
      </c>
      <c r="EF61">
        <v>3.2762600000000002</v>
      </c>
      <c r="EG61">
        <v>46.951599999999999</v>
      </c>
      <c r="EH61">
        <v>5.2027099999999997</v>
      </c>
      <c r="EI61">
        <v>62.273200000000003</v>
      </c>
      <c r="EJ61">
        <v>7.9040999999999997</v>
      </c>
      <c r="EK61">
        <v>43.399500000000003</v>
      </c>
      <c r="EL61">
        <v>43.399500000000003</v>
      </c>
      <c r="EM61">
        <v>6.38741</v>
      </c>
      <c r="EN61">
        <v>18.779199999999999</v>
      </c>
      <c r="EO61">
        <v>0.39483699999999999</v>
      </c>
    </row>
    <row r="62" spans="1:145" x14ac:dyDescent="0.2">
      <c r="A62" s="74"/>
      <c r="B62" s="303"/>
      <c r="C62" s="368"/>
      <c r="E62" s="277"/>
      <c r="F62" s="7"/>
      <c r="K62" s="1"/>
      <c r="L62" s="1"/>
      <c r="AD62" s="94"/>
      <c r="AE62" s="94">
        <v>1046.5999999999999</v>
      </c>
      <c r="AF62" s="94">
        <v>1046.48</v>
      </c>
      <c r="AG62" s="94">
        <v>855.68399999999997</v>
      </c>
      <c r="AH62" s="94">
        <v>2.61102E-2</v>
      </c>
      <c r="AI62" s="94">
        <v>3.3852800000000001E-3</v>
      </c>
      <c r="AJ62" s="94">
        <v>102</v>
      </c>
      <c r="AK62" s="94">
        <v>0.218167</v>
      </c>
      <c r="AL62" s="94">
        <v>88.851699999999994</v>
      </c>
      <c r="AM62" s="94">
        <v>1.8094600000000001</v>
      </c>
      <c r="AN62" s="94">
        <v>1.8094600000000001</v>
      </c>
      <c r="AO62" s="94">
        <v>6.1255199999999997E-3</v>
      </c>
      <c r="AP62" s="94">
        <v>1.8033300000000001</v>
      </c>
      <c r="AQ62" s="94"/>
      <c r="AR62" s="94">
        <v>8.0213999999999999</v>
      </c>
      <c r="AS62" s="94">
        <v>206.518</v>
      </c>
      <c r="AT62" s="94">
        <v>3.5055499999999999</v>
      </c>
      <c r="AU62" s="94">
        <v>46.967500000000001</v>
      </c>
      <c r="AV62" s="94">
        <v>3.5545399999999998</v>
      </c>
      <c r="AW62" s="94">
        <v>62.267699999999998</v>
      </c>
      <c r="AX62" s="94">
        <v>3.7532999999999999</v>
      </c>
      <c r="AY62" s="94">
        <v>51.306399999999996</v>
      </c>
      <c r="AZ62" s="94">
        <v>51.306399999999996</v>
      </c>
      <c r="BA62" s="94">
        <v>8.4513400000000001</v>
      </c>
      <c r="BB62" s="94">
        <v>18.762899999999998</v>
      </c>
      <c r="BC62" s="94">
        <v>3.3877E-3</v>
      </c>
      <c r="BD62" s="94"/>
      <c r="BE62" s="94"/>
      <c r="BF62" s="94"/>
      <c r="BG62" s="94"/>
      <c r="BH62" s="94"/>
      <c r="BI62" s="94">
        <v>1121.3599999999999</v>
      </c>
      <c r="BJ62" s="94">
        <v>1121.23</v>
      </c>
      <c r="BK62" s="94">
        <v>963.21900000000005</v>
      </c>
      <c r="BL62" s="94">
        <v>2.95108E-2</v>
      </c>
      <c r="BM62" s="94">
        <v>3.8272900000000001E-3</v>
      </c>
      <c r="BN62" s="94">
        <v>102</v>
      </c>
      <c r="BO62" s="94">
        <v>0.26633400000000002</v>
      </c>
      <c r="BP62" s="94">
        <v>107.633</v>
      </c>
      <c r="BQ62" s="94">
        <v>1.8275699999999999</v>
      </c>
      <c r="BR62" s="94">
        <v>1.8275699999999999</v>
      </c>
      <c r="BS62" s="94">
        <v>6.9946299999999999E-3</v>
      </c>
      <c r="BT62" s="94">
        <v>1.82057</v>
      </c>
      <c r="BU62" s="94"/>
      <c r="BV62" s="94">
        <v>7.4386400000000004</v>
      </c>
      <c r="BW62" s="94">
        <v>194.25700000000001</v>
      </c>
      <c r="BX62" s="94">
        <v>3.7641399999999998</v>
      </c>
      <c r="BY62" s="94">
        <v>46.948099999999997</v>
      </c>
      <c r="BZ62" s="94">
        <v>4.0192699999999997</v>
      </c>
      <c r="CA62">
        <v>62.248699999999999</v>
      </c>
      <c r="CB62">
        <v>4.2421300000000004</v>
      </c>
      <c r="CC62">
        <v>48.9133</v>
      </c>
      <c r="CD62">
        <v>48.9133</v>
      </c>
      <c r="CE62">
        <v>7.8157300000000003</v>
      </c>
      <c r="CF62">
        <v>18.760899999999999</v>
      </c>
      <c r="CG62">
        <v>3.8213600000000002E-3</v>
      </c>
      <c r="CM62">
        <v>1125.6300000000001</v>
      </c>
      <c r="CN62">
        <v>1125.5</v>
      </c>
      <c r="CO62">
        <v>998.55</v>
      </c>
      <c r="CP62">
        <v>3.0258400000000001E-2</v>
      </c>
      <c r="CQ62">
        <v>7.8342199999999994E-3</v>
      </c>
      <c r="CR62">
        <v>102</v>
      </c>
      <c r="CS62">
        <v>2.43723</v>
      </c>
      <c r="CT62">
        <v>108.498</v>
      </c>
      <c r="CU62">
        <v>5.9702200000000003</v>
      </c>
      <c r="CV62">
        <v>5.9702200000000003</v>
      </c>
      <c r="CW62">
        <v>4.6772000000000001E-2</v>
      </c>
      <c r="CX62">
        <v>5.9234499999999999</v>
      </c>
      <c r="CY62">
        <v>0</v>
      </c>
      <c r="CZ62">
        <v>7.6661400000000004</v>
      </c>
      <c r="DA62">
        <v>193.58</v>
      </c>
      <c r="DB62">
        <v>12.3367</v>
      </c>
      <c r="DC62">
        <v>46.884500000000003</v>
      </c>
      <c r="DD62">
        <v>3.8127300000000002</v>
      </c>
      <c r="DE62">
        <v>62.1663</v>
      </c>
      <c r="DF62">
        <v>4.2698799999999997</v>
      </c>
      <c r="DG62">
        <v>49.6721</v>
      </c>
      <c r="DH62">
        <v>49.6721</v>
      </c>
      <c r="DI62">
        <v>8.0404400000000003</v>
      </c>
      <c r="DJ62">
        <v>18.737100000000002</v>
      </c>
      <c r="DK62">
        <v>7.7770299999999999E-3</v>
      </c>
      <c r="DQ62">
        <v>1160.98</v>
      </c>
      <c r="DR62">
        <v>1160.8</v>
      </c>
      <c r="DS62">
        <v>1243.43</v>
      </c>
      <c r="DT62">
        <v>0.24903700000000001</v>
      </c>
      <c r="DU62">
        <v>0.53766199999999997</v>
      </c>
      <c r="DV62">
        <v>105</v>
      </c>
      <c r="DW62">
        <v>0.45544899999999999</v>
      </c>
      <c r="DX62">
        <v>716.26099999999997</v>
      </c>
      <c r="DY62">
        <v>0.102602</v>
      </c>
      <c r="DZ62">
        <v>2.37391</v>
      </c>
      <c r="EA62">
        <v>5.5165100000000002E-2</v>
      </c>
      <c r="EB62">
        <v>1.09755</v>
      </c>
      <c r="EC62">
        <v>0</v>
      </c>
      <c r="ED62">
        <v>6.2669100000000002</v>
      </c>
      <c r="EE62">
        <v>141.56299999999999</v>
      </c>
      <c r="EF62">
        <v>3.26728</v>
      </c>
      <c r="EG62">
        <v>46.942999999999998</v>
      </c>
      <c r="EH62">
        <v>5.3082500000000001</v>
      </c>
      <c r="EI62">
        <v>62.2637</v>
      </c>
      <c r="EJ62">
        <v>8.0339500000000008</v>
      </c>
      <c r="EK62">
        <v>42.896900000000002</v>
      </c>
      <c r="EL62">
        <v>42.896900000000002</v>
      </c>
      <c r="EM62">
        <v>6.2645499999999998</v>
      </c>
      <c r="EN62">
        <v>18.7773</v>
      </c>
      <c r="EO62">
        <v>0.39865400000000001</v>
      </c>
    </row>
    <row r="63" spans="1:145" x14ac:dyDescent="0.2">
      <c r="A63" s="74"/>
      <c r="B63" s="303"/>
      <c r="C63" s="368"/>
      <c r="E63" s="277"/>
      <c r="F63" s="7"/>
      <c r="K63" s="1"/>
      <c r="L63" s="1"/>
      <c r="AD63" s="94"/>
      <c r="AE63" s="94">
        <v>1121.3599999999999</v>
      </c>
      <c r="AF63" s="94">
        <v>1121.23</v>
      </c>
      <c r="AG63" s="94">
        <v>862.09500000000003</v>
      </c>
      <c r="AH63" s="94">
        <v>2.6138600000000001E-2</v>
      </c>
      <c r="AI63" s="94">
        <v>3.39077E-3</v>
      </c>
      <c r="AJ63" s="94">
        <v>102</v>
      </c>
      <c r="AK63" s="94">
        <v>0.23314199999999999</v>
      </c>
      <c r="AL63" s="94">
        <v>95.246899999999997</v>
      </c>
      <c r="AM63" s="94">
        <v>1.80749</v>
      </c>
      <c r="AN63" s="94">
        <v>1.80749</v>
      </c>
      <c r="AO63" s="94">
        <v>6.1287599999999996E-3</v>
      </c>
      <c r="AP63" s="94">
        <v>1.8013600000000001</v>
      </c>
      <c r="AQ63" s="94"/>
      <c r="AR63" s="94">
        <v>8.0106999999999999</v>
      </c>
      <c r="AS63" s="94">
        <v>206.40600000000001</v>
      </c>
      <c r="AT63" s="94">
        <v>3.5037199999999999</v>
      </c>
      <c r="AU63" s="94">
        <v>46.940600000000003</v>
      </c>
      <c r="AV63" s="94">
        <v>3.55863</v>
      </c>
      <c r="AW63" s="94">
        <v>62.234499999999997</v>
      </c>
      <c r="AX63" s="94">
        <v>3.75759</v>
      </c>
      <c r="AY63" s="94">
        <v>51.175800000000002</v>
      </c>
      <c r="AZ63" s="94">
        <v>51.175800000000002</v>
      </c>
      <c r="BA63" s="94">
        <v>8.4251900000000006</v>
      </c>
      <c r="BB63" s="94">
        <v>18.754300000000001</v>
      </c>
      <c r="BC63" s="94">
        <v>3.3879100000000001E-3</v>
      </c>
      <c r="BD63" s="94"/>
      <c r="BE63" s="94"/>
      <c r="BF63" s="94"/>
      <c r="BG63" s="94"/>
      <c r="BH63" s="94"/>
      <c r="BI63" s="94">
        <v>1125.6300000000001</v>
      </c>
      <c r="BJ63" s="94">
        <v>1125.5</v>
      </c>
      <c r="BK63" s="94">
        <v>963.63199999999995</v>
      </c>
      <c r="BL63" s="94">
        <v>2.9509899999999999E-2</v>
      </c>
      <c r="BM63" s="94">
        <v>3.8305600000000002E-3</v>
      </c>
      <c r="BN63" s="94">
        <v>102</v>
      </c>
      <c r="BO63" s="94">
        <v>0.26730599999999999</v>
      </c>
      <c r="BP63" s="94">
        <v>108.045</v>
      </c>
      <c r="BQ63" s="94">
        <v>1.8265199999999999</v>
      </c>
      <c r="BR63" s="94">
        <v>1.8265199999999999</v>
      </c>
      <c r="BS63" s="94">
        <v>6.9966000000000004E-3</v>
      </c>
      <c r="BT63" s="94">
        <v>1.8195300000000001</v>
      </c>
      <c r="BU63" s="94"/>
      <c r="BV63" s="94">
        <v>7.4333</v>
      </c>
      <c r="BW63" s="94">
        <v>194.20099999999999</v>
      </c>
      <c r="BX63" s="94">
        <v>3.7621899999999999</v>
      </c>
      <c r="BY63" s="94">
        <v>46.946599999999997</v>
      </c>
      <c r="BZ63" s="94">
        <v>4.0195400000000001</v>
      </c>
      <c r="CA63">
        <v>62.2468</v>
      </c>
      <c r="CB63">
        <v>4.2425800000000002</v>
      </c>
      <c r="CC63">
        <v>48.905999999999999</v>
      </c>
      <c r="CD63">
        <v>48.905999999999999</v>
      </c>
      <c r="CE63">
        <v>7.8143200000000004</v>
      </c>
      <c r="CF63">
        <v>18.760300000000001</v>
      </c>
      <c r="CG63">
        <v>3.8214E-3</v>
      </c>
      <c r="CM63">
        <v>1129.8900000000001</v>
      </c>
      <c r="CN63">
        <v>1129.76</v>
      </c>
      <c r="CO63">
        <v>998.97400000000005</v>
      </c>
      <c r="CP63">
        <v>3.0260800000000001E-2</v>
      </c>
      <c r="CQ63">
        <v>7.8351099999999993E-3</v>
      </c>
      <c r="CR63">
        <v>102</v>
      </c>
      <c r="CS63">
        <v>2.4460099999999998</v>
      </c>
      <c r="CT63">
        <v>108.91200000000001</v>
      </c>
      <c r="CU63">
        <v>5.9697300000000002</v>
      </c>
      <c r="CV63">
        <v>5.9697300000000002</v>
      </c>
      <c r="CW63">
        <v>4.6773500000000003E-2</v>
      </c>
      <c r="CX63">
        <v>5.9229599999999998</v>
      </c>
      <c r="CY63">
        <v>0</v>
      </c>
      <c r="CZ63">
        <v>7.6654499999999999</v>
      </c>
      <c r="DA63">
        <v>193.572</v>
      </c>
      <c r="DB63">
        <v>12.3362</v>
      </c>
      <c r="DC63">
        <v>46.883000000000003</v>
      </c>
      <c r="DD63">
        <v>3.8130500000000001</v>
      </c>
      <c r="DE63">
        <v>62.164299999999997</v>
      </c>
      <c r="DF63">
        <v>4.2702400000000003</v>
      </c>
      <c r="DG63">
        <v>49.664200000000001</v>
      </c>
      <c r="DH63">
        <v>49.664200000000001</v>
      </c>
      <c r="DI63">
        <v>8.0389400000000002</v>
      </c>
      <c r="DJ63">
        <v>18.736499999999999</v>
      </c>
      <c r="DK63">
        <v>7.7772500000000003E-3</v>
      </c>
      <c r="DQ63">
        <v>1192.07</v>
      </c>
      <c r="DR63">
        <v>1191.8399999999999</v>
      </c>
      <c r="DS63">
        <v>1269.1300000000001</v>
      </c>
      <c r="DT63">
        <v>0.25192199999999998</v>
      </c>
      <c r="DU63">
        <v>0.544207</v>
      </c>
      <c r="DV63">
        <v>105</v>
      </c>
      <c r="DW63">
        <v>0.46351700000000001</v>
      </c>
      <c r="DX63">
        <v>741.90599999999995</v>
      </c>
      <c r="DY63">
        <v>0.101383</v>
      </c>
      <c r="DZ63">
        <v>2.3603100000000001</v>
      </c>
      <c r="EA63">
        <v>5.5173399999999997E-2</v>
      </c>
      <c r="EB63">
        <v>1.0758099999999999</v>
      </c>
      <c r="EC63">
        <v>0</v>
      </c>
      <c r="ED63">
        <v>6.1832399999999996</v>
      </c>
      <c r="EE63">
        <v>140.22200000000001</v>
      </c>
      <c r="EF63">
        <v>3.2362700000000002</v>
      </c>
      <c r="EG63">
        <v>46.934600000000003</v>
      </c>
      <c r="EH63">
        <v>5.4150900000000002</v>
      </c>
      <c r="EI63">
        <v>62.2545</v>
      </c>
      <c r="EJ63">
        <v>8.1879200000000001</v>
      </c>
      <c r="EK63">
        <v>42.3934</v>
      </c>
      <c r="EL63">
        <v>42.3934</v>
      </c>
      <c r="EM63">
        <v>6.1421299999999999</v>
      </c>
      <c r="EN63">
        <v>18.775600000000001</v>
      </c>
      <c r="EO63">
        <v>0.40244200000000002</v>
      </c>
    </row>
    <row r="64" spans="1:145" x14ac:dyDescent="0.2">
      <c r="A64" s="74"/>
      <c r="B64" s="303"/>
      <c r="C64" s="368"/>
      <c r="E64" s="277"/>
      <c r="F64" s="7"/>
      <c r="K64" s="1"/>
      <c r="L64" s="1"/>
      <c r="AD64" s="94"/>
      <c r="AE64" s="94">
        <v>1125.6300000000001</v>
      </c>
      <c r="AF64" s="94">
        <v>1125.5</v>
      </c>
      <c r="AG64" s="94">
        <v>862.46100000000001</v>
      </c>
      <c r="AH64" s="94">
        <v>2.61389E-2</v>
      </c>
      <c r="AI64" s="94">
        <v>3.3938200000000001E-3</v>
      </c>
      <c r="AJ64" s="94">
        <v>102</v>
      </c>
      <c r="AK64" s="94">
        <v>0.23399600000000001</v>
      </c>
      <c r="AL64" s="94">
        <v>95.611699999999999</v>
      </c>
      <c r="AM64" s="94">
        <v>1.80637</v>
      </c>
      <c r="AN64" s="94">
        <v>1.80637</v>
      </c>
      <c r="AO64" s="94">
        <v>6.1304999999999997E-3</v>
      </c>
      <c r="AP64" s="94">
        <v>1.8002400000000001</v>
      </c>
      <c r="AQ64" s="94"/>
      <c r="AR64" s="94">
        <v>8.0048200000000005</v>
      </c>
      <c r="AS64" s="94">
        <v>206.34200000000001</v>
      </c>
      <c r="AT64" s="94">
        <v>3.50176</v>
      </c>
      <c r="AU64" s="94">
        <v>46.939</v>
      </c>
      <c r="AV64" s="94">
        <v>3.5588899999999999</v>
      </c>
      <c r="AW64" s="94">
        <v>62.232599999999998</v>
      </c>
      <c r="AX64" s="94">
        <v>3.7580200000000001</v>
      </c>
      <c r="AY64" s="94">
        <v>51.168199999999999</v>
      </c>
      <c r="AZ64" s="94">
        <v>51.168199999999999</v>
      </c>
      <c r="BA64" s="94">
        <v>8.4236900000000006</v>
      </c>
      <c r="BB64" s="94">
        <v>18.753799999999998</v>
      </c>
      <c r="BC64" s="94">
        <v>3.3879299999999999E-3</v>
      </c>
      <c r="BD64" s="94"/>
      <c r="BE64" s="94"/>
      <c r="BF64" s="94"/>
      <c r="BG64" s="94"/>
      <c r="BH64" s="94"/>
      <c r="BI64" s="94">
        <v>1129.8900000000001</v>
      </c>
      <c r="BJ64" s="94">
        <v>1129.76</v>
      </c>
      <c r="BK64" s="94">
        <v>964.04600000000005</v>
      </c>
      <c r="BL64" s="94">
        <v>2.9511900000000001E-2</v>
      </c>
      <c r="BM64" s="94">
        <v>3.8309300000000002E-3</v>
      </c>
      <c r="BN64" s="94">
        <v>102</v>
      </c>
      <c r="BO64" s="94">
        <v>0.26827899999999999</v>
      </c>
      <c r="BP64" s="94">
        <v>108.45699999999999</v>
      </c>
      <c r="BQ64" s="94">
        <v>1.8264</v>
      </c>
      <c r="BR64" s="94">
        <v>1.8264</v>
      </c>
      <c r="BS64" s="94">
        <v>6.99681E-3</v>
      </c>
      <c r="BT64" s="94">
        <v>1.8193999999999999</v>
      </c>
      <c r="BU64" s="94"/>
      <c r="BV64" s="94">
        <v>7.4326999999999996</v>
      </c>
      <c r="BW64" s="94">
        <v>194.19399999999999</v>
      </c>
      <c r="BX64" s="94">
        <v>3.76206</v>
      </c>
      <c r="BY64" s="94">
        <v>46.945099999999996</v>
      </c>
      <c r="BZ64" s="94">
        <v>4.0198200000000002</v>
      </c>
      <c r="CA64">
        <v>62.244900000000001</v>
      </c>
      <c r="CB64">
        <v>4.2428699999999999</v>
      </c>
      <c r="CC64">
        <v>48.898600000000002</v>
      </c>
      <c r="CD64">
        <v>48.898600000000002</v>
      </c>
      <c r="CE64">
        <v>7.8129</v>
      </c>
      <c r="CF64">
        <v>18.759799999999998</v>
      </c>
      <c r="CG64">
        <v>3.8214299999999998E-3</v>
      </c>
      <c r="CM64">
        <v>1160.98</v>
      </c>
      <c r="CN64">
        <v>1160.8</v>
      </c>
      <c r="CO64">
        <v>1002.06</v>
      </c>
      <c r="CP64">
        <v>3.0242499999999999E-2</v>
      </c>
      <c r="CQ64">
        <v>7.8388199999999998E-3</v>
      </c>
      <c r="CR64">
        <v>102</v>
      </c>
      <c r="CS64">
        <v>2.5100099999999999</v>
      </c>
      <c r="CT64">
        <v>111.928</v>
      </c>
      <c r="CU64">
        <v>5.9676900000000002</v>
      </c>
      <c r="CV64">
        <v>5.9676900000000002</v>
      </c>
      <c r="CW64">
        <v>4.6779599999999998E-2</v>
      </c>
      <c r="CX64">
        <v>5.9209100000000001</v>
      </c>
      <c r="CY64">
        <v>0</v>
      </c>
      <c r="CZ64">
        <v>7.6625399999999999</v>
      </c>
      <c r="DA64">
        <v>193.53800000000001</v>
      </c>
      <c r="DB64">
        <v>12.3355</v>
      </c>
      <c r="DC64">
        <v>46.872399999999999</v>
      </c>
      <c r="DD64">
        <v>3.8153800000000002</v>
      </c>
      <c r="DE64">
        <v>62.15</v>
      </c>
      <c r="DF64">
        <v>4.2726600000000001</v>
      </c>
      <c r="DG64">
        <v>49.606200000000001</v>
      </c>
      <c r="DH64">
        <v>49.606200000000001</v>
      </c>
      <c r="DI64">
        <v>8.0280100000000001</v>
      </c>
      <c r="DJ64">
        <v>18.731999999999999</v>
      </c>
      <c r="DK64">
        <v>7.7789000000000001E-3</v>
      </c>
      <c r="DQ64">
        <v>1193.29</v>
      </c>
      <c r="DR64">
        <v>1193.04</v>
      </c>
      <c r="DS64">
        <v>1270.24</v>
      </c>
      <c r="DT64">
        <v>0.27751799999999999</v>
      </c>
      <c r="DU64">
        <v>0.61380299999999999</v>
      </c>
      <c r="DV64">
        <v>105</v>
      </c>
      <c r="DW64">
        <v>0.46382899999999999</v>
      </c>
      <c r="DX64">
        <v>743.00599999999997</v>
      </c>
      <c r="DY64">
        <v>8.9894799999999997E-2</v>
      </c>
      <c r="DZ64">
        <v>2.7570199999999998</v>
      </c>
      <c r="EA64">
        <v>5.5177700000000003E-2</v>
      </c>
      <c r="EB64">
        <v>1.0647500000000001</v>
      </c>
      <c r="EC64">
        <v>0</v>
      </c>
      <c r="ED64">
        <v>6.1402700000000001</v>
      </c>
      <c r="EE64">
        <v>139.535</v>
      </c>
      <c r="EF64">
        <v>3.21089</v>
      </c>
      <c r="EG64">
        <v>46.9343</v>
      </c>
      <c r="EH64">
        <v>5.4197699999999998</v>
      </c>
      <c r="EI64">
        <v>62.254100000000001</v>
      </c>
      <c r="EJ64">
        <v>8.2199399999999994</v>
      </c>
      <c r="EK64">
        <v>42.371600000000001</v>
      </c>
      <c r="EL64">
        <v>42.371600000000001</v>
      </c>
      <c r="EM64">
        <v>6.1368400000000003</v>
      </c>
      <c r="EN64">
        <v>18.775500000000001</v>
      </c>
      <c r="EO64">
        <v>0.40265800000000002</v>
      </c>
    </row>
    <row r="65" spans="31:145" x14ac:dyDescent="0.2">
      <c r="AE65" s="94">
        <v>1129.8900000000001</v>
      </c>
      <c r="AF65" s="94">
        <v>1129.76</v>
      </c>
      <c r="AG65" s="94">
        <v>862.827</v>
      </c>
      <c r="AH65" s="94">
        <v>2.6140799999999999E-2</v>
      </c>
      <c r="AI65" s="94">
        <v>3.3941700000000002E-3</v>
      </c>
      <c r="AJ65" s="94">
        <v>102</v>
      </c>
      <c r="AK65" s="94">
        <v>0.23485</v>
      </c>
      <c r="AL65" s="94">
        <v>95.976600000000005</v>
      </c>
      <c r="AM65" s="94">
        <v>1.8062400000000001</v>
      </c>
      <c r="AN65" s="94">
        <v>1.8062400000000001</v>
      </c>
      <c r="AO65" s="94">
        <v>6.1306900000000003E-3</v>
      </c>
      <c r="AP65" s="94">
        <v>1.8001100000000001</v>
      </c>
      <c r="AQ65" s="94"/>
      <c r="AR65" s="94">
        <v>8.0041700000000002</v>
      </c>
      <c r="AS65" s="94">
        <v>206.33500000000001</v>
      </c>
      <c r="AT65" s="94">
        <v>3.5016400000000001</v>
      </c>
      <c r="AU65" s="94">
        <v>46.9375</v>
      </c>
      <c r="AV65" s="94">
        <v>3.5591499999999998</v>
      </c>
      <c r="AW65" s="94">
        <v>62.230699999999999</v>
      </c>
      <c r="AX65" s="94">
        <v>3.7582900000000001</v>
      </c>
      <c r="AY65" s="94">
        <v>51.160699999999999</v>
      </c>
      <c r="AZ65" s="94">
        <v>51.160699999999999</v>
      </c>
      <c r="BA65" s="94">
        <v>8.4221800000000009</v>
      </c>
      <c r="BB65" s="94">
        <v>18.753299999999999</v>
      </c>
      <c r="BC65" s="94">
        <v>3.3879499999999998E-3</v>
      </c>
      <c r="BD65" s="94"/>
      <c r="BE65" s="94"/>
      <c r="BF65" s="94"/>
      <c r="BG65" s="94"/>
      <c r="BH65" s="94"/>
      <c r="BI65" s="94">
        <v>1160.98</v>
      </c>
      <c r="BJ65" s="94">
        <v>1160.8</v>
      </c>
      <c r="BK65" s="94">
        <v>967.05399999999997</v>
      </c>
      <c r="BL65" s="94">
        <v>2.94927E-2</v>
      </c>
      <c r="BM65" s="94">
        <v>3.8325500000000001E-3</v>
      </c>
      <c r="BN65" s="94">
        <v>102</v>
      </c>
      <c r="BO65" s="94">
        <v>0.27536100000000002</v>
      </c>
      <c r="BP65" s="94">
        <v>111.453</v>
      </c>
      <c r="BQ65" s="94">
        <v>1.82585</v>
      </c>
      <c r="BR65" s="94">
        <v>1.82585</v>
      </c>
      <c r="BS65" s="94">
        <v>6.9976700000000001E-3</v>
      </c>
      <c r="BT65" s="94">
        <v>1.8188500000000001</v>
      </c>
      <c r="BU65" s="94"/>
      <c r="BV65" s="94">
        <v>7.4301300000000001</v>
      </c>
      <c r="BW65" s="94">
        <v>194.16499999999999</v>
      </c>
      <c r="BX65" s="94">
        <v>3.7618999999999998</v>
      </c>
      <c r="BY65" s="94">
        <v>46.934600000000003</v>
      </c>
      <c r="BZ65" s="94">
        <v>4.0219800000000001</v>
      </c>
      <c r="CA65">
        <v>62.231400000000001</v>
      </c>
      <c r="CB65">
        <v>4.2450700000000001</v>
      </c>
      <c r="CC65">
        <v>48.8446</v>
      </c>
      <c r="CD65">
        <v>48.8446</v>
      </c>
      <c r="CE65">
        <v>7.8024899999999997</v>
      </c>
      <c r="CF65">
        <v>18.756</v>
      </c>
      <c r="CG65">
        <v>3.8217300000000002E-3</v>
      </c>
      <c r="CM65">
        <v>1192.07</v>
      </c>
      <c r="CN65">
        <v>1191.8399999999999</v>
      </c>
      <c r="CO65">
        <v>1005.15</v>
      </c>
      <c r="CP65">
        <v>3.0260499999999999E-2</v>
      </c>
      <c r="CQ65">
        <v>7.8454700000000002E-3</v>
      </c>
      <c r="CR65">
        <v>102</v>
      </c>
      <c r="CS65">
        <v>2.5739899999999998</v>
      </c>
      <c r="CT65">
        <v>114.94499999999999</v>
      </c>
      <c r="CU65">
        <v>5.96401</v>
      </c>
      <c r="CV65">
        <v>5.96401</v>
      </c>
      <c r="CW65">
        <v>4.6790400000000003E-2</v>
      </c>
      <c r="CX65">
        <v>5.9172099999999999</v>
      </c>
      <c r="CY65">
        <v>0</v>
      </c>
      <c r="CZ65">
        <v>7.6573500000000001</v>
      </c>
      <c r="DA65">
        <v>193.47900000000001</v>
      </c>
      <c r="DB65">
        <v>12.3317</v>
      </c>
      <c r="DC65">
        <v>46.861800000000002</v>
      </c>
      <c r="DD65">
        <v>3.8178000000000001</v>
      </c>
      <c r="DE65">
        <v>62.135599999999997</v>
      </c>
      <c r="DF65">
        <v>4.2753300000000003</v>
      </c>
      <c r="DG65">
        <v>49.547699999999999</v>
      </c>
      <c r="DH65">
        <v>49.547699999999999</v>
      </c>
      <c r="DI65">
        <v>8.0170300000000001</v>
      </c>
      <c r="DJ65">
        <v>18.727499999999999</v>
      </c>
      <c r="DK65">
        <v>7.7806300000000002E-3</v>
      </c>
      <c r="DQ65">
        <v>1194.51</v>
      </c>
      <c r="DR65">
        <v>1194.25</v>
      </c>
      <c r="DS65">
        <v>1271.3499999999999</v>
      </c>
      <c r="DT65">
        <v>0.27765400000000001</v>
      </c>
      <c r="DU65">
        <v>0.61412299999999997</v>
      </c>
      <c r="DV65">
        <v>105</v>
      </c>
      <c r="DW65">
        <v>0.46414</v>
      </c>
      <c r="DX65">
        <v>744.10699999999997</v>
      </c>
      <c r="DY65">
        <v>8.9848499999999998E-2</v>
      </c>
      <c r="DZ65">
        <v>2.75692</v>
      </c>
      <c r="EA65">
        <v>5.5177999999999998E-2</v>
      </c>
      <c r="EB65">
        <v>1.0638300000000001</v>
      </c>
      <c r="EC65">
        <v>0</v>
      </c>
      <c r="ED65">
        <v>6.1367000000000003</v>
      </c>
      <c r="EE65">
        <v>139.47800000000001</v>
      </c>
      <c r="EF65">
        <v>3.2095699999999998</v>
      </c>
      <c r="EG65">
        <v>46.933999999999997</v>
      </c>
      <c r="EH65">
        <v>5.4244599999999998</v>
      </c>
      <c r="EI65">
        <v>62.253799999999998</v>
      </c>
      <c r="EJ65">
        <v>8.2266899999999996</v>
      </c>
      <c r="EK65">
        <v>42.349899999999998</v>
      </c>
      <c r="EL65">
        <v>42.349899999999998</v>
      </c>
      <c r="EM65">
        <v>6.1315499999999998</v>
      </c>
      <c r="EN65">
        <v>18.775500000000001</v>
      </c>
      <c r="EO65">
        <v>0.40287299999999998</v>
      </c>
    </row>
    <row r="66" spans="31:145" x14ac:dyDescent="0.2">
      <c r="AE66" s="94">
        <v>1160.98</v>
      </c>
      <c r="AF66" s="94">
        <v>1160.8</v>
      </c>
      <c r="AG66" s="94">
        <v>865.49199999999996</v>
      </c>
      <c r="AH66" s="94">
        <v>2.61242E-2</v>
      </c>
      <c r="AI66" s="94">
        <v>3.39566E-3</v>
      </c>
      <c r="AJ66" s="94">
        <v>102</v>
      </c>
      <c r="AK66" s="94">
        <v>0.24107400000000001</v>
      </c>
      <c r="AL66" s="94">
        <v>98.630600000000001</v>
      </c>
      <c r="AM66" s="94">
        <v>1.8056700000000001</v>
      </c>
      <c r="AN66" s="94">
        <v>1.8056700000000001</v>
      </c>
      <c r="AO66" s="94">
        <v>6.1314500000000001E-3</v>
      </c>
      <c r="AP66" s="94">
        <v>1.7995399999999999</v>
      </c>
      <c r="AQ66" s="94"/>
      <c r="AR66" s="94">
        <v>8.00136</v>
      </c>
      <c r="AS66" s="94">
        <v>206.30199999999999</v>
      </c>
      <c r="AT66" s="94">
        <v>3.5014799999999999</v>
      </c>
      <c r="AU66" s="94">
        <v>46.926600000000001</v>
      </c>
      <c r="AV66" s="94">
        <v>3.5611600000000001</v>
      </c>
      <c r="AW66" s="94">
        <v>62.217100000000002</v>
      </c>
      <c r="AX66" s="94">
        <v>3.7603399999999998</v>
      </c>
      <c r="AY66" s="94">
        <v>51.105400000000003</v>
      </c>
      <c r="AZ66" s="94">
        <v>51.105400000000003</v>
      </c>
      <c r="BA66" s="94">
        <v>8.4111200000000004</v>
      </c>
      <c r="BB66" s="94">
        <v>18.749600000000001</v>
      </c>
      <c r="BC66" s="94">
        <v>3.3881599999999999E-3</v>
      </c>
      <c r="BD66" s="94"/>
      <c r="BE66" s="94"/>
      <c r="BF66" s="94"/>
      <c r="BG66" s="94"/>
      <c r="BH66" s="94"/>
      <c r="BI66" s="94">
        <v>1192.07</v>
      </c>
      <c r="BJ66" s="94">
        <v>1191.8399999999999</v>
      </c>
      <c r="BK66" s="94">
        <v>970.06399999999996</v>
      </c>
      <c r="BL66" s="94">
        <v>2.9509799999999999E-2</v>
      </c>
      <c r="BM66" s="94">
        <v>3.8356000000000002E-3</v>
      </c>
      <c r="BN66" s="94">
        <v>102</v>
      </c>
      <c r="BO66" s="94">
        <v>0.28244200000000003</v>
      </c>
      <c r="BP66" s="94">
        <v>114.45099999999999</v>
      </c>
      <c r="BQ66" s="94">
        <v>1.8247899999999999</v>
      </c>
      <c r="BR66" s="94">
        <v>1.8247899999999999</v>
      </c>
      <c r="BS66" s="94">
        <v>6.9991799999999998E-3</v>
      </c>
      <c r="BT66" s="94">
        <v>1.81779</v>
      </c>
      <c r="BU66" s="94"/>
      <c r="BV66" s="94">
        <v>7.4253999999999998</v>
      </c>
      <c r="BW66" s="94">
        <v>194.10900000000001</v>
      </c>
      <c r="BX66" s="94">
        <v>3.7608899999999998</v>
      </c>
      <c r="BY66" s="94">
        <v>46.924399999999999</v>
      </c>
      <c r="BZ66" s="94">
        <v>4.0245100000000003</v>
      </c>
      <c r="CA66">
        <v>62.218200000000003</v>
      </c>
      <c r="CB66">
        <v>4.2477200000000002</v>
      </c>
      <c r="CC66">
        <v>48.79</v>
      </c>
      <c r="CD66">
        <v>48.79</v>
      </c>
      <c r="CE66">
        <v>7.7918399999999997</v>
      </c>
      <c r="CF66">
        <v>18.752199999999998</v>
      </c>
      <c r="CG66">
        <v>3.8220900000000002E-3</v>
      </c>
      <c r="CM66">
        <v>1193.29</v>
      </c>
      <c r="CN66">
        <v>1193.04</v>
      </c>
      <c r="CO66">
        <v>1005.27</v>
      </c>
      <c r="CP66">
        <v>3.00582E-2</v>
      </c>
      <c r="CQ66">
        <v>7.8486400000000005E-3</v>
      </c>
      <c r="CR66">
        <v>102</v>
      </c>
      <c r="CS66">
        <v>2.5764900000000002</v>
      </c>
      <c r="CT66">
        <v>115.062</v>
      </c>
      <c r="CU66">
        <v>5.9623100000000004</v>
      </c>
      <c r="CV66">
        <v>5.9623100000000004</v>
      </c>
      <c r="CW66">
        <v>4.6795999999999997E-2</v>
      </c>
      <c r="CX66">
        <v>5.9155100000000003</v>
      </c>
      <c r="CY66">
        <v>0</v>
      </c>
      <c r="CZ66">
        <v>7.6548299999999996</v>
      </c>
      <c r="DA66">
        <v>193.45099999999999</v>
      </c>
      <c r="DB66">
        <v>12.3286</v>
      </c>
      <c r="DC66">
        <v>46.861400000000003</v>
      </c>
      <c r="DD66">
        <v>3.8178999999999998</v>
      </c>
      <c r="DE66">
        <v>62.135100000000001</v>
      </c>
      <c r="DF66">
        <v>4.2756100000000004</v>
      </c>
      <c r="DG66">
        <v>49.545400000000001</v>
      </c>
      <c r="DH66">
        <v>49.545400000000001</v>
      </c>
      <c r="DI66">
        <v>8.0166000000000004</v>
      </c>
      <c r="DJ66">
        <v>18.7273</v>
      </c>
      <c r="DK66">
        <v>7.7806999999999998E-3</v>
      </c>
      <c r="DQ66">
        <v>1204.26</v>
      </c>
      <c r="DR66">
        <v>1203.8800000000001</v>
      </c>
      <c r="DS66">
        <v>1280.48</v>
      </c>
      <c r="DT66">
        <v>0.28532200000000002</v>
      </c>
      <c r="DU66">
        <v>0.63659399999999999</v>
      </c>
      <c r="DV66">
        <v>105</v>
      </c>
      <c r="DW66">
        <v>0.466617</v>
      </c>
      <c r="DX66">
        <v>753.11699999999996</v>
      </c>
      <c r="DY66">
        <v>8.6678900000000003E-2</v>
      </c>
      <c r="DZ66">
        <v>2.9157700000000002</v>
      </c>
      <c r="EA66">
        <v>5.5179300000000001E-2</v>
      </c>
      <c r="EB66">
        <v>1.0596099999999999</v>
      </c>
      <c r="EC66">
        <v>0</v>
      </c>
      <c r="ED66">
        <v>6.1202500000000004</v>
      </c>
      <c r="EE66">
        <v>139.215</v>
      </c>
      <c r="EF66">
        <v>3.2066300000000001</v>
      </c>
      <c r="EG66">
        <v>46.9315</v>
      </c>
      <c r="EH66">
        <v>5.4630999999999998</v>
      </c>
      <c r="EI66">
        <v>62.251199999999997</v>
      </c>
      <c r="EJ66">
        <v>8.2739700000000003</v>
      </c>
      <c r="EK66">
        <v>42.170999999999999</v>
      </c>
      <c r="EL66">
        <v>42.170999999999999</v>
      </c>
      <c r="EM66">
        <v>6.0880799999999997</v>
      </c>
      <c r="EN66">
        <v>18.774999999999999</v>
      </c>
      <c r="EO66">
        <v>0.40476200000000001</v>
      </c>
    </row>
    <row r="67" spans="31:145" x14ac:dyDescent="0.2">
      <c r="AE67" s="94">
        <v>1192.07</v>
      </c>
      <c r="AF67" s="94">
        <v>1191.8399999999999</v>
      </c>
      <c r="AG67" s="94">
        <v>868.15800000000002</v>
      </c>
      <c r="AH67" s="94">
        <v>2.6140099999999999E-2</v>
      </c>
      <c r="AI67" s="94">
        <v>3.3984699999999998E-3</v>
      </c>
      <c r="AJ67" s="94">
        <v>102</v>
      </c>
      <c r="AK67" s="94">
        <v>0.24729599999999999</v>
      </c>
      <c r="AL67" s="94">
        <v>101.286</v>
      </c>
      <c r="AM67" s="94">
        <v>1.80457</v>
      </c>
      <c r="AN67" s="94">
        <v>1.80457</v>
      </c>
      <c r="AO67" s="94">
        <v>6.13278E-3</v>
      </c>
      <c r="AP67" s="94">
        <v>1.79844</v>
      </c>
      <c r="AQ67" s="94"/>
      <c r="AR67" s="94">
        <v>7.9962</v>
      </c>
      <c r="AS67" s="94">
        <v>206.239</v>
      </c>
      <c r="AT67" s="94">
        <v>3.5004900000000001</v>
      </c>
      <c r="AU67" s="94">
        <v>46.9161</v>
      </c>
      <c r="AV67" s="94">
        <v>3.56351</v>
      </c>
      <c r="AW67" s="94">
        <v>62.203800000000001</v>
      </c>
      <c r="AX67" s="94">
        <v>3.7627999999999999</v>
      </c>
      <c r="AY67" s="94">
        <v>51.049500000000002</v>
      </c>
      <c r="AZ67" s="94">
        <v>51.049500000000002</v>
      </c>
      <c r="BA67" s="94">
        <v>8.3999000000000006</v>
      </c>
      <c r="BB67" s="94">
        <v>18.745899999999999</v>
      </c>
      <c r="BC67" s="94">
        <v>3.38843E-3</v>
      </c>
      <c r="BD67" s="94"/>
      <c r="BE67" s="94"/>
      <c r="BF67" s="94"/>
      <c r="BG67" s="94"/>
      <c r="BH67" s="94"/>
      <c r="BI67" s="94">
        <v>1193.29</v>
      </c>
      <c r="BJ67" s="94">
        <v>1193.04</v>
      </c>
      <c r="BK67" s="94">
        <v>970.18100000000004</v>
      </c>
      <c r="BL67" s="94">
        <v>2.9308899999999999E-2</v>
      </c>
      <c r="BM67" s="94">
        <v>3.8371199999999999E-3</v>
      </c>
      <c r="BN67" s="94">
        <v>102</v>
      </c>
      <c r="BO67" s="94">
        <v>0.282719</v>
      </c>
      <c r="BP67" s="94">
        <v>114.56699999999999</v>
      </c>
      <c r="BQ67" s="94">
        <v>1.8242700000000001</v>
      </c>
      <c r="BR67" s="94">
        <v>1.8242700000000001</v>
      </c>
      <c r="BS67" s="94">
        <v>6.9999499999999996E-3</v>
      </c>
      <c r="BT67" s="94">
        <v>1.8172699999999999</v>
      </c>
      <c r="BU67" s="94"/>
      <c r="BV67" s="94">
        <v>7.4230299999999998</v>
      </c>
      <c r="BW67" s="94">
        <v>194.08099999999999</v>
      </c>
      <c r="BX67" s="94">
        <v>3.7599100000000001</v>
      </c>
      <c r="BY67" s="94">
        <v>46.923999999999999</v>
      </c>
      <c r="BZ67" s="94">
        <v>4.02461</v>
      </c>
      <c r="CA67">
        <v>62.217700000000001</v>
      </c>
      <c r="CB67">
        <v>4.2479100000000001</v>
      </c>
      <c r="CC67">
        <v>48.787799999999997</v>
      </c>
      <c r="CD67">
        <v>48.787799999999997</v>
      </c>
      <c r="CE67">
        <v>7.7914300000000001</v>
      </c>
      <c r="CF67">
        <v>18.751999999999999</v>
      </c>
      <c r="CG67">
        <v>3.8221100000000001E-3</v>
      </c>
      <c r="CM67">
        <v>1194.51</v>
      </c>
      <c r="CN67">
        <v>1194.25</v>
      </c>
      <c r="CO67">
        <v>1005.39</v>
      </c>
      <c r="CP67">
        <v>3.00589E-2</v>
      </c>
      <c r="CQ67">
        <v>7.8489000000000007E-3</v>
      </c>
      <c r="CR67">
        <v>102</v>
      </c>
      <c r="CS67">
        <v>2.5790000000000002</v>
      </c>
      <c r="CT67">
        <v>115.179</v>
      </c>
      <c r="CU67">
        <v>5.9621700000000004</v>
      </c>
      <c r="CV67">
        <v>5.9621700000000004</v>
      </c>
      <c r="CW67">
        <v>4.6796499999999998E-2</v>
      </c>
      <c r="CX67">
        <v>5.9153700000000002</v>
      </c>
      <c r="CY67">
        <v>0</v>
      </c>
      <c r="CZ67">
        <v>7.6546200000000004</v>
      </c>
      <c r="DA67">
        <v>193.44900000000001</v>
      </c>
      <c r="DB67">
        <v>12.3284</v>
      </c>
      <c r="DC67">
        <v>46.860999999999997</v>
      </c>
      <c r="DD67">
        <v>3.81799</v>
      </c>
      <c r="DE67">
        <v>62.134500000000003</v>
      </c>
      <c r="DF67">
        <v>4.2757100000000001</v>
      </c>
      <c r="DG67">
        <v>49.543199999999999</v>
      </c>
      <c r="DH67">
        <v>49.543199999999999</v>
      </c>
      <c r="DI67">
        <v>8.0161700000000007</v>
      </c>
      <c r="DJ67">
        <v>18.7272</v>
      </c>
      <c r="DK67">
        <v>7.7807700000000002E-3</v>
      </c>
      <c r="DQ67">
        <v>1214.02</v>
      </c>
      <c r="DR67">
        <v>1213.51</v>
      </c>
      <c r="DS67">
        <v>1289.6500000000001</v>
      </c>
      <c r="DT67">
        <v>0.286466</v>
      </c>
      <c r="DU67">
        <v>0.639316</v>
      </c>
      <c r="DV67">
        <v>105</v>
      </c>
      <c r="DW67">
        <v>0.46907799999999999</v>
      </c>
      <c r="DX67">
        <v>762.16399999999999</v>
      </c>
      <c r="DY67">
        <v>8.6313500000000001E-2</v>
      </c>
      <c r="DZ67">
        <v>2.9170199999999999</v>
      </c>
      <c r="EA67">
        <v>5.5181599999999997E-2</v>
      </c>
      <c r="EB67">
        <v>1.0521199999999999</v>
      </c>
      <c r="EC67">
        <v>0</v>
      </c>
      <c r="ED67">
        <v>6.0910200000000003</v>
      </c>
      <c r="EE67">
        <v>138.74700000000001</v>
      </c>
      <c r="EF67">
        <v>3.19584</v>
      </c>
      <c r="EG67">
        <v>46.929000000000002</v>
      </c>
      <c r="EH67">
        <v>5.5019099999999996</v>
      </c>
      <c r="EI67">
        <v>62.248600000000003</v>
      </c>
      <c r="EJ67">
        <v>8.3298400000000008</v>
      </c>
      <c r="EK67">
        <v>41.991999999999997</v>
      </c>
      <c r="EL67">
        <v>41.991999999999997</v>
      </c>
      <c r="EM67">
        <v>6.0446600000000004</v>
      </c>
      <c r="EN67">
        <v>18.7746</v>
      </c>
      <c r="EO67">
        <v>0.40664299999999998</v>
      </c>
    </row>
    <row r="68" spans="31:145" x14ac:dyDescent="0.2">
      <c r="AE68" s="94">
        <v>1193.29</v>
      </c>
      <c r="AF68" s="94">
        <v>1193.04</v>
      </c>
      <c r="AG68" s="94">
        <v>868.26199999999994</v>
      </c>
      <c r="AH68" s="94">
        <v>2.5962599999999999E-2</v>
      </c>
      <c r="AI68" s="94">
        <v>3.3998800000000001E-3</v>
      </c>
      <c r="AJ68" s="94">
        <v>102</v>
      </c>
      <c r="AK68" s="94">
        <v>0.24754000000000001</v>
      </c>
      <c r="AL68" s="94">
        <v>101.389</v>
      </c>
      <c r="AM68" s="94">
        <v>1.80402</v>
      </c>
      <c r="AN68" s="94">
        <v>1.80402</v>
      </c>
      <c r="AO68" s="94">
        <v>6.1334600000000003E-3</v>
      </c>
      <c r="AP68" s="94">
        <v>1.79789</v>
      </c>
      <c r="AQ68" s="94"/>
      <c r="AR68" s="94">
        <v>7.9935999999999998</v>
      </c>
      <c r="AS68" s="94">
        <v>206.208</v>
      </c>
      <c r="AT68" s="94">
        <v>3.49952</v>
      </c>
      <c r="AU68" s="94">
        <v>46.915700000000001</v>
      </c>
      <c r="AV68" s="94">
        <v>3.5636100000000002</v>
      </c>
      <c r="AW68" s="94">
        <v>62.203299999999999</v>
      </c>
      <c r="AX68" s="94">
        <v>3.7629800000000002</v>
      </c>
      <c r="AY68" s="94">
        <v>51.0473</v>
      </c>
      <c r="AZ68" s="94">
        <v>51.0473</v>
      </c>
      <c r="BA68" s="94">
        <v>8.3994599999999995</v>
      </c>
      <c r="BB68" s="94">
        <v>18.745799999999999</v>
      </c>
      <c r="BC68" s="94">
        <v>3.3884399999999999E-3</v>
      </c>
      <c r="BD68" s="94"/>
      <c r="BE68" s="94"/>
      <c r="BF68" s="94"/>
      <c r="BG68" s="94"/>
      <c r="BH68" s="94"/>
      <c r="BI68" s="94">
        <v>1194.51</v>
      </c>
      <c r="BJ68" s="94">
        <v>1194.25</v>
      </c>
      <c r="BK68" s="94">
        <v>970.298</v>
      </c>
      <c r="BL68" s="94">
        <v>2.9309700000000001E-2</v>
      </c>
      <c r="BM68" s="94">
        <v>3.8372499999999999E-3</v>
      </c>
      <c r="BN68" s="94">
        <v>102</v>
      </c>
      <c r="BO68" s="94">
        <v>0.282997</v>
      </c>
      <c r="BP68" s="94">
        <v>114.68300000000001</v>
      </c>
      <c r="BQ68" s="94">
        <v>1.82423</v>
      </c>
      <c r="BR68" s="94">
        <v>1.82423</v>
      </c>
      <c r="BS68" s="94">
        <v>7.0000100000000001E-3</v>
      </c>
      <c r="BT68" s="94">
        <v>1.8172299999999999</v>
      </c>
      <c r="BU68" s="94"/>
      <c r="BV68" s="94">
        <v>7.4228300000000003</v>
      </c>
      <c r="BW68" s="94">
        <v>194.07900000000001</v>
      </c>
      <c r="BX68" s="94">
        <v>3.7598600000000002</v>
      </c>
      <c r="BY68" s="94">
        <v>46.9236</v>
      </c>
      <c r="BZ68" s="94">
        <v>4.0247200000000003</v>
      </c>
      <c r="CA68">
        <v>62.217199999999998</v>
      </c>
      <c r="CB68">
        <v>4.2480200000000004</v>
      </c>
      <c r="CC68">
        <v>48.785699999999999</v>
      </c>
      <c r="CD68">
        <v>48.785699999999999</v>
      </c>
      <c r="CE68">
        <v>7.7910000000000004</v>
      </c>
      <c r="CF68">
        <v>18.751899999999999</v>
      </c>
      <c r="CG68">
        <v>3.82212E-3</v>
      </c>
      <c r="CM68">
        <v>1204.26</v>
      </c>
      <c r="CN68">
        <v>1203.8800000000001</v>
      </c>
      <c r="CO68">
        <v>1006.34</v>
      </c>
      <c r="CP68">
        <v>2.9943000000000001E-2</v>
      </c>
      <c r="CQ68">
        <v>7.8504100000000004E-3</v>
      </c>
      <c r="CR68">
        <v>102</v>
      </c>
      <c r="CS68">
        <v>2.5990600000000001</v>
      </c>
      <c r="CT68">
        <v>116.105</v>
      </c>
      <c r="CU68">
        <v>5.9612699999999998</v>
      </c>
      <c r="CV68">
        <v>5.9612699999999998</v>
      </c>
      <c r="CW68">
        <v>4.6798399999999997E-2</v>
      </c>
      <c r="CX68">
        <v>5.9144699999999997</v>
      </c>
      <c r="CY68">
        <v>0</v>
      </c>
      <c r="CZ68">
        <v>7.6535099999999998</v>
      </c>
      <c r="DA68">
        <v>193.434</v>
      </c>
      <c r="DB68">
        <v>12.3277</v>
      </c>
      <c r="DC68">
        <v>46.857700000000001</v>
      </c>
      <c r="DD68">
        <v>3.81873</v>
      </c>
      <c r="DE68">
        <v>62.13</v>
      </c>
      <c r="DF68">
        <v>4.2764899999999999</v>
      </c>
      <c r="DG68">
        <v>49.524999999999999</v>
      </c>
      <c r="DH68">
        <v>49.524999999999999</v>
      </c>
      <c r="DI68">
        <v>8.0127699999999997</v>
      </c>
      <c r="DJ68">
        <v>18.7257</v>
      </c>
      <c r="DK68">
        <v>7.7813300000000004E-3</v>
      </c>
      <c r="DQ68">
        <v>1216.76</v>
      </c>
      <c r="DR68">
        <v>1216.17</v>
      </c>
      <c r="DS68">
        <v>1292.3699999999999</v>
      </c>
      <c r="DT68">
        <v>0.30285200000000001</v>
      </c>
      <c r="DU68">
        <v>0.69646200000000003</v>
      </c>
      <c r="DV68">
        <v>105</v>
      </c>
      <c r="DW68">
        <v>0.46976499999999999</v>
      </c>
      <c r="DX68">
        <v>764.803</v>
      </c>
      <c r="DY68">
        <v>7.9233499999999998E-2</v>
      </c>
      <c r="DZ68">
        <v>3.4502999999999999</v>
      </c>
      <c r="EA68">
        <v>5.5183099999999999E-2</v>
      </c>
      <c r="EB68">
        <v>1.0472999999999999</v>
      </c>
      <c r="EC68">
        <v>0</v>
      </c>
      <c r="ED68">
        <v>6.07212</v>
      </c>
      <c r="EE68">
        <v>138.44399999999999</v>
      </c>
      <c r="EF68">
        <v>3.1863999999999999</v>
      </c>
      <c r="EG68">
        <v>46.928400000000003</v>
      </c>
      <c r="EH68">
        <v>5.5135399999999999</v>
      </c>
      <c r="EI68">
        <v>62.247900000000001</v>
      </c>
      <c r="EJ68">
        <v>8.3533000000000008</v>
      </c>
      <c r="EK68">
        <v>41.938699999999997</v>
      </c>
      <c r="EL68">
        <v>41.938699999999997</v>
      </c>
      <c r="EM68">
        <v>6.0317400000000001</v>
      </c>
      <c r="EN68">
        <v>18.7745</v>
      </c>
      <c r="EO68">
        <v>0.40729500000000002</v>
      </c>
    </row>
    <row r="69" spans="31:145" x14ac:dyDescent="0.2">
      <c r="AE69" s="94">
        <v>1194.51</v>
      </c>
      <c r="AF69" s="94">
        <v>1194.25</v>
      </c>
      <c r="AG69" s="94">
        <v>868.36599999999999</v>
      </c>
      <c r="AH69" s="94">
        <v>2.5963400000000001E-2</v>
      </c>
      <c r="AI69" s="94">
        <v>3.3999999999999998E-3</v>
      </c>
      <c r="AJ69" s="94">
        <v>102</v>
      </c>
      <c r="AK69" s="94">
        <v>0.247784</v>
      </c>
      <c r="AL69" s="94">
        <v>101.492</v>
      </c>
      <c r="AM69" s="94">
        <v>1.8039700000000001</v>
      </c>
      <c r="AN69" s="94">
        <v>1.8039700000000001</v>
      </c>
      <c r="AO69" s="94">
        <v>6.13351E-3</v>
      </c>
      <c r="AP69" s="94">
        <v>1.7978400000000001</v>
      </c>
      <c r="AQ69" s="94"/>
      <c r="AR69" s="94">
        <v>7.9933899999999998</v>
      </c>
      <c r="AS69" s="94">
        <v>206.20500000000001</v>
      </c>
      <c r="AT69" s="94">
        <v>3.4994700000000001</v>
      </c>
      <c r="AU69" s="94">
        <v>46.915300000000002</v>
      </c>
      <c r="AV69" s="94">
        <v>3.5637099999999999</v>
      </c>
      <c r="AW69" s="94">
        <v>62.202800000000003</v>
      </c>
      <c r="AX69" s="94">
        <v>3.76308</v>
      </c>
      <c r="AY69" s="94">
        <v>51.045099999999998</v>
      </c>
      <c r="AZ69" s="94">
        <v>51.045099999999998</v>
      </c>
      <c r="BA69" s="94">
        <v>8.3990200000000002</v>
      </c>
      <c r="BB69" s="94">
        <v>18.745699999999999</v>
      </c>
      <c r="BC69" s="94">
        <v>3.3884499999999999E-3</v>
      </c>
      <c r="BD69" s="94"/>
      <c r="BE69" s="94"/>
      <c r="BF69" s="94"/>
      <c r="BG69" s="94"/>
      <c r="BH69" s="94"/>
      <c r="BI69" s="94">
        <v>1204.26</v>
      </c>
      <c r="BJ69" s="94">
        <v>1203.8800000000001</v>
      </c>
      <c r="BK69" s="94">
        <v>971.23299999999995</v>
      </c>
      <c r="BL69" s="94">
        <v>2.9194899999999999E-2</v>
      </c>
      <c r="BM69" s="94">
        <v>3.8380200000000001E-3</v>
      </c>
      <c r="BN69" s="94">
        <v>102</v>
      </c>
      <c r="BO69" s="94">
        <v>0.285217</v>
      </c>
      <c r="BP69" s="94">
        <v>115.60299999999999</v>
      </c>
      <c r="BQ69" s="94">
        <v>1.8239300000000001</v>
      </c>
      <c r="BR69" s="94">
        <v>1.8239300000000001</v>
      </c>
      <c r="BS69" s="94">
        <v>7.0002700000000003E-3</v>
      </c>
      <c r="BT69" s="94">
        <v>1.8169299999999999</v>
      </c>
      <c r="BU69" s="94"/>
      <c r="BV69" s="94">
        <v>7.4217300000000002</v>
      </c>
      <c r="BW69" s="94">
        <v>194.06299999999999</v>
      </c>
      <c r="BX69" s="94">
        <v>3.7596400000000001</v>
      </c>
      <c r="BY69" s="94">
        <v>46.920499999999997</v>
      </c>
      <c r="BZ69" s="94">
        <v>4.0255799999999997</v>
      </c>
      <c r="CA69">
        <v>62.213099999999997</v>
      </c>
      <c r="CB69">
        <v>4.2489100000000004</v>
      </c>
      <c r="CC69">
        <v>48.768500000000003</v>
      </c>
      <c r="CD69">
        <v>48.768500000000003</v>
      </c>
      <c r="CE69">
        <v>7.7876500000000002</v>
      </c>
      <c r="CF69">
        <v>18.750699999999998</v>
      </c>
      <c r="CG69">
        <v>3.8222500000000001E-3</v>
      </c>
      <c r="CM69">
        <v>1214.02</v>
      </c>
      <c r="CN69">
        <v>1213.51</v>
      </c>
      <c r="CO69">
        <v>1007.3</v>
      </c>
      <c r="CP69">
        <v>2.9948499999999999E-2</v>
      </c>
      <c r="CQ69">
        <v>7.8524800000000002E-3</v>
      </c>
      <c r="CR69">
        <v>102</v>
      </c>
      <c r="CS69">
        <v>2.6191200000000001</v>
      </c>
      <c r="CT69">
        <v>117.03100000000001</v>
      </c>
      <c r="CU69">
        <v>5.9601300000000004</v>
      </c>
      <c r="CV69">
        <v>5.9601300000000004</v>
      </c>
      <c r="CW69">
        <v>4.6801799999999998E-2</v>
      </c>
      <c r="CX69">
        <v>5.9133199999999997</v>
      </c>
      <c r="CY69">
        <v>0</v>
      </c>
      <c r="CZ69">
        <v>7.6518899999999999</v>
      </c>
      <c r="DA69">
        <v>193.416</v>
      </c>
      <c r="DB69">
        <v>12.326499999999999</v>
      </c>
      <c r="DC69">
        <v>46.854399999999998</v>
      </c>
      <c r="DD69">
        <v>3.8194699999999999</v>
      </c>
      <c r="DE69">
        <v>62.125500000000002</v>
      </c>
      <c r="DF69">
        <v>4.2773199999999996</v>
      </c>
      <c r="DG69">
        <v>49.506700000000002</v>
      </c>
      <c r="DH69">
        <v>49.506700000000002</v>
      </c>
      <c r="DI69">
        <v>8.0093599999999991</v>
      </c>
      <c r="DJ69">
        <v>18.724299999999999</v>
      </c>
      <c r="DK69">
        <v>7.7818999999999996E-3</v>
      </c>
      <c r="DQ69">
        <v>1219.5</v>
      </c>
      <c r="DR69">
        <v>1218.82</v>
      </c>
      <c r="DS69">
        <v>1295.0999999999999</v>
      </c>
      <c r="DT69">
        <v>0.30320900000000001</v>
      </c>
      <c r="DU69">
        <v>0.69734499999999999</v>
      </c>
      <c r="DV69">
        <v>105</v>
      </c>
      <c r="DW69">
        <v>0.47044999999999998</v>
      </c>
      <c r="DX69">
        <v>767.44500000000005</v>
      </c>
      <c r="DY69">
        <v>7.9134099999999999E-2</v>
      </c>
      <c r="DZ69">
        <v>3.4530699999999999</v>
      </c>
      <c r="EA69">
        <v>5.5183700000000002E-2</v>
      </c>
      <c r="EB69">
        <v>1.0450900000000001</v>
      </c>
      <c r="EC69">
        <v>0</v>
      </c>
      <c r="ED69">
        <v>6.0634600000000001</v>
      </c>
      <c r="EE69">
        <v>138.30500000000001</v>
      </c>
      <c r="EF69">
        <v>3.1831999999999998</v>
      </c>
      <c r="EG69">
        <v>46.927700000000002</v>
      </c>
      <c r="EH69">
        <v>5.5251799999999998</v>
      </c>
      <c r="EI69">
        <v>62.247199999999999</v>
      </c>
      <c r="EJ69">
        <v>8.3700399999999995</v>
      </c>
      <c r="EK69">
        <v>41.8855</v>
      </c>
      <c r="EL69">
        <v>41.8855</v>
      </c>
      <c r="EM69">
        <v>6.0188300000000003</v>
      </c>
      <c r="EN69">
        <v>18.7744</v>
      </c>
      <c r="EO69">
        <v>0.40794599999999998</v>
      </c>
    </row>
    <row r="70" spans="31:145" x14ac:dyDescent="0.2">
      <c r="AE70" s="94">
        <v>1204.26</v>
      </c>
      <c r="AF70" s="94">
        <v>1203.8800000000001</v>
      </c>
      <c r="AG70" s="94">
        <v>869.19299999999998</v>
      </c>
      <c r="AH70" s="94">
        <v>2.5861800000000001E-2</v>
      </c>
      <c r="AI70" s="94">
        <v>3.40069E-3</v>
      </c>
      <c r="AJ70" s="94">
        <v>102</v>
      </c>
      <c r="AK70" s="94">
        <v>0.24973500000000001</v>
      </c>
      <c r="AL70" s="94">
        <v>102.307</v>
      </c>
      <c r="AM70" s="94">
        <v>1.8036799999999999</v>
      </c>
      <c r="AN70" s="94">
        <v>1.8036799999999999</v>
      </c>
      <c r="AO70" s="94">
        <v>6.1337300000000004E-3</v>
      </c>
      <c r="AP70" s="94">
        <v>1.7975399999999999</v>
      </c>
      <c r="AQ70" s="94"/>
      <c r="AR70" s="94">
        <v>7.99221</v>
      </c>
      <c r="AS70" s="94">
        <v>206.18799999999999</v>
      </c>
      <c r="AT70" s="94">
        <v>3.4992700000000001</v>
      </c>
      <c r="AU70" s="94">
        <v>46.912100000000002</v>
      </c>
      <c r="AV70" s="94">
        <v>3.5645099999999998</v>
      </c>
      <c r="AW70" s="94">
        <v>62.198700000000002</v>
      </c>
      <c r="AX70" s="94">
        <v>3.7639</v>
      </c>
      <c r="AY70" s="94">
        <v>51.0276</v>
      </c>
      <c r="AZ70" s="94">
        <v>51.0276</v>
      </c>
      <c r="BA70" s="94">
        <v>8.3954900000000006</v>
      </c>
      <c r="BB70" s="94">
        <v>18.744499999999999</v>
      </c>
      <c r="BC70" s="94">
        <v>3.3885500000000002E-3</v>
      </c>
      <c r="BD70" s="94"/>
      <c r="BE70" s="94"/>
      <c r="BF70" s="94"/>
      <c r="BG70" s="94"/>
      <c r="BH70" s="94"/>
      <c r="BI70" s="94">
        <v>1214.02</v>
      </c>
      <c r="BJ70" s="94">
        <v>1213.51</v>
      </c>
      <c r="BK70" s="94">
        <v>972.16700000000003</v>
      </c>
      <c r="BL70" s="94">
        <v>2.9201299999999999E-2</v>
      </c>
      <c r="BM70" s="94">
        <v>3.8391100000000002E-3</v>
      </c>
      <c r="BN70" s="94">
        <v>102</v>
      </c>
      <c r="BO70" s="94">
        <v>0.287437</v>
      </c>
      <c r="BP70" s="94">
        <v>116.523</v>
      </c>
      <c r="BQ70" s="94">
        <v>1.8235300000000001</v>
      </c>
      <c r="BR70" s="94">
        <v>1.8235300000000001</v>
      </c>
      <c r="BS70" s="94">
        <v>7.0007200000000002E-3</v>
      </c>
      <c r="BT70" s="94">
        <v>1.81653</v>
      </c>
      <c r="BU70" s="94"/>
      <c r="BV70" s="94">
        <v>7.4200999999999997</v>
      </c>
      <c r="BW70" s="94">
        <v>194.042</v>
      </c>
      <c r="BX70" s="94">
        <v>3.7592400000000001</v>
      </c>
      <c r="BY70" s="94">
        <v>46.917400000000001</v>
      </c>
      <c r="BZ70" s="94">
        <v>4.0265000000000004</v>
      </c>
      <c r="CA70">
        <v>62.209200000000003</v>
      </c>
      <c r="CB70">
        <v>4.2498699999999996</v>
      </c>
      <c r="CC70">
        <v>48.751300000000001</v>
      </c>
      <c r="CD70">
        <v>48.751300000000001</v>
      </c>
      <c r="CE70">
        <v>7.7842599999999997</v>
      </c>
      <c r="CF70">
        <v>18.749600000000001</v>
      </c>
      <c r="CG70">
        <v>3.8223799999999998E-3</v>
      </c>
      <c r="CM70">
        <v>1216.76</v>
      </c>
      <c r="CN70">
        <v>1216.17</v>
      </c>
      <c r="CO70">
        <v>1007.57</v>
      </c>
      <c r="CP70">
        <v>2.93917E-2</v>
      </c>
      <c r="CQ70">
        <v>7.8537999999999993E-3</v>
      </c>
      <c r="CR70">
        <v>102</v>
      </c>
      <c r="CS70">
        <v>2.6247600000000002</v>
      </c>
      <c r="CT70">
        <v>117.282</v>
      </c>
      <c r="CU70">
        <v>5.9593999999999996</v>
      </c>
      <c r="CV70">
        <v>5.9593999999999996</v>
      </c>
      <c r="CW70">
        <v>4.6803999999999998E-2</v>
      </c>
      <c r="CX70">
        <v>5.9126000000000003</v>
      </c>
      <c r="CY70">
        <v>0</v>
      </c>
      <c r="CZ70">
        <v>7.6508599999999998</v>
      </c>
      <c r="DA70">
        <v>193.404</v>
      </c>
      <c r="DB70">
        <v>12.3254</v>
      </c>
      <c r="DC70">
        <v>46.853400000000001</v>
      </c>
      <c r="DD70">
        <v>3.8196599999999998</v>
      </c>
      <c r="DE70">
        <v>62.124200000000002</v>
      </c>
      <c r="DF70">
        <v>4.2775800000000004</v>
      </c>
      <c r="DG70">
        <v>49.5017</v>
      </c>
      <c r="DH70">
        <v>49.5017</v>
      </c>
      <c r="DI70">
        <v>8.0084300000000006</v>
      </c>
      <c r="DJ70">
        <v>18.7239</v>
      </c>
      <c r="DK70">
        <v>7.7820600000000004E-3</v>
      </c>
      <c r="DQ70">
        <v>1222.25</v>
      </c>
      <c r="DR70">
        <v>1221.44</v>
      </c>
      <c r="DS70">
        <v>1297.8699999999999</v>
      </c>
      <c r="DT70">
        <v>0.30730200000000002</v>
      </c>
      <c r="DU70">
        <v>0.720221</v>
      </c>
      <c r="DV70">
        <v>105</v>
      </c>
      <c r="DW70">
        <v>0.471134</v>
      </c>
      <c r="DX70">
        <v>770.08199999999999</v>
      </c>
      <c r="DY70">
        <v>7.6621400000000006E-2</v>
      </c>
      <c r="DZ70">
        <v>3.72749</v>
      </c>
      <c r="EA70">
        <v>5.5184299999999999E-2</v>
      </c>
      <c r="EB70">
        <v>1.04287</v>
      </c>
      <c r="EC70">
        <v>0</v>
      </c>
      <c r="ED70">
        <v>6.0547599999999999</v>
      </c>
      <c r="EE70">
        <v>138.166</v>
      </c>
      <c r="EF70">
        <v>3.1800099999999998</v>
      </c>
      <c r="EG70">
        <v>46.927</v>
      </c>
      <c r="EH70">
        <v>5.5369900000000003</v>
      </c>
      <c r="EI70">
        <v>62.246499999999997</v>
      </c>
      <c r="EJ70">
        <v>8.3870000000000005</v>
      </c>
      <c r="EK70">
        <v>41.831499999999998</v>
      </c>
      <c r="EL70">
        <v>41.831499999999998</v>
      </c>
      <c r="EM70">
        <v>6.0057400000000003</v>
      </c>
      <c r="EN70">
        <v>18.7743</v>
      </c>
      <c r="EO70">
        <v>0.40864600000000001</v>
      </c>
    </row>
    <row r="71" spans="31:145" x14ac:dyDescent="0.2">
      <c r="AE71" s="94">
        <v>1214.02</v>
      </c>
      <c r="AF71" s="94">
        <v>1213.51</v>
      </c>
      <c r="AG71" s="94">
        <v>870.02099999999996</v>
      </c>
      <c r="AH71" s="94">
        <v>2.58677E-2</v>
      </c>
      <c r="AI71" s="94">
        <v>3.4016900000000002E-3</v>
      </c>
      <c r="AJ71" s="94">
        <v>102</v>
      </c>
      <c r="AK71" s="94">
        <v>0.25168600000000002</v>
      </c>
      <c r="AL71" s="94">
        <v>103.122</v>
      </c>
      <c r="AM71" s="94">
        <v>1.8032600000000001</v>
      </c>
      <c r="AN71" s="94">
        <v>1.8032600000000001</v>
      </c>
      <c r="AO71" s="94">
        <v>6.1341299999999998E-3</v>
      </c>
      <c r="AP71" s="94">
        <v>1.7971200000000001</v>
      </c>
      <c r="AQ71" s="94"/>
      <c r="AR71" s="94">
        <v>7.9904400000000004</v>
      </c>
      <c r="AS71" s="94">
        <v>206.16399999999999</v>
      </c>
      <c r="AT71" s="94">
        <v>3.4988800000000002</v>
      </c>
      <c r="AU71" s="94">
        <v>46.908999999999999</v>
      </c>
      <c r="AV71" s="94">
        <v>3.5653600000000001</v>
      </c>
      <c r="AW71" s="94">
        <v>62.194699999999997</v>
      </c>
      <c r="AX71" s="94">
        <v>3.7648000000000001</v>
      </c>
      <c r="AY71" s="94">
        <v>51.010199999999998</v>
      </c>
      <c r="AZ71" s="94">
        <v>51.010199999999998</v>
      </c>
      <c r="BA71" s="94">
        <v>8.39194</v>
      </c>
      <c r="BB71" s="94">
        <v>18.743400000000001</v>
      </c>
      <c r="BC71" s="94">
        <v>3.38865E-3</v>
      </c>
      <c r="BD71" s="94"/>
      <c r="BE71" s="94"/>
      <c r="BF71" s="94"/>
      <c r="BG71" s="94"/>
      <c r="BH71" s="94"/>
      <c r="BI71" s="94">
        <v>1216.76</v>
      </c>
      <c r="BJ71" s="94">
        <v>1216.17</v>
      </c>
      <c r="BK71" s="94">
        <v>972.42499999999995</v>
      </c>
      <c r="BL71" s="94">
        <v>2.8648799999999999E-2</v>
      </c>
      <c r="BM71" s="94">
        <v>3.8398199999999999E-3</v>
      </c>
      <c r="BN71" s="94">
        <v>102</v>
      </c>
      <c r="BO71" s="94">
        <v>0.28806199999999998</v>
      </c>
      <c r="BP71" s="94">
        <v>116.77200000000001</v>
      </c>
      <c r="BQ71" s="94">
        <v>1.8232600000000001</v>
      </c>
      <c r="BR71" s="94">
        <v>1.8232600000000001</v>
      </c>
      <c r="BS71" s="94">
        <v>7.0010000000000003E-3</v>
      </c>
      <c r="BT71" s="94">
        <v>1.81626</v>
      </c>
      <c r="BU71" s="94"/>
      <c r="BV71" s="94">
        <v>7.4190500000000004</v>
      </c>
      <c r="BW71" s="94">
        <v>194.02799999999999</v>
      </c>
      <c r="BX71" s="94">
        <v>3.7588200000000001</v>
      </c>
      <c r="BY71" s="94">
        <v>46.916600000000003</v>
      </c>
      <c r="BZ71" s="94">
        <v>4.0267499999999998</v>
      </c>
      <c r="CA71">
        <v>62.207999999999998</v>
      </c>
      <c r="CB71">
        <v>4.2501499999999997</v>
      </c>
      <c r="CC71">
        <v>48.746600000000001</v>
      </c>
      <c r="CD71">
        <v>48.746600000000001</v>
      </c>
      <c r="CE71">
        <v>7.7833300000000003</v>
      </c>
      <c r="CF71">
        <v>18.749199999999998</v>
      </c>
      <c r="CG71">
        <v>3.82242E-3</v>
      </c>
      <c r="CM71">
        <v>1219.5</v>
      </c>
      <c r="CN71">
        <v>1218.82</v>
      </c>
      <c r="CO71">
        <v>1007.83</v>
      </c>
      <c r="CP71">
        <v>2.9393099999999998E-2</v>
      </c>
      <c r="CQ71">
        <v>7.8543499999999995E-3</v>
      </c>
      <c r="CR71">
        <v>102</v>
      </c>
      <c r="CS71">
        <v>2.6304099999999999</v>
      </c>
      <c r="CT71">
        <v>117.532</v>
      </c>
      <c r="CU71">
        <v>5.9591099999999999</v>
      </c>
      <c r="CV71">
        <v>5.9591099999999999</v>
      </c>
      <c r="CW71">
        <v>4.6804900000000003E-2</v>
      </c>
      <c r="CX71">
        <v>5.9123099999999997</v>
      </c>
      <c r="CY71">
        <v>0</v>
      </c>
      <c r="CZ71">
        <v>7.6504300000000001</v>
      </c>
      <c r="DA71">
        <v>193.399</v>
      </c>
      <c r="DB71">
        <v>12.325100000000001</v>
      </c>
      <c r="DC71">
        <v>46.852499999999999</v>
      </c>
      <c r="DD71">
        <v>3.8198500000000002</v>
      </c>
      <c r="DE71">
        <v>62.122999999999998</v>
      </c>
      <c r="DF71">
        <v>4.2777900000000004</v>
      </c>
      <c r="DG71">
        <v>49.496600000000001</v>
      </c>
      <c r="DH71">
        <v>49.496600000000001</v>
      </c>
      <c r="DI71">
        <v>8.0074900000000007</v>
      </c>
      <c r="DJ71">
        <v>18.723500000000001</v>
      </c>
      <c r="DK71">
        <v>7.7822300000000002E-3</v>
      </c>
      <c r="DQ71">
        <v>1224.99</v>
      </c>
      <c r="DR71">
        <v>1224.06</v>
      </c>
      <c r="DS71">
        <v>1300.6400000000001</v>
      </c>
      <c r="DT71">
        <v>0.30766700000000002</v>
      </c>
      <c r="DU71">
        <v>0.72114400000000001</v>
      </c>
      <c r="DV71">
        <v>105</v>
      </c>
      <c r="DW71">
        <v>0.47181499999999998</v>
      </c>
      <c r="DX71">
        <v>772.72299999999996</v>
      </c>
      <c r="DY71">
        <v>7.6524099999999998E-2</v>
      </c>
      <c r="DZ71">
        <v>3.7318600000000002</v>
      </c>
      <c r="EA71">
        <v>5.5184900000000002E-2</v>
      </c>
      <c r="EB71">
        <v>1.0406500000000001</v>
      </c>
      <c r="EC71">
        <v>0</v>
      </c>
      <c r="ED71">
        <v>6.0460099999999999</v>
      </c>
      <c r="EE71">
        <v>138.02600000000001</v>
      </c>
      <c r="EF71">
        <v>3.17679</v>
      </c>
      <c r="EG71">
        <v>46.926299999999998</v>
      </c>
      <c r="EH71">
        <v>5.5488200000000001</v>
      </c>
      <c r="EI71">
        <v>62.245800000000003</v>
      </c>
      <c r="EJ71">
        <v>8.4040199999999992</v>
      </c>
      <c r="EK71">
        <v>41.777500000000003</v>
      </c>
      <c r="EL71">
        <v>41.777500000000003</v>
      </c>
      <c r="EM71">
        <v>5.9926700000000004</v>
      </c>
      <c r="EN71">
        <v>18.7742</v>
      </c>
      <c r="EO71">
        <v>0.40934399999999999</v>
      </c>
    </row>
    <row r="72" spans="31:145" x14ac:dyDescent="0.2">
      <c r="AE72" s="94">
        <v>1216.76</v>
      </c>
      <c r="AF72" s="94">
        <v>1216.17</v>
      </c>
      <c r="AG72" s="94">
        <v>870.25</v>
      </c>
      <c r="AH72" s="94">
        <v>2.5378499999999998E-2</v>
      </c>
      <c r="AI72" s="94">
        <v>3.4023500000000002E-3</v>
      </c>
      <c r="AJ72" s="94">
        <v>102</v>
      </c>
      <c r="AK72" s="94">
        <v>0.25223499999999999</v>
      </c>
      <c r="AL72" s="94">
        <v>103.343</v>
      </c>
      <c r="AM72" s="94">
        <v>1.80298</v>
      </c>
      <c r="AN72" s="94">
        <v>1.80298</v>
      </c>
      <c r="AO72" s="94">
        <v>6.13438E-3</v>
      </c>
      <c r="AP72" s="94">
        <v>1.7968500000000001</v>
      </c>
      <c r="AQ72" s="94"/>
      <c r="AR72" s="94">
        <v>7.9892799999999999</v>
      </c>
      <c r="AS72" s="94">
        <v>206.148</v>
      </c>
      <c r="AT72" s="94">
        <v>3.4984700000000002</v>
      </c>
      <c r="AU72" s="94">
        <v>46.908099999999997</v>
      </c>
      <c r="AV72" s="94">
        <v>3.5655999999999999</v>
      </c>
      <c r="AW72" s="94">
        <v>62.193600000000004</v>
      </c>
      <c r="AX72" s="94">
        <v>3.7650700000000001</v>
      </c>
      <c r="AY72" s="94">
        <v>51.005299999999998</v>
      </c>
      <c r="AZ72" s="94">
        <v>51.005299999999998</v>
      </c>
      <c r="BA72" s="94">
        <v>8.3909699999999994</v>
      </c>
      <c r="BB72" s="94">
        <v>18.743099999999998</v>
      </c>
      <c r="BC72" s="94">
        <v>3.3886799999999998E-3</v>
      </c>
      <c r="BD72" s="94"/>
      <c r="BE72" s="94"/>
      <c r="BF72" s="94"/>
      <c r="BG72" s="94"/>
      <c r="BH72" s="94"/>
      <c r="BI72" s="94">
        <v>1219.5</v>
      </c>
      <c r="BJ72" s="94">
        <v>1218.82</v>
      </c>
      <c r="BK72" s="94">
        <v>972.68299999999999</v>
      </c>
      <c r="BL72" s="94">
        <v>2.8650599999999998E-2</v>
      </c>
      <c r="BM72" s="94">
        <v>3.8401199999999998E-3</v>
      </c>
      <c r="BN72" s="94">
        <v>102</v>
      </c>
      <c r="BO72" s="94">
        <v>0.288686</v>
      </c>
      <c r="BP72" s="94">
        <v>117.02200000000001</v>
      </c>
      <c r="BQ72" s="94">
        <v>1.82315</v>
      </c>
      <c r="BR72" s="94">
        <v>1.82315</v>
      </c>
      <c r="BS72" s="94">
        <v>7.0011300000000004E-3</v>
      </c>
      <c r="BT72" s="94">
        <v>1.8161499999999999</v>
      </c>
      <c r="BU72" s="94"/>
      <c r="BV72" s="94">
        <v>7.41859</v>
      </c>
      <c r="BW72" s="94">
        <v>194.02199999999999</v>
      </c>
      <c r="BX72" s="94">
        <v>3.7587100000000002</v>
      </c>
      <c r="BY72" s="94">
        <v>46.915700000000001</v>
      </c>
      <c r="BZ72" s="94">
        <v>4.0270000000000001</v>
      </c>
      <c r="CA72">
        <v>62.206899999999997</v>
      </c>
      <c r="CB72">
        <v>4.2504200000000001</v>
      </c>
      <c r="CC72">
        <v>48.741799999999998</v>
      </c>
      <c r="CD72">
        <v>48.741799999999998</v>
      </c>
      <c r="CE72">
        <v>7.7824</v>
      </c>
      <c r="CF72">
        <v>18.748899999999999</v>
      </c>
      <c r="CG72">
        <v>3.8224600000000002E-3</v>
      </c>
      <c r="CM72">
        <v>1222.25</v>
      </c>
      <c r="CN72">
        <v>1221.44</v>
      </c>
      <c r="CO72">
        <v>1008.09</v>
      </c>
      <c r="CP72">
        <v>2.8965299999999999E-2</v>
      </c>
      <c r="CQ72">
        <v>7.8548799999999998E-3</v>
      </c>
      <c r="CR72">
        <v>102</v>
      </c>
      <c r="CS72">
        <v>2.63605</v>
      </c>
      <c r="CT72">
        <v>117.776</v>
      </c>
      <c r="CU72">
        <v>5.9588299999999998</v>
      </c>
      <c r="CV72">
        <v>5.9588299999999998</v>
      </c>
      <c r="CW72">
        <v>4.6805899999999998E-2</v>
      </c>
      <c r="CX72">
        <v>5.9120200000000001</v>
      </c>
      <c r="CY72">
        <v>0</v>
      </c>
      <c r="CZ72">
        <v>7.65001</v>
      </c>
      <c r="DA72">
        <v>193.39500000000001</v>
      </c>
      <c r="DB72">
        <v>12.3248</v>
      </c>
      <c r="DC72">
        <v>46.851599999999998</v>
      </c>
      <c r="DD72">
        <v>3.82003</v>
      </c>
      <c r="DE72">
        <v>62.121699999999997</v>
      </c>
      <c r="DF72">
        <v>4.2779800000000003</v>
      </c>
      <c r="DG72">
        <v>49.491700000000002</v>
      </c>
      <c r="DH72">
        <v>49.491700000000002</v>
      </c>
      <c r="DI72">
        <v>8.0065799999999996</v>
      </c>
      <c r="DJ72">
        <v>18.723099999999999</v>
      </c>
      <c r="DK72">
        <v>7.7823900000000001E-3</v>
      </c>
      <c r="DQ72">
        <v>1228.04</v>
      </c>
      <c r="DR72">
        <v>1226.92</v>
      </c>
      <c r="DS72">
        <v>1303.72</v>
      </c>
      <c r="DT72">
        <v>0.30857200000000001</v>
      </c>
      <c r="DU72">
        <v>0.73519000000000001</v>
      </c>
      <c r="DV72">
        <v>105</v>
      </c>
      <c r="DW72">
        <v>0.47257100000000002</v>
      </c>
      <c r="DX72">
        <v>775.62400000000002</v>
      </c>
      <c r="DY72">
        <v>7.5063000000000005E-2</v>
      </c>
      <c r="DZ72">
        <v>3.9209499999999999</v>
      </c>
      <c r="EA72">
        <v>5.5185600000000001E-2</v>
      </c>
      <c r="EB72">
        <v>1.0383100000000001</v>
      </c>
      <c r="EC72">
        <v>0</v>
      </c>
      <c r="ED72">
        <v>6.0367899999999999</v>
      </c>
      <c r="EE72">
        <v>137.87899999999999</v>
      </c>
      <c r="EF72">
        <v>3.1735099999999998</v>
      </c>
      <c r="EG72">
        <v>46.925600000000003</v>
      </c>
      <c r="EH72">
        <v>5.5620099999999999</v>
      </c>
      <c r="EI72">
        <v>62.245100000000001</v>
      </c>
      <c r="EJ72">
        <v>8.4226500000000009</v>
      </c>
      <c r="EK72">
        <v>41.717500000000001</v>
      </c>
      <c r="EL72">
        <v>41.717500000000001</v>
      </c>
      <c r="EM72">
        <v>5.9781199999999997</v>
      </c>
      <c r="EN72">
        <v>18.774100000000001</v>
      </c>
      <c r="EO72">
        <v>0.41015099999999999</v>
      </c>
    </row>
    <row r="73" spans="31:145" x14ac:dyDescent="0.2">
      <c r="AE73" s="94">
        <v>1219.5</v>
      </c>
      <c r="AF73" s="94">
        <v>1218.82</v>
      </c>
      <c r="AG73" s="94">
        <v>870.47799999999995</v>
      </c>
      <c r="AH73" s="94">
        <v>2.5380199999999999E-2</v>
      </c>
      <c r="AI73" s="94">
        <v>3.4026299999999998E-3</v>
      </c>
      <c r="AJ73" s="94">
        <v>102</v>
      </c>
      <c r="AK73" s="94">
        <v>0.25278299999999998</v>
      </c>
      <c r="AL73" s="94">
        <v>103.563</v>
      </c>
      <c r="AM73" s="94">
        <v>1.80287</v>
      </c>
      <c r="AN73" s="94">
        <v>1.80287</v>
      </c>
      <c r="AO73" s="94">
        <v>6.1344900000000003E-3</v>
      </c>
      <c r="AP73" s="94">
        <v>1.7967299999999999</v>
      </c>
      <c r="AQ73" s="94"/>
      <c r="AR73" s="94">
        <v>7.9887899999999998</v>
      </c>
      <c r="AS73" s="94">
        <v>206.142</v>
      </c>
      <c r="AT73" s="94">
        <v>3.4983599999999999</v>
      </c>
      <c r="AU73" s="94">
        <v>46.907200000000003</v>
      </c>
      <c r="AV73" s="94">
        <v>3.5658300000000001</v>
      </c>
      <c r="AW73" s="94">
        <v>62.192500000000003</v>
      </c>
      <c r="AX73" s="94">
        <v>3.76532</v>
      </c>
      <c r="AY73" s="94">
        <v>51.000500000000002</v>
      </c>
      <c r="AZ73" s="94">
        <v>51.000500000000002</v>
      </c>
      <c r="BA73" s="94">
        <v>8.3899899999999992</v>
      </c>
      <c r="BB73" s="94">
        <v>18.742799999999999</v>
      </c>
      <c r="BC73" s="94">
        <v>3.38872E-3</v>
      </c>
      <c r="BD73" s="94"/>
      <c r="BE73" s="94"/>
      <c r="BF73" s="94"/>
      <c r="BG73" s="94"/>
      <c r="BH73" s="94"/>
      <c r="BI73" s="94">
        <v>1222.25</v>
      </c>
      <c r="BJ73" s="94">
        <v>1221.44</v>
      </c>
      <c r="BK73" s="94">
        <v>972.93700000000001</v>
      </c>
      <c r="BL73" s="94">
        <v>2.8225900000000002E-2</v>
      </c>
      <c r="BM73" s="94">
        <v>3.8404200000000002E-3</v>
      </c>
      <c r="BN73" s="94">
        <v>102</v>
      </c>
      <c r="BO73" s="94">
        <v>0.28931000000000001</v>
      </c>
      <c r="BP73" s="94">
        <v>117.26300000000001</v>
      </c>
      <c r="BQ73" s="94">
        <v>1.82304</v>
      </c>
      <c r="BR73" s="94">
        <v>1.82304</v>
      </c>
      <c r="BS73" s="94">
        <v>7.0012499999999997E-3</v>
      </c>
      <c r="BT73" s="94">
        <v>1.8160400000000001</v>
      </c>
      <c r="BU73" s="94"/>
      <c r="BV73" s="94">
        <v>7.4181400000000002</v>
      </c>
      <c r="BW73" s="94">
        <v>194.01599999999999</v>
      </c>
      <c r="BX73" s="94">
        <v>3.7585899999999999</v>
      </c>
      <c r="BY73" s="94">
        <v>46.914900000000003</v>
      </c>
      <c r="BZ73" s="94">
        <v>4.0272399999999999</v>
      </c>
      <c r="CA73">
        <v>62.205800000000004</v>
      </c>
      <c r="CB73">
        <v>4.2506700000000004</v>
      </c>
      <c r="CC73">
        <v>48.737099999999998</v>
      </c>
      <c r="CD73">
        <v>48.737099999999998</v>
      </c>
      <c r="CE73">
        <v>7.7814899999999998</v>
      </c>
      <c r="CF73">
        <v>18.7486</v>
      </c>
      <c r="CG73">
        <v>3.8224999999999999E-3</v>
      </c>
      <c r="CM73">
        <v>1224.99</v>
      </c>
      <c r="CN73">
        <v>1224.06</v>
      </c>
      <c r="CO73">
        <v>1008.35</v>
      </c>
      <c r="CP73">
        <v>2.8966599999999999E-2</v>
      </c>
      <c r="CQ73">
        <v>7.8553900000000003E-3</v>
      </c>
      <c r="CR73">
        <v>102</v>
      </c>
      <c r="CS73">
        <v>2.6416900000000001</v>
      </c>
      <c r="CT73">
        <v>118.01900000000001</v>
      </c>
      <c r="CU73">
        <v>5.9585600000000003</v>
      </c>
      <c r="CV73">
        <v>5.9585600000000003</v>
      </c>
      <c r="CW73">
        <v>4.6806800000000003E-2</v>
      </c>
      <c r="CX73">
        <v>5.9117499999999996</v>
      </c>
      <c r="CY73">
        <v>0</v>
      </c>
      <c r="CZ73">
        <v>7.6495899999999999</v>
      </c>
      <c r="DA73">
        <v>193.39</v>
      </c>
      <c r="DB73">
        <v>12.3245</v>
      </c>
      <c r="DC73">
        <v>46.850700000000003</v>
      </c>
      <c r="DD73">
        <v>3.8201999999999998</v>
      </c>
      <c r="DE73">
        <v>62.120399999999997</v>
      </c>
      <c r="DF73">
        <v>4.2781700000000003</v>
      </c>
      <c r="DG73">
        <v>49.486699999999999</v>
      </c>
      <c r="DH73">
        <v>49.486699999999999</v>
      </c>
      <c r="DI73">
        <v>8.0056799999999999</v>
      </c>
      <c r="DJ73">
        <v>18.7227</v>
      </c>
      <c r="DK73">
        <v>7.7825500000000001E-3</v>
      </c>
      <c r="DQ73">
        <v>1231.0899999999999</v>
      </c>
      <c r="DR73">
        <v>1229.79</v>
      </c>
      <c r="DS73">
        <v>1306.81</v>
      </c>
      <c r="DT73">
        <v>0.308979</v>
      </c>
      <c r="DU73">
        <v>0.73623700000000003</v>
      </c>
      <c r="DV73">
        <v>105</v>
      </c>
      <c r="DW73">
        <v>0.473325</v>
      </c>
      <c r="DX73">
        <v>778.529</v>
      </c>
      <c r="DY73">
        <v>7.4957099999999999E-2</v>
      </c>
      <c r="DZ73">
        <v>3.92719</v>
      </c>
      <c r="EA73">
        <v>5.5186199999999998E-2</v>
      </c>
      <c r="EB73">
        <v>1.0358499999999999</v>
      </c>
      <c r="EC73">
        <v>0</v>
      </c>
      <c r="ED73">
        <v>6.0270900000000003</v>
      </c>
      <c r="EE73">
        <v>137.72300000000001</v>
      </c>
      <c r="EF73">
        <v>3.16994</v>
      </c>
      <c r="EG73">
        <v>46.924900000000001</v>
      </c>
      <c r="EH73">
        <v>5.5752199999999998</v>
      </c>
      <c r="EI73">
        <v>62.244300000000003</v>
      </c>
      <c r="EJ73">
        <v>8.44163</v>
      </c>
      <c r="EK73">
        <v>41.657299999999999</v>
      </c>
      <c r="EL73">
        <v>41.657299999999999</v>
      </c>
      <c r="EM73">
        <v>5.9635699999999998</v>
      </c>
      <c r="EN73">
        <v>18.774000000000001</v>
      </c>
      <c r="EO73">
        <v>0.41095700000000002</v>
      </c>
    </row>
    <row r="74" spans="31:145" x14ac:dyDescent="0.2">
      <c r="AE74" s="94">
        <v>1219.74</v>
      </c>
      <c r="AF74" s="94">
        <v>1219.05</v>
      </c>
      <c r="AG74" s="94">
        <v>870.49800000000005</v>
      </c>
      <c r="AH74" s="94">
        <v>2.5004999999999999E-2</v>
      </c>
      <c r="AI74" s="94">
        <v>3.4027599999999999E-3</v>
      </c>
      <c r="AJ74" s="94">
        <v>102</v>
      </c>
      <c r="AK74" s="94">
        <v>0.25283099999999997</v>
      </c>
      <c r="AL74" s="94">
        <v>103.58199999999999</v>
      </c>
      <c r="AM74" s="94">
        <v>1.8028200000000001</v>
      </c>
      <c r="AN74" s="94">
        <v>1.8028200000000001</v>
      </c>
      <c r="AO74" s="94">
        <v>6.1345499999999999E-3</v>
      </c>
      <c r="AP74" s="94">
        <v>1.7966800000000001</v>
      </c>
      <c r="AQ74" s="94"/>
      <c r="AR74" s="94">
        <v>7.98855</v>
      </c>
      <c r="AS74" s="94">
        <v>206.13900000000001</v>
      </c>
      <c r="AT74" s="94">
        <v>3.4982700000000002</v>
      </c>
      <c r="AU74" s="94">
        <v>46.907200000000003</v>
      </c>
      <c r="AV74" s="94">
        <v>3.5658500000000002</v>
      </c>
      <c r="AW74" s="94">
        <v>62.192399999999999</v>
      </c>
      <c r="AX74" s="94">
        <v>3.7653400000000001</v>
      </c>
      <c r="AY74" s="94">
        <v>51.000100000000003</v>
      </c>
      <c r="AZ74" s="94">
        <v>51.000100000000003</v>
      </c>
      <c r="BA74" s="94">
        <v>8.3899000000000008</v>
      </c>
      <c r="BB74" s="94">
        <v>18.742799999999999</v>
      </c>
      <c r="BC74" s="94">
        <v>3.38872E-3</v>
      </c>
      <c r="BD74" s="94"/>
      <c r="BE74" s="94"/>
      <c r="BF74" s="94"/>
      <c r="BG74" s="94"/>
      <c r="BH74" s="94"/>
      <c r="BI74" s="94">
        <v>1224.99</v>
      </c>
      <c r="BJ74" s="94">
        <v>1224.06</v>
      </c>
      <c r="BK74" s="94">
        <v>973.19100000000003</v>
      </c>
      <c r="BL74" s="94">
        <v>2.8227599999999999E-2</v>
      </c>
      <c r="BM74" s="94">
        <v>3.8407200000000002E-3</v>
      </c>
      <c r="BN74" s="94">
        <v>102</v>
      </c>
      <c r="BO74" s="94">
        <v>0.289935</v>
      </c>
      <c r="BP74" s="94">
        <v>117.505</v>
      </c>
      <c r="BQ74" s="94">
        <v>1.8229299999999999</v>
      </c>
      <c r="BR74" s="94">
        <v>1.8229299999999999</v>
      </c>
      <c r="BS74" s="94">
        <v>7.0013699999999998E-3</v>
      </c>
      <c r="BT74" s="94">
        <v>1.81593</v>
      </c>
      <c r="BU74" s="94"/>
      <c r="BV74" s="94">
        <v>7.4177</v>
      </c>
      <c r="BW74" s="94">
        <v>194.01</v>
      </c>
      <c r="BX74" s="94">
        <v>3.75848</v>
      </c>
      <c r="BY74" s="94">
        <v>46.914000000000001</v>
      </c>
      <c r="BZ74" s="94">
        <v>4.0274799999999997</v>
      </c>
      <c r="CA74">
        <v>62.204700000000003</v>
      </c>
      <c r="CB74">
        <v>4.2509199999999998</v>
      </c>
      <c r="CC74">
        <v>48.732399999999998</v>
      </c>
      <c r="CD74">
        <v>48.732399999999998</v>
      </c>
      <c r="CE74">
        <v>7.78057</v>
      </c>
      <c r="CF74">
        <v>18.7483</v>
      </c>
      <c r="CG74">
        <v>3.8225400000000001E-3</v>
      </c>
      <c r="CM74">
        <v>1228.04</v>
      </c>
      <c r="CN74">
        <v>1226.92</v>
      </c>
      <c r="CO74">
        <v>1008.64</v>
      </c>
      <c r="CP74">
        <v>2.85703E-2</v>
      </c>
      <c r="CQ74">
        <v>7.8559200000000006E-3</v>
      </c>
      <c r="CR74">
        <v>102</v>
      </c>
      <c r="CS74">
        <v>2.6479499999999998</v>
      </c>
      <c r="CT74">
        <v>118.282</v>
      </c>
      <c r="CU74">
        <v>5.9582800000000002</v>
      </c>
      <c r="CV74">
        <v>5.9582800000000002</v>
      </c>
      <c r="CW74">
        <v>4.6807799999999997E-2</v>
      </c>
      <c r="CX74">
        <v>5.9114800000000001</v>
      </c>
      <c r="CY74">
        <v>0</v>
      </c>
      <c r="CZ74">
        <v>7.6491699999999998</v>
      </c>
      <c r="DA74">
        <v>193.386</v>
      </c>
      <c r="DB74">
        <v>12.324299999999999</v>
      </c>
      <c r="DC74">
        <v>46.849600000000002</v>
      </c>
      <c r="DD74">
        <v>3.8203800000000001</v>
      </c>
      <c r="DE74">
        <v>62.119</v>
      </c>
      <c r="DF74">
        <v>4.2783699999999998</v>
      </c>
      <c r="DG74">
        <v>49.481200000000001</v>
      </c>
      <c r="DH74">
        <v>49.481200000000001</v>
      </c>
      <c r="DI74">
        <v>8.0046800000000005</v>
      </c>
      <c r="DJ74">
        <v>18.722200000000001</v>
      </c>
      <c r="DK74">
        <v>7.7827299999999999E-3</v>
      </c>
      <c r="DQ74">
        <v>1233.83</v>
      </c>
      <c r="DR74">
        <v>1232.32</v>
      </c>
      <c r="DS74">
        <v>1309.58</v>
      </c>
      <c r="DT74">
        <v>0.30760700000000002</v>
      </c>
      <c r="DU74">
        <v>0.74792800000000004</v>
      </c>
      <c r="DV74">
        <v>105</v>
      </c>
      <c r="DW74">
        <v>0.47400199999999998</v>
      </c>
      <c r="DX74">
        <v>781.08500000000004</v>
      </c>
      <c r="DY74">
        <v>7.3786299999999999E-2</v>
      </c>
      <c r="DZ74">
        <v>4.1001200000000004</v>
      </c>
      <c r="EA74">
        <v>5.5186899999999997E-2</v>
      </c>
      <c r="EB74">
        <v>1.03352</v>
      </c>
      <c r="EC74">
        <v>0</v>
      </c>
      <c r="ED74">
        <v>6.0179200000000002</v>
      </c>
      <c r="EE74">
        <v>137.577</v>
      </c>
      <c r="EF74">
        <v>3.1664400000000001</v>
      </c>
      <c r="EG74">
        <v>46.924199999999999</v>
      </c>
      <c r="EH74">
        <v>5.58704</v>
      </c>
      <c r="EI74">
        <v>62.243600000000001</v>
      </c>
      <c r="EJ74">
        <v>8.4589700000000008</v>
      </c>
      <c r="EK74">
        <v>41.6036</v>
      </c>
      <c r="EL74">
        <v>41.6036</v>
      </c>
      <c r="EM74">
        <v>5.9505800000000004</v>
      </c>
      <c r="EN74">
        <v>18.773900000000001</v>
      </c>
      <c r="EO74">
        <v>0.41170499999999999</v>
      </c>
    </row>
    <row r="75" spans="31:145" x14ac:dyDescent="0.2">
      <c r="AE75" s="94">
        <v>1219.98</v>
      </c>
      <c r="AF75" s="94">
        <v>1219.28</v>
      </c>
      <c r="AG75" s="94">
        <v>870.51700000000005</v>
      </c>
      <c r="AH75" s="94">
        <v>2.5005099999999999E-2</v>
      </c>
      <c r="AI75" s="94">
        <v>3.4027900000000002E-3</v>
      </c>
      <c r="AJ75" s="94">
        <v>102</v>
      </c>
      <c r="AK75" s="94">
        <v>0.25287900000000002</v>
      </c>
      <c r="AL75" s="94">
        <v>103.601</v>
      </c>
      <c r="AM75" s="94">
        <v>1.80281</v>
      </c>
      <c r="AN75" s="94">
        <v>1.80281</v>
      </c>
      <c r="AO75" s="94">
        <v>6.1345599999999998E-3</v>
      </c>
      <c r="AP75" s="94">
        <v>1.79667</v>
      </c>
      <c r="AQ75" s="94"/>
      <c r="AR75" s="94">
        <v>7.9885099999999998</v>
      </c>
      <c r="AS75" s="94">
        <v>206.13800000000001</v>
      </c>
      <c r="AT75" s="94">
        <v>3.4982600000000001</v>
      </c>
      <c r="AU75" s="94">
        <v>46.9071</v>
      </c>
      <c r="AV75" s="94">
        <v>3.5658699999999999</v>
      </c>
      <c r="AW75" s="94">
        <v>62.192300000000003</v>
      </c>
      <c r="AX75" s="94">
        <v>3.7653599999999998</v>
      </c>
      <c r="AY75" s="94">
        <v>50.999600000000001</v>
      </c>
      <c r="AZ75" s="94">
        <v>50.999600000000001</v>
      </c>
      <c r="BA75" s="94">
        <v>8.3898100000000007</v>
      </c>
      <c r="BB75" s="94">
        <v>18.742699999999999</v>
      </c>
      <c r="BC75" s="94">
        <v>3.38872E-3</v>
      </c>
      <c r="BD75" s="94"/>
      <c r="BE75" s="94"/>
      <c r="BF75" s="94"/>
      <c r="BG75" s="94"/>
      <c r="BH75" s="94"/>
      <c r="BI75" s="94">
        <v>1228.04</v>
      </c>
      <c r="BJ75" s="94">
        <v>1226.92</v>
      </c>
      <c r="BK75" s="94">
        <v>973.46900000000005</v>
      </c>
      <c r="BL75" s="94">
        <v>2.7834299999999999E-2</v>
      </c>
      <c r="BM75" s="94">
        <v>3.8410300000000001E-3</v>
      </c>
      <c r="BN75" s="94">
        <v>102</v>
      </c>
      <c r="BO75" s="94">
        <v>0.290628</v>
      </c>
      <c r="BP75" s="94">
        <v>117.76600000000001</v>
      </c>
      <c r="BQ75" s="94">
        <v>1.8228200000000001</v>
      </c>
      <c r="BR75" s="94">
        <v>1.8228200000000001</v>
      </c>
      <c r="BS75" s="94">
        <v>7.0014999999999999E-3</v>
      </c>
      <c r="BT75" s="94">
        <v>1.81582</v>
      </c>
      <c r="BU75" s="94"/>
      <c r="BV75" s="94">
        <v>7.4172399999999996</v>
      </c>
      <c r="BW75" s="94">
        <v>194.00399999999999</v>
      </c>
      <c r="BX75" s="94">
        <v>3.7583700000000002</v>
      </c>
      <c r="BY75" s="94">
        <v>46.9131</v>
      </c>
      <c r="BZ75" s="94">
        <v>4.02773</v>
      </c>
      <c r="CA75">
        <v>62.203499999999998</v>
      </c>
      <c r="CB75">
        <v>4.2511900000000002</v>
      </c>
      <c r="CC75">
        <v>48.7273</v>
      </c>
      <c r="CD75">
        <v>48.7273</v>
      </c>
      <c r="CE75">
        <v>7.7795699999999997</v>
      </c>
      <c r="CF75">
        <v>18.747900000000001</v>
      </c>
      <c r="CG75">
        <v>3.8225899999999998E-3</v>
      </c>
      <c r="CM75">
        <v>1231.0899999999999</v>
      </c>
      <c r="CN75">
        <v>1229.79</v>
      </c>
      <c r="CO75">
        <v>1008.92</v>
      </c>
      <c r="CP75">
        <v>2.85715E-2</v>
      </c>
      <c r="CQ75">
        <v>7.8564700000000008E-3</v>
      </c>
      <c r="CR75">
        <v>102</v>
      </c>
      <c r="CS75">
        <v>2.65422</v>
      </c>
      <c r="CT75">
        <v>118.545</v>
      </c>
      <c r="CU75">
        <v>5.9580099999999998</v>
      </c>
      <c r="CV75">
        <v>5.9580099999999998</v>
      </c>
      <c r="CW75">
        <v>4.6808900000000001E-2</v>
      </c>
      <c r="CX75">
        <v>5.9112</v>
      </c>
      <c r="CY75">
        <v>0</v>
      </c>
      <c r="CZ75">
        <v>7.64872</v>
      </c>
      <c r="DA75">
        <v>193.381</v>
      </c>
      <c r="DB75">
        <v>12.324</v>
      </c>
      <c r="DC75">
        <v>46.848599999999998</v>
      </c>
      <c r="DD75">
        <v>3.82056</v>
      </c>
      <c r="DE75">
        <v>62.117600000000003</v>
      </c>
      <c r="DF75">
        <v>4.2785700000000002</v>
      </c>
      <c r="DG75">
        <v>49.4758</v>
      </c>
      <c r="DH75">
        <v>49.4758</v>
      </c>
      <c r="DI75">
        <v>8.0036799999999992</v>
      </c>
      <c r="DJ75">
        <v>18.721800000000002</v>
      </c>
      <c r="DK75">
        <v>7.7829199999999996E-3</v>
      </c>
      <c r="DQ75">
        <v>1236.57</v>
      </c>
      <c r="DR75">
        <v>1234.8499999999999</v>
      </c>
      <c r="DS75">
        <v>1312.35</v>
      </c>
      <c r="DT75">
        <v>0.30796800000000002</v>
      </c>
      <c r="DU75">
        <v>0.74887999999999999</v>
      </c>
      <c r="DV75">
        <v>105</v>
      </c>
      <c r="DW75">
        <v>0.47467799999999999</v>
      </c>
      <c r="DX75">
        <v>783.64400000000001</v>
      </c>
      <c r="DY75">
        <v>7.3693400000000006E-2</v>
      </c>
      <c r="DZ75">
        <v>4.1069500000000003</v>
      </c>
      <c r="EA75">
        <v>5.51875E-2</v>
      </c>
      <c r="EB75">
        <v>1.0313399999999999</v>
      </c>
      <c r="EC75">
        <v>0</v>
      </c>
      <c r="ED75">
        <v>6.0092800000000004</v>
      </c>
      <c r="EE75">
        <v>137.43899999999999</v>
      </c>
      <c r="EF75">
        <v>3.1632600000000002</v>
      </c>
      <c r="EG75">
        <v>46.923499999999997</v>
      </c>
      <c r="EH75">
        <v>5.5988800000000003</v>
      </c>
      <c r="EI75">
        <v>62.242899999999999</v>
      </c>
      <c r="EJ75">
        <v>8.4759799999999998</v>
      </c>
      <c r="EK75">
        <v>41.549799999999998</v>
      </c>
      <c r="EL75">
        <v>41.549799999999998</v>
      </c>
      <c r="EM75">
        <v>5.9375900000000001</v>
      </c>
      <c r="EN75">
        <v>18.773800000000001</v>
      </c>
      <c r="EO75">
        <v>0.41245100000000001</v>
      </c>
    </row>
    <row r="76" spans="31:145" x14ac:dyDescent="0.2">
      <c r="AE76" s="94">
        <v>1219.98</v>
      </c>
      <c r="AF76" s="94">
        <v>1219.28</v>
      </c>
      <c r="AG76" s="94">
        <v>3829.06</v>
      </c>
      <c r="AH76" s="94">
        <v>2.5005099999999999E-2</v>
      </c>
      <c r="AI76" s="94"/>
      <c r="AJ76" s="94">
        <v>-30</v>
      </c>
      <c r="AK76" s="94">
        <v>0.25287900000000002</v>
      </c>
      <c r="AL76" s="94">
        <v>103.601</v>
      </c>
      <c r="AM76" s="94"/>
      <c r="AN76" s="94"/>
      <c r="AO76" s="94">
        <v>9.73034</v>
      </c>
      <c r="AP76" s="94">
        <v>647.66200000000003</v>
      </c>
      <c r="AQ76" s="94"/>
      <c r="AR76" s="94"/>
      <c r="AS76" s="94"/>
      <c r="AT76" s="94">
        <v>2672.07</v>
      </c>
      <c r="AU76" s="94">
        <v>46.992800000000003</v>
      </c>
      <c r="AV76" s="94">
        <v>15.8271</v>
      </c>
      <c r="AW76" s="94">
        <v>62.730699999999999</v>
      </c>
      <c r="AX76" s="94">
        <v>16.5213</v>
      </c>
      <c r="AY76" s="94">
        <v>12.1538</v>
      </c>
      <c r="AZ76" s="94">
        <v>12.1538</v>
      </c>
      <c r="BA76" s="94">
        <v>0.47511199999999998</v>
      </c>
      <c r="BB76" s="94">
        <v>19.138200000000001</v>
      </c>
      <c r="BC76" s="94">
        <v>3.38872E-3</v>
      </c>
      <c r="BD76" s="94"/>
      <c r="BE76" s="94"/>
      <c r="BF76" s="94"/>
      <c r="BG76" s="94"/>
      <c r="BH76" s="94"/>
      <c r="BI76" s="94">
        <v>1231.0899999999999</v>
      </c>
      <c r="BJ76" s="94">
        <v>1229.79</v>
      </c>
      <c r="BK76" s="94">
        <v>973.74699999999996</v>
      </c>
      <c r="BL76" s="94">
        <v>2.7836099999999999E-2</v>
      </c>
      <c r="BM76" s="94">
        <v>3.8413499999999999E-3</v>
      </c>
      <c r="BN76" s="94">
        <v>102</v>
      </c>
      <c r="BO76" s="94">
        <v>0.29132200000000003</v>
      </c>
      <c r="BP76" s="94">
        <v>118.027</v>
      </c>
      <c r="BQ76" s="94">
        <v>1.8227100000000001</v>
      </c>
      <c r="BR76" s="94">
        <v>1.8227100000000001</v>
      </c>
      <c r="BS76" s="94">
        <v>7.0016399999999999E-3</v>
      </c>
      <c r="BT76" s="94">
        <v>1.8157000000000001</v>
      </c>
      <c r="BU76" s="94"/>
      <c r="BV76" s="94">
        <v>7.41676</v>
      </c>
      <c r="BW76" s="94">
        <v>193.99799999999999</v>
      </c>
      <c r="BX76" s="94">
        <v>3.7582499999999999</v>
      </c>
      <c r="BY76" s="94">
        <v>46.912199999999999</v>
      </c>
      <c r="BZ76" s="94">
        <v>4.0279999999999996</v>
      </c>
      <c r="CA76">
        <v>62.202300000000001</v>
      </c>
      <c r="CB76">
        <v>4.2514599999999998</v>
      </c>
      <c r="CC76">
        <v>48.722200000000001</v>
      </c>
      <c r="CD76">
        <v>48.722200000000001</v>
      </c>
      <c r="CE76">
        <v>7.7785700000000002</v>
      </c>
      <c r="CF76">
        <v>18.747599999999998</v>
      </c>
      <c r="CG76">
        <v>3.82264E-3</v>
      </c>
      <c r="CM76">
        <v>1233.83</v>
      </c>
      <c r="CN76">
        <v>1232.32</v>
      </c>
      <c r="CO76">
        <v>1009.18</v>
      </c>
      <c r="CP76">
        <v>2.8062699999999999E-2</v>
      </c>
      <c r="CQ76">
        <v>7.8569599999999996E-3</v>
      </c>
      <c r="CR76">
        <v>102</v>
      </c>
      <c r="CS76">
        <v>2.6598600000000001</v>
      </c>
      <c r="CT76">
        <v>118.77200000000001</v>
      </c>
      <c r="CU76">
        <v>5.9577600000000004</v>
      </c>
      <c r="CV76">
        <v>5.9577600000000004</v>
      </c>
      <c r="CW76">
        <v>4.6809900000000002E-2</v>
      </c>
      <c r="CX76">
        <v>5.9109499999999997</v>
      </c>
      <c r="CY76">
        <v>0</v>
      </c>
      <c r="CZ76">
        <v>7.6483100000000004</v>
      </c>
      <c r="DA76">
        <v>193.37700000000001</v>
      </c>
      <c r="DB76">
        <v>12.323700000000001</v>
      </c>
      <c r="DC76">
        <v>46.847700000000003</v>
      </c>
      <c r="DD76">
        <v>3.8207</v>
      </c>
      <c r="DE76">
        <v>62.116300000000003</v>
      </c>
      <c r="DF76">
        <v>4.2787300000000004</v>
      </c>
      <c r="DG76">
        <v>49.4709</v>
      </c>
      <c r="DH76">
        <v>49.4709</v>
      </c>
      <c r="DI76">
        <v>8.0028199999999998</v>
      </c>
      <c r="DJ76">
        <v>18.721399999999999</v>
      </c>
      <c r="DK76">
        <v>7.7830800000000004E-3</v>
      </c>
      <c r="DQ76">
        <v>1240.08</v>
      </c>
      <c r="DR76">
        <v>1238.02</v>
      </c>
      <c r="DS76">
        <v>1315.85</v>
      </c>
      <c r="DT76">
        <v>0.30388700000000002</v>
      </c>
      <c r="DU76">
        <v>0.757633</v>
      </c>
      <c r="DV76">
        <v>105</v>
      </c>
      <c r="DW76">
        <v>0.47553899999999999</v>
      </c>
      <c r="DX76">
        <v>786.79399999999998</v>
      </c>
      <c r="DY76">
        <v>7.2842799999999999E-2</v>
      </c>
      <c r="DZ76">
        <v>4.2451299999999996</v>
      </c>
      <c r="EA76">
        <v>5.51882E-2</v>
      </c>
      <c r="EB76">
        <v>1.02888</v>
      </c>
      <c r="EC76">
        <v>0</v>
      </c>
      <c r="ED76">
        <v>5.9995500000000002</v>
      </c>
      <c r="EE76">
        <v>137.28299999999999</v>
      </c>
      <c r="EF76">
        <v>3.1599499999999998</v>
      </c>
      <c r="EG76">
        <v>46.922699999999999</v>
      </c>
      <c r="EH76">
        <v>5.6137699999999997</v>
      </c>
      <c r="EI76">
        <v>62.242100000000001</v>
      </c>
      <c r="EJ76">
        <v>8.4966299999999997</v>
      </c>
      <c r="EK76">
        <v>41.482100000000003</v>
      </c>
      <c r="EL76">
        <v>41.482100000000003</v>
      </c>
      <c r="EM76">
        <v>5.9212600000000002</v>
      </c>
      <c r="EN76">
        <v>18.773700000000002</v>
      </c>
      <c r="EO76">
        <v>0.41342499999999999</v>
      </c>
    </row>
    <row r="77" spans="31:145" x14ac:dyDescent="0.2">
      <c r="AE77" s="94">
        <v>1222.5</v>
      </c>
      <c r="AF77" s="94">
        <v>1221.67</v>
      </c>
      <c r="AG77" s="94">
        <v>3831.45</v>
      </c>
      <c r="AH77" s="94">
        <v>0.29169</v>
      </c>
      <c r="AI77" s="94">
        <v>0.59844900000000001</v>
      </c>
      <c r="AJ77" s="94">
        <v>105</v>
      </c>
      <c r="AK77" s="94">
        <v>0.25305</v>
      </c>
      <c r="AL77" s="94">
        <v>105.886</v>
      </c>
      <c r="AM77" s="94">
        <v>1.01628E-2</v>
      </c>
      <c r="AN77" s="94">
        <v>1.00796</v>
      </c>
      <c r="AO77" s="94">
        <v>6.0819400000000001E-3</v>
      </c>
      <c r="AP77" s="94">
        <v>0.40474900000000003</v>
      </c>
      <c r="AQ77" s="94"/>
      <c r="AR77" s="94">
        <v>2.50528</v>
      </c>
      <c r="AS77" s="94">
        <v>98.404700000000005</v>
      </c>
      <c r="AT77" s="94">
        <v>1.67004</v>
      </c>
      <c r="AU77" s="94">
        <v>46.992199999999997</v>
      </c>
      <c r="AV77" s="94">
        <v>15.8302</v>
      </c>
      <c r="AW77" s="94">
        <v>62.7301</v>
      </c>
      <c r="AX77" s="94">
        <v>16.5245</v>
      </c>
      <c r="AY77" s="94">
        <v>12.147500000000001</v>
      </c>
      <c r="AZ77" s="94">
        <v>12.147500000000001</v>
      </c>
      <c r="BA77" s="94">
        <v>0.47452800000000001</v>
      </c>
      <c r="BB77" s="94">
        <v>19.138100000000001</v>
      </c>
      <c r="BC77" s="94">
        <v>4.6010699999999996E-3</v>
      </c>
      <c r="BD77" s="94"/>
      <c r="BE77" s="94"/>
      <c r="BF77" s="94"/>
      <c r="BG77" s="94"/>
      <c r="BH77" s="94"/>
      <c r="BI77" s="94">
        <v>1233.83</v>
      </c>
      <c r="BJ77" s="94">
        <v>1232.32</v>
      </c>
      <c r="BK77" s="94">
        <v>973.99300000000005</v>
      </c>
      <c r="BL77" s="94">
        <v>2.7331000000000001E-2</v>
      </c>
      <c r="BM77" s="94">
        <v>3.8416399999999999E-3</v>
      </c>
      <c r="BN77" s="94">
        <v>102</v>
      </c>
      <c r="BO77" s="94">
        <v>0.29194599999999998</v>
      </c>
      <c r="BP77" s="94">
        <v>118.254</v>
      </c>
      <c r="BQ77" s="94">
        <v>1.8226</v>
      </c>
      <c r="BR77" s="94">
        <v>1.8226</v>
      </c>
      <c r="BS77" s="94">
        <v>7.00177E-3</v>
      </c>
      <c r="BT77" s="94">
        <v>1.8156000000000001</v>
      </c>
      <c r="BU77" s="94"/>
      <c r="BV77" s="94">
        <v>7.4163100000000002</v>
      </c>
      <c r="BW77" s="94">
        <v>193.99199999999999</v>
      </c>
      <c r="BX77" s="94">
        <v>3.75813</v>
      </c>
      <c r="BY77" s="94">
        <v>46.9114</v>
      </c>
      <c r="BZ77" s="94">
        <v>4.0282099999999996</v>
      </c>
      <c r="CA77">
        <v>62.2012</v>
      </c>
      <c r="CB77">
        <v>4.25169</v>
      </c>
      <c r="CC77">
        <v>48.717599999999997</v>
      </c>
      <c r="CD77">
        <v>48.717599999999997</v>
      </c>
      <c r="CE77">
        <v>7.7777000000000003</v>
      </c>
      <c r="CF77">
        <v>18.747199999999999</v>
      </c>
      <c r="CG77">
        <v>3.8226800000000002E-3</v>
      </c>
      <c r="CM77">
        <v>1236.57</v>
      </c>
      <c r="CN77">
        <v>1234.8499999999999</v>
      </c>
      <c r="CO77">
        <v>1009.43</v>
      </c>
      <c r="CP77">
        <v>2.80637E-2</v>
      </c>
      <c r="CQ77">
        <v>7.8574200000000004E-3</v>
      </c>
      <c r="CR77">
        <v>102</v>
      </c>
      <c r="CS77">
        <v>2.6655000000000002</v>
      </c>
      <c r="CT77">
        <v>119</v>
      </c>
      <c r="CU77">
        <v>5.9575399999999998</v>
      </c>
      <c r="CV77">
        <v>5.9575399999999998</v>
      </c>
      <c r="CW77">
        <v>4.6810900000000003E-2</v>
      </c>
      <c r="CX77">
        <v>5.91073</v>
      </c>
      <c r="CY77">
        <v>0</v>
      </c>
      <c r="CZ77">
        <v>7.6479400000000002</v>
      </c>
      <c r="DA77">
        <v>193.374</v>
      </c>
      <c r="DB77">
        <v>12.323499999999999</v>
      </c>
      <c r="DC77">
        <v>46.846800000000002</v>
      </c>
      <c r="DD77">
        <v>3.8208500000000001</v>
      </c>
      <c r="DE77">
        <v>62.115099999999998</v>
      </c>
      <c r="DF77">
        <v>4.2788899999999996</v>
      </c>
      <c r="DG77">
        <v>49.466099999999997</v>
      </c>
      <c r="DH77">
        <v>49.466099999999997</v>
      </c>
      <c r="DI77">
        <v>8.0019500000000008</v>
      </c>
      <c r="DJ77">
        <v>18.721</v>
      </c>
      <c r="DK77">
        <v>7.7832400000000003E-3</v>
      </c>
      <c r="DQ77">
        <v>1243.58</v>
      </c>
      <c r="DR77">
        <v>1241.18</v>
      </c>
      <c r="DS77">
        <v>1319.35</v>
      </c>
      <c r="DT77">
        <v>0.30433399999999999</v>
      </c>
      <c r="DU77">
        <v>0.75884300000000005</v>
      </c>
      <c r="DV77">
        <v>105</v>
      </c>
      <c r="DW77">
        <v>0.47639799999999999</v>
      </c>
      <c r="DX77">
        <v>789.94899999999996</v>
      </c>
      <c r="DY77">
        <v>7.2727799999999995E-2</v>
      </c>
      <c r="DZ77">
        <v>4.2551100000000002</v>
      </c>
      <c r="EA77">
        <v>5.5188899999999999E-2</v>
      </c>
      <c r="EB77">
        <v>1.0261499999999999</v>
      </c>
      <c r="EC77">
        <v>0</v>
      </c>
      <c r="ED77">
        <v>5.9887300000000003</v>
      </c>
      <c r="EE77">
        <v>137.11000000000001</v>
      </c>
      <c r="EF77">
        <v>3.1559699999999999</v>
      </c>
      <c r="EG77">
        <v>46.921799999999998</v>
      </c>
      <c r="EH77">
        <v>5.6286899999999997</v>
      </c>
      <c r="EI77">
        <v>62.241199999999999</v>
      </c>
      <c r="EJ77">
        <v>8.5180600000000002</v>
      </c>
      <c r="EK77">
        <v>41.414499999999997</v>
      </c>
      <c r="EL77">
        <v>41.414499999999997</v>
      </c>
      <c r="EM77">
        <v>5.9049300000000002</v>
      </c>
      <c r="EN77">
        <v>18.773599999999998</v>
      </c>
      <c r="EO77">
        <v>0.41439700000000002</v>
      </c>
    </row>
    <row r="78" spans="31:145" x14ac:dyDescent="0.2">
      <c r="AE78" s="94">
        <v>1224.99</v>
      </c>
      <c r="AF78" s="94">
        <v>1224.06</v>
      </c>
      <c r="AG78" s="94">
        <v>3833.84</v>
      </c>
      <c r="AH78" s="94">
        <v>0.29173199999999999</v>
      </c>
      <c r="AI78" s="94">
        <v>0.59856500000000001</v>
      </c>
      <c r="AJ78" s="94">
        <v>105</v>
      </c>
      <c r="AK78" s="94">
        <v>0.25322099999999997</v>
      </c>
      <c r="AL78" s="94">
        <v>108.17100000000001</v>
      </c>
      <c r="AM78" s="94">
        <v>1.0161E-2</v>
      </c>
      <c r="AN78" s="94">
        <v>1.00806</v>
      </c>
      <c r="AO78" s="94">
        <v>6.0819999999999997E-3</v>
      </c>
      <c r="AP78" s="94">
        <v>0.40466999999999997</v>
      </c>
      <c r="AQ78" s="94"/>
      <c r="AR78" s="94">
        <v>2.5046599999999999</v>
      </c>
      <c r="AS78" s="94">
        <v>98.395200000000003</v>
      </c>
      <c r="AT78" s="94">
        <v>1.66988</v>
      </c>
      <c r="AU78" s="94">
        <v>46.991500000000002</v>
      </c>
      <c r="AV78" s="94">
        <v>15.833299999999999</v>
      </c>
      <c r="AW78" s="94">
        <v>62.729500000000002</v>
      </c>
      <c r="AX78" s="94">
        <v>16.527699999999999</v>
      </c>
      <c r="AY78" s="94">
        <v>12.1412</v>
      </c>
      <c r="AZ78" s="94">
        <v>12.1412</v>
      </c>
      <c r="BA78" s="94">
        <v>0.473941</v>
      </c>
      <c r="BB78" s="94">
        <v>19.138100000000001</v>
      </c>
      <c r="BC78" s="94">
        <v>5.8087099999999999E-3</v>
      </c>
      <c r="BD78" s="94"/>
      <c r="BE78" s="94"/>
      <c r="BF78" s="94"/>
      <c r="BG78" s="94"/>
      <c r="BH78" s="94"/>
      <c r="BI78" s="94">
        <v>1236.57</v>
      </c>
      <c r="BJ78" s="94">
        <v>1234.8499999999999</v>
      </c>
      <c r="BK78" s="94">
        <v>974.23900000000003</v>
      </c>
      <c r="BL78" s="94">
        <v>2.73324E-2</v>
      </c>
      <c r="BM78" s="94">
        <v>3.84192E-3</v>
      </c>
      <c r="BN78" s="94">
        <v>102</v>
      </c>
      <c r="BO78" s="94">
        <v>0.29257</v>
      </c>
      <c r="BP78" s="94">
        <v>118.48</v>
      </c>
      <c r="BQ78" s="94">
        <v>1.8225</v>
      </c>
      <c r="BR78" s="94">
        <v>1.8225</v>
      </c>
      <c r="BS78" s="94">
        <v>7.0018900000000002E-3</v>
      </c>
      <c r="BT78" s="94">
        <v>1.8154999999999999</v>
      </c>
      <c r="BU78" s="94"/>
      <c r="BV78" s="94">
        <v>7.4158999999999997</v>
      </c>
      <c r="BW78" s="94">
        <v>193.98699999999999</v>
      </c>
      <c r="BX78" s="94">
        <v>3.7580300000000002</v>
      </c>
      <c r="BY78" s="94">
        <v>46.910499999999999</v>
      </c>
      <c r="BZ78" s="94">
        <v>4.0284399999999998</v>
      </c>
      <c r="CA78">
        <v>62.200200000000002</v>
      </c>
      <c r="CB78">
        <v>4.2519299999999998</v>
      </c>
      <c r="CC78">
        <v>48.713099999999997</v>
      </c>
      <c r="CD78">
        <v>48.713099999999997</v>
      </c>
      <c r="CE78">
        <v>7.7768199999999998</v>
      </c>
      <c r="CF78">
        <v>18.7469</v>
      </c>
      <c r="CG78">
        <v>3.8227199999999999E-3</v>
      </c>
      <c r="CM78">
        <v>1240.08</v>
      </c>
      <c r="CN78">
        <v>1238.02</v>
      </c>
      <c r="CO78">
        <v>1009.74</v>
      </c>
      <c r="CP78">
        <v>2.7422800000000001E-2</v>
      </c>
      <c r="CQ78">
        <v>7.8578999999999993E-3</v>
      </c>
      <c r="CR78">
        <v>102</v>
      </c>
      <c r="CS78">
        <v>2.6727099999999999</v>
      </c>
      <c r="CT78">
        <v>119.27800000000001</v>
      </c>
      <c r="CU78">
        <v>5.9573099999999997</v>
      </c>
      <c r="CV78">
        <v>5.9573099999999997</v>
      </c>
      <c r="CW78">
        <v>4.6811999999999999E-2</v>
      </c>
      <c r="CX78">
        <v>5.9104999999999999</v>
      </c>
      <c r="CY78">
        <v>0</v>
      </c>
      <c r="CZ78">
        <v>7.6475299999999997</v>
      </c>
      <c r="DA78">
        <v>193.37</v>
      </c>
      <c r="DB78">
        <v>12.3232</v>
      </c>
      <c r="DC78">
        <v>46.845599999999997</v>
      </c>
      <c r="DD78">
        <v>3.8210000000000002</v>
      </c>
      <c r="DE78">
        <v>62.113399999999999</v>
      </c>
      <c r="DF78">
        <v>4.2790600000000003</v>
      </c>
      <c r="DG78">
        <v>49.460099999999997</v>
      </c>
      <c r="DH78">
        <v>49.460099999999997</v>
      </c>
      <c r="DI78">
        <v>8.0008800000000004</v>
      </c>
      <c r="DJ78">
        <v>18.720400000000001</v>
      </c>
      <c r="DK78">
        <v>7.7834499999999999E-3</v>
      </c>
      <c r="DQ78">
        <v>1245.57</v>
      </c>
      <c r="DR78">
        <v>1242.9000000000001</v>
      </c>
      <c r="DS78">
        <v>1321.27</v>
      </c>
      <c r="DT78">
        <v>0.296402</v>
      </c>
      <c r="DU78">
        <v>0.76464399999999999</v>
      </c>
      <c r="DV78">
        <v>105</v>
      </c>
      <c r="DW78">
        <v>0.476883</v>
      </c>
      <c r="DX78">
        <v>791.62900000000002</v>
      </c>
      <c r="DY78">
        <v>7.2176799999999999E-2</v>
      </c>
      <c r="DZ78">
        <v>4.3510499999999999</v>
      </c>
      <c r="EA78">
        <v>5.5189500000000002E-2</v>
      </c>
      <c r="EB78">
        <v>1.0240499999999999</v>
      </c>
      <c r="EC78">
        <v>0</v>
      </c>
      <c r="ED78">
        <v>5.9803699999999997</v>
      </c>
      <c r="EE78">
        <v>136.977</v>
      </c>
      <c r="EF78">
        <v>3.1522999999999999</v>
      </c>
      <c r="EG78">
        <v>46.921399999999998</v>
      </c>
      <c r="EH78">
        <v>5.63687</v>
      </c>
      <c r="EI78">
        <v>62.240699999999997</v>
      </c>
      <c r="EJ78">
        <v>8.5314599999999992</v>
      </c>
      <c r="EK78">
        <v>41.377299999999998</v>
      </c>
      <c r="EL78">
        <v>41.377299999999998</v>
      </c>
      <c r="EM78">
        <v>5.8959900000000003</v>
      </c>
      <c r="EN78">
        <v>18.773499999999999</v>
      </c>
      <c r="EO78">
        <v>0.41495300000000002</v>
      </c>
    </row>
    <row r="79" spans="31:145" x14ac:dyDescent="0.2">
      <c r="AE79" s="94">
        <v>1228.04</v>
      </c>
      <c r="AF79" s="94">
        <v>1226.92</v>
      </c>
      <c r="AG79" s="94">
        <v>3836.76</v>
      </c>
      <c r="AH79" s="94">
        <v>0.29165400000000002</v>
      </c>
      <c r="AI79" s="94">
        <v>0.614506</v>
      </c>
      <c r="AJ79" s="94">
        <v>105</v>
      </c>
      <c r="AK79" s="94">
        <v>0.25342900000000002</v>
      </c>
      <c r="AL79" s="94">
        <v>110.914</v>
      </c>
      <c r="AM79" s="94">
        <v>9.8974900000000001E-3</v>
      </c>
      <c r="AN79" s="94">
        <v>1.0495099999999999</v>
      </c>
      <c r="AO79" s="94">
        <v>6.0820700000000002E-3</v>
      </c>
      <c r="AP79" s="94">
        <v>0.40458100000000002</v>
      </c>
      <c r="AQ79" s="94"/>
      <c r="AR79" s="94">
        <v>2.5039699999999998</v>
      </c>
      <c r="AS79" s="94">
        <v>98.384600000000006</v>
      </c>
      <c r="AT79" s="94">
        <v>1.6697200000000001</v>
      </c>
      <c r="AU79" s="94">
        <v>46.9908</v>
      </c>
      <c r="AV79" s="94">
        <v>15.8371</v>
      </c>
      <c r="AW79" s="94">
        <v>62.728700000000003</v>
      </c>
      <c r="AX79" s="94">
        <v>16.531600000000001</v>
      </c>
      <c r="AY79" s="94">
        <v>12.1335</v>
      </c>
      <c r="AZ79" s="94">
        <v>12.1335</v>
      </c>
      <c r="BA79" s="94">
        <v>0.47322399999999998</v>
      </c>
      <c r="BB79" s="94">
        <v>19.138000000000002</v>
      </c>
      <c r="BC79" s="94">
        <v>7.3165299999999999E-3</v>
      </c>
      <c r="BD79" s="94"/>
      <c r="BE79" s="94"/>
      <c r="BF79" s="94"/>
      <c r="BG79" s="94"/>
      <c r="BH79" s="94"/>
      <c r="BI79" s="94">
        <v>1240.08</v>
      </c>
      <c r="BJ79" s="94">
        <v>1238.02</v>
      </c>
      <c r="BK79" s="94">
        <v>974.54600000000005</v>
      </c>
      <c r="BL79" s="94">
        <v>2.66962E-2</v>
      </c>
      <c r="BM79" s="94">
        <v>3.8422199999999999E-3</v>
      </c>
      <c r="BN79" s="94">
        <v>102</v>
      </c>
      <c r="BO79" s="94">
        <v>0.29336800000000002</v>
      </c>
      <c r="BP79" s="94">
        <v>118.75700000000001</v>
      </c>
      <c r="BQ79" s="94">
        <v>1.82239</v>
      </c>
      <c r="BR79" s="94">
        <v>1.82239</v>
      </c>
      <c r="BS79" s="94">
        <v>7.0020300000000002E-3</v>
      </c>
      <c r="BT79" s="94">
        <v>1.8153900000000001</v>
      </c>
      <c r="BU79" s="94"/>
      <c r="BV79" s="94">
        <v>7.4154299999999997</v>
      </c>
      <c r="BW79" s="94">
        <v>193.98099999999999</v>
      </c>
      <c r="BX79" s="94">
        <v>3.7579199999999999</v>
      </c>
      <c r="BY79" s="94">
        <v>46.909500000000001</v>
      </c>
      <c r="BZ79" s="94">
        <v>4.0286900000000001</v>
      </c>
      <c r="CA79">
        <v>62.198799999999999</v>
      </c>
      <c r="CB79">
        <v>4.2521899999999997</v>
      </c>
      <c r="CC79">
        <v>48.7074</v>
      </c>
      <c r="CD79">
        <v>48.7074</v>
      </c>
      <c r="CE79">
        <v>7.7757199999999997</v>
      </c>
      <c r="CF79">
        <v>18.746500000000001</v>
      </c>
      <c r="CG79">
        <v>3.82278E-3</v>
      </c>
      <c r="CM79">
        <v>1243.58</v>
      </c>
      <c r="CN79">
        <v>1241.18</v>
      </c>
      <c r="CO79">
        <v>1010.06</v>
      </c>
      <c r="CP79">
        <v>2.7423900000000001E-2</v>
      </c>
      <c r="CQ79">
        <v>7.8584099999999997E-3</v>
      </c>
      <c r="CR79">
        <v>102</v>
      </c>
      <c r="CS79">
        <v>2.67991</v>
      </c>
      <c r="CT79">
        <v>119.556</v>
      </c>
      <c r="CU79">
        <v>5.9570800000000004</v>
      </c>
      <c r="CV79">
        <v>5.9570800000000004</v>
      </c>
      <c r="CW79">
        <v>4.6813199999999999E-2</v>
      </c>
      <c r="CX79">
        <v>5.9102699999999997</v>
      </c>
      <c r="CY79">
        <v>0</v>
      </c>
      <c r="CZ79">
        <v>7.6470799999999999</v>
      </c>
      <c r="DA79">
        <v>193.36600000000001</v>
      </c>
      <c r="DB79">
        <v>12.323</v>
      </c>
      <c r="DC79">
        <v>46.8444</v>
      </c>
      <c r="DD79">
        <v>3.8211499999999998</v>
      </c>
      <c r="DE79">
        <v>62.111800000000002</v>
      </c>
      <c r="DF79">
        <v>4.2792199999999996</v>
      </c>
      <c r="DG79">
        <v>49.454099999999997</v>
      </c>
      <c r="DH79">
        <v>49.454099999999997</v>
      </c>
      <c r="DI79">
        <v>7.9998100000000001</v>
      </c>
      <c r="DJ79">
        <v>18.719899999999999</v>
      </c>
      <c r="DK79">
        <v>7.7836700000000003E-3</v>
      </c>
      <c r="DQ79">
        <v>1247.55</v>
      </c>
      <c r="DR79">
        <v>1244.6300000000001</v>
      </c>
      <c r="DS79">
        <v>1323.2</v>
      </c>
      <c r="DT79">
        <v>0.29664099999999999</v>
      </c>
      <c r="DU79">
        <v>0.76531199999999999</v>
      </c>
      <c r="DV79">
        <v>105</v>
      </c>
      <c r="DW79">
        <v>0.47736699999999999</v>
      </c>
      <c r="DX79">
        <v>793.31100000000004</v>
      </c>
      <c r="DY79">
        <v>7.2114399999999995E-2</v>
      </c>
      <c r="DZ79">
        <v>4.3570900000000004</v>
      </c>
      <c r="EA79">
        <v>5.5190000000000003E-2</v>
      </c>
      <c r="EB79">
        <v>1.0225599999999999</v>
      </c>
      <c r="EC79">
        <v>0</v>
      </c>
      <c r="ED79">
        <v>5.9744599999999997</v>
      </c>
      <c r="EE79">
        <v>136.88200000000001</v>
      </c>
      <c r="EF79">
        <v>3.1501299999999999</v>
      </c>
      <c r="EG79">
        <v>46.920900000000003</v>
      </c>
      <c r="EH79">
        <v>5.64506</v>
      </c>
      <c r="EI79">
        <v>62.240200000000002</v>
      </c>
      <c r="EJ79">
        <v>8.5432100000000002</v>
      </c>
      <c r="EK79">
        <v>41.340200000000003</v>
      </c>
      <c r="EL79">
        <v>41.340200000000003</v>
      </c>
      <c r="EM79">
        <v>5.8870500000000003</v>
      </c>
      <c r="EN79">
        <v>18.773399999999999</v>
      </c>
      <c r="EO79">
        <v>0.41550799999999999</v>
      </c>
    </row>
    <row r="80" spans="31:145" x14ac:dyDescent="0.2">
      <c r="AE80" s="94">
        <v>1231.0899999999999</v>
      </c>
      <c r="AF80" s="94">
        <v>1229.79</v>
      </c>
      <c r="AG80" s="94">
        <v>3839.67</v>
      </c>
      <c r="AH80" s="94">
        <v>0.29170499999999999</v>
      </c>
      <c r="AI80" s="94">
        <v>0.61465199999999998</v>
      </c>
      <c r="AJ80" s="94">
        <v>105</v>
      </c>
      <c r="AK80" s="94">
        <v>0.253637</v>
      </c>
      <c r="AL80" s="94">
        <v>113.657</v>
      </c>
      <c r="AM80" s="94">
        <v>9.8952599999999995E-3</v>
      </c>
      <c r="AN80" s="94">
        <v>1.04966</v>
      </c>
      <c r="AO80" s="94">
        <v>6.0821399999999998E-3</v>
      </c>
      <c r="AP80" s="94">
        <v>0.40448299999999998</v>
      </c>
      <c r="AQ80" s="94"/>
      <c r="AR80" s="94">
        <v>2.5032000000000001</v>
      </c>
      <c r="AS80" s="94">
        <v>98.372900000000001</v>
      </c>
      <c r="AT80" s="94">
        <v>1.6695199999999999</v>
      </c>
      <c r="AU80" s="94">
        <v>46.99</v>
      </c>
      <c r="AV80" s="94">
        <v>15.840999999999999</v>
      </c>
      <c r="AW80" s="94">
        <v>62.728000000000002</v>
      </c>
      <c r="AX80" s="94">
        <v>16.535599999999999</v>
      </c>
      <c r="AY80" s="94">
        <v>12.1258</v>
      </c>
      <c r="AZ80" s="94">
        <v>12.1258</v>
      </c>
      <c r="BA80" s="94">
        <v>0.47250399999999998</v>
      </c>
      <c r="BB80" s="94">
        <v>19.137899999999998</v>
      </c>
      <c r="BC80" s="94">
        <v>8.8172500000000004E-3</v>
      </c>
      <c r="BD80" s="94"/>
      <c r="BE80" s="94"/>
      <c r="BF80" s="94"/>
      <c r="BG80" s="94"/>
      <c r="BH80" s="94"/>
      <c r="BI80" s="94">
        <v>1243.58</v>
      </c>
      <c r="BJ80" s="94">
        <v>1241.18</v>
      </c>
      <c r="BK80" s="94">
        <v>974.85299999999995</v>
      </c>
      <c r="BL80" s="94">
        <v>2.66979E-2</v>
      </c>
      <c r="BM80" s="94">
        <v>3.8425500000000001E-3</v>
      </c>
      <c r="BN80" s="94">
        <v>102</v>
      </c>
      <c r="BO80" s="94">
        <v>0.29416500000000001</v>
      </c>
      <c r="BP80" s="94">
        <v>119.033</v>
      </c>
      <c r="BQ80" s="94">
        <v>1.8222700000000001</v>
      </c>
      <c r="BR80" s="94">
        <v>1.8222700000000001</v>
      </c>
      <c r="BS80" s="94">
        <v>7.0021900000000002E-3</v>
      </c>
      <c r="BT80" s="94">
        <v>1.8152699999999999</v>
      </c>
      <c r="BU80" s="94"/>
      <c r="BV80" s="94">
        <v>7.41493</v>
      </c>
      <c r="BW80" s="94">
        <v>193.97499999999999</v>
      </c>
      <c r="BX80" s="94">
        <v>3.7578100000000001</v>
      </c>
      <c r="BY80" s="94">
        <v>46.9084</v>
      </c>
      <c r="BZ80" s="94">
        <v>4.02895</v>
      </c>
      <c r="CA80">
        <v>62.197400000000002</v>
      </c>
      <c r="CB80">
        <v>4.2524699999999998</v>
      </c>
      <c r="CC80">
        <v>48.701799999999999</v>
      </c>
      <c r="CD80">
        <v>48.701799999999999</v>
      </c>
      <c r="CE80">
        <v>7.7746300000000002</v>
      </c>
      <c r="CF80">
        <v>18.746099999999998</v>
      </c>
      <c r="CG80">
        <v>3.8228300000000002E-3</v>
      </c>
      <c r="CM80">
        <v>1245.57</v>
      </c>
      <c r="CN80">
        <v>1242.9000000000001</v>
      </c>
      <c r="CO80">
        <v>1010.23</v>
      </c>
      <c r="CP80">
        <v>2.65496E-2</v>
      </c>
      <c r="CQ80">
        <v>7.8587899999999992E-3</v>
      </c>
      <c r="CR80">
        <v>102</v>
      </c>
      <c r="CS80">
        <v>2.6839900000000001</v>
      </c>
      <c r="CT80">
        <v>119.703</v>
      </c>
      <c r="CU80">
        <v>5.9569200000000002</v>
      </c>
      <c r="CV80">
        <v>5.9569200000000002</v>
      </c>
      <c r="CW80">
        <v>4.68142E-2</v>
      </c>
      <c r="CX80">
        <v>5.9100999999999999</v>
      </c>
      <c r="CY80">
        <v>0</v>
      </c>
      <c r="CZ80">
        <v>7.6467499999999999</v>
      </c>
      <c r="DA80">
        <v>193.364</v>
      </c>
      <c r="DB80">
        <v>12.322800000000001</v>
      </c>
      <c r="DC80">
        <v>46.843699999999998</v>
      </c>
      <c r="DD80">
        <v>3.8212100000000002</v>
      </c>
      <c r="DE80">
        <v>62.110900000000001</v>
      </c>
      <c r="DF80">
        <v>4.2793000000000001</v>
      </c>
      <c r="DG80">
        <v>49.450800000000001</v>
      </c>
      <c r="DH80">
        <v>49.450800000000001</v>
      </c>
      <c r="DI80">
        <v>7.9992299999999998</v>
      </c>
      <c r="DJ80">
        <v>18.7196</v>
      </c>
      <c r="DK80">
        <v>7.7837799999999997E-3</v>
      </c>
      <c r="DQ80">
        <v>1250.75</v>
      </c>
      <c r="DR80">
        <v>1247.33</v>
      </c>
      <c r="DS80">
        <v>1326.22</v>
      </c>
      <c r="DT80">
        <v>0.28782400000000002</v>
      </c>
      <c r="DU80">
        <v>0.76788500000000004</v>
      </c>
      <c r="DV80">
        <v>105</v>
      </c>
      <c r="DW80">
        <v>0.47814800000000002</v>
      </c>
      <c r="DX80">
        <v>795.86</v>
      </c>
      <c r="DY80">
        <v>7.1873500000000007E-2</v>
      </c>
      <c r="DZ80">
        <v>4.3972300000000004</v>
      </c>
      <c r="EA80">
        <v>5.5190599999999999E-2</v>
      </c>
      <c r="EB80">
        <v>1.0206599999999999</v>
      </c>
      <c r="EC80">
        <v>0</v>
      </c>
      <c r="ED80">
        <v>5.9668999999999999</v>
      </c>
      <c r="EE80">
        <v>136.762</v>
      </c>
      <c r="EF80">
        <v>3.1477599999999999</v>
      </c>
      <c r="EG80">
        <v>46.920099999999998</v>
      </c>
      <c r="EH80">
        <v>5.6578400000000002</v>
      </c>
      <c r="EI80">
        <v>62.239400000000003</v>
      </c>
      <c r="EJ80">
        <v>8.5604300000000002</v>
      </c>
      <c r="EK80">
        <v>41.2821</v>
      </c>
      <c r="EL80">
        <v>41.2821</v>
      </c>
      <c r="EM80">
        <v>5.8730900000000004</v>
      </c>
      <c r="EN80">
        <v>18.773299999999999</v>
      </c>
      <c r="EO80">
        <v>0.416408</v>
      </c>
    </row>
    <row r="81" spans="31:145" x14ac:dyDescent="0.2">
      <c r="AE81" s="94">
        <v>1233.83</v>
      </c>
      <c r="AF81" s="94">
        <v>1232.32</v>
      </c>
      <c r="AG81" s="94">
        <v>3842.28</v>
      </c>
      <c r="AH81" s="94">
        <v>0.28946899999999998</v>
      </c>
      <c r="AI81" s="94">
        <v>0.62489799999999995</v>
      </c>
      <c r="AJ81" s="94">
        <v>105</v>
      </c>
      <c r="AK81" s="94">
        <v>0.25382500000000002</v>
      </c>
      <c r="AL81" s="94">
        <v>116.062</v>
      </c>
      <c r="AM81" s="94">
        <v>9.7331399999999995E-3</v>
      </c>
      <c r="AN81" s="94">
        <v>1.0780799999999999</v>
      </c>
      <c r="AO81" s="94">
        <v>6.0822100000000002E-3</v>
      </c>
      <c r="AP81" s="94">
        <v>0.404391</v>
      </c>
      <c r="AQ81" s="94"/>
      <c r="AR81" s="94">
        <v>2.5024799999999998</v>
      </c>
      <c r="AS81" s="94">
        <v>98.361800000000002</v>
      </c>
      <c r="AT81" s="94">
        <v>1.6693199999999999</v>
      </c>
      <c r="AU81" s="94">
        <v>46.9893</v>
      </c>
      <c r="AV81" s="94">
        <v>15.8444</v>
      </c>
      <c r="AW81" s="94">
        <v>62.7273</v>
      </c>
      <c r="AX81" s="94">
        <v>16.539100000000001</v>
      </c>
      <c r="AY81" s="94">
        <v>12.1189</v>
      </c>
      <c r="AZ81" s="94">
        <v>12.1189</v>
      </c>
      <c r="BA81" s="94">
        <v>0.47186400000000001</v>
      </c>
      <c r="BB81" s="94">
        <v>19.137799999999999</v>
      </c>
      <c r="BC81" s="94">
        <v>1.01843E-2</v>
      </c>
      <c r="BD81" s="94"/>
      <c r="BE81" s="94"/>
      <c r="BF81" s="94"/>
      <c r="BG81" s="94"/>
      <c r="BH81" s="94"/>
      <c r="BI81" s="94">
        <v>1245.57</v>
      </c>
      <c r="BJ81" s="94">
        <v>1242.9000000000001</v>
      </c>
      <c r="BK81" s="94">
        <v>975.02099999999996</v>
      </c>
      <c r="BL81" s="94">
        <v>2.5829600000000001E-2</v>
      </c>
      <c r="BM81" s="94">
        <v>3.8427999999999999E-3</v>
      </c>
      <c r="BN81" s="94">
        <v>102</v>
      </c>
      <c r="BO81" s="94">
        <v>0.29461599999999999</v>
      </c>
      <c r="BP81" s="94">
        <v>119.179</v>
      </c>
      <c r="BQ81" s="94">
        <v>1.82219</v>
      </c>
      <c r="BR81" s="94">
        <v>1.82219</v>
      </c>
      <c r="BS81" s="94">
        <v>7.0023000000000004E-3</v>
      </c>
      <c r="BT81" s="94">
        <v>1.8151900000000001</v>
      </c>
      <c r="BU81" s="94"/>
      <c r="BV81" s="94">
        <v>7.4145500000000002</v>
      </c>
      <c r="BW81" s="94">
        <v>193.971</v>
      </c>
      <c r="BX81" s="94">
        <v>3.7576900000000002</v>
      </c>
      <c r="BY81" s="94">
        <v>46.907899999999998</v>
      </c>
      <c r="BZ81" s="94">
        <v>4.0290699999999999</v>
      </c>
      <c r="CA81">
        <v>62.196599999999997</v>
      </c>
      <c r="CB81">
        <v>4.2526000000000002</v>
      </c>
      <c r="CC81">
        <v>48.698700000000002</v>
      </c>
      <c r="CD81">
        <v>48.698700000000002</v>
      </c>
      <c r="CE81">
        <v>7.7740600000000004</v>
      </c>
      <c r="CF81">
        <v>18.745899999999999</v>
      </c>
      <c r="CG81">
        <v>3.82286E-3</v>
      </c>
      <c r="CM81">
        <v>1247.55</v>
      </c>
      <c r="CN81">
        <v>1244.6300000000001</v>
      </c>
      <c r="CO81">
        <v>1010.41</v>
      </c>
      <c r="CP81">
        <v>2.6550000000000001E-2</v>
      </c>
      <c r="CQ81">
        <v>7.8590299999999995E-3</v>
      </c>
      <c r="CR81">
        <v>102</v>
      </c>
      <c r="CS81">
        <v>2.6880600000000001</v>
      </c>
      <c r="CT81">
        <v>119.85</v>
      </c>
      <c r="CU81">
        <v>5.9568199999999996</v>
      </c>
      <c r="CV81">
        <v>5.9568199999999996</v>
      </c>
      <c r="CW81">
        <v>4.68149E-2</v>
      </c>
      <c r="CX81">
        <v>5.9100099999999998</v>
      </c>
      <c r="CY81">
        <v>0</v>
      </c>
      <c r="CZ81">
        <v>7.6465300000000003</v>
      </c>
      <c r="DA81">
        <v>193.36199999999999</v>
      </c>
      <c r="DB81">
        <v>12.322699999999999</v>
      </c>
      <c r="DC81">
        <v>46.843000000000004</v>
      </c>
      <c r="DD81">
        <v>3.8212700000000002</v>
      </c>
      <c r="DE81">
        <v>62.109900000000003</v>
      </c>
      <c r="DF81">
        <v>4.2793700000000001</v>
      </c>
      <c r="DG81">
        <v>49.447499999999998</v>
      </c>
      <c r="DH81">
        <v>49.447499999999998</v>
      </c>
      <c r="DI81">
        <v>7.9986499999999996</v>
      </c>
      <c r="DJ81">
        <v>18.7193</v>
      </c>
      <c r="DK81">
        <v>7.7838999999999998E-3</v>
      </c>
      <c r="DQ81">
        <v>1253.95</v>
      </c>
      <c r="DR81">
        <v>1250.03</v>
      </c>
      <c r="DS81">
        <v>1329.25</v>
      </c>
      <c r="DT81">
        <v>0.288184</v>
      </c>
      <c r="DU81">
        <v>0.76892899999999997</v>
      </c>
      <c r="DV81">
        <v>105</v>
      </c>
      <c r="DW81">
        <v>0.47892699999999999</v>
      </c>
      <c r="DX81">
        <v>798.41300000000001</v>
      </c>
      <c r="DY81">
        <v>7.1776800000000002E-2</v>
      </c>
      <c r="DZ81">
        <v>4.4071400000000001</v>
      </c>
      <c r="EA81">
        <v>5.5191299999999999E-2</v>
      </c>
      <c r="EB81">
        <v>1.0183599999999999</v>
      </c>
      <c r="EC81">
        <v>0</v>
      </c>
      <c r="ED81">
        <v>5.9577099999999996</v>
      </c>
      <c r="EE81">
        <v>136.61600000000001</v>
      </c>
      <c r="EF81">
        <v>3.14438</v>
      </c>
      <c r="EG81">
        <v>46.9193</v>
      </c>
      <c r="EH81">
        <v>5.6706300000000001</v>
      </c>
      <c r="EI81">
        <v>62.238500000000002</v>
      </c>
      <c r="EJ81">
        <v>8.5787800000000001</v>
      </c>
      <c r="EK81">
        <v>41.2241</v>
      </c>
      <c r="EL81">
        <v>41.2241</v>
      </c>
      <c r="EM81">
        <v>5.8591499999999996</v>
      </c>
      <c r="EN81">
        <v>18.773199999999999</v>
      </c>
      <c r="EO81">
        <v>0.41730600000000001</v>
      </c>
    </row>
    <row r="82" spans="31:145" x14ac:dyDescent="0.2">
      <c r="AE82" s="94">
        <v>1236.57</v>
      </c>
      <c r="AF82" s="94">
        <v>1234.8499999999999</v>
      </c>
      <c r="AG82" s="94">
        <v>3844.89</v>
      </c>
      <c r="AH82" s="94">
        <v>0.28951399999999999</v>
      </c>
      <c r="AI82" s="94">
        <v>0.625031</v>
      </c>
      <c r="AJ82" s="94">
        <v>105</v>
      </c>
      <c r="AK82" s="94">
        <v>0.25401200000000002</v>
      </c>
      <c r="AL82" s="94">
        <v>118.468</v>
      </c>
      <c r="AM82" s="94">
        <v>9.7311700000000008E-3</v>
      </c>
      <c r="AN82" s="94">
        <v>1.07823</v>
      </c>
      <c r="AO82" s="94">
        <v>6.0822799999999998E-3</v>
      </c>
      <c r="AP82" s="94">
        <v>0.40430300000000002</v>
      </c>
      <c r="AQ82" s="94"/>
      <c r="AR82" s="94">
        <v>2.5017999999999998</v>
      </c>
      <c r="AS82" s="94">
        <v>98.351299999999995</v>
      </c>
      <c r="AT82" s="94">
        <v>1.6691400000000001</v>
      </c>
      <c r="AU82" s="94">
        <v>46.988700000000001</v>
      </c>
      <c r="AV82" s="94">
        <v>15.847799999999999</v>
      </c>
      <c r="AW82" s="94">
        <v>62.726599999999998</v>
      </c>
      <c r="AX82" s="94">
        <v>16.5426</v>
      </c>
      <c r="AY82" s="94">
        <v>12.112</v>
      </c>
      <c r="AZ82" s="94">
        <v>12.112</v>
      </c>
      <c r="BA82" s="94">
        <v>0.471223</v>
      </c>
      <c r="BB82" s="94">
        <v>19.137699999999999</v>
      </c>
      <c r="BC82" s="94">
        <v>1.15456E-2</v>
      </c>
      <c r="BD82" s="94"/>
      <c r="BE82" s="94"/>
      <c r="BF82" s="94"/>
      <c r="BG82" s="94"/>
      <c r="BH82" s="94"/>
      <c r="BI82" s="94">
        <v>1247.55</v>
      </c>
      <c r="BJ82" s="94">
        <v>1244.6300000000001</v>
      </c>
      <c r="BK82" s="94">
        <v>975.18899999999996</v>
      </c>
      <c r="BL82" s="94">
        <v>2.58304E-2</v>
      </c>
      <c r="BM82" s="94">
        <v>3.8429599999999999E-3</v>
      </c>
      <c r="BN82" s="94">
        <v>102</v>
      </c>
      <c r="BO82" s="94">
        <v>0.29506700000000002</v>
      </c>
      <c r="BP82" s="94">
        <v>119.325</v>
      </c>
      <c r="BQ82" s="94">
        <v>1.82213</v>
      </c>
      <c r="BR82" s="94">
        <v>1.82213</v>
      </c>
      <c r="BS82" s="94">
        <v>7.0023899999999998E-3</v>
      </c>
      <c r="BT82" s="94">
        <v>1.8151299999999999</v>
      </c>
      <c r="BU82" s="94"/>
      <c r="BV82" s="94">
        <v>7.4142900000000003</v>
      </c>
      <c r="BW82" s="94">
        <v>193.96799999999999</v>
      </c>
      <c r="BX82" s="94">
        <v>3.7576299999999998</v>
      </c>
      <c r="BY82" s="94">
        <v>46.907299999999999</v>
      </c>
      <c r="BZ82" s="94">
        <v>4.0292000000000003</v>
      </c>
      <c r="CA82">
        <v>62.195900000000002</v>
      </c>
      <c r="CB82">
        <v>4.2527299999999997</v>
      </c>
      <c r="CC82">
        <v>48.695700000000002</v>
      </c>
      <c r="CD82">
        <v>48.695700000000002</v>
      </c>
      <c r="CE82">
        <v>7.7734699999999997</v>
      </c>
      <c r="CF82">
        <v>18.7456</v>
      </c>
      <c r="CG82">
        <v>3.8228899999999998E-3</v>
      </c>
      <c r="CM82">
        <v>1250.75</v>
      </c>
      <c r="CN82">
        <v>1247.33</v>
      </c>
      <c r="CO82">
        <v>1010.67</v>
      </c>
      <c r="CP82">
        <v>2.5704100000000001E-2</v>
      </c>
      <c r="CQ82">
        <v>7.8593099999999996E-3</v>
      </c>
      <c r="CR82">
        <v>102</v>
      </c>
      <c r="CS82">
        <v>2.6946400000000001</v>
      </c>
      <c r="CT82">
        <v>120.072</v>
      </c>
      <c r="CU82">
        <v>5.9567300000000003</v>
      </c>
      <c r="CV82">
        <v>5.9567199999999998</v>
      </c>
      <c r="CW82">
        <v>4.6815799999999998E-2</v>
      </c>
      <c r="CX82">
        <v>5.90991</v>
      </c>
      <c r="CY82">
        <v>0</v>
      </c>
      <c r="CZ82">
        <v>7.6462599999999998</v>
      </c>
      <c r="DA82">
        <v>193.36099999999999</v>
      </c>
      <c r="DB82">
        <v>12.3226</v>
      </c>
      <c r="DC82">
        <v>46.841900000000003</v>
      </c>
      <c r="DD82">
        <v>3.8213400000000002</v>
      </c>
      <c r="DE82">
        <v>62.108400000000003</v>
      </c>
      <c r="DF82">
        <v>4.2794299999999996</v>
      </c>
      <c r="DG82">
        <v>49.442300000000003</v>
      </c>
      <c r="DH82">
        <v>49.442300000000003</v>
      </c>
      <c r="DI82">
        <v>7.9977799999999997</v>
      </c>
      <c r="DJ82">
        <v>18.718800000000002</v>
      </c>
      <c r="DK82">
        <v>7.7841000000000004E-3</v>
      </c>
      <c r="DQ82">
        <v>1256.8399999999999</v>
      </c>
      <c r="DR82">
        <v>1252.3599999999999</v>
      </c>
      <c r="DS82">
        <v>1331.86</v>
      </c>
      <c r="DT82">
        <v>0.27514899999999998</v>
      </c>
      <c r="DU82">
        <v>0.770455</v>
      </c>
      <c r="DV82">
        <v>105</v>
      </c>
      <c r="DW82">
        <v>0.47963</v>
      </c>
      <c r="DX82">
        <v>800.51499999999999</v>
      </c>
      <c r="DY82">
        <v>7.1635599999999994E-2</v>
      </c>
      <c r="DZ82">
        <v>4.4271399999999996</v>
      </c>
      <c r="EA82">
        <v>5.5191999999999998E-2</v>
      </c>
      <c r="EB82">
        <v>1.01623</v>
      </c>
      <c r="EC82">
        <v>0</v>
      </c>
      <c r="ED82">
        <v>5.9491899999999998</v>
      </c>
      <c r="EE82">
        <v>136.47999999999999</v>
      </c>
      <c r="EF82">
        <v>3.1410999999999998</v>
      </c>
      <c r="EG82">
        <v>46.918599999999998</v>
      </c>
      <c r="EH82">
        <v>5.6816000000000004</v>
      </c>
      <c r="EI82">
        <v>62.2378</v>
      </c>
      <c r="EJ82">
        <v>8.59497</v>
      </c>
      <c r="EK82">
        <v>41.174199999999999</v>
      </c>
      <c r="EL82">
        <v>41.174199999999999</v>
      </c>
      <c r="EM82">
        <v>5.8471799999999998</v>
      </c>
      <c r="EN82">
        <v>18.773</v>
      </c>
      <c r="EO82">
        <v>0.41811799999999999</v>
      </c>
    </row>
    <row r="83" spans="31:145" x14ac:dyDescent="0.2">
      <c r="AE83" s="94">
        <v>1240.08</v>
      </c>
      <c r="AF83" s="94">
        <v>1238.02</v>
      </c>
      <c r="AG83" s="94">
        <v>3848.16</v>
      </c>
      <c r="AH83" s="94">
        <v>0.28491699999999998</v>
      </c>
      <c r="AI83" s="94">
        <v>0.63241999999999998</v>
      </c>
      <c r="AJ83" s="94">
        <v>105</v>
      </c>
      <c r="AK83" s="94">
        <v>0.254251</v>
      </c>
      <c r="AL83" s="94">
        <v>121.422</v>
      </c>
      <c r="AM83" s="94">
        <v>9.6175900000000005E-3</v>
      </c>
      <c r="AN83" s="94">
        <v>1.09964</v>
      </c>
      <c r="AO83" s="94">
        <v>6.0823500000000003E-3</v>
      </c>
      <c r="AP83" s="94">
        <v>0.40420499999999998</v>
      </c>
      <c r="AQ83" s="94"/>
      <c r="AR83" s="94">
        <v>2.5010400000000002</v>
      </c>
      <c r="AS83" s="94">
        <v>98.339600000000004</v>
      </c>
      <c r="AT83" s="94">
        <v>1.6689700000000001</v>
      </c>
      <c r="AU83" s="94">
        <v>46.9878</v>
      </c>
      <c r="AV83" s="94">
        <v>15.8521</v>
      </c>
      <c r="AW83" s="94">
        <v>62.7258</v>
      </c>
      <c r="AX83" s="94">
        <v>16.547000000000001</v>
      </c>
      <c r="AY83" s="94">
        <v>12.103400000000001</v>
      </c>
      <c r="AZ83" s="94">
        <v>12.103400000000001</v>
      </c>
      <c r="BA83" s="94">
        <v>0.47042499999999998</v>
      </c>
      <c r="BB83" s="94">
        <v>19.137599999999999</v>
      </c>
      <c r="BC83" s="94">
        <v>1.3297099999999999E-2</v>
      </c>
      <c r="BD83" s="94"/>
      <c r="BE83" s="94"/>
      <c r="BF83" s="94"/>
      <c r="BG83" s="94"/>
      <c r="BH83" s="94"/>
      <c r="BI83" s="94">
        <v>1250.75</v>
      </c>
      <c r="BJ83" s="94">
        <v>1247.33</v>
      </c>
      <c r="BK83" s="94">
        <v>975.452</v>
      </c>
      <c r="BL83" s="94">
        <v>2.4990399999999999E-2</v>
      </c>
      <c r="BM83" s="94">
        <v>3.84316E-3</v>
      </c>
      <c r="BN83" s="94">
        <v>102</v>
      </c>
      <c r="BO83" s="94">
        <v>0.29579499999999997</v>
      </c>
      <c r="BP83" s="94">
        <v>119.54600000000001</v>
      </c>
      <c r="BQ83" s="94">
        <v>1.8220700000000001</v>
      </c>
      <c r="BR83" s="94">
        <v>1.8220700000000001</v>
      </c>
      <c r="BS83" s="94">
        <v>7.00251E-3</v>
      </c>
      <c r="BT83" s="94">
        <v>1.81507</v>
      </c>
      <c r="BU83" s="94"/>
      <c r="BV83" s="94">
        <v>7.4139699999999999</v>
      </c>
      <c r="BW83" s="94">
        <v>193.964</v>
      </c>
      <c r="BX83" s="94">
        <v>3.7575699999999999</v>
      </c>
      <c r="BY83" s="94">
        <v>46.906300000000002</v>
      </c>
      <c r="BZ83" s="94">
        <v>4.0293599999999996</v>
      </c>
      <c r="CA83">
        <v>62.194600000000001</v>
      </c>
      <c r="CB83">
        <v>4.2529000000000003</v>
      </c>
      <c r="CC83">
        <v>48.690899999999999</v>
      </c>
      <c r="CD83">
        <v>48.690899999999999</v>
      </c>
      <c r="CE83">
        <v>7.7725799999999996</v>
      </c>
      <c r="CF83">
        <v>18.7453</v>
      </c>
      <c r="CG83">
        <v>3.8229499999999999E-3</v>
      </c>
      <c r="CM83">
        <v>1253.95</v>
      </c>
      <c r="CN83">
        <v>1250.03</v>
      </c>
      <c r="CO83">
        <v>1010.94</v>
      </c>
      <c r="CP83">
        <v>2.5704500000000002E-2</v>
      </c>
      <c r="CQ83">
        <v>7.8596299999999994E-3</v>
      </c>
      <c r="CR83">
        <v>102</v>
      </c>
      <c r="CS83">
        <v>2.7012200000000002</v>
      </c>
      <c r="CT83">
        <v>120.295</v>
      </c>
      <c r="CU83">
        <v>5.9566299999999996</v>
      </c>
      <c r="CV83">
        <v>5.9566299999999996</v>
      </c>
      <c r="CW83">
        <v>4.6816900000000002E-2</v>
      </c>
      <c r="CX83">
        <v>5.9098100000000002</v>
      </c>
      <c r="CY83">
        <v>0</v>
      </c>
      <c r="CZ83">
        <v>7.64595</v>
      </c>
      <c r="DA83">
        <v>193.35900000000001</v>
      </c>
      <c r="DB83">
        <v>12.3225</v>
      </c>
      <c r="DC83">
        <v>46.840899999999998</v>
      </c>
      <c r="DD83">
        <v>3.8214000000000001</v>
      </c>
      <c r="DE83">
        <v>62.106900000000003</v>
      </c>
      <c r="DF83">
        <v>4.2794999999999996</v>
      </c>
      <c r="DG83">
        <v>49.437199999999997</v>
      </c>
      <c r="DH83">
        <v>49.437199999999997</v>
      </c>
      <c r="DI83">
        <v>7.9969000000000001</v>
      </c>
      <c r="DJ83">
        <v>18.718399999999999</v>
      </c>
      <c r="DK83">
        <v>7.7842900000000001E-3</v>
      </c>
      <c r="DQ83">
        <v>1259.74</v>
      </c>
      <c r="DR83">
        <v>1254.69</v>
      </c>
      <c r="DS83">
        <v>1334.48</v>
      </c>
      <c r="DT83">
        <v>0.27544299999999999</v>
      </c>
      <c r="DU83">
        <v>0.77135200000000004</v>
      </c>
      <c r="DV83">
        <v>105</v>
      </c>
      <c r="DW83">
        <v>0.48033300000000001</v>
      </c>
      <c r="DX83">
        <v>802.61800000000005</v>
      </c>
      <c r="DY83">
        <v>7.1553199999999997E-2</v>
      </c>
      <c r="DZ83">
        <v>4.4359299999999999</v>
      </c>
      <c r="EA83">
        <v>5.5192699999999997E-2</v>
      </c>
      <c r="EB83">
        <v>1.01427</v>
      </c>
      <c r="EC83">
        <v>0</v>
      </c>
      <c r="ED83">
        <v>5.9413400000000003</v>
      </c>
      <c r="EE83">
        <v>136.35499999999999</v>
      </c>
      <c r="EF83">
        <v>3.1382300000000001</v>
      </c>
      <c r="EG83">
        <v>46.917900000000003</v>
      </c>
      <c r="EH83">
        <v>5.6925699999999999</v>
      </c>
      <c r="EI83">
        <v>62.237000000000002</v>
      </c>
      <c r="EJ83">
        <v>8.6107200000000006</v>
      </c>
      <c r="EK83">
        <v>41.124299999999998</v>
      </c>
      <c r="EL83">
        <v>41.124299999999998</v>
      </c>
      <c r="EM83">
        <v>5.8352300000000001</v>
      </c>
      <c r="EN83">
        <v>18.7729</v>
      </c>
      <c r="EO83">
        <v>0.41892800000000002</v>
      </c>
    </row>
    <row r="84" spans="31:145" x14ac:dyDescent="0.2">
      <c r="AE84" s="94">
        <v>1243.58</v>
      </c>
      <c r="AF84" s="94">
        <v>1241.18</v>
      </c>
      <c r="AG84" s="94">
        <v>3851.44</v>
      </c>
      <c r="AH84" s="94">
        <v>0.284972</v>
      </c>
      <c r="AI84" s="94">
        <v>0.63258800000000004</v>
      </c>
      <c r="AJ84" s="94">
        <v>105</v>
      </c>
      <c r="AK84" s="94">
        <v>0.25448999999999999</v>
      </c>
      <c r="AL84" s="94">
        <v>124.377</v>
      </c>
      <c r="AM84" s="94">
        <v>9.6151599999999993E-3</v>
      </c>
      <c r="AN84" s="94">
        <v>1.09985</v>
      </c>
      <c r="AO84" s="94">
        <v>6.0824399999999997E-3</v>
      </c>
      <c r="AP84" s="94">
        <v>0.40409600000000001</v>
      </c>
      <c r="AQ84" s="94"/>
      <c r="AR84" s="94">
        <v>2.5001899999999999</v>
      </c>
      <c r="AS84" s="94">
        <v>98.326599999999999</v>
      </c>
      <c r="AT84" s="94">
        <v>1.66875</v>
      </c>
      <c r="AU84" s="94">
        <v>46.986899999999999</v>
      </c>
      <c r="AV84" s="94">
        <v>15.856400000000001</v>
      </c>
      <c r="AW84" s="94">
        <v>62.724899999999998</v>
      </c>
      <c r="AX84" s="94">
        <v>16.551400000000001</v>
      </c>
      <c r="AY84" s="94">
        <v>12.094799999999999</v>
      </c>
      <c r="AZ84" s="94">
        <v>12.094799999999999</v>
      </c>
      <c r="BA84" s="94">
        <v>0.46962500000000001</v>
      </c>
      <c r="BB84" s="94">
        <v>19.137499999999999</v>
      </c>
      <c r="BC84" s="94">
        <v>1.50393E-2</v>
      </c>
      <c r="BD84" s="94"/>
      <c r="BE84" s="94"/>
      <c r="BF84" s="94"/>
      <c r="BG84" s="94"/>
      <c r="BH84" s="94"/>
      <c r="BI84" s="94">
        <v>1253.95</v>
      </c>
      <c r="BJ84" s="94">
        <v>1250.03</v>
      </c>
      <c r="BK84" s="94">
        <v>975.71400000000006</v>
      </c>
      <c r="BL84" s="94">
        <v>2.49914E-2</v>
      </c>
      <c r="BM84" s="94">
        <v>3.8433999999999999E-3</v>
      </c>
      <c r="BN84" s="94">
        <v>102</v>
      </c>
      <c r="BO84" s="94">
        <v>0.29652299999999998</v>
      </c>
      <c r="BP84" s="94">
        <v>119.76600000000001</v>
      </c>
      <c r="BQ84" s="94">
        <v>1.8220000000000001</v>
      </c>
      <c r="BR84" s="94">
        <v>1.8220000000000001</v>
      </c>
      <c r="BS84" s="94">
        <v>7.00265E-3</v>
      </c>
      <c r="BT84" s="94">
        <v>1.8149900000000001</v>
      </c>
      <c r="BU84" s="94"/>
      <c r="BV84" s="94">
        <v>7.4135900000000001</v>
      </c>
      <c r="BW84" s="94">
        <v>193.96</v>
      </c>
      <c r="BX84" s="94">
        <v>3.7574999999999998</v>
      </c>
      <c r="BY84" s="94">
        <v>46.9054</v>
      </c>
      <c r="BZ84" s="94">
        <v>4.0295300000000003</v>
      </c>
      <c r="CA84">
        <v>62.193399999999997</v>
      </c>
      <c r="CB84">
        <v>4.2530700000000001</v>
      </c>
      <c r="CC84">
        <v>48.686100000000003</v>
      </c>
      <c r="CD84">
        <v>48.686100000000003</v>
      </c>
      <c r="CE84">
        <v>7.7716799999999999</v>
      </c>
      <c r="CF84">
        <v>18.744900000000001</v>
      </c>
      <c r="CG84">
        <v>3.823E-3</v>
      </c>
      <c r="CM84">
        <v>1256.8399999999999</v>
      </c>
      <c r="CN84">
        <v>1252.3599999999999</v>
      </c>
      <c r="CO84">
        <v>1011.18</v>
      </c>
      <c r="CP84">
        <v>2.4527199999999999E-2</v>
      </c>
      <c r="CQ84">
        <v>7.8598799999999996E-3</v>
      </c>
      <c r="CR84">
        <v>102</v>
      </c>
      <c r="CS84">
        <v>2.7071700000000001</v>
      </c>
      <c r="CT84">
        <v>120.477</v>
      </c>
      <c r="CU84">
        <v>5.9565799999999998</v>
      </c>
      <c r="CV84">
        <v>5.9565799999999998</v>
      </c>
      <c r="CW84">
        <v>4.6817999999999999E-2</v>
      </c>
      <c r="CX84">
        <v>5.9097600000000003</v>
      </c>
      <c r="CY84">
        <v>0</v>
      </c>
      <c r="CZ84">
        <v>7.6456799999999996</v>
      </c>
      <c r="DA84">
        <v>193.358</v>
      </c>
      <c r="DB84">
        <v>12.3224</v>
      </c>
      <c r="DC84">
        <v>46.8399</v>
      </c>
      <c r="DD84">
        <v>3.8214100000000002</v>
      </c>
      <c r="DE84">
        <v>62.105600000000003</v>
      </c>
      <c r="DF84">
        <v>4.2795100000000001</v>
      </c>
      <c r="DG84">
        <v>49.4328</v>
      </c>
      <c r="DH84">
        <v>49.4328</v>
      </c>
      <c r="DI84">
        <v>7.9961599999999997</v>
      </c>
      <c r="DJ84">
        <v>18.7179</v>
      </c>
      <c r="DK84">
        <v>7.78446E-3</v>
      </c>
      <c r="DQ84">
        <v>1262.79</v>
      </c>
      <c r="DR84">
        <v>1257.04</v>
      </c>
      <c r="DS84">
        <v>1337.12</v>
      </c>
      <c r="DT84">
        <v>0.26419900000000002</v>
      </c>
      <c r="DU84">
        <v>0.77228300000000005</v>
      </c>
      <c r="DV84">
        <v>105</v>
      </c>
      <c r="DW84">
        <v>0.48107100000000003</v>
      </c>
      <c r="DX84">
        <v>804.65300000000002</v>
      </c>
      <c r="DY84">
        <v>7.1467799999999998E-2</v>
      </c>
      <c r="DZ84">
        <v>4.4454799999999999</v>
      </c>
      <c r="EA84">
        <v>5.5193399999999997E-2</v>
      </c>
      <c r="EB84">
        <v>1.01231</v>
      </c>
      <c r="EC84">
        <v>0</v>
      </c>
      <c r="ED84">
        <v>5.9334899999999999</v>
      </c>
      <c r="EE84">
        <v>136.22999999999999</v>
      </c>
      <c r="EF84">
        <v>3.1353599999999999</v>
      </c>
      <c r="EG84">
        <v>46.917099999999998</v>
      </c>
      <c r="EH84">
        <v>5.7035799999999997</v>
      </c>
      <c r="EI84">
        <v>62.236199999999997</v>
      </c>
      <c r="EJ84">
        <v>8.6265000000000001</v>
      </c>
      <c r="EK84">
        <v>41.074100000000001</v>
      </c>
      <c r="EL84">
        <v>41.074100000000001</v>
      </c>
      <c r="EM84">
        <v>5.8232299999999997</v>
      </c>
      <c r="EN84">
        <v>18.7727</v>
      </c>
      <c r="EO84">
        <v>0.41977999999999999</v>
      </c>
    </row>
    <row r="85" spans="31:145" x14ac:dyDescent="0.2">
      <c r="AE85" s="94">
        <v>1245.57</v>
      </c>
      <c r="AF85" s="94">
        <v>1242.9000000000001</v>
      </c>
      <c r="AG85" s="94">
        <v>3853.24</v>
      </c>
      <c r="AH85" s="94">
        <v>0.27700900000000001</v>
      </c>
      <c r="AI85" s="94">
        <v>0.637293</v>
      </c>
      <c r="AJ85" s="94">
        <v>105</v>
      </c>
      <c r="AK85" s="94">
        <v>0.25462600000000002</v>
      </c>
      <c r="AL85" s="94">
        <v>125.94799999999999</v>
      </c>
      <c r="AM85" s="94">
        <v>9.5442700000000005E-3</v>
      </c>
      <c r="AN85" s="94">
        <v>1.11388</v>
      </c>
      <c r="AO85" s="94">
        <v>6.0825000000000002E-3</v>
      </c>
      <c r="AP85" s="94">
        <v>0.40401300000000001</v>
      </c>
      <c r="AQ85" s="94"/>
      <c r="AR85" s="94">
        <v>2.49953</v>
      </c>
      <c r="AS85" s="94">
        <v>98.316500000000005</v>
      </c>
      <c r="AT85" s="94">
        <v>1.6685300000000001</v>
      </c>
      <c r="AU85" s="94">
        <v>46.986499999999999</v>
      </c>
      <c r="AV85" s="94">
        <v>15.858599999999999</v>
      </c>
      <c r="AW85" s="94">
        <v>62.724400000000003</v>
      </c>
      <c r="AX85" s="94">
        <v>16.553699999999999</v>
      </c>
      <c r="AY85" s="94">
        <v>12.0901</v>
      </c>
      <c r="AZ85" s="94">
        <v>12.0901</v>
      </c>
      <c r="BA85" s="94">
        <v>0.46919699999999998</v>
      </c>
      <c r="BB85" s="94">
        <v>19.137499999999999</v>
      </c>
      <c r="BC85" s="94">
        <v>1.6027099999999999E-2</v>
      </c>
      <c r="BD85" s="94"/>
      <c r="BE85" s="94"/>
      <c r="BF85" s="94"/>
      <c r="BG85" s="94"/>
      <c r="BH85" s="94"/>
      <c r="BI85" s="94">
        <v>1256.8399999999999</v>
      </c>
      <c r="BJ85" s="94">
        <v>1252.3599999999999</v>
      </c>
      <c r="BK85" s="94">
        <v>975.94</v>
      </c>
      <c r="BL85" s="94">
        <v>2.38219E-2</v>
      </c>
      <c r="BM85" s="94">
        <v>3.84359E-3</v>
      </c>
      <c r="BN85" s="94">
        <v>102</v>
      </c>
      <c r="BO85" s="94">
        <v>0.297182</v>
      </c>
      <c r="BP85" s="94">
        <v>119.94799999999999</v>
      </c>
      <c r="BQ85" s="94">
        <v>1.8219399999999999</v>
      </c>
      <c r="BR85" s="94">
        <v>1.8219399999999999</v>
      </c>
      <c r="BS85" s="94">
        <v>7.0027800000000001E-3</v>
      </c>
      <c r="BT85" s="94">
        <v>1.8149299999999999</v>
      </c>
      <c r="BU85" s="94"/>
      <c r="BV85" s="94">
        <v>7.4132600000000002</v>
      </c>
      <c r="BW85" s="94">
        <v>193.95699999999999</v>
      </c>
      <c r="BX85" s="94">
        <v>3.7574200000000002</v>
      </c>
      <c r="BY85" s="94">
        <v>46.904499999999999</v>
      </c>
      <c r="BZ85" s="94">
        <v>4.0296200000000004</v>
      </c>
      <c r="CA85">
        <v>62.1922</v>
      </c>
      <c r="CB85">
        <v>4.2531800000000004</v>
      </c>
      <c r="CC85">
        <v>48.682000000000002</v>
      </c>
      <c r="CD85">
        <v>48.682000000000002</v>
      </c>
      <c r="CE85">
        <v>7.7709400000000004</v>
      </c>
      <c r="CF85">
        <v>18.744599999999998</v>
      </c>
      <c r="CG85">
        <v>3.8230500000000001E-3</v>
      </c>
      <c r="CM85">
        <v>1259.74</v>
      </c>
      <c r="CN85">
        <v>1254.69</v>
      </c>
      <c r="CO85">
        <v>1011.41</v>
      </c>
      <c r="CP85">
        <v>2.4527299999999998E-2</v>
      </c>
      <c r="CQ85">
        <v>7.8600700000000003E-3</v>
      </c>
      <c r="CR85">
        <v>102</v>
      </c>
      <c r="CS85">
        <v>2.71312</v>
      </c>
      <c r="CT85">
        <v>120.66</v>
      </c>
      <c r="CU85">
        <v>5.9565700000000001</v>
      </c>
      <c r="CV85">
        <v>5.9565700000000001</v>
      </c>
      <c r="CW85">
        <v>4.6819E-2</v>
      </c>
      <c r="CX85">
        <v>5.9097499999999998</v>
      </c>
      <c r="CY85">
        <v>0</v>
      </c>
      <c r="CZ85">
        <v>7.6454599999999999</v>
      </c>
      <c r="DA85">
        <v>193.358</v>
      </c>
      <c r="DB85">
        <v>12.3224</v>
      </c>
      <c r="DC85">
        <v>46.838900000000002</v>
      </c>
      <c r="DD85">
        <v>3.8214199999999998</v>
      </c>
      <c r="DE85">
        <v>62.104199999999999</v>
      </c>
      <c r="DF85">
        <v>4.2795199999999998</v>
      </c>
      <c r="DG85">
        <v>49.4283</v>
      </c>
      <c r="DH85">
        <v>49.4283</v>
      </c>
      <c r="DI85">
        <v>7.9954200000000002</v>
      </c>
      <c r="DJ85">
        <v>18.717500000000001</v>
      </c>
      <c r="DK85">
        <v>7.7846399999999998E-3</v>
      </c>
      <c r="DQ85">
        <v>1265.83</v>
      </c>
      <c r="DR85">
        <v>1259.3900000000001</v>
      </c>
      <c r="DS85">
        <v>1339.77</v>
      </c>
      <c r="DT85">
        <v>0.26448100000000002</v>
      </c>
      <c r="DU85">
        <v>0.77318399999999998</v>
      </c>
      <c r="DV85">
        <v>105</v>
      </c>
      <c r="DW85">
        <v>0.48180800000000001</v>
      </c>
      <c r="DX85">
        <v>806.69100000000003</v>
      </c>
      <c r="DY85">
        <v>7.1385599999999994E-2</v>
      </c>
      <c r="DZ85">
        <v>4.4545199999999996</v>
      </c>
      <c r="EA85">
        <v>5.5194199999999999E-2</v>
      </c>
      <c r="EB85">
        <v>1.0103599999999999</v>
      </c>
      <c r="EC85">
        <v>0</v>
      </c>
      <c r="ED85">
        <v>5.9256500000000001</v>
      </c>
      <c r="EE85">
        <v>136.10599999999999</v>
      </c>
      <c r="EF85">
        <v>3.1324900000000002</v>
      </c>
      <c r="EG85">
        <v>46.9163</v>
      </c>
      <c r="EH85">
        <v>5.7145999999999999</v>
      </c>
      <c r="EI85">
        <v>62.235300000000002</v>
      </c>
      <c r="EJ85">
        <v>8.6422899999999991</v>
      </c>
      <c r="EK85">
        <v>41.023899999999998</v>
      </c>
      <c r="EL85">
        <v>41.023899999999998</v>
      </c>
      <c r="EM85">
        <v>5.8112399999999997</v>
      </c>
      <c r="EN85">
        <v>18.772600000000001</v>
      </c>
      <c r="EO85">
        <v>0.42062899999999998</v>
      </c>
    </row>
    <row r="86" spans="31:145" x14ac:dyDescent="0.2">
      <c r="AE86" s="94">
        <v>1247.55</v>
      </c>
      <c r="AF86" s="94">
        <v>1244.6300000000001</v>
      </c>
      <c r="AG86" s="94">
        <v>3855.04</v>
      </c>
      <c r="AH86" s="94">
        <v>0.27703800000000001</v>
      </c>
      <c r="AI86" s="94">
        <v>0.63738499999999998</v>
      </c>
      <c r="AJ86" s="94">
        <v>105</v>
      </c>
      <c r="AK86" s="94">
        <v>0.25476100000000002</v>
      </c>
      <c r="AL86" s="94">
        <v>127.518</v>
      </c>
      <c r="AM86" s="94">
        <v>9.5429699999999996E-3</v>
      </c>
      <c r="AN86" s="94">
        <v>1.1140000000000001</v>
      </c>
      <c r="AO86" s="94">
        <v>6.0825499999999999E-3</v>
      </c>
      <c r="AP86" s="94">
        <v>0.40395399999999998</v>
      </c>
      <c r="AQ86" s="94"/>
      <c r="AR86" s="94">
        <v>2.4990700000000001</v>
      </c>
      <c r="AS86" s="94">
        <v>98.3095</v>
      </c>
      <c r="AT86" s="94">
        <v>1.6684099999999999</v>
      </c>
      <c r="AU86" s="94">
        <v>46.985999999999997</v>
      </c>
      <c r="AV86" s="94">
        <v>15.860900000000001</v>
      </c>
      <c r="AW86" s="94">
        <v>62.723999999999997</v>
      </c>
      <c r="AX86" s="94">
        <v>16.556100000000001</v>
      </c>
      <c r="AY86" s="94">
        <v>12.0855</v>
      </c>
      <c r="AZ86" s="94">
        <v>12.0855</v>
      </c>
      <c r="BA86" s="94">
        <v>0.46876899999999999</v>
      </c>
      <c r="BB86" s="94">
        <v>19.1374</v>
      </c>
      <c r="BC86" s="94">
        <v>1.7011999999999999E-2</v>
      </c>
      <c r="BD86" s="94"/>
      <c r="BE86" s="94"/>
      <c r="BF86" s="94"/>
      <c r="BG86" s="94"/>
      <c r="BH86" s="94"/>
      <c r="BI86" s="94">
        <v>1259.74</v>
      </c>
      <c r="BJ86" s="94">
        <v>1254.69</v>
      </c>
      <c r="BK86" s="94">
        <v>976.16700000000003</v>
      </c>
      <c r="BL86" s="94">
        <v>2.38225E-2</v>
      </c>
      <c r="BM86" s="94">
        <v>3.8437599999999999E-3</v>
      </c>
      <c r="BN86" s="94">
        <v>102</v>
      </c>
      <c r="BO86" s="94">
        <v>0.29783999999999999</v>
      </c>
      <c r="BP86" s="94">
        <v>120.129</v>
      </c>
      <c r="BQ86" s="94">
        <v>1.82189</v>
      </c>
      <c r="BR86" s="94">
        <v>1.82189</v>
      </c>
      <c r="BS86" s="94">
        <v>7.0029100000000002E-3</v>
      </c>
      <c r="BT86" s="94">
        <v>1.8148899999999999</v>
      </c>
      <c r="BU86" s="94"/>
      <c r="BV86" s="94">
        <v>7.4129800000000001</v>
      </c>
      <c r="BW86" s="94">
        <v>193.95500000000001</v>
      </c>
      <c r="BX86" s="94">
        <v>3.7573799999999999</v>
      </c>
      <c r="BY86" s="94">
        <v>46.903599999999997</v>
      </c>
      <c r="BZ86" s="94">
        <v>4.0297200000000002</v>
      </c>
      <c r="CA86">
        <v>62.191099999999999</v>
      </c>
      <c r="CB86">
        <v>4.2532800000000002</v>
      </c>
      <c r="CC86">
        <v>48.677900000000001</v>
      </c>
      <c r="CD86">
        <v>48.677900000000001</v>
      </c>
      <c r="CE86">
        <v>7.7702</v>
      </c>
      <c r="CF86">
        <v>18.744199999999999</v>
      </c>
      <c r="CG86">
        <v>3.8230899999999999E-3</v>
      </c>
      <c r="CM86">
        <v>1262.79</v>
      </c>
      <c r="CN86">
        <v>1257.04</v>
      </c>
      <c r="CO86">
        <v>1011.65</v>
      </c>
      <c r="CP86">
        <v>2.3525899999999999E-2</v>
      </c>
      <c r="CQ86">
        <v>7.8602199999999994E-3</v>
      </c>
      <c r="CR86">
        <v>102</v>
      </c>
      <c r="CS86">
        <v>2.7193900000000002</v>
      </c>
      <c r="CT86">
        <v>120.836</v>
      </c>
      <c r="CU86">
        <v>5.9565900000000003</v>
      </c>
      <c r="CV86">
        <v>5.9565900000000003</v>
      </c>
      <c r="CW86">
        <v>4.6820100000000003E-2</v>
      </c>
      <c r="CX86">
        <v>5.90977</v>
      </c>
      <c r="CY86">
        <v>0</v>
      </c>
      <c r="CZ86">
        <v>7.6452499999999999</v>
      </c>
      <c r="DA86">
        <v>193.358</v>
      </c>
      <c r="DB86">
        <v>12.3223</v>
      </c>
      <c r="DC86">
        <v>46.837800000000001</v>
      </c>
      <c r="DD86">
        <v>3.82138</v>
      </c>
      <c r="DE86">
        <v>62.102699999999999</v>
      </c>
      <c r="DF86">
        <v>4.2794800000000004</v>
      </c>
      <c r="DG86">
        <v>49.4238</v>
      </c>
      <c r="DH86">
        <v>49.4238</v>
      </c>
      <c r="DI86">
        <v>7.9946999999999999</v>
      </c>
      <c r="DJ86">
        <v>18.716999999999999</v>
      </c>
      <c r="DK86">
        <v>7.7848199999999996E-3</v>
      </c>
      <c r="DQ86">
        <v>1292.6600000000001</v>
      </c>
      <c r="DR86">
        <v>1279.5899999999999</v>
      </c>
      <c r="DS86">
        <v>1362.64</v>
      </c>
      <c r="DT86">
        <v>0.25989400000000001</v>
      </c>
      <c r="DU86">
        <v>0.77749900000000005</v>
      </c>
      <c r="DV86">
        <v>105</v>
      </c>
      <c r="DW86">
        <v>0.48824000000000001</v>
      </c>
      <c r="DX86">
        <v>823.91399999999999</v>
      </c>
      <c r="DY86">
        <v>7.0994199999999993E-2</v>
      </c>
      <c r="DZ86">
        <v>4.4992999999999999</v>
      </c>
      <c r="EA86">
        <v>5.5197999999999997E-2</v>
      </c>
      <c r="EB86">
        <v>1.0011000000000001</v>
      </c>
      <c r="EC86">
        <v>0</v>
      </c>
      <c r="ED86">
        <v>5.88828</v>
      </c>
      <c r="EE86">
        <v>135.51300000000001</v>
      </c>
      <c r="EF86">
        <v>3.1258699999999999</v>
      </c>
      <c r="EG86">
        <v>46.909399999999998</v>
      </c>
      <c r="EH86">
        <v>5.8090799999999998</v>
      </c>
      <c r="EI86">
        <v>62.227600000000002</v>
      </c>
      <c r="EJ86">
        <v>8.7573000000000008</v>
      </c>
      <c r="EK86">
        <v>40.593899999999998</v>
      </c>
      <c r="EL86">
        <v>40.593899999999998</v>
      </c>
      <c r="EM86">
        <v>5.7089499999999997</v>
      </c>
      <c r="EN86">
        <v>18.771000000000001</v>
      </c>
      <c r="EO86">
        <v>0.42802000000000001</v>
      </c>
    </row>
    <row r="87" spans="31:145" x14ac:dyDescent="0.2">
      <c r="AE87" s="94">
        <v>1250.75</v>
      </c>
      <c r="AF87" s="94">
        <v>1247.33</v>
      </c>
      <c r="AG87" s="94">
        <v>3857.86</v>
      </c>
      <c r="AH87" s="94">
        <v>0.26847300000000002</v>
      </c>
      <c r="AI87" s="94">
        <v>0.63911300000000004</v>
      </c>
      <c r="AJ87" s="94">
        <v>105</v>
      </c>
      <c r="AK87" s="94">
        <v>0.25497900000000001</v>
      </c>
      <c r="AL87" s="94">
        <v>129.89699999999999</v>
      </c>
      <c r="AM87" s="94">
        <v>9.5172599999999996E-3</v>
      </c>
      <c r="AN87" s="94">
        <v>1.11914</v>
      </c>
      <c r="AO87" s="94">
        <v>6.0826099999999996E-3</v>
      </c>
      <c r="AP87" s="94">
        <v>0.40388099999999999</v>
      </c>
      <c r="AQ87" s="94"/>
      <c r="AR87" s="94">
        <v>2.4984999999999999</v>
      </c>
      <c r="AS87" s="94">
        <v>98.300799999999995</v>
      </c>
      <c r="AT87" s="94">
        <v>1.6682900000000001</v>
      </c>
      <c r="AU87" s="94">
        <v>46.985199999999999</v>
      </c>
      <c r="AV87" s="94">
        <v>15.8644</v>
      </c>
      <c r="AW87" s="94">
        <v>62.723199999999999</v>
      </c>
      <c r="AX87" s="94">
        <v>16.5596</v>
      </c>
      <c r="AY87" s="94">
        <v>12.0784</v>
      </c>
      <c r="AZ87" s="94">
        <v>12.0784</v>
      </c>
      <c r="BA87" s="94">
        <v>0.46811399999999997</v>
      </c>
      <c r="BB87" s="94">
        <v>19.1373</v>
      </c>
      <c r="BC87" s="94">
        <v>1.8600700000000001E-2</v>
      </c>
      <c r="BD87" s="94"/>
      <c r="BE87" s="94"/>
      <c r="BF87" s="94"/>
      <c r="BG87" s="94"/>
      <c r="BH87" s="94"/>
      <c r="BI87" s="94">
        <v>1262.79</v>
      </c>
      <c r="BJ87" s="94">
        <v>1257.04</v>
      </c>
      <c r="BK87" s="94">
        <v>976.39499999999998</v>
      </c>
      <c r="BL87" s="94">
        <v>2.2827799999999999E-2</v>
      </c>
      <c r="BM87" s="94">
        <v>3.8438999999999999E-3</v>
      </c>
      <c r="BN87" s="94">
        <v>102</v>
      </c>
      <c r="BO87" s="94">
        <v>0.29853400000000002</v>
      </c>
      <c r="BP87" s="94">
        <v>120.30500000000001</v>
      </c>
      <c r="BQ87" s="94">
        <v>1.82186</v>
      </c>
      <c r="BR87" s="94">
        <v>1.82186</v>
      </c>
      <c r="BS87" s="94">
        <v>7.0030400000000003E-3</v>
      </c>
      <c r="BT87" s="94">
        <v>1.8148500000000001</v>
      </c>
      <c r="BU87" s="94"/>
      <c r="BV87" s="94">
        <v>7.4127099999999997</v>
      </c>
      <c r="BW87" s="94">
        <v>193.953</v>
      </c>
      <c r="BX87" s="94">
        <v>3.7573300000000001</v>
      </c>
      <c r="BY87" s="94">
        <v>46.902700000000003</v>
      </c>
      <c r="BZ87" s="94">
        <v>4.0297799999999997</v>
      </c>
      <c r="CA87">
        <v>62.189900000000002</v>
      </c>
      <c r="CB87">
        <v>4.2533399999999997</v>
      </c>
      <c r="CC87">
        <v>48.6738</v>
      </c>
      <c r="CD87">
        <v>48.6738</v>
      </c>
      <c r="CE87">
        <v>7.7694700000000001</v>
      </c>
      <c r="CF87">
        <v>18.7439</v>
      </c>
      <c r="CG87">
        <v>3.82314E-3</v>
      </c>
      <c r="CM87">
        <v>1265.83</v>
      </c>
      <c r="CN87">
        <v>1259.3900000000001</v>
      </c>
      <c r="CO87">
        <v>1011.88</v>
      </c>
      <c r="CP87">
        <v>2.35257E-2</v>
      </c>
      <c r="CQ87">
        <v>7.8603300000000004E-3</v>
      </c>
      <c r="CR87">
        <v>102</v>
      </c>
      <c r="CS87">
        <v>2.7256499999999999</v>
      </c>
      <c r="CT87">
        <v>121.01300000000001</v>
      </c>
      <c r="CU87">
        <v>5.9566499999999998</v>
      </c>
      <c r="CV87">
        <v>5.9566400000000002</v>
      </c>
      <c r="CW87">
        <v>4.68212E-2</v>
      </c>
      <c r="CX87">
        <v>5.9098199999999999</v>
      </c>
      <c r="CY87">
        <v>0</v>
      </c>
      <c r="CZ87">
        <v>7.6450699999999996</v>
      </c>
      <c r="DA87">
        <v>193.35900000000001</v>
      </c>
      <c r="DB87">
        <v>12.3224</v>
      </c>
      <c r="DC87">
        <v>46.836799999999997</v>
      </c>
      <c r="DD87">
        <v>3.8213400000000002</v>
      </c>
      <c r="DE87">
        <v>62.101300000000002</v>
      </c>
      <c r="DF87">
        <v>4.2794400000000001</v>
      </c>
      <c r="DG87">
        <v>49.419400000000003</v>
      </c>
      <c r="DH87">
        <v>49.419400000000003</v>
      </c>
      <c r="DI87">
        <v>7.9939799999999996</v>
      </c>
      <c r="DJ87">
        <v>18.7165</v>
      </c>
      <c r="DK87">
        <v>7.7850000000000003E-3</v>
      </c>
      <c r="DQ87">
        <v>1319.48</v>
      </c>
      <c r="DR87">
        <v>1299.8</v>
      </c>
      <c r="DS87">
        <v>1385.72</v>
      </c>
      <c r="DT87">
        <v>0.26224199999999998</v>
      </c>
      <c r="DU87">
        <v>0.78520400000000001</v>
      </c>
      <c r="DV87">
        <v>105</v>
      </c>
      <c r="DW87">
        <v>0.49458000000000002</v>
      </c>
      <c r="DX87">
        <v>841.29300000000001</v>
      </c>
      <c r="DY87">
        <v>7.0306599999999997E-2</v>
      </c>
      <c r="DZ87">
        <v>4.5854799999999996</v>
      </c>
      <c r="EA87">
        <v>5.5204999999999997E-2</v>
      </c>
      <c r="EB87">
        <v>0.98494499999999996</v>
      </c>
      <c r="EC87">
        <v>0</v>
      </c>
      <c r="ED87">
        <v>5.8225199999999999</v>
      </c>
      <c r="EE87">
        <v>134.47399999999999</v>
      </c>
      <c r="EF87">
        <v>3.1017600000000001</v>
      </c>
      <c r="EG87">
        <v>46.902200000000001</v>
      </c>
      <c r="EH87">
        <v>5.9035799999999998</v>
      </c>
      <c r="EI87">
        <v>62.2194</v>
      </c>
      <c r="EJ87">
        <v>8.8925000000000001</v>
      </c>
      <c r="EK87">
        <v>40.165900000000001</v>
      </c>
      <c r="EL87">
        <v>40.165900000000001</v>
      </c>
      <c r="EM87">
        <v>5.6077899999999996</v>
      </c>
      <c r="EN87">
        <v>18.769300000000001</v>
      </c>
      <c r="EO87">
        <v>0.43526700000000002</v>
      </c>
    </row>
    <row r="88" spans="31:145" x14ac:dyDescent="0.2">
      <c r="AE88" s="94">
        <v>1253.95</v>
      </c>
      <c r="AF88" s="94">
        <v>1250.03</v>
      </c>
      <c r="AG88" s="94">
        <v>3860.68</v>
      </c>
      <c r="AH88" s="94">
        <v>0.26851599999999998</v>
      </c>
      <c r="AI88" s="94">
        <v>0.63925299999999996</v>
      </c>
      <c r="AJ88" s="94">
        <v>105</v>
      </c>
      <c r="AK88" s="94">
        <v>0.25519700000000001</v>
      </c>
      <c r="AL88" s="94">
        <v>132.27600000000001</v>
      </c>
      <c r="AM88" s="94">
        <v>9.5153000000000008E-3</v>
      </c>
      <c r="AN88" s="94">
        <v>1.1193299999999999</v>
      </c>
      <c r="AO88" s="94">
        <v>6.08269E-3</v>
      </c>
      <c r="AP88" s="94">
        <v>0.40379300000000001</v>
      </c>
      <c r="AQ88" s="94"/>
      <c r="AR88" s="94">
        <v>2.4977999999999998</v>
      </c>
      <c r="AS88" s="94">
        <v>98.290199999999999</v>
      </c>
      <c r="AT88" s="94">
        <v>1.66811</v>
      </c>
      <c r="AU88" s="94">
        <v>46.984400000000001</v>
      </c>
      <c r="AV88" s="94">
        <v>15.867900000000001</v>
      </c>
      <c r="AW88" s="94">
        <v>62.7224</v>
      </c>
      <c r="AX88" s="94">
        <v>16.563199999999998</v>
      </c>
      <c r="AY88" s="94">
        <v>12.071300000000001</v>
      </c>
      <c r="AZ88" s="94">
        <v>12.071300000000001</v>
      </c>
      <c r="BA88" s="94">
        <v>0.46746100000000002</v>
      </c>
      <c r="BB88" s="94">
        <v>19.1372</v>
      </c>
      <c r="BC88" s="94">
        <v>2.01817E-2</v>
      </c>
      <c r="BD88" s="94"/>
      <c r="BE88" s="94"/>
      <c r="BF88" s="94"/>
      <c r="BG88" s="94"/>
      <c r="BH88" s="94"/>
      <c r="BI88" s="94">
        <v>1265.83</v>
      </c>
      <c r="BJ88" s="94">
        <v>1259.3900000000001</v>
      </c>
      <c r="BK88" s="94">
        <v>976.62300000000005</v>
      </c>
      <c r="BL88" s="94">
        <v>2.28281E-2</v>
      </c>
      <c r="BM88" s="94">
        <v>3.84403E-3</v>
      </c>
      <c r="BN88" s="94">
        <v>102</v>
      </c>
      <c r="BO88" s="94">
        <v>0.29922700000000002</v>
      </c>
      <c r="BP88" s="94">
        <v>120.48</v>
      </c>
      <c r="BQ88" s="94">
        <v>1.8218300000000001</v>
      </c>
      <c r="BR88" s="94">
        <v>1.8218300000000001</v>
      </c>
      <c r="BS88" s="94">
        <v>7.0031700000000004E-3</v>
      </c>
      <c r="BT88" s="94">
        <v>1.8148299999999999</v>
      </c>
      <c r="BU88" s="94"/>
      <c r="BV88" s="94">
        <v>7.4124699999999999</v>
      </c>
      <c r="BW88" s="94">
        <v>193.952</v>
      </c>
      <c r="BX88" s="94">
        <v>3.7572999999999999</v>
      </c>
      <c r="BY88" s="94">
        <v>46.901800000000001</v>
      </c>
      <c r="BZ88" s="94">
        <v>4.0298299999999996</v>
      </c>
      <c r="CA88">
        <v>62.188699999999997</v>
      </c>
      <c r="CB88">
        <v>4.2534000000000001</v>
      </c>
      <c r="CC88">
        <v>48.669699999999999</v>
      </c>
      <c r="CD88">
        <v>48.669699999999999</v>
      </c>
      <c r="CE88">
        <v>7.7687499999999998</v>
      </c>
      <c r="CF88">
        <v>18.743500000000001</v>
      </c>
      <c r="CG88">
        <v>3.8231900000000002E-3</v>
      </c>
      <c r="CM88">
        <v>1292.6600000000001</v>
      </c>
      <c r="CN88">
        <v>1279.5899999999999</v>
      </c>
      <c r="CO88">
        <v>1013.91</v>
      </c>
      <c r="CP88">
        <v>2.3012399999999999E-2</v>
      </c>
      <c r="CQ88">
        <v>7.8605800000000007E-3</v>
      </c>
      <c r="CR88">
        <v>102</v>
      </c>
      <c r="CS88">
        <v>2.7808000000000002</v>
      </c>
      <c r="CT88">
        <v>122.497</v>
      </c>
      <c r="CU88">
        <v>5.9571500000000004</v>
      </c>
      <c r="CV88">
        <v>5.9571500000000004</v>
      </c>
      <c r="CW88">
        <v>4.6826600000000003E-2</v>
      </c>
      <c r="CX88">
        <v>5.9103199999999996</v>
      </c>
      <c r="CY88">
        <v>0</v>
      </c>
      <c r="CZ88">
        <v>7.6443300000000001</v>
      </c>
      <c r="DA88">
        <v>193.36699999999999</v>
      </c>
      <c r="DB88">
        <v>12.3225</v>
      </c>
      <c r="DC88">
        <v>46.827500000000001</v>
      </c>
      <c r="DD88">
        <v>3.8207399999999998</v>
      </c>
      <c r="DE88">
        <v>62.088299999999997</v>
      </c>
      <c r="DF88">
        <v>4.2787600000000001</v>
      </c>
      <c r="DG88">
        <v>49.380499999999998</v>
      </c>
      <c r="DH88">
        <v>49.380499999999998</v>
      </c>
      <c r="DI88">
        <v>7.9879300000000004</v>
      </c>
      <c r="DJ88">
        <v>18.712299999999999</v>
      </c>
      <c r="DK88">
        <v>7.7865599999999997E-3</v>
      </c>
      <c r="DQ88">
        <v>1342.64</v>
      </c>
      <c r="DR88">
        <v>1316.7</v>
      </c>
      <c r="DS88">
        <v>1405.17</v>
      </c>
      <c r="DT88">
        <v>0.25602900000000001</v>
      </c>
      <c r="DU88">
        <v>0.79219899999999999</v>
      </c>
      <c r="DV88">
        <v>105</v>
      </c>
      <c r="DW88">
        <v>0.49998599999999999</v>
      </c>
      <c r="DX88">
        <v>855.48400000000004</v>
      </c>
      <c r="DY88">
        <v>6.9694699999999998E-2</v>
      </c>
      <c r="DZ88">
        <v>4.6710599999999998</v>
      </c>
      <c r="EA88">
        <v>5.52121E-2</v>
      </c>
      <c r="EB88">
        <v>0.97065000000000001</v>
      </c>
      <c r="EC88">
        <v>0</v>
      </c>
      <c r="ED88">
        <v>5.7636799999999999</v>
      </c>
      <c r="EE88">
        <v>133.547</v>
      </c>
      <c r="EF88">
        <v>3.0790000000000002</v>
      </c>
      <c r="EG88">
        <v>46.895699999999998</v>
      </c>
      <c r="EH88">
        <v>5.9819800000000001</v>
      </c>
      <c r="EI88">
        <v>62.2117</v>
      </c>
      <c r="EJ88">
        <v>9.0082799999999992</v>
      </c>
      <c r="EK88">
        <v>39.810899999999997</v>
      </c>
      <c r="EL88">
        <v>39.810899999999997</v>
      </c>
      <c r="EM88">
        <v>5.5245300000000004</v>
      </c>
      <c r="EN88">
        <v>18.767600000000002</v>
      </c>
      <c r="EO88">
        <v>0.44141399999999997</v>
      </c>
    </row>
    <row r="89" spans="31:145" x14ac:dyDescent="0.2">
      <c r="AE89" s="94">
        <v>1256.8399999999999</v>
      </c>
      <c r="AF89" s="94">
        <v>1252.3599999999999</v>
      </c>
      <c r="AG89" s="94">
        <v>3863.11</v>
      </c>
      <c r="AH89" s="94">
        <v>0.25608199999999998</v>
      </c>
      <c r="AI89" s="94">
        <v>0.63990000000000002</v>
      </c>
      <c r="AJ89" s="94">
        <v>105</v>
      </c>
      <c r="AK89" s="94">
        <v>0.25539400000000001</v>
      </c>
      <c r="AL89" s="94">
        <v>134.232</v>
      </c>
      <c r="AM89" s="94">
        <v>9.5058E-3</v>
      </c>
      <c r="AN89" s="94">
        <v>1.1211100000000001</v>
      </c>
      <c r="AO89" s="94">
        <v>6.0827600000000004E-3</v>
      </c>
      <c r="AP89" s="94">
        <v>0.40371299999999999</v>
      </c>
      <c r="AQ89" s="94"/>
      <c r="AR89" s="94">
        <v>2.49716</v>
      </c>
      <c r="AS89" s="94">
        <v>98.280600000000007</v>
      </c>
      <c r="AT89" s="94">
        <v>1.6679299999999999</v>
      </c>
      <c r="AU89" s="94">
        <v>46.983699999999999</v>
      </c>
      <c r="AV89" s="94">
        <v>15.870699999999999</v>
      </c>
      <c r="AW89" s="94">
        <v>62.721600000000002</v>
      </c>
      <c r="AX89" s="94">
        <v>16.566099999999999</v>
      </c>
      <c r="AY89" s="94">
        <v>12.0654</v>
      </c>
      <c r="AZ89" s="94">
        <v>12.0654</v>
      </c>
      <c r="BA89" s="94">
        <v>0.466922</v>
      </c>
      <c r="BB89" s="94">
        <v>19.1371</v>
      </c>
      <c r="BC89" s="94">
        <v>2.16067E-2</v>
      </c>
      <c r="BD89" s="94"/>
      <c r="BE89" s="94"/>
      <c r="BF89" s="94"/>
      <c r="BG89" s="94"/>
      <c r="BH89" s="94"/>
      <c r="BI89" s="94">
        <v>1292.6600000000001</v>
      </c>
      <c r="BJ89" s="94">
        <v>1279.5899999999999</v>
      </c>
      <c r="BK89" s="94">
        <v>978.58699999999999</v>
      </c>
      <c r="BL89" s="94">
        <v>2.2320199999999998E-2</v>
      </c>
      <c r="BM89" s="94">
        <v>3.8444799999999999E-3</v>
      </c>
      <c r="BN89" s="94">
        <v>102</v>
      </c>
      <c r="BO89" s="94">
        <v>0.30532900000000002</v>
      </c>
      <c r="BP89" s="94">
        <v>121.955</v>
      </c>
      <c r="BQ89" s="94">
        <v>1.82179</v>
      </c>
      <c r="BR89" s="94">
        <v>1.82179</v>
      </c>
      <c r="BS89" s="94">
        <v>7.0038499999999998E-3</v>
      </c>
      <c r="BT89" s="94">
        <v>1.8147899999999999</v>
      </c>
      <c r="BU89" s="94"/>
      <c r="BV89" s="94">
        <v>7.4114399999999998</v>
      </c>
      <c r="BW89" s="94">
        <v>193.94900000000001</v>
      </c>
      <c r="BX89" s="94">
        <v>3.7572700000000001</v>
      </c>
      <c r="BY89" s="94">
        <v>46.893700000000003</v>
      </c>
      <c r="BZ89" s="94">
        <v>4.0299699999999996</v>
      </c>
      <c r="CA89">
        <v>62.177900000000001</v>
      </c>
      <c r="CB89">
        <v>4.25352</v>
      </c>
      <c r="CC89">
        <v>48.634700000000002</v>
      </c>
      <c r="CD89">
        <v>48.634700000000002</v>
      </c>
      <c r="CE89">
        <v>7.7627199999999998</v>
      </c>
      <c r="CF89">
        <v>18.740300000000001</v>
      </c>
      <c r="CG89">
        <v>3.8236300000000002E-3</v>
      </c>
      <c r="CM89">
        <v>1319.48</v>
      </c>
      <c r="CN89">
        <v>1299.8</v>
      </c>
      <c r="CO89">
        <v>1015.93</v>
      </c>
      <c r="CP89">
        <v>2.3008500000000001E-2</v>
      </c>
      <c r="CQ89">
        <v>7.8608199999999993E-3</v>
      </c>
      <c r="CR89">
        <v>102</v>
      </c>
      <c r="CS89">
        <v>2.8359700000000001</v>
      </c>
      <c r="CT89">
        <v>123.98</v>
      </c>
      <c r="CU89">
        <v>5.9582199999999998</v>
      </c>
      <c r="CV89">
        <v>5.9582199999999998</v>
      </c>
      <c r="CW89">
        <v>4.6836500000000003E-2</v>
      </c>
      <c r="CX89">
        <v>5.9113800000000003</v>
      </c>
      <c r="CY89">
        <v>0</v>
      </c>
      <c r="CZ89">
        <v>7.6430999999999996</v>
      </c>
      <c r="DA89">
        <v>193.38499999999999</v>
      </c>
      <c r="DB89">
        <v>12.323399999999999</v>
      </c>
      <c r="DC89">
        <v>46.817900000000002</v>
      </c>
      <c r="DD89">
        <v>3.8199700000000001</v>
      </c>
      <c r="DE89">
        <v>62.075000000000003</v>
      </c>
      <c r="DF89">
        <v>4.2778999999999998</v>
      </c>
      <c r="DG89">
        <v>49.3414</v>
      </c>
      <c r="DH89">
        <v>49.3414</v>
      </c>
      <c r="DI89">
        <v>7.9819500000000003</v>
      </c>
      <c r="DJ89">
        <v>18.707899999999999</v>
      </c>
      <c r="DK89">
        <v>7.7880700000000002E-3</v>
      </c>
      <c r="DQ89">
        <v>1365.81</v>
      </c>
      <c r="DR89">
        <v>1333.6</v>
      </c>
      <c r="DS89">
        <v>1424.77</v>
      </c>
      <c r="DT89">
        <v>0.25788699999999998</v>
      </c>
      <c r="DU89">
        <v>0.79855100000000001</v>
      </c>
      <c r="DV89">
        <v>105</v>
      </c>
      <c r="DW89">
        <v>0.50532999999999995</v>
      </c>
      <c r="DX89">
        <v>869.779</v>
      </c>
      <c r="DY89">
        <v>6.9149199999999994E-2</v>
      </c>
      <c r="DZ89">
        <v>4.7557600000000004</v>
      </c>
      <c r="EA89">
        <v>5.52191E-2</v>
      </c>
      <c r="EB89">
        <v>0.95804400000000001</v>
      </c>
      <c r="EC89">
        <v>0</v>
      </c>
      <c r="ED89">
        <v>5.7112299999999996</v>
      </c>
      <c r="EE89">
        <v>132.72399999999999</v>
      </c>
      <c r="EF89">
        <v>3.05992</v>
      </c>
      <c r="EG89">
        <v>46.888800000000003</v>
      </c>
      <c r="EH89">
        <v>6.0599600000000002</v>
      </c>
      <c r="EI89">
        <v>62.203499999999998</v>
      </c>
      <c r="EJ89">
        <v>9.1195799999999991</v>
      </c>
      <c r="EK89">
        <v>39.458300000000001</v>
      </c>
      <c r="EL89">
        <v>39.458300000000001</v>
      </c>
      <c r="EM89">
        <v>5.4424000000000001</v>
      </c>
      <c r="EN89">
        <v>18.765599999999999</v>
      </c>
      <c r="EO89">
        <v>0.447461</v>
      </c>
    </row>
    <row r="90" spans="31:145" x14ac:dyDescent="0.2">
      <c r="AE90" s="94">
        <v>1259.74</v>
      </c>
      <c r="AF90" s="94">
        <v>1254.69</v>
      </c>
      <c r="AG90" s="94">
        <v>3865.54</v>
      </c>
      <c r="AH90" s="94">
        <v>0.25611499999999998</v>
      </c>
      <c r="AI90" s="94">
        <v>0.640015</v>
      </c>
      <c r="AJ90" s="94">
        <v>105</v>
      </c>
      <c r="AK90" s="94">
        <v>0.25559199999999999</v>
      </c>
      <c r="AL90" s="94">
        <v>136.18899999999999</v>
      </c>
      <c r="AM90" s="94">
        <v>9.5042000000000008E-3</v>
      </c>
      <c r="AN90" s="94">
        <v>1.12127</v>
      </c>
      <c r="AO90" s="94">
        <v>6.08283E-3</v>
      </c>
      <c r="AP90" s="94">
        <v>0.40364100000000003</v>
      </c>
      <c r="AQ90" s="94"/>
      <c r="AR90" s="94">
        <v>2.4965899999999999</v>
      </c>
      <c r="AS90" s="94">
        <v>98.272000000000006</v>
      </c>
      <c r="AT90" s="94">
        <v>1.66778</v>
      </c>
      <c r="AU90" s="94">
        <v>46.982999999999997</v>
      </c>
      <c r="AV90" s="94">
        <v>15.8735</v>
      </c>
      <c r="AW90" s="94">
        <v>62.7209</v>
      </c>
      <c r="AX90" s="94">
        <v>16.568999999999999</v>
      </c>
      <c r="AY90" s="94">
        <v>12.0595</v>
      </c>
      <c r="AZ90" s="94">
        <v>12.0595</v>
      </c>
      <c r="BA90" s="94">
        <v>0.46638600000000002</v>
      </c>
      <c r="BB90" s="94">
        <v>19.137</v>
      </c>
      <c r="BC90" s="94">
        <v>2.3025400000000001E-2</v>
      </c>
      <c r="BD90" s="94"/>
      <c r="BE90" s="94"/>
      <c r="BF90" s="94"/>
      <c r="BG90" s="94"/>
      <c r="BH90" s="94"/>
      <c r="BI90" s="94">
        <v>1319.48</v>
      </c>
      <c r="BJ90" s="94">
        <v>1299.8</v>
      </c>
      <c r="BK90" s="94">
        <v>980.55200000000002</v>
      </c>
      <c r="BL90" s="94">
        <v>2.2320099999999999E-2</v>
      </c>
      <c r="BM90" s="94">
        <v>3.8451399999999999E-3</v>
      </c>
      <c r="BN90" s="94">
        <v>102</v>
      </c>
      <c r="BO90" s="94">
        <v>0.31143300000000002</v>
      </c>
      <c r="BP90" s="94">
        <v>123.43</v>
      </c>
      <c r="BQ90" s="94">
        <v>1.8218099999999999</v>
      </c>
      <c r="BR90" s="94">
        <v>1.8218099999999999</v>
      </c>
      <c r="BS90" s="94">
        <v>7.0050900000000003E-3</v>
      </c>
      <c r="BT90" s="94">
        <v>1.8148</v>
      </c>
      <c r="BU90" s="94"/>
      <c r="BV90" s="94">
        <v>7.4097799999999996</v>
      </c>
      <c r="BW90" s="94">
        <v>193.95</v>
      </c>
      <c r="BX90" s="94">
        <v>3.7572199999999998</v>
      </c>
      <c r="BY90" s="94">
        <v>46.885199999999998</v>
      </c>
      <c r="BZ90" s="94">
        <v>4.0297799999999997</v>
      </c>
      <c r="CA90">
        <v>62.166600000000003</v>
      </c>
      <c r="CB90">
        <v>4.2533200000000004</v>
      </c>
      <c r="CC90">
        <v>48.599600000000002</v>
      </c>
      <c r="CD90">
        <v>48.599600000000002</v>
      </c>
      <c r="CE90">
        <v>7.7568799999999998</v>
      </c>
      <c r="CF90">
        <v>18.736799999999999</v>
      </c>
      <c r="CG90">
        <v>3.8240700000000002E-3</v>
      </c>
      <c r="CM90">
        <v>1342.64</v>
      </c>
      <c r="CN90">
        <v>1316.7</v>
      </c>
      <c r="CO90">
        <v>1017.63</v>
      </c>
      <c r="CP90">
        <v>2.2297600000000001E-2</v>
      </c>
      <c r="CQ90">
        <v>7.8605399999999992E-3</v>
      </c>
      <c r="CR90">
        <v>102</v>
      </c>
      <c r="CS90">
        <v>2.8836300000000001</v>
      </c>
      <c r="CT90">
        <v>125.182</v>
      </c>
      <c r="CU90">
        <v>5.9596400000000003</v>
      </c>
      <c r="CV90">
        <v>5.9596400000000003</v>
      </c>
      <c r="CW90">
        <v>4.6845999999999999E-2</v>
      </c>
      <c r="CX90">
        <v>5.9127999999999998</v>
      </c>
      <c r="CY90">
        <v>0</v>
      </c>
      <c r="CZ90">
        <v>7.6422299999999996</v>
      </c>
      <c r="DA90">
        <v>193.40799999999999</v>
      </c>
      <c r="DB90">
        <v>12.3247</v>
      </c>
      <c r="DC90">
        <v>46.8095</v>
      </c>
      <c r="DD90">
        <v>3.8189199999999999</v>
      </c>
      <c r="DE90">
        <v>62.063099999999999</v>
      </c>
      <c r="DF90">
        <v>4.2767499999999998</v>
      </c>
      <c r="DG90">
        <v>49.308500000000002</v>
      </c>
      <c r="DH90">
        <v>49.308500000000002</v>
      </c>
      <c r="DI90">
        <v>7.97715</v>
      </c>
      <c r="DJ90">
        <v>18.704000000000001</v>
      </c>
      <c r="DK90">
        <v>7.7893199999999998E-3</v>
      </c>
      <c r="DQ90">
        <v>1441.42</v>
      </c>
      <c r="DR90">
        <v>1409.21</v>
      </c>
      <c r="DS90">
        <v>1486.42</v>
      </c>
      <c r="DT90">
        <v>0.24851400000000001</v>
      </c>
      <c r="DU90">
        <v>0.52840799999999999</v>
      </c>
      <c r="DV90">
        <v>105</v>
      </c>
      <c r="DW90">
        <v>0.52276900000000004</v>
      </c>
      <c r="DX90">
        <v>931.41</v>
      </c>
      <c r="DY90">
        <v>0.104532</v>
      </c>
      <c r="DZ90">
        <v>1.97915</v>
      </c>
      <c r="EA90">
        <v>5.5235600000000003E-2</v>
      </c>
      <c r="EB90">
        <v>0.93335000000000001</v>
      </c>
      <c r="EC90">
        <v>0</v>
      </c>
      <c r="ED90">
        <v>5.6069300000000002</v>
      </c>
      <c r="EE90">
        <v>131.09800000000001</v>
      </c>
      <c r="EF90">
        <v>3.0343499999999999</v>
      </c>
      <c r="EG90">
        <v>46.865200000000002</v>
      </c>
      <c r="EH90">
        <v>6.2991999999999999</v>
      </c>
      <c r="EI90">
        <v>62.174500000000002</v>
      </c>
      <c r="EJ90">
        <v>9.4211299999999998</v>
      </c>
      <c r="EK90">
        <v>38.381</v>
      </c>
      <c r="EL90">
        <v>38.381</v>
      </c>
      <c r="EM90">
        <v>5.1947400000000004</v>
      </c>
      <c r="EN90">
        <v>18.757999999999999</v>
      </c>
      <c r="EO90">
        <v>0.45169999999999999</v>
      </c>
    </row>
    <row r="91" spans="31:145" x14ac:dyDescent="0.2">
      <c r="AE91" s="94">
        <v>1262.79</v>
      </c>
      <c r="AF91" s="94">
        <v>1257.04</v>
      </c>
      <c r="AG91" s="94">
        <v>3868</v>
      </c>
      <c r="AH91" s="94">
        <v>0.245425</v>
      </c>
      <c r="AI91" s="94">
        <v>0.640158</v>
      </c>
      <c r="AJ91" s="94">
        <v>105</v>
      </c>
      <c r="AK91" s="94">
        <v>0.255799</v>
      </c>
      <c r="AL91" s="94">
        <v>138.07900000000001</v>
      </c>
      <c r="AM91" s="94">
        <v>9.5022000000000006E-3</v>
      </c>
      <c r="AN91" s="94">
        <v>1.1215200000000001</v>
      </c>
      <c r="AO91" s="94">
        <v>6.0829100000000004E-3</v>
      </c>
      <c r="AP91" s="94">
        <v>0.40357100000000001</v>
      </c>
      <c r="AQ91" s="94"/>
      <c r="AR91" s="94">
        <v>2.4960300000000002</v>
      </c>
      <c r="AS91" s="94">
        <v>98.263599999999997</v>
      </c>
      <c r="AT91" s="94">
        <v>1.66764</v>
      </c>
      <c r="AU91" s="94">
        <v>46.982300000000002</v>
      </c>
      <c r="AV91" s="94">
        <v>15.876200000000001</v>
      </c>
      <c r="AW91" s="94">
        <v>62.720100000000002</v>
      </c>
      <c r="AX91" s="94">
        <v>16.5718</v>
      </c>
      <c r="AY91" s="94">
        <v>12.053800000000001</v>
      </c>
      <c r="AZ91" s="94">
        <v>12.053800000000001</v>
      </c>
      <c r="BA91" s="94">
        <v>0.46587000000000001</v>
      </c>
      <c r="BB91" s="94">
        <v>19.136800000000001</v>
      </c>
      <c r="BC91" s="94">
        <v>2.4512200000000001E-2</v>
      </c>
      <c r="BD91" s="94"/>
      <c r="BE91" s="94"/>
      <c r="BF91" s="94"/>
      <c r="BG91" s="94"/>
      <c r="BH91" s="94"/>
      <c r="BI91" s="94">
        <v>1342.64</v>
      </c>
      <c r="BJ91" s="94">
        <v>1316.7</v>
      </c>
      <c r="BK91" s="94">
        <v>982.19399999999996</v>
      </c>
      <c r="BL91" s="94">
        <v>2.1615599999999999E-2</v>
      </c>
      <c r="BM91" s="94">
        <v>3.8453300000000001E-3</v>
      </c>
      <c r="BN91" s="94">
        <v>102</v>
      </c>
      <c r="BO91" s="94">
        <v>0.31670500000000001</v>
      </c>
      <c r="BP91" s="94">
        <v>124.625</v>
      </c>
      <c r="BQ91" s="94">
        <v>1.82203</v>
      </c>
      <c r="BR91" s="94">
        <v>1.82203</v>
      </c>
      <c r="BS91" s="94">
        <v>7.00631E-3</v>
      </c>
      <c r="BT91" s="94">
        <v>1.8150299999999999</v>
      </c>
      <c r="BU91" s="94"/>
      <c r="BV91" s="94">
        <v>7.40869</v>
      </c>
      <c r="BW91" s="94">
        <v>193.96199999999999</v>
      </c>
      <c r="BX91" s="94">
        <v>3.7573099999999999</v>
      </c>
      <c r="BY91" s="94">
        <v>46.877499999999998</v>
      </c>
      <c r="BZ91" s="94">
        <v>4.0289700000000002</v>
      </c>
      <c r="CA91">
        <v>62.156300000000002</v>
      </c>
      <c r="CB91">
        <v>4.2524899999999999</v>
      </c>
      <c r="CC91">
        <v>48.570500000000003</v>
      </c>
      <c r="CD91">
        <v>48.570500000000003</v>
      </c>
      <c r="CE91">
        <v>7.7523900000000001</v>
      </c>
      <c r="CF91">
        <v>18.733599999999999</v>
      </c>
      <c r="CG91">
        <v>3.8244400000000001E-3</v>
      </c>
      <c r="CM91">
        <v>1365.81</v>
      </c>
      <c r="CN91">
        <v>1333.6</v>
      </c>
      <c r="CO91">
        <v>1019.32</v>
      </c>
      <c r="CP91">
        <v>2.2291399999999999E-2</v>
      </c>
      <c r="CQ91">
        <v>7.8597300000000005E-3</v>
      </c>
      <c r="CR91">
        <v>102</v>
      </c>
      <c r="CS91">
        <v>2.9312999999999998</v>
      </c>
      <c r="CT91">
        <v>126.383</v>
      </c>
      <c r="CU91">
        <v>5.9614200000000004</v>
      </c>
      <c r="CV91">
        <v>5.9614200000000004</v>
      </c>
      <c r="CW91">
        <v>4.6855099999999997E-2</v>
      </c>
      <c r="CX91">
        <v>5.9145599999999998</v>
      </c>
      <c r="CY91">
        <v>0</v>
      </c>
      <c r="CZ91">
        <v>7.6417400000000004</v>
      </c>
      <c r="DA91">
        <v>193.43700000000001</v>
      </c>
      <c r="DB91">
        <v>12.3264</v>
      </c>
      <c r="DC91">
        <v>46.800800000000002</v>
      </c>
      <c r="DD91">
        <v>3.8176899999999998</v>
      </c>
      <c r="DE91">
        <v>62.050899999999999</v>
      </c>
      <c r="DF91">
        <v>4.2753800000000002</v>
      </c>
      <c r="DG91">
        <v>49.275199999999998</v>
      </c>
      <c r="DH91">
        <v>49.275199999999998</v>
      </c>
      <c r="DI91">
        <v>7.9724300000000001</v>
      </c>
      <c r="DJ91">
        <v>18.6999</v>
      </c>
      <c r="DK91">
        <v>7.7905099999999996E-3</v>
      </c>
      <c r="DQ91">
        <v>1517.03</v>
      </c>
      <c r="DR91">
        <v>1484.82</v>
      </c>
      <c r="DS91">
        <v>1549.45</v>
      </c>
      <c r="DT91">
        <v>0.25409100000000001</v>
      </c>
      <c r="DU91">
        <v>0.54106900000000002</v>
      </c>
      <c r="DV91">
        <v>105</v>
      </c>
      <c r="DW91">
        <v>0.53961999999999999</v>
      </c>
      <c r="DX91">
        <v>994.42499999999995</v>
      </c>
      <c r="DY91">
        <v>0.102134</v>
      </c>
      <c r="DZ91">
        <v>1.95767</v>
      </c>
      <c r="EA91">
        <v>5.5261600000000001E-2</v>
      </c>
      <c r="EB91">
        <v>0.89843700000000004</v>
      </c>
      <c r="EC91">
        <v>0</v>
      </c>
      <c r="ED91">
        <v>5.4562299999999997</v>
      </c>
      <c r="EE91">
        <v>128.76400000000001</v>
      </c>
      <c r="EF91">
        <v>2.9797799999999999</v>
      </c>
      <c r="EG91">
        <v>46.841700000000003</v>
      </c>
      <c r="EH91">
        <v>6.5401999999999996</v>
      </c>
      <c r="EI91">
        <v>62.144799999999996</v>
      </c>
      <c r="EJ91">
        <v>9.7621800000000007</v>
      </c>
      <c r="EK91">
        <v>37.316299999999998</v>
      </c>
      <c r="EL91">
        <v>37.316299999999998</v>
      </c>
      <c r="EM91">
        <v>4.9536800000000003</v>
      </c>
      <c r="EN91">
        <v>18.75</v>
      </c>
      <c r="EO91">
        <v>0.45614700000000002</v>
      </c>
    </row>
    <row r="92" spans="31:145" x14ac:dyDescent="0.2">
      <c r="AE92" s="94">
        <v>1265.83</v>
      </c>
      <c r="AF92" s="94">
        <v>1259.3900000000001</v>
      </c>
      <c r="AG92" s="94">
        <v>3870.45</v>
      </c>
      <c r="AH92" s="94">
        <v>0.24545500000000001</v>
      </c>
      <c r="AI92" s="94">
        <v>0.64026799999999995</v>
      </c>
      <c r="AJ92" s="94">
        <v>105</v>
      </c>
      <c r="AK92" s="94">
        <v>0.25600699999999998</v>
      </c>
      <c r="AL92" s="94">
        <v>139.971</v>
      </c>
      <c r="AM92" s="94">
        <v>9.5006899999999991E-3</v>
      </c>
      <c r="AN92" s="94">
        <v>1.12168</v>
      </c>
      <c r="AO92" s="94">
        <v>6.08298E-3</v>
      </c>
      <c r="AP92" s="94">
        <v>0.403503</v>
      </c>
      <c r="AQ92" s="94"/>
      <c r="AR92" s="94">
        <v>2.4954800000000001</v>
      </c>
      <c r="AS92" s="94">
        <v>98.255499999999998</v>
      </c>
      <c r="AT92" s="94">
        <v>1.6675</v>
      </c>
      <c r="AU92" s="94">
        <v>46.9816</v>
      </c>
      <c r="AV92" s="94">
        <v>15.8788</v>
      </c>
      <c r="AW92" s="94">
        <v>62.719299999999997</v>
      </c>
      <c r="AX92" s="94">
        <v>16.5745</v>
      </c>
      <c r="AY92" s="94">
        <v>12.0482</v>
      </c>
      <c r="AZ92" s="94">
        <v>12.0482</v>
      </c>
      <c r="BA92" s="94">
        <v>0.46535700000000002</v>
      </c>
      <c r="BB92" s="94">
        <v>19.136700000000001</v>
      </c>
      <c r="BC92" s="94">
        <v>2.5992000000000001E-2</v>
      </c>
      <c r="BD92" s="94"/>
      <c r="BE92" s="94"/>
      <c r="BF92" s="94"/>
      <c r="BG92" s="94"/>
      <c r="BH92" s="94"/>
      <c r="BI92" s="94">
        <v>1365.81</v>
      </c>
      <c r="BJ92" s="94">
        <v>1333.6</v>
      </c>
      <c r="BK92" s="94">
        <v>983.83699999999999</v>
      </c>
      <c r="BL92" s="94">
        <v>2.1609900000000001E-2</v>
      </c>
      <c r="BM92" s="94">
        <v>3.8449600000000001E-3</v>
      </c>
      <c r="BN92" s="94">
        <v>102</v>
      </c>
      <c r="BO92" s="94">
        <v>0.32197999999999999</v>
      </c>
      <c r="BP92" s="94">
        <v>125.819</v>
      </c>
      <c r="BQ92" s="94">
        <v>1.8225199999999999</v>
      </c>
      <c r="BR92" s="94">
        <v>1.8225199999999999</v>
      </c>
      <c r="BS92" s="94">
        <v>7.0075299999999997E-3</v>
      </c>
      <c r="BT92" s="94">
        <v>1.81552</v>
      </c>
      <c r="BU92" s="94"/>
      <c r="BV92" s="94">
        <v>7.4082800000000004</v>
      </c>
      <c r="BW92" s="94">
        <v>193.988</v>
      </c>
      <c r="BX92" s="94">
        <v>3.7576999999999998</v>
      </c>
      <c r="BY92" s="94">
        <v>46.869199999999999</v>
      </c>
      <c r="BZ92" s="94">
        <v>4.0275999999999996</v>
      </c>
      <c r="CA92">
        <v>62.145099999999999</v>
      </c>
      <c r="CB92">
        <v>4.2510599999999998</v>
      </c>
      <c r="CC92">
        <v>48.541699999999999</v>
      </c>
      <c r="CD92">
        <v>48.541699999999999</v>
      </c>
      <c r="CE92">
        <v>7.7482100000000003</v>
      </c>
      <c r="CF92">
        <v>18.7302</v>
      </c>
      <c r="CG92">
        <v>3.8247799999999998E-3</v>
      </c>
      <c r="CM92">
        <v>1441.42</v>
      </c>
      <c r="CN92">
        <v>1409.21</v>
      </c>
      <c r="CO92">
        <v>1026.8399999999999</v>
      </c>
      <c r="CP92">
        <v>3.03323E-2</v>
      </c>
      <c r="CQ92">
        <v>7.8655600000000006E-3</v>
      </c>
      <c r="CR92">
        <v>102</v>
      </c>
      <c r="CS92">
        <v>3.08691</v>
      </c>
      <c r="CT92">
        <v>133.751</v>
      </c>
      <c r="CU92">
        <v>5.95953</v>
      </c>
      <c r="CV92">
        <v>5.95953</v>
      </c>
      <c r="CW92">
        <v>4.6875E-2</v>
      </c>
      <c r="CX92">
        <v>5.9126599999999998</v>
      </c>
      <c r="CY92">
        <v>0</v>
      </c>
      <c r="CZ92">
        <v>7.6360799999999998</v>
      </c>
      <c r="DA92">
        <v>193.40600000000001</v>
      </c>
      <c r="DB92">
        <v>12.3279</v>
      </c>
      <c r="DC92">
        <v>46.772199999999998</v>
      </c>
      <c r="DD92">
        <v>3.8214399999999999</v>
      </c>
      <c r="DE92">
        <v>62.010199999999998</v>
      </c>
      <c r="DF92">
        <v>4.2791300000000003</v>
      </c>
      <c r="DG92">
        <v>49.125900000000001</v>
      </c>
      <c r="DH92">
        <v>49.125900000000001</v>
      </c>
      <c r="DI92">
        <v>7.9466000000000001</v>
      </c>
      <c r="DJ92">
        <v>18.6861</v>
      </c>
      <c r="DK92">
        <v>7.7944399999999997E-3</v>
      </c>
      <c r="DQ92">
        <v>1592.64</v>
      </c>
      <c r="DR92">
        <v>1560.43</v>
      </c>
      <c r="DS92">
        <v>1613.86</v>
      </c>
      <c r="DT92">
        <v>0.25960800000000001</v>
      </c>
      <c r="DU92">
        <v>0.55369000000000002</v>
      </c>
      <c r="DV92">
        <v>105</v>
      </c>
      <c r="DW92">
        <v>0.555921</v>
      </c>
      <c r="DX92">
        <v>1058.81</v>
      </c>
      <c r="DY92">
        <v>9.9854299999999993E-2</v>
      </c>
      <c r="DZ92">
        <v>1.94</v>
      </c>
      <c r="EA92">
        <v>5.5288299999999999E-2</v>
      </c>
      <c r="EB92">
        <v>0.86584300000000003</v>
      </c>
      <c r="EC92">
        <v>0</v>
      </c>
      <c r="ED92">
        <v>5.31203</v>
      </c>
      <c r="EE92">
        <v>126.54600000000001</v>
      </c>
      <c r="EF92">
        <v>2.9279299999999999</v>
      </c>
      <c r="EG92">
        <v>46.817999999999998</v>
      </c>
      <c r="EH92">
        <v>6.7824900000000001</v>
      </c>
      <c r="EI92">
        <v>62.114400000000003</v>
      </c>
      <c r="EJ92">
        <v>10.1036</v>
      </c>
      <c r="EK92">
        <v>36.266399999999997</v>
      </c>
      <c r="EL92">
        <v>36.266399999999997</v>
      </c>
      <c r="EM92">
        <v>4.7196499999999997</v>
      </c>
      <c r="EN92">
        <v>18.741399999999999</v>
      </c>
      <c r="EO92">
        <v>0.46077099999999999</v>
      </c>
    </row>
    <row r="93" spans="31:145" x14ac:dyDescent="0.2">
      <c r="AE93" s="94">
        <v>1292.6600000000001</v>
      </c>
      <c r="AF93" s="94">
        <v>1279.5899999999999</v>
      </c>
      <c r="AG93" s="94">
        <v>3891.58</v>
      </c>
      <c r="AH93" s="94">
        <v>0.24010400000000001</v>
      </c>
      <c r="AI93" s="94">
        <v>0.64077200000000001</v>
      </c>
      <c r="AJ93" s="94">
        <v>105</v>
      </c>
      <c r="AK93" s="94">
        <v>0.25783299999999998</v>
      </c>
      <c r="AL93" s="94">
        <v>155.886</v>
      </c>
      <c r="AM93" s="94">
        <v>9.4938399999999999E-3</v>
      </c>
      <c r="AN93" s="94">
        <v>1.1224000000000001</v>
      </c>
      <c r="AO93" s="94">
        <v>6.0833800000000002E-3</v>
      </c>
      <c r="AP93" s="94">
        <v>0.403196</v>
      </c>
      <c r="AQ93" s="94"/>
      <c r="AR93" s="94">
        <v>2.4929600000000001</v>
      </c>
      <c r="AS93" s="94">
        <v>98.218699999999998</v>
      </c>
      <c r="AT93" s="94">
        <v>1.66734</v>
      </c>
      <c r="AU93" s="94">
        <v>46.974899999999998</v>
      </c>
      <c r="AV93" s="94">
        <v>15.900399999999999</v>
      </c>
      <c r="AW93" s="94">
        <v>62.7119</v>
      </c>
      <c r="AX93" s="94">
        <v>16.5962</v>
      </c>
      <c r="AY93" s="94">
        <v>12.0014</v>
      </c>
      <c r="AZ93" s="94">
        <v>12.0014</v>
      </c>
      <c r="BA93" s="94">
        <v>0.46116400000000002</v>
      </c>
      <c r="BB93" s="94">
        <v>19.135200000000001</v>
      </c>
      <c r="BC93" s="94">
        <v>3.8724700000000001E-2</v>
      </c>
      <c r="BD93" s="94"/>
      <c r="BE93" s="94"/>
      <c r="BF93" s="94"/>
      <c r="BG93" s="94"/>
      <c r="BH93" s="94"/>
      <c r="BI93" s="94">
        <v>1441.42</v>
      </c>
      <c r="BJ93" s="94">
        <v>1409.21</v>
      </c>
      <c r="BK93" s="94">
        <v>991.18</v>
      </c>
      <c r="BL93" s="94">
        <v>2.9602699999999999E-2</v>
      </c>
      <c r="BM93" s="94">
        <v>3.8474099999999999E-3</v>
      </c>
      <c r="BN93" s="94">
        <v>102</v>
      </c>
      <c r="BO93" s="94">
        <v>0.339198</v>
      </c>
      <c r="BP93" s="94">
        <v>133.14500000000001</v>
      </c>
      <c r="BQ93" s="94">
        <v>1.8220799999999999</v>
      </c>
      <c r="BR93" s="94">
        <v>1.8220799999999999</v>
      </c>
      <c r="BS93" s="94">
        <v>7.0102999999999997E-3</v>
      </c>
      <c r="BT93" s="94">
        <v>1.81507</v>
      </c>
      <c r="BU93" s="94"/>
      <c r="BV93" s="94">
        <v>7.4034000000000004</v>
      </c>
      <c r="BW93" s="94">
        <v>193.965</v>
      </c>
      <c r="BX93" s="94">
        <v>3.7582800000000001</v>
      </c>
      <c r="BY93" s="94">
        <v>46.841200000000001</v>
      </c>
      <c r="BZ93" s="94">
        <v>4.0310100000000002</v>
      </c>
      <c r="CA93">
        <v>62.106900000000003</v>
      </c>
      <c r="CB93">
        <v>4.2544500000000003</v>
      </c>
      <c r="CC93">
        <v>48.403799999999997</v>
      </c>
      <c r="CD93">
        <v>48.403799999999997</v>
      </c>
      <c r="CE93">
        <v>7.7237400000000003</v>
      </c>
      <c r="CF93">
        <v>18.7181</v>
      </c>
      <c r="CG93">
        <v>3.8259700000000002E-3</v>
      </c>
      <c r="CM93">
        <v>1517.03</v>
      </c>
      <c r="CN93">
        <v>1484.82</v>
      </c>
      <c r="CO93">
        <v>1034.3800000000001</v>
      </c>
      <c r="CP93">
        <v>3.0360499999999999E-2</v>
      </c>
      <c r="CQ93">
        <v>7.8783499999999992E-3</v>
      </c>
      <c r="CR93">
        <v>102</v>
      </c>
      <c r="CS93">
        <v>3.24241</v>
      </c>
      <c r="CT93">
        <v>141.12700000000001</v>
      </c>
      <c r="CU93">
        <v>5.9538099999999998</v>
      </c>
      <c r="CV93">
        <v>5.9538099999999998</v>
      </c>
      <c r="CW93">
        <v>4.6906200000000002E-2</v>
      </c>
      <c r="CX93">
        <v>5.9069000000000003</v>
      </c>
      <c r="CY93">
        <v>0</v>
      </c>
      <c r="CZ93">
        <v>7.6250400000000003</v>
      </c>
      <c r="DA93">
        <v>193.31299999999999</v>
      </c>
      <c r="DB93">
        <v>12.321899999999999</v>
      </c>
      <c r="DC93">
        <v>46.743400000000001</v>
      </c>
      <c r="DD93">
        <v>3.8251300000000001</v>
      </c>
      <c r="DE93">
        <v>61.968499999999999</v>
      </c>
      <c r="DF93">
        <v>4.2832100000000004</v>
      </c>
      <c r="DG93">
        <v>48.973999999999997</v>
      </c>
      <c r="DH93">
        <v>48.973999999999997</v>
      </c>
      <c r="DI93">
        <v>7.9207400000000003</v>
      </c>
      <c r="DJ93">
        <v>18.671600000000002</v>
      </c>
      <c r="DK93">
        <v>7.79862E-3</v>
      </c>
      <c r="DQ93">
        <v>1668.26</v>
      </c>
      <c r="DR93">
        <v>1636.04</v>
      </c>
      <c r="DS93">
        <v>1679.61</v>
      </c>
      <c r="DT93">
        <v>0.26505600000000001</v>
      </c>
      <c r="DU93">
        <v>0.56625499999999995</v>
      </c>
      <c r="DV93">
        <v>105</v>
      </c>
      <c r="DW93">
        <v>0.57170500000000002</v>
      </c>
      <c r="DX93">
        <v>1124.55</v>
      </c>
      <c r="DY93">
        <v>9.7686899999999993E-2</v>
      </c>
      <c r="DZ93">
        <v>1.9260299999999999</v>
      </c>
      <c r="EA93">
        <v>5.5315700000000002E-2</v>
      </c>
      <c r="EB93">
        <v>0.83540499999999995</v>
      </c>
      <c r="EC93">
        <v>0</v>
      </c>
      <c r="ED93">
        <v>5.1741000000000001</v>
      </c>
      <c r="EE93">
        <v>124.44</v>
      </c>
      <c r="EF93">
        <v>2.8786700000000001</v>
      </c>
      <c r="EG93">
        <v>46.794199999999996</v>
      </c>
      <c r="EH93">
        <v>7.0255700000000001</v>
      </c>
      <c r="EI93">
        <v>62.083399999999997</v>
      </c>
      <c r="EJ93">
        <v>10.444800000000001</v>
      </c>
      <c r="EK93">
        <v>35.233400000000003</v>
      </c>
      <c r="EL93">
        <v>35.233400000000003</v>
      </c>
      <c r="EM93">
        <v>4.4930300000000001</v>
      </c>
      <c r="EN93">
        <v>18.732299999999999</v>
      </c>
      <c r="EO93">
        <v>0.46554499999999999</v>
      </c>
    </row>
    <row r="94" spans="31:145" x14ac:dyDescent="0.2">
      <c r="AE94" s="94">
        <v>1319.48</v>
      </c>
      <c r="AF94" s="94">
        <v>1299.8</v>
      </c>
      <c r="AG94" s="94">
        <v>3912.73</v>
      </c>
      <c r="AH94" s="94">
        <v>0.24033199999999999</v>
      </c>
      <c r="AI94" s="94">
        <v>0.64164699999999997</v>
      </c>
      <c r="AJ94" s="94">
        <v>105</v>
      </c>
      <c r="AK94" s="94">
        <v>0.259656</v>
      </c>
      <c r="AL94" s="94">
        <v>171.816</v>
      </c>
      <c r="AM94" s="94">
        <v>9.4820400000000006E-3</v>
      </c>
      <c r="AN94" s="94">
        <v>1.1236699999999999</v>
      </c>
      <c r="AO94" s="94">
        <v>6.0841200000000002E-3</v>
      </c>
      <c r="AP94" s="94">
        <v>0.40266999999999997</v>
      </c>
      <c r="AQ94" s="94"/>
      <c r="AR94" s="94">
        <v>2.4885799999999998</v>
      </c>
      <c r="AS94" s="94">
        <v>98.155600000000007</v>
      </c>
      <c r="AT94" s="94">
        <v>1.6662300000000001</v>
      </c>
      <c r="AU94" s="94">
        <v>46.968000000000004</v>
      </c>
      <c r="AV94" s="94">
        <v>15.920400000000001</v>
      </c>
      <c r="AW94" s="94">
        <v>62.704000000000001</v>
      </c>
      <c r="AX94" s="94">
        <v>16.616800000000001</v>
      </c>
      <c r="AY94" s="94">
        <v>11.956899999999999</v>
      </c>
      <c r="AZ94" s="94">
        <v>11.956899999999999</v>
      </c>
      <c r="BA94" s="94">
        <v>0.45721600000000001</v>
      </c>
      <c r="BB94" s="94">
        <v>19.133600000000001</v>
      </c>
      <c r="BC94" s="94">
        <v>5.0958400000000001E-2</v>
      </c>
      <c r="BD94" s="94"/>
      <c r="BE94" s="94"/>
      <c r="BF94" s="94"/>
      <c r="BG94" s="94"/>
      <c r="BH94" s="94"/>
      <c r="BI94" s="94">
        <v>1517.03</v>
      </c>
      <c r="BJ94" s="94">
        <v>1484.82</v>
      </c>
      <c r="BK94" s="94">
        <v>998.53</v>
      </c>
      <c r="BL94" s="94">
        <v>2.9627500000000001E-2</v>
      </c>
      <c r="BM94" s="94">
        <v>3.8530299999999999E-3</v>
      </c>
      <c r="BN94" s="94">
        <v>102</v>
      </c>
      <c r="BO94" s="94">
        <v>0.35641200000000001</v>
      </c>
      <c r="BP94" s="94">
        <v>140.47800000000001</v>
      </c>
      <c r="BQ94" s="94">
        <v>1.82056</v>
      </c>
      <c r="BR94" s="94">
        <v>1.82056</v>
      </c>
      <c r="BS94" s="94">
        <v>7.0146599999999998E-3</v>
      </c>
      <c r="BT94" s="94">
        <v>1.8135399999999999</v>
      </c>
      <c r="BU94" s="94"/>
      <c r="BV94" s="94">
        <v>7.3936200000000003</v>
      </c>
      <c r="BW94" s="94">
        <v>193.88399999999999</v>
      </c>
      <c r="BX94" s="94">
        <v>3.75671</v>
      </c>
      <c r="BY94" s="94">
        <v>46.813000000000002</v>
      </c>
      <c r="BZ94" s="94">
        <v>4.0343999999999998</v>
      </c>
      <c r="CA94">
        <v>62.067799999999998</v>
      </c>
      <c r="CB94">
        <v>4.2580099999999996</v>
      </c>
      <c r="CC94">
        <v>48.263199999999998</v>
      </c>
      <c r="CD94">
        <v>48.263199999999998</v>
      </c>
      <c r="CE94">
        <v>7.6992200000000004</v>
      </c>
      <c r="CF94">
        <v>18.705400000000001</v>
      </c>
      <c r="CG94">
        <v>3.8273199999999999E-3</v>
      </c>
      <c r="CM94">
        <v>1592.64</v>
      </c>
      <c r="CN94">
        <v>1560.43</v>
      </c>
      <c r="CO94">
        <v>1041.9100000000001</v>
      </c>
      <c r="CP94">
        <v>3.0388100000000001E-2</v>
      </c>
      <c r="CQ94">
        <v>7.8911499999999996E-3</v>
      </c>
      <c r="CR94">
        <v>102</v>
      </c>
      <c r="CS94">
        <v>3.3978199999999998</v>
      </c>
      <c r="CT94">
        <v>148.51</v>
      </c>
      <c r="CU94">
        <v>5.9481999999999999</v>
      </c>
      <c r="CV94">
        <v>5.9481999999999999</v>
      </c>
      <c r="CW94">
        <v>4.6938100000000003E-2</v>
      </c>
      <c r="CX94">
        <v>5.9012599999999997</v>
      </c>
      <c r="CY94">
        <v>0</v>
      </c>
      <c r="CZ94">
        <v>7.6139400000000004</v>
      </c>
      <c r="DA94">
        <v>193.22200000000001</v>
      </c>
      <c r="DB94">
        <v>12.3161</v>
      </c>
      <c r="DC94">
        <v>46.714399999999998</v>
      </c>
      <c r="DD94">
        <v>3.8287499999999999</v>
      </c>
      <c r="DE94">
        <v>61.925800000000002</v>
      </c>
      <c r="DF94">
        <v>4.2872000000000003</v>
      </c>
      <c r="DG94">
        <v>48.819499999999998</v>
      </c>
      <c r="DH94">
        <v>48.819499999999998</v>
      </c>
      <c r="DI94">
        <v>7.8948799999999997</v>
      </c>
      <c r="DJ94">
        <v>18.656400000000001</v>
      </c>
      <c r="DK94">
        <v>7.803E-3</v>
      </c>
      <c r="DQ94">
        <v>1743.87</v>
      </c>
      <c r="DR94">
        <v>1711.66</v>
      </c>
      <c r="DS94">
        <v>1746.69</v>
      </c>
      <c r="DT94">
        <v>0.27042699999999997</v>
      </c>
      <c r="DU94">
        <v>0.57874599999999998</v>
      </c>
      <c r="DV94">
        <v>105</v>
      </c>
      <c r="DW94">
        <v>0.58700699999999995</v>
      </c>
      <c r="DX94">
        <v>1191.6199999999999</v>
      </c>
      <c r="DY94">
        <v>9.5626799999999998E-2</v>
      </c>
      <c r="DZ94">
        <v>1.91564</v>
      </c>
      <c r="EA94">
        <v>5.53436E-2</v>
      </c>
      <c r="EB94">
        <v>0.80697200000000002</v>
      </c>
      <c r="EC94">
        <v>0</v>
      </c>
      <c r="ED94">
        <v>5.0421800000000001</v>
      </c>
      <c r="EE94">
        <v>122.44</v>
      </c>
      <c r="EF94">
        <v>2.83188</v>
      </c>
      <c r="EG94">
        <v>46.770200000000003</v>
      </c>
      <c r="EH94">
        <v>7.2689700000000004</v>
      </c>
      <c r="EI94">
        <v>62.051699999999997</v>
      </c>
      <c r="EJ94">
        <v>10.7849</v>
      </c>
      <c r="EK94">
        <v>34.219099999999997</v>
      </c>
      <c r="EL94">
        <v>34.219099999999997</v>
      </c>
      <c r="EM94">
        <v>4.2741100000000003</v>
      </c>
      <c r="EN94">
        <v>18.722799999999999</v>
      </c>
      <c r="EO94">
        <v>0.47044599999999998</v>
      </c>
    </row>
    <row r="95" spans="31:145" x14ac:dyDescent="0.2">
      <c r="AE95" s="94">
        <v>1342.64</v>
      </c>
      <c r="AF95" s="94">
        <v>1316.7</v>
      </c>
      <c r="AG95" s="94">
        <v>3930.43</v>
      </c>
      <c r="AH95" s="94">
        <v>0.232928</v>
      </c>
      <c r="AI95" s="94">
        <v>0.64236300000000002</v>
      </c>
      <c r="AJ95" s="94">
        <v>105</v>
      </c>
      <c r="AK95" s="94">
        <v>0.26122899999999999</v>
      </c>
      <c r="AL95" s="94">
        <v>184.72900000000001</v>
      </c>
      <c r="AM95" s="94">
        <v>9.4726299999999992E-3</v>
      </c>
      <c r="AN95" s="94">
        <v>1.1247199999999999</v>
      </c>
      <c r="AO95" s="94">
        <v>6.08487E-3</v>
      </c>
      <c r="AP95" s="94">
        <v>0.40223999999999999</v>
      </c>
      <c r="AQ95" s="94"/>
      <c r="AR95" s="94">
        <v>2.4849100000000002</v>
      </c>
      <c r="AS95" s="94">
        <v>98.104100000000003</v>
      </c>
      <c r="AT95" s="94">
        <v>1.6652100000000001</v>
      </c>
      <c r="AU95" s="94">
        <v>46.9617</v>
      </c>
      <c r="AV95" s="94">
        <v>15.9344</v>
      </c>
      <c r="AW95" s="94">
        <v>62.6965</v>
      </c>
      <c r="AX95" s="94">
        <v>16.6312</v>
      </c>
      <c r="AY95" s="94">
        <v>11.9236</v>
      </c>
      <c r="AZ95" s="94">
        <v>11.9236</v>
      </c>
      <c r="BA95" s="94">
        <v>0.45434600000000003</v>
      </c>
      <c r="BB95" s="94">
        <v>19.131799999999998</v>
      </c>
      <c r="BC95" s="94">
        <v>6.1143599999999999E-2</v>
      </c>
      <c r="BD95" s="94"/>
      <c r="BE95" s="94"/>
      <c r="BF95" s="94"/>
      <c r="BG95" s="94"/>
      <c r="BH95" s="94"/>
      <c r="BI95" s="94">
        <v>1592.64</v>
      </c>
      <c r="BJ95" s="94">
        <v>1560.43</v>
      </c>
      <c r="BK95" s="94">
        <v>1005.89</v>
      </c>
      <c r="BL95" s="94">
        <v>2.9652100000000001E-2</v>
      </c>
      <c r="BM95" s="94">
        <v>3.8587000000000001E-3</v>
      </c>
      <c r="BN95" s="94">
        <v>102</v>
      </c>
      <c r="BO95" s="94">
        <v>0.37362099999999998</v>
      </c>
      <c r="BP95" s="94">
        <v>147.816</v>
      </c>
      <c r="BQ95" s="94">
        <v>1.81904</v>
      </c>
      <c r="BR95" s="94">
        <v>1.81904</v>
      </c>
      <c r="BS95" s="94">
        <v>7.0191300000000002E-3</v>
      </c>
      <c r="BT95" s="94">
        <v>1.81202</v>
      </c>
      <c r="BU95" s="94"/>
      <c r="BV95" s="94">
        <v>7.3837200000000003</v>
      </c>
      <c r="BW95" s="94">
        <v>193.803</v>
      </c>
      <c r="BX95" s="94">
        <v>3.7551399999999999</v>
      </c>
      <c r="BY95" s="94">
        <v>46.784500000000001</v>
      </c>
      <c r="BZ95" s="94">
        <v>4.0377799999999997</v>
      </c>
      <c r="CA95">
        <v>62.027799999999999</v>
      </c>
      <c r="CB95">
        <v>4.2615499999999997</v>
      </c>
      <c r="CC95">
        <v>48.12</v>
      </c>
      <c r="CD95">
        <v>48.12</v>
      </c>
      <c r="CE95">
        <v>7.67462</v>
      </c>
      <c r="CF95">
        <v>18.6921</v>
      </c>
      <c r="CG95">
        <v>3.8287999999999998E-3</v>
      </c>
      <c r="CM95">
        <v>1668.26</v>
      </c>
      <c r="CN95">
        <v>1636.04</v>
      </c>
      <c r="CO95">
        <v>1049.46</v>
      </c>
      <c r="CP95">
        <v>3.04151E-2</v>
      </c>
      <c r="CQ95">
        <v>7.90393E-3</v>
      </c>
      <c r="CR95">
        <v>102</v>
      </c>
      <c r="CS95">
        <v>3.55314</v>
      </c>
      <c r="CT95">
        <v>155.899</v>
      </c>
      <c r="CU95">
        <v>5.9427300000000001</v>
      </c>
      <c r="CV95">
        <v>5.9427300000000001</v>
      </c>
      <c r="CW95">
        <v>4.6970900000000003E-2</v>
      </c>
      <c r="CX95">
        <v>5.8957600000000001</v>
      </c>
      <c r="CY95">
        <v>0</v>
      </c>
      <c r="CZ95">
        <v>7.6027899999999997</v>
      </c>
      <c r="DA95">
        <v>193.13300000000001</v>
      </c>
      <c r="DB95">
        <v>12.3103</v>
      </c>
      <c r="DC95">
        <v>46.685099999999998</v>
      </c>
      <c r="DD95">
        <v>3.8322699999999998</v>
      </c>
      <c r="DE95">
        <v>61.881999999999998</v>
      </c>
      <c r="DF95">
        <v>4.2910899999999996</v>
      </c>
      <c r="DG95">
        <v>48.662500000000001</v>
      </c>
      <c r="DH95">
        <v>48.662500000000001</v>
      </c>
      <c r="DI95">
        <v>7.8689999999999998</v>
      </c>
      <c r="DJ95">
        <v>18.640499999999999</v>
      </c>
      <c r="DK95">
        <v>7.8075699999999998E-3</v>
      </c>
      <c r="DQ95">
        <v>1819.48</v>
      </c>
      <c r="DR95">
        <v>1787.27</v>
      </c>
      <c r="DS95">
        <v>1815.09</v>
      </c>
      <c r="DT95">
        <v>0.27571499999999999</v>
      </c>
      <c r="DU95">
        <v>0.59114699999999998</v>
      </c>
      <c r="DV95">
        <v>105</v>
      </c>
      <c r="DW95">
        <v>0.60185599999999995</v>
      </c>
      <c r="DX95">
        <v>1260</v>
      </c>
      <c r="DY95">
        <v>9.3669000000000002E-2</v>
      </c>
      <c r="DZ95">
        <v>1.9087700000000001</v>
      </c>
      <c r="EA95">
        <v>5.5372200000000003E-2</v>
      </c>
      <c r="EB95">
        <v>0.78040399999999999</v>
      </c>
      <c r="EC95">
        <v>0</v>
      </c>
      <c r="ED95">
        <v>4.9160599999999999</v>
      </c>
      <c r="EE95">
        <v>120.541</v>
      </c>
      <c r="EF95">
        <v>2.7874599999999998</v>
      </c>
      <c r="EG95">
        <v>46.746200000000002</v>
      </c>
      <c r="EH95">
        <v>7.5121799999999999</v>
      </c>
      <c r="EI95">
        <v>62.019399999999997</v>
      </c>
      <c r="EJ95">
        <v>11.1234</v>
      </c>
      <c r="EK95">
        <v>33.225299999999997</v>
      </c>
      <c r="EL95">
        <v>33.225299999999997</v>
      </c>
      <c r="EM95">
        <v>4.0631500000000003</v>
      </c>
      <c r="EN95">
        <v>18.712800000000001</v>
      </c>
      <c r="EO95">
        <v>0.47545500000000002</v>
      </c>
    </row>
    <row r="96" spans="31:145" x14ac:dyDescent="0.2">
      <c r="AE96" s="94">
        <v>1365.81</v>
      </c>
      <c r="AF96" s="94">
        <v>1333.6</v>
      </c>
      <c r="AG96" s="94">
        <v>3948.15</v>
      </c>
      <c r="AH96" s="94">
        <v>0.23306199999999999</v>
      </c>
      <c r="AI96" s="94">
        <v>0.64293999999999996</v>
      </c>
      <c r="AJ96" s="94">
        <v>105</v>
      </c>
      <c r="AK96" s="94">
        <v>0.26279999999999998</v>
      </c>
      <c r="AL96" s="94">
        <v>197.65</v>
      </c>
      <c r="AM96" s="94">
        <v>9.4653199999999993E-3</v>
      </c>
      <c r="AN96" s="94">
        <v>1.12564</v>
      </c>
      <c r="AO96" s="94">
        <v>6.0856399999999998E-3</v>
      </c>
      <c r="AP96" s="94">
        <v>0.40192099999999997</v>
      </c>
      <c r="AQ96" s="94"/>
      <c r="AR96" s="94">
        <v>2.4820000000000002</v>
      </c>
      <c r="AS96" s="94">
        <v>98.065799999999996</v>
      </c>
      <c r="AT96" s="94">
        <v>1.66449</v>
      </c>
      <c r="AU96" s="94">
        <v>46.954900000000002</v>
      </c>
      <c r="AV96" s="94">
        <v>15.9457</v>
      </c>
      <c r="AW96" s="94">
        <v>62.688099999999999</v>
      </c>
      <c r="AX96" s="94">
        <v>16.642900000000001</v>
      </c>
      <c r="AY96" s="94">
        <v>11.8939</v>
      </c>
      <c r="AZ96" s="94">
        <v>11.8939</v>
      </c>
      <c r="BA96" s="94">
        <v>0.45186199999999999</v>
      </c>
      <c r="BB96" s="94">
        <v>19.1296</v>
      </c>
      <c r="BC96" s="94">
        <v>7.0993600000000004E-2</v>
      </c>
      <c r="BD96" s="94"/>
      <c r="BE96" s="94"/>
      <c r="BF96" s="94"/>
      <c r="BG96" s="94"/>
      <c r="BH96" s="94"/>
      <c r="BI96" s="94">
        <v>1668.26</v>
      </c>
      <c r="BJ96" s="94">
        <v>1636.04</v>
      </c>
      <c r="BK96" s="94">
        <v>1013.25</v>
      </c>
      <c r="BL96" s="94">
        <v>2.96767E-2</v>
      </c>
      <c r="BM96" s="94">
        <v>3.8644299999999999E-3</v>
      </c>
      <c r="BN96" s="94">
        <v>102</v>
      </c>
      <c r="BO96" s="94">
        <v>0.390824</v>
      </c>
      <c r="BP96" s="94">
        <v>155.161</v>
      </c>
      <c r="BQ96" s="94">
        <v>1.8175300000000001</v>
      </c>
      <c r="BR96" s="94">
        <v>1.8175300000000001</v>
      </c>
      <c r="BS96" s="94">
        <v>7.0237199999999998E-3</v>
      </c>
      <c r="BT96" s="94">
        <v>1.8105</v>
      </c>
      <c r="BU96" s="94"/>
      <c r="BV96" s="94">
        <v>7.3736899999999999</v>
      </c>
      <c r="BW96" s="94">
        <v>193.72200000000001</v>
      </c>
      <c r="BX96" s="94">
        <v>3.7535699999999999</v>
      </c>
      <c r="BY96" s="94">
        <v>46.756</v>
      </c>
      <c r="BZ96" s="94">
        <v>4.04115</v>
      </c>
      <c r="CA96">
        <v>61.986800000000002</v>
      </c>
      <c r="CB96">
        <v>4.2650800000000002</v>
      </c>
      <c r="CC96">
        <v>47.974200000000003</v>
      </c>
      <c r="CD96">
        <v>47.974200000000003</v>
      </c>
      <c r="CE96">
        <v>7.6499699999999997</v>
      </c>
      <c r="CF96">
        <v>18.678000000000001</v>
      </c>
      <c r="CG96">
        <v>3.8304200000000002E-3</v>
      </c>
      <c r="CM96">
        <v>1743.87</v>
      </c>
      <c r="CN96">
        <v>1711.66</v>
      </c>
      <c r="CO96">
        <v>1057.01</v>
      </c>
      <c r="CP96">
        <v>3.0441300000000001E-2</v>
      </c>
      <c r="CQ96">
        <v>7.9166400000000008E-3</v>
      </c>
      <c r="CR96">
        <v>102</v>
      </c>
      <c r="CS96">
        <v>3.7083699999999999</v>
      </c>
      <c r="CT96">
        <v>163.29599999999999</v>
      </c>
      <c r="CU96">
        <v>5.9374399999999996</v>
      </c>
      <c r="CV96">
        <v>5.9374399999999996</v>
      </c>
      <c r="CW96">
        <v>4.7004600000000001E-2</v>
      </c>
      <c r="CX96">
        <v>5.8904399999999999</v>
      </c>
      <c r="CY96">
        <v>0</v>
      </c>
      <c r="CZ96">
        <v>7.5916199999999998</v>
      </c>
      <c r="DA96">
        <v>193.047</v>
      </c>
      <c r="DB96">
        <v>12.3048</v>
      </c>
      <c r="DC96">
        <v>46.655500000000004</v>
      </c>
      <c r="DD96">
        <v>3.8356699999999999</v>
      </c>
      <c r="DE96">
        <v>61.8371</v>
      </c>
      <c r="DF96">
        <v>4.2948500000000003</v>
      </c>
      <c r="DG96">
        <v>48.502899999999997</v>
      </c>
      <c r="DH96">
        <v>48.502899999999997</v>
      </c>
      <c r="DI96">
        <v>7.8431199999999999</v>
      </c>
      <c r="DJ96">
        <v>18.623899999999999</v>
      </c>
      <c r="DK96">
        <v>7.8122900000000004E-3</v>
      </c>
      <c r="DQ96">
        <v>1895.09</v>
      </c>
      <c r="DR96">
        <v>1862.88</v>
      </c>
      <c r="DS96">
        <v>1884.78</v>
      </c>
      <c r="DT96">
        <v>0.28091100000000002</v>
      </c>
      <c r="DU96">
        <v>0.60344299999999995</v>
      </c>
      <c r="DV96">
        <v>105</v>
      </c>
      <c r="DW96">
        <v>0.61628000000000005</v>
      </c>
      <c r="DX96">
        <v>1329.67</v>
      </c>
      <c r="DY96">
        <v>9.1808899999999999E-2</v>
      </c>
      <c r="DZ96">
        <v>1.90533</v>
      </c>
      <c r="EA96">
        <v>5.5401400000000003E-2</v>
      </c>
      <c r="EB96">
        <v>0.75557200000000002</v>
      </c>
      <c r="EC96">
        <v>0</v>
      </c>
      <c r="ED96">
        <v>4.7955100000000002</v>
      </c>
      <c r="EE96">
        <v>118.739</v>
      </c>
      <c r="EF96">
        <v>2.7452999999999999</v>
      </c>
      <c r="EG96">
        <v>46.722000000000001</v>
      </c>
      <c r="EH96">
        <v>7.7547300000000003</v>
      </c>
      <c r="EI96">
        <v>61.9863</v>
      </c>
      <c r="EJ96">
        <v>11.4595</v>
      </c>
      <c r="EK96">
        <v>32.253500000000003</v>
      </c>
      <c r="EL96">
        <v>32.253500000000003</v>
      </c>
      <c r="EM96">
        <v>3.8603299999999998</v>
      </c>
      <c r="EN96">
        <v>18.702300000000001</v>
      </c>
      <c r="EO96">
        <v>0.48055500000000001</v>
      </c>
    </row>
    <row r="97" spans="31:145" x14ac:dyDescent="0.2">
      <c r="AE97" s="94">
        <v>1441.42</v>
      </c>
      <c r="AF97" s="94">
        <v>1409.21</v>
      </c>
      <c r="AG97" s="94">
        <v>4007.04</v>
      </c>
      <c r="AH97" s="94">
        <v>0.23741399999999999</v>
      </c>
      <c r="AI97" s="94">
        <v>0.390096</v>
      </c>
      <c r="AJ97" s="94">
        <v>105</v>
      </c>
      <c r="AK97" s="94">
        <v>0.26799899999999999</v>
      </c>
      <c r="AL97" s="94">
        <v>256.54000000000002</v>
      </c>
      <c r="AM97" s="94">
        <v>1.5605000000000001E-2</v>
      </c>
      <c r="AN97" s="94">
        <v>0.65804200000000002</v>
      </c>
      <c r="AO97" s="94">
        <v>6.0874700000000002E-3</v>
      </c>
      <c r="AP97" s="94">
        <v>0.40134199999999998</v>
      </c>
      <c r="AQ97" s="94"/>
      <c r="AR97" s="94">
        <v>2.4764300000000001</v>
      </c>
      <c r="AS97" s="94">
        <v>97.996499999999997</v>
      </c>
      <c r="AT97" s="94">
        <v>1.6638599999999999</v>
      </c>
      <c r="AU97" s="94">
        <v>46.9315</v>
      </c>
      <c r="AV97" s="94">
        <v>15.98</v>
      </c>
      <c r="AW97" s="94">
        <v>62.658700000000003</v>
      </c>
      <c r="AX97" s="94">
        <v>16.677399999999999</v>
      </c>
      <c r="AY97" s="94">
        <v>11.8001</v>
      </c>
      <c r="AZ97" s="94">
        <v>11.8001</v>
      </c>
      <c r="BA97" s="94">
        <v>0.44419399999999998</v>
      </c>
      <c r="BB97" s="94">
        <v>19.121500000000001</v>
      </c>
      <c r="BC97" s="94">
        <v>8.7704500000000005E-2</v>
      </c>
      <c r="BD97" s="94"/>
      <c r="BE97" s="94"/>
      <c r="BF97" s="94"/>
      <c r="BG97" s="94"/>
      <c r="BH97" s="94"/>
      <c r="BI97" s="94">
        <v>1743.87</v>
      </c>
      <c r="BJ97" s="94">
        <v>1711.66</v>
      </c>
      <c r="BK97" s="94">
        <v>1020.62</v>
      </c>
      <c r="BL97" s="94">
        <v>2.9701200000000001E-2</v>
      </c>
      <c r="BM97" s="94">
        <v>3.8702200000000002E-3</v>
      </c>
      <c r="BN97" s="94">
        <v>102</v>
      </c>
      <c r="BO97" s="94">
        <v>0.40802300000000002</v>
      </c>
      <c r="BP97" s="94">
        <v>162.512</v>
      </c>
      <c r="BQ97" s="94">
        <v>1.81603</v>
      </c>
      <c r="BR97" s="94">
        <v>1.81603</v>
      </c>
      <c r="BS97" s="94">
        <v>7.0284099999999997E-3</v>
      </c>
      <c r="BT97" s="94">
        <v>1.8089999999999999</v>
      </c>
      <c r="BU97" s="94"/>
      <c r="BV97" s="94">
        <v>7.3635599999999997</v>
      </c>
      <c r="BW97" s="94">
        <v>193.642</v>
      </c>
      <c r="BX97" s="94">
        <v>3.7520199999999999</v>
      </c>
      <c r="BY97" s="94">
        <v>46.727200000000003</v>
      </c>
      <c r="BZ97" s="94">
        <v>4.0445200000000003</v>
      </c>
      <c r="CA97">
        <v>61.945</v>
      </c>
      <c r="CB97">
        <v>4.2686000000000002</v>
      </c>
      <c r="CC97">
        <v>47.826000000000001</v>
      </c>
      <c r="CD97">
        <v>47.826000000000001</v>
      </c>
      <c r="CE97">
        <v>7.6252599999999999</v>
      </c>
      <c r="CF97">
        <v>18.663399999999999</v>
      </c>
      <c r="CG97">
        <v>3.8321399999999999E-3</v>
      </c>
      <c r="CM97">
        <v>1819.48</v>
      </c>
      <c r="CN97">
        <v>1787.27</v>
      </c>
      <c r="CO97">
        <v>1064.57</v>
      </c>
      <c r="CP97">
        <v>3.0466500000000001E-2</v>
      </c>
      <c r="CQ97">
        <v>7.9292400000000006E-3</v>
      </c>
      <c r="CR97">
        <v>102</v>
      </c>
      <c r="CS97">
        <v>3.8635100000000002</v>
      </c>
      <c r="CT97">
        <v>170.69800000000001</v>
      </c>
      <c r="CU97">
        <v>5.9323699999999997</v>
      </c>
      <c r="CV97">
        <v>5.9323699999999997</v>
      </c>
      <c r="CW97">
        <v>4.7039200000000003E-2</v>
      </c>
      <c r="CX97">
        <v>5.8853299999999997</v>
      </c>
      <c r="CY97">
        <v>0</v>
      </c>
      <c r="CZ97">
        <v>7.5804400000000003</v>
      </c>
      <c r="DA97">
        <v>192.965</v>
      </c>
      <c r="DB97">
        <v>12.2994</v>
      </c>
      <c r="DC97">
        <v>46.625599999999999</v>
      </c>
      <c r="DD97">
        <v>3.8389199999999999</v>
      </c>
      <c r="DE97">
        <v>61.7911</v>
      </c>
      <c r="DF97">
        <v>4.2984400000000003</v>
      </c>
      <c r="DG97">
        <v>48.340699999999998</v>
      </c>
      <c r="DH97">
        <v>48.340699999999998</v>
      </c>
      <c r="DI97">
        <v>7.8172600000000001</v>
      </c>
      <c r="DJ97">
        <v>18.6065</v>
      </c>
      <c r="DK97">
        <v>7.8171500000000001E-3</v>
      </c>
      <c r="DQ97">
        <v>1970.7</v>
      </c>
      <c r="DR97">
        <v>1938.49</v>
      </c>
      <c r="DS97">
        <v>1955.73</v>
      </c>
      <c r="DT97">
        <v>0.28600900000000001</v>
      </c>
      <c r="DU97">
        <v>0.61561600000000005</v>
      </c>
      <c r="DV97">
        <v>105</v>
      </c>
      <c r="DW97">
        <v>0.63030699999999995</v>
      </c>
      <c r="DX97">
        <v>1400.6</v>
      </c>
      <c r="DY97">
        <v>9.0041800000000005E-2</v>
      </c>
      <c r="DZ97">
        <v>1.9052800000000001</v>
      </c>
      <c r="EA97">
        <v>5.54312E-2</v>
      </c>
      <c r="EB97">
        <v>0.73235700000000004</v>
      </c>
      <c r="EC97">
        <v>0</v>
      </c>
      <c r="ED97">
        <v>4.6803100000000004</v>
      </c>
      <c r="EE97">
        <v>117.029</v>
      </c>
      <c r="EF97">
        <v>2.7052999999999998</v>
      </c>
      <c r="EG97">
        <v>46.697699999999998</v>
      </c>
      <c r="EH97">
        <v>7.9961200000000003</v>
      </c>
      <c r="EI97">
        <v>61.952599999999997</v>
      </c>
      <c r="EJ97">
        <v>11.7927</v>
      </c>
      <c r="EK97">
        <v>31.305</v>
      </c>
      <c r="EL97">
        <v>31.305</v>
      </c>
      <c r="EM97">
        <v>3.6657600000000001</v>
      </c>
      <c r="EN97">
        <v>18.691299999999998</v>
      </c>
      <c r="EO97">
        <v>0.48573100000000002</v>
      </c>
    </row>
    <row r="98" spans="31:145" x14ac:dyDescent="0.2">
      <c r="AE98" s="94">
        <v>1517.03</v>
      </c>
      <c r="AF98" s="94">
        <v>1484.82</v>
      </c>
      <c r="AG98" s="94">
        <v>4066.03</v>
      </c>
      <c r="AH98" s="94">
        <v>0.23777000000000001</v>
      </c>
      <c r="AI98" s="94">
        <v>0.39100099999999999</v>
      </c>
      <c r="AJ98" s="94">
        <v>105</v>
      </c>
      <c r="AK98" s="94">
        <v>0.27318300000000001</v>
      </c>
      <c r="AL98" s="94">
        <v>315.51900000000001</v>
      </c>
      <c r="AM98" s="94">
        <v>1.55763E-2</v>
      </c>
      <c r="AN98" s="94">
        <v>0.65762699999999996</v>
      </c>
      <c r="AO98" s="94">
        <v>6.0903700000000003E-3</v>
      </c>
      <c r="AP98" s="94">
        <v>0.40049400000000002</v>
      </c>
      <c r="AQ98" s="94"/>
      <c r="AR98" s="94">
        <v>2.4680900000000001</v>
      </c>
      <c r="AS98" s="94">
        <v>97.894800000000004</v>
      </c>
      <c r="AT98" s="94">
        <v>1.66211</v>
      </c>
      <c r="AU98" s="94">
        <v>46.908000000000001</v>
      </c>
      <c r="AV98" s="94">
        <v>16.013400000000001</v>
      </c>
      <c r="AW98" s="94">
        <v>62.628399999999999</v>
      </c>
      <c r="AX98" s="94">
        <v>16.711600000000001</v>
      </c>
      <c r="AY98" s="94">
        <v>11.7074</v>
      </c>
      <c r="AZ98" s="94">
        <v>11.7074</v>
      </c>
      <c r="BA98" s="94">
        <v>0.43674000000000002</v>
      </c>
      <c r="BB98" s="94">
        <v>19.113</v>
      </c>
      <c r="BC98" s="94">
        <v>0.102797</v>
      </c>
      <c r="BD98" s="94"/>
      <c r="BE98" s="94"/>
      <c r="BF98" s="94"/>
      <c r="BG98" s="94"/>
      <c r="BH98" s="94"/>
      <c r="BI98" s="94">
        <v>1819.48</v>
      </c>
      <c r="BJ98" s="94">
        <v>1787.27</v>
      </c>
      <c r="BK98" s="94">
        <v>1027.99</v>
      </c>
      <c r="BL98" s="94">
        <v>2.9725600000000001E-2</v>
      </c>
      <c r="BM98" s="94">
        <v>3.8760499999999998E-3</v>
      </c>
      <c r="BN98" s="94">
        <v>102</v>
      </c>
      <c r="BO98" s="94">
        <v>0.42521700000000001</v>
      </c>
      <c r="BP98" s="94">
        <v>169.869</v>
      </c>
      <c r="BQ98" s="94">
        <v>1.81453</v>
      </c>
      <c r="BR98" s="94">
        <v>1.81453</v>
      </c>
      <c r="BS98" s="94">
        <v>7.0332199999999997E-3</v>
      </c>
      <c r="BT98" s="94">
        <v>1.8075000000000001</v>
      </c>
      <c r="BU98" s="94"/>
      <c r="BV98" s="94">
        <v>7.3532999999999999</v>
      </c>
      <c r="BW98" s="94">
        <v>193.56200000000001</v>
      </c>
      <c r="BX98" s="94">
        <v>3.75047</v>
      </c>
      <c r="BY98" s="94">
        <v>46.6982</v>
      </c>
      <c r="BZ98" s="94">
        <v>4.04786</v>
      </c>
      <c r="CA98">
        <v>61.902200000000001</v>
      </c>
      <c r="CB98">
        <v>4.2721099999999996</v>
      </c>
      <c r="CC98">
        <v>47.675199999999997</v>
      </c>
      <c r="CD98">
        <v>47.675199999999997</v>
      </c>
      <c r="CE98">
        <v>7.6004899999999997</v>
      </c>
      <c r="CF98">
        <v>18.648099999999999</v>
      </c>
      <c r="CG98">
        <v>3.83396E-3</v>
      </c>
      <c r="CM98">
        <v>1895.09</v>
      </c>
      <c r="CN98">
        <v>1862.88</v>
      </c>
      <c r="CO98">
        <v>1072.1300000000001</v>
      </c>
      <c r="CP98">
        <v>3.0490300000000001E-2</v>
      </c>
      <c r="CQ98">
        <v>7.9416499999999998E-3</v>
      </c>
      <c r="CR98">
        <v>102</v>
      </c>
      <c r="CS98">
        <v>4.0185899999999997</v>
      </c>
      <c r="CT98">
        <v>178.10599999999999</v>
      </c>
      <c r="CU98">
        <v>5.9275700000000002</v>
      </c>
      <c r="CV98">
        <v>5.9275700000000002</v>
      </c>
      <c r="CW98">
        <v>4.7074699999999997E-2</v>
      </c>
      <c r="CX98">
        <v>5.8804999999999996</v>
      </c>
      <c r="CY98">
        <v>0</v>
      </c>
      <c r="CZ98">
        <v>7.5693000000000001</v>
      </c>
      <c r="DA98">
        <v>192.887</v>
      </c>
      <c r="DB98">
        <v>12.2943</v>
      </c>
      <c r="DC98">
        <v>46.595199999999998</v>
      </c>
      <c r="DD98">
        <v>3.84198</v>
      </c>
      <c r="DE98">
        <v>61.7438</v>
      </c>
      <c r="DF98">
        <v>4.3018099999999997</v>
      </c>
      <c r="DG98">
        <v>48.175899999999999</v>
      </c>
      <c r="DH98">
        <v>48.175899999999999</v>
      </c>
      <c r="DI98">
        <v>7.7914399999999997</v>
      </c>
      <c r="DJ98">
        <v>18.5883</v>
      </c>
      <c r="DK98">
        <v>7.8221100000000002E-3</v>
      </c>
      <c r="DQ98">
        <v>2046.31</v>
      </c>
      <c r="DR98">
        <v>2014.1</v>
      </c>
      <c r="DS98">
        <v>2027.91</v>
      </c>
      <c r="DT98">
        <v>0.29100199999999998</v>
      </c>
      <c r="DU98">
        <v>0.62765199999999999</v>
      </c>
      <c r="DV98">
        <v>105</v>
      </c>
      <c r="DW98">
        <v>0.64395999999999998</v>
      </c>
      <c r="DX98">
        <v>1472.78</v>
      </c>
      <c r="DY98">
        <v>8.8363800000000006E-2</v>
      </c>
      <c r="DZ98">
        <v>1.90856</v>
      </c>
      <c r="EA98">
        <v>5.5461700000000003E-2</v>
      </c>
      <c r="EB98">
        <v>0.71065</v>
      </c>
      <c r="EC98">
        <v>0</v>
      </c>
      <c r="ED98">
        <v>4.5702600000000002</v>
      </c>
      <c r="EE98">
        <v>115.408</v>
      </c>
      <c r="EF98">
        <v>2.66736</v>
      </c>
      <c r="EG98">
        <v>46.673200000000001</v>
      </c>
      <c r="EH98">
        <v>8.2358399999999996</v>
      </c>
      <c r="EI98">
        <v>61.918100000000003</v>
      </c>
      <c r="EJ98">
        <v>12.1221</v>
      </c>
      <c r="EK98">
        <v>30.3812</v>
      </c>
      <c r="EL98">
        <v>30.3812</v>
      </c>
      <c r="EM98">
        <v>3.4795600000000002</v>
      </c>
      <c r="EN98">
        <v>18.6799</v>
      </c>
      <c r="EO98">
        <v>0.49096899999999999</v>
      </c>
    </row>
    <row r="99" spans="31:145" x14ac:dyDescent="0.2">
      <c r="AE99" s="94">
        <v>1592.64</v>
      </c>
      <c r="AF99" s="94">
        <v>1560.43</v>
      </c>
      <c r="AG99" s="94">
        <v>4125.09</v>
      </c>
      <c r="AH99" s="94">
        <v>0.23811499999999999</v>
      </c>
      <c r="AI99" s="94">
        <v>0.39189499999999999</v>
      </c>
      <c r="AJ99" s="94">
        <v>105</v>
      </c>
      <c r="AK99" s="94">
        <v>0.27835399999999999</v>
      </c>
      <c r="AL99" s="94">
        <v>374.58300000000003</v>
      </c>
      <c r="AM99" s="94">
        <v>1.55484E-2</v>
      </c>
      <c r="AN99" s="94">
        <v>0.65724000000000005</v>
      </c>
      <c r="AO99" s="94">
        <v>6.09334E-3</v>
      </c>
      <c r="AP99" s="94">
        <v>0.399671</v>
      </c>
      <c r="AQ99" s="94"/>
      <c r="AR99" s="94">
        <v>2.45987</v>
      </c>
      <c r="AS99" s="94">
        <v>97.796000000000006</v>
      </c>
      <c r="AT99" s="94">
        <v>1.6604099999999999</v>
      </c>
      <c r="AU99" s="94">
        <v>46.8842</v>
      </c>
      <c r="AV99" s="94">
        <v>16.0459</v>
      </c>
      <c r="AW99" s="94">
        <v>62.5974</v>
      </c>
      <c r="AX99" s="94">
        <v>16.745000000000001</v>
      </c>
      <c r="AY99" s="94">
        <v>11.6159</v>
      </c>
      <c r="AZ99" s="94">
        <v>11.6159</v>
      </c>
      <c r="BA99" s="94">
        <v>0.42949100000000001</v>
      </c>
      <c r="BB99" s="94">
        <v>19.103899999999999</v>
      </c>
      <c r="BC99" s="94">
        <v>0.11650099999999999</v>
      </c>
      <c r="BD99" s="94"/>
      <c r="BE99" s="94"/>
      <c r="BF99" s="94"/>
      <c r="BG99" s="94"/>
      <c r="BH99" s="94"/>
      <c r="BI99" s="94">
        <v>1895.09</v>
      </c>
      <c r="BJ99" s="94">
        <v>1862.88</v>
      </c>
      <c r="BK99" s="94">
        <v>1035.3699999999999</v>
      </c>
      <c r="BL99" s="94">
        <v>2.9749899999999999E-2</v>
      </c>
      <c r="BM99" s="94">
        <v>3.8819499999999999E-3</v>
      </c>
      <c r="BN99" s="94">
        <v>102</v>
      </c>
      <c r="BO99" s="94">
        <v>0.44240699999999999</v>
      </c>
      <c r="BP99" s="94">
        <v>177.23099999999999</v>
      </c>
      <c r="BQ99" s="94">
        <v>1.81304</v>
      </c>
      <c r="BR99" s="94">
        <v>1.81304</v>
      </c>
      <c r="BS99" s="94">
        <v>7.0381300000000001E-3</v>
      </c>
      <c r="BT99" s="94">
        <v>1.806</v>
      </c>
      <c r="BU99" s="94"/>
      <c r="BV99" s="94">
        <v>7.34293</v>
      </c>
      <c r="BW99" s="94">
        <v>193.483</v>
      </c>
      <c r="BX99" s="94">
        <v>3.74892</v>
      </c>
      <c r="BY99" s="94">
        <v>46.6691</v>
      </c>
      <c r="BZ99" s="94">
        <v>4.0511999999999997</v>
      </c>
      <c r="CA99">
        <v>61.858499999999999</v>
      </c>
      <c r="CB99">
        <v>4.2756100000000004</v>
      </c>
      <c r="CC99">
        <v>47.521999999999998</v>
      </c>
      <c r="CD99">
        <v>47.521999999999998</v>
      </c>
      <c r="CE99">
        <v>7.5756800000000002</v>
      </c>
      <c r="CF99">
        <v>18.632100000000001</v>
      </c>
      <c r="CG99">
        <v>3.8358699999999999E-3</v>
      </c>
      <c r="CM99">
        <v>1970.7</v>
      </c>
      <c r="CN99">
        <v>1938.49</v>
      </c>
      <c r="CO99">
        <v>1079.7</v>
      </c>
      <c r="CP99">
        <v>3.0512399999999999E-2</v>
      </c>
      <c r="CQ99">
        <v>7.9537900000000005E-3</v>
      </c>
      <c r="CR99">
        <v>102</v>
      </c>
      <c r="CS99">
        <v>4.1735899999999999</v>
      </c>
      <c r="CT99">
        <v>185.52</v>
      </c>
      <c r="CU99">
        <v>5.9231299999999996</v>
      </c>
      <c r="CV99">
        <v>5.9231299999999996</v>
      </c>
      <c r="CW99">
        <v>4.7111300000000002E-2</v>
      </c>
      <c r="CX99">
        <v>5.8760199999999996</v>
      </c>
      <c r="CY99">
        <v>0</v>
      </c>
      <c r="CZ99">
        <v>7.55823</v>
      </c>
      <c r="DA99">
        <v>192.815</v>
      </c>
      <c r="DB99">
        <v>12.2895</v>
      </c>
      <c r="DC99">
        <v>46.564500000000002</v>
      </c>
      <c r="DD99">
        <v>3.8447800000000001</v>
      </c>
      <c r="DE99">
        <v>61.695099999999996</v>
      </c>
      <c r="DF99">
        <v>4.3049099999999996</v>
      </c>
      <c r="DG99">
        <v>48.008400000000002</v>
      </c>
      <c r="DH99">
        <v>48.008400000000002</v>
      </c>
      <c r="DI99">
        <v>7.7656799999999997</v>
      </c>
      <c r="DJ99">
        <v>18.569299999999998</v>
      </c>
      <c r="DK99">
        <v>7.8271499999999997E-3</v>
      </c>
      <c r="DQ99">
        <v>2121.9299999999998</v>
      </c>
      <c r="DR99">
        <v>2089.71</v>
      </c>
      <c r="DS99">
        <v>2101.31</v>
      </c>
      <c r="DT99">
        <v>0.29588300000000001</v>
      </c>
      <c r="DU99">
        <v>0.63953300000000002</v>
      </c>
      <c r="DV99">
        <v>105</v>
      </c>
      <c r="DW99">
        <v>0.65726300000000004</v>
      </c>
      <c r="DX99">
        <v>1546.17</v>
      </c>
      <c r="DY99">
        <v>8.6771100000000004E-2</v>
      </c>
      <c r="DZ99">
        <v>1.91516</v>
      </c>
      <c r="EA99">
        <v>5.5493000000000001E-2</v>
      </c>
      <c r="EB99">
        <v>0.69035400000000002</v>
      </c>
      <c r="EC99">
        <v>0</v>
      </c>
      <c r="ED99">
        <v>4.4652000000000003</v>
      </c>
      <c r="EE99">
        <v>113.871</v>
      </c>
      <c r="EF99">
        <v>2.6313900000000001</v>
      </c>
      <c r="EG99">
        <v>46.648400000000002</v>
      </c>
      <c r="EH99">
        <v>8.4733199999999993</v>
      </c>
      <c r="EI99">
        <v>61.882899999999999</v>
      </c>
      <c r="EJ99">
        <v>12.447100000000001</v>
      </c>
      <c r="EK99">
        <v>29.4831</v>
      </c>
      <c r="EL99">
        <v>29.4831</v>
      </c>
      <c r="EM99">
        <v>3.3017799999999999</v>
      </c>
      <c r="EN99">
        <v>18.667899999999999</v>
      </c>
      <c r="EO99">
        <v>0.496257</v>
      </c>
    </row>
    <row r="100" spans="31:145" x14ac:dyDescent="0.2">
      <c r="AE100" s="94">
        <v>1668.26</v>
      </c>
      <c r="AF100" s="94">
        <v>1636.04</v>
      </c>
      <c r="AG100" s="94">
        <v>4184.25</v>
      </c>
      <c r="AH100" s="94">
        <v>0.238451</v>
      </c>
      <c r="AI100" s="94">
        <v>0.39277899999999999</v>
      </c>
      <c r="AJ100" s="94">
        <v>105</v>
      </c>
      <c r="AK100" s="94">
        <v>0.28351100000000001</v>
      </c>
      <c r="AL100" s="94">
        <v>433.73</v>
      </c>
      <c r="AM100" s="94">
        <v>1.5521200000000001E-2</v>
      </c>
      <c r="AN100" s="94">
        <v>0.65687899999999999</v>
      </c>
      <c r="AO100" s="94">
        <v>6.0964000000000001E-3</v>
      </c>
      <c r="AP100" s="94">
        <v>0.39887099999999998</v>
      </c>
      <c r="AQ100" s="94"/>
      <c r="AR100" s="94">
        <v>2.4517600000000002</v>
      </c>
      <c r="AS100" s="94">
        <v>97.6999</v>
      </c>
      <c r="AT100" s="94">
        <v>1.65876</v>
      </c>
      <c r="AU100" s="94">
        <v>46.860300000000002</v>
      </c>
      <c r="AV100" s="94">
        <v>16.0777</v>
      </c>
      <c r="AW100" s="94">
        <v>62.565600000000003</v>
      </c>
      <c r="AX100" s="94">
        <v>16.7775</v>
      </c>
      <c r="AY100" s="94">
        <v>11.525399999999999</v>
      </c>
      <c r="AZ100" s="94">
        <v>11.525399999999999</v>
      </c>
      <c r="BA100" s="94">
        <v>0.42243700000000001</v>
      </c>
      <c r="BB100" s="94">
        <v>19.0943</v>
      </c>
      <c r="BC100" s="94">
        <v>0.12900500000000001</v>
      </c>
      <c r="BD100" s="94"/>
      <c r="BE100" s="94"/>
      <c r="BF100" s="94"/>
      <c r="BG100" s="94"/>
      <c r="BH100" s="94"/>
      <c r="BI100" s="94">
        <v>1970.7</v>
      </c>
      <c r="BJ100" s="94">
        <v>1938.49</v>
      </c>
      <c r="BK100" s="94">
        <v>1042.76</v>
      </c>
      <c r="BL100" s="94">
        <v>2.9774100000000001E-2</v>
      </c>
      <c r="BM100" s="94">
        <v>3.8878900000000002E-3</v>
      </c>
      <c r="BN100" s="94">
        <v>102</v>
      </c>
      <c r="BO100" s="94">
        <v>0.45959100000000003</v>
      </c>
      <c r="BP100" s="94">
        <v>184.6</v>
      </c>
      <c r="BQ100" s="94">
        <v>1.8115600000000001</v>
      </c>
      <c r="BR100" s="94">
        <v>1.8115600000000001</v>
      </c>
      <c r="BS100" s="94">
        <v>7.0431499999999998E-3</v>
      </c>
      <c r="BT100" s="94">
        <v>1.8045199999999999</v>
      </c>
      <c r="BU100" s="94"/>
      <c r="BV100" s="94">
        <v>7.3324499999999997</v>
      </c>
      <c r="BW100" s="94">
        <v>193.404</v>
      </c>
      <c r="BX100" s="94">
        <v>3.7473900000000002</v>
      </c>
      <c r="BY100" s="94">
        <v>46.639800000000001</v>
      </c>
      <c r="BZ100" s="94">
        <v>4.0545200000000001</v>
      </c>
      <c r="CA100">
        <v>61.813899999999997</v>
      </c>
      <c r="CB100">
        <v>4.2790900000000001</v>
      </c>
      <c r="CC100">
        <v>47.366500000000002</v>
      </c>
      <c r="CD100">
        <v>47.366500000000002</v>
      </c>
      <c r="CE100">
        <v>7.5508300000000004</v>
      </c>
      <c r="CF100">
        <v>18.615500000000001</v>
      </c>
      <c r="CG100">
        <v>3.8378700000000002E-3</v>
      </c>
      <c r="CM100">
        <v>2046.31</v>
      </c>
      <c r="CN100">
        <v>2014.1</v>
      </c>
      <c r="CO100">
        <v>1087.28</v>
      </c>
      <c r="CP100">
        <v>3.0532400000000001E-2</v>
      </c>
      <c r="CQ100">
        <v>7.9655400000000001E-3</v>
      </c>
      <c r="CR100">
        <v>102</v>
      </c>
      <c r="CS100">
        <v>4.3285499999999999</v>
      </c>
      <c r="CT100">
        <v>192.93899999999999</v>
      </c>
      <c r="CU100">
        <v>5.91913</v>
      </c>
      <c r="CV100">
        <v>5.91913</v>
      </c>
      <c r="CW100">
        <v>4.7149099999999999E-2</v>
      </c>
      <c r="CX100">
        <v>5.8719799999999998</v>
      </c>
      <c r="CY100">
        <v>0</v>
      </c>
      <c r="CZ100">
        <v>7.5472900000000003</v>
      </c>
      <c r="DA100">
        <v>192.75</v>
      </c>
      <c r="DB100">
        <v>12.2851</v>
      </c>
      <c r="DC100">
        <v>46.533099999999997</v>
      </c>
      <c r="DD100">
        <v>3.8472599999999999</v>
      </c>
      <c r="DE100">
        <v>61.6449</v>
      </c>
      <c r="DF100">
        <v>4.3076499999999998</v>
      </c>
      <c r="DG100">
        <v>47.838000000000001</v>
      </c>
      <c r="DH100">
        <v>47.838000000000001</v>
      </c>
      <c r="DI100">
        <v>7.7400099999999998</v>
      </c>
      <c r="DJ100">
        <v>18.549399999999999</v>
      </c>
      <c r="DK100">
        <v>7.8322600000000006E-3</v>
      </c>
      <c r="DQ100">
        <v>2197.54</v>
      </c>
      <c r="DR100">
        <v>2165.33</v>
      </c>
      <c r="DS100">
        <v>2175.89</v>
      </c>
      <c r="DT100">
        <v>0.30064299999999999</v>
      </c>
      <c r="DU100">
        <v>0.65123600000000004</v>
      </c>
      <c r="DV100">
        <v>105</v>
      </c>
      <c r="DW100">
        <v>0.670238</v>
      </c>
      <c r="DX100">
        <v>1620.73</v>
      </c>
      <c r="DY100">
        <v>8.5261000000000003E-2</v>
      </c>
      <c r="DZ100">
        <v>1.9250499999999999</v>
      </c>
      <c r="EA100">
        <v>5.5525100000000001E-2</v>
      </c>
      <c r="EB100">
        <v>0.67138799999999998</v>
      </c>
      <c r="EC100">
        <v>0</v>
      </c>
      <c r="ED100">
        <v>4.3649699999999996</v>
      </c>
      <c r="EE100">
        <v>112.416</v>
      </c>
      <c r="EF100">
        <v>2.5973099999999998</v>
      </c>
      <c r="EG100">
        <v>46.623199999999997</v>
      </c>
      <c r="EH100">
        <v>8.7078799999999994</v>
      </c>
      <c r="EI100">
        <v>61.846499999999999</v>
      </c>
      <c r="EJ100">
        <v>12.7669</v>
      </c>
      <c r="EK100">
        <v>28.611999999999998</v>
      </c>
      <c r="EL100">
        <v>28.611999999999998</v>
      </c>
      <c r="EM100">
        <v>3.13252</v>
      </c>
      <c r="EN100">
        <v>18.6554</v>
      </c>
      <c r="EO100">
        <v>0.501583</v>
      </c>
    </row>
    <row r="101" spans="31:145" x14ac:dyDescent="0.2">
      <c r="AE101" s="94">
        <v>1743.87</v>
      </c>
      <c r="AF101" s="94">
        <v>1711.66</v>
      </c>
      <c r="AG101" s="94">
        <v>4243.4799999999996</v>
      </c>
      <c r="AH101" s="94">
        <v>0.23877699999999999</v>
      </c>
      <c r="AI101" s="94">
        <v>0.39365299999999998</v>
      </c>
      <c r="AJ101" s="94">
        <v>105</v>
      </c>
      <c r="AK101" s="94">
        <v>0.28865499999999999</v>
      </c>
      <c r="AL101" s="94">
        <v>492.95800000000003</v>
      </c>
      <c r="AM101" s="94">
        <v>1.54947E-2</v>
      </c>
      <c r="AN101" s="94">
        <v>0.65654400000000002</v>
      </c>
      <c r="AO101" s="94">
        <v>6.0995399999999996E-3</v>
      </c>
      <c r="AP101" s="94">
        <v>0.39809299999999997</v>
      </c>
      <c r="AQ101" s="94"/>
      <c r="AR101" s="94">
        <v>2.4437600000000002</v>
      </c>
      <c r="AS101" s="94">
        <v>97.606499999999997</v>
      </c>
      <c r="AT101" s="94">
        <v>1.6571499999999999</v>
      </c>
      <c r="AU101" s="94">
        <v>46.836100000000002</v>
      </c>
      <c r="AV101" s="94">
        <v>16.108699999999999</v>
      </c>
      <c r="AW101" s="94">
        <v>62.533000000000001</v>
      </c>
      <c r="AX101" s="94">
        <v>16.809200000000001</v>
      </c>
      <c r="AY101" s="94">
        <v>11.4358</v>
      </c>
      <c r="AZ101" s="94">
        <v>11.4358</v>
      </c>
      <c r="BA101" s="94">
        <v>0.41556999999999999</v>
      </c>
      <c r="BB101" s="94">
        <v>19.084199999999999</v>
      </c>
      <c r="BC101" s="94">
        <v>0.14046400000000001</v>
      </c>
      <c r="BD101" s="94"/>
      <c r="BE101" s="94"/>
      <c r="BF101" s="94"/>
      <c r="BG101" s="94"/>
      <c r="BH101" s="94"/>
      <c r="BI101" s="94">
        <v>2046.31</v>
      </c>
      <c r="BJ101" s="94">
        <v>2014.1</v>
      </c>
      <c r="BK101" s="94">
        <v>1050.1500000000001</v>
      </c>
      <c r="BL101" s="94">
        <v>2.97982E-2</v>
      </c>
      <c r="BM101" s="94">
        <v>3.8938800000000002E-3</v>
      </c>
      <c r="BN101" s="94">
        <v>102</v>
      </c>
      <c r="BO101" s="94">
        <v>0.476771</v>
      </c>
      <c r="BP101" s="94">
        <v>191.97499999999999</v>
      </c>
      <c r="BQ101" s="94">
        <v>1.81009</v>
      </c>
      <c r="BR101" s="94">
        <v>1.81009</v>
      </c>
      <c r="BS101" s="94">
        <v>7.0482899999999996E-3</v>
      </c>
      <c r="BT101" s="94">
        <v>1.80305</v>
      </c>
      <c r="BU101" s="94"/>
      <c r="BV101" s="94">
        <v>7.32186</v>
      </c>
      <c r="BW101" s="94">
        <v>193.32599999999999</v>
      </c>
      <c r="BX101" s="94">
        <v>3.74586</v>
      </c>
      <c r="BY101" s="94">
        <v>46.610399999999998</v>
      </c>
      <c r="BZ101" s="94">
        <v>4.05783</v>
      </c>
      <c r="CA101">
        <v>61.7684</v>
      </c>
      <c r="CB101">
        <v>4.2825499999999996</v>
      </c>
      <c r="CC101">
        <v>47.208599999999997</v>
      </c>
      <c r="CD101">
        <v>47.208599999999997</v>
      </c>
      <c r="CE101">
        <v>7.5259400000000003</v>
      </c>
      <c r="CF101">
        <v>18.598299999999998</v>
      </c>
      <c r="CG101">
        <v>3.8399300000000001E-3</v>
      </c>
      <c r="CM101">
        <v>2121.9299999999998</v>
      </c>
      <c r="CN101">
        <v>2089.71</v>
      </c>
      <c r="CO101">
        <v>1094.8499999999999</v>
      </c>
      <c r="CP101">
        <v>3.05495E-2</v>
      </c>
      <c r="CQ101">
        <v>7.9767499999999995E-3</v>
      </c>
      <c r="CR101">
        <v>102</v>
      </c>
      <c r="CS101">
        <v>4.48346</v>
      </c>
      <c r="CT101">
        <v>200.363</v>
      </c>
      <c r="CU101">
        <v>5.9157200000000003</v>
      </c>
      <c r="CV101">
        <v>5.9157200000000003</v>
      </c>
      <c r="CW101">
        <v>4.71882E-2</v>
      </c>
      <c r="CX101">
        <v>5.8685299999999998</v>
      </c>
      <c r="CY101">
        <v>0</v>
      </c>
      <c r="CZ101">
        <v>7.5365500000000001</v>
      </c>
      <c r="DA101">
        <v>192.69399999999999</v>
      </c>
      <c r="DB101">
        <v>12.2812</v>
      </c>
      <c r="DC101">
        <v>46.501100000000001</v>
      </c>
      <c r="DD101">
        <v>3.8492999999999999</v>
      </c>
      <c r="DE101">
        <v>61.592799999999997</v>
      </c>
      <c r="DF101">
        <v>4.3099100000000004</v>
      </c>
      <c r="DG101">
        <v>47.664499999999997</v>
      </c>
      <c r="DH101">
        <v>47.664499999999997</v>
      </c>
      <c r="DI101">
        <v>7.7144500000000003</v>
      </c>
      <c r="DJ101">
        <v>18.528500000000001</v>
      </c>
      <c r="DK101">
        <v>7.8373999999999996E-3</v>
      </c>
      <c r="DQ101">
        <v>2273.15</v>
      </c>
      <c r="DR101">
        <v>2240.94</v>
      </c>
      <c r="DS101">
        <v>2251.62</v>
      </c>
      <c r="DT101">
        <v>0.30526999999999999</v>
      </c>
      <c r="DU101">
        <v>0.66273499999999996</v>
      </c>
      <c r="DV101">
        <v>105</v>
      </c>
      <c r="DW101">
        <v>0.68290399999999996</v>
      </c>
      <c r="DX101">
        <v>1696.45</v>
      </c>
      <c r="DY101">
        <v>8.3831900000000001E-2</v>
      </c>
      <c r="DZ101">
        <v>1.9381999999999999</v>
      </c>
      <c r="EA101">
        <v>5.5558400000000001E-2</v>
      </c>
      <c r="EB101">
        <v>0.65368800000000005</v>
      </c>
      <c r="EC101">
        <v>0</v>
      </c>
      <c r="ED101">
        <v>4.2695100000000004</v>
      </c>
      <c r="EE101">
        <v>111.042</v>
      </c>
      <c r="EF101">
        <v>2.5650900000000001</v>
      </c>
      <c r="EG101">
        <v>46.5974</v>
      </c>
      <c r="EH101">
        <v>8.9385499999999993</v>
      </c>
      <c r="EI101">
        <v>61.808700000000002</v>
      </c>
      <c r="EJ101">
        <v>13.0801</v>
      </c>
      <c r="EK101">
        <v>27.769400000000001</v>
      </c>
      <c r="EL101">
        <v>27.769400000000001</v>
      </c>
      <c r="EM101">
        <v>2.9719500000000001</v>
      </c>
      <c r="EN101">
        <v>18.641999999999999</v>
      </c>
      <c r="EO101">
        <v>0.506938</v>
      </c>
    </row>
    <row r="102" spans="31:145" x14ac:dyDescent="0.2">
      <c r="AE102" s="94">
        <v>1819.48</v>
      </c>
      <c r="AF102" s="94">
        <v>1787.27</v>
      </c>
      <c r="AG102" s="94">
        <v>4302.79</v>
      </c>
      <c r="AH102" s="94">
        <v>0.239094</v>
      </c>
      <c r="AI102" s="94">
        <v>0.39451799999999998</v>
      </c>
      <c r="AJ102" s="94">
        <v>105</v>
      </c>
      <c r="AK102" s="94">
        <v>0.29378700000000002</v>
      </c>
      <c r="AL102" s="94">
        <v>552.26499999999999</v>
      </c>
      <c r="AM102" s="94">
        <v>1.5468900000000001E-2</v>
      </c>
      <c r="AN102" s="94">
        <v>0.65623399999999998</v>
      </c>
      <c r="AO102" s="94">
        <v>6.1027599999999996E-3</v>
      </c>
      <c r="AP102" s="94">
        <v>0.39733800000000002</v>
      </c>
      <c r="AQ102" s="94"/>
      <c r="AR102" s="94">
        <v>2.4358499999999998</v>
      </c>
      <c r="AS102" s="94">
        <v>97.515600000000006</v>
      </c>
      <c r="AT102" s="94">
        <v>1.6555899999999999</v>
      </c>
      <c r="AU102" s="94">
        <v>46.811799999999998</v>
      </c>
      <c r="AV102" s="94">
        <v>16.1389</v>
      </c>
      <c r="AW102" s="94">
        <v>62.499600000000001</v>
      </c>
      <c r="AX102" s="94">
        <v>16.840199999999999</v>
      </c>
      <c r="AY102" s="94">
        <v>11.347099999999999</v>
      </c>
      <c r="AZ102" s="94">
        <v>11.347099999999999</v>
      </c>
      <c r="BA102" s="94">
        <v>0.40888000000000002</v>
      </c>
      <c r="BB102" s="94">
        <v>19.073499999999999</v>
      </c>
      <c r="BC102" s="94">
        <v>0.151008</v>
      </c>
      <c r="BD102" s="94"/>
      <c r="BE102" s="94"/>
      <c r="BF102" s="94"/>
      <c r="BG102" s="94"/>
      <c r="BH102" s="94"/>
      <c r="BI102" s="94">
        <v>2121.9299999999998</v>
      </c>
      <c r="BJ102" s="94">
        <v>2089.71</v>
      </c>
      <c r="BK102" s="94">
        <v>1057.55</v>
      </c>
      <c r="BL102" s="94">
        <v>2.9822100000000001E-2</v>
      </c>
      <c r="BM102" s="94">
        <v>3.8999099999999999E-3</v>
      </c>
      <c r="BN102" s="94">
        <v>102</v>
      </c>
      <c r="BO102" s="94">
        <v>0.493946</v>
      </c>
      <c r="BP102" s="94">
        <v>199.35599999999999</v>
      </c>
      <c r="BQ102" s="94">
        <v>1.80864</v>
      </c>
      <c r="BR102" s="94">
        <v>1.80864</v>
      </c>
      <c r="BS102" s="94">
        <v>7.0535299999999997E-3</v>
      </c>
      <c r="BT102" s="94">
        <v>1.80159</v>
      </c>
      <c r="BU102" s="94"/>
      <c r="BV102" s="94">
        <v>7.3111800000000002</v>
      </c>
      <c r="BW102" s="94">
        <v>193.24799999999999</v>
      </c>
      <c r="BX102" s="94">
        <v>3.7443499999999998</v>
      </c>
      <c r="BY102" s="94">
        <v>46.5807</v>
      </c>
      <c r="BZ102" s="94">
        <v>4.0610900000000001</v>
      </c>
      <c r="CA102">
        <v>61.722000000000001</v>
      </c>
      <c r="CB102">
        <v>4.2859600000000002</v>
      </c>
      <c r="CC102">
        <v>47.048400000000001</v>
      </c>
      <c r="CD102">
        <v>47.048400000000001</v>
      </c>
      <c r="CE102">
        <v>7.5010300000000001</v>
      </c>
      <c r="CF102">
        <v>18.580400000000001</v>
      </c>
      <c r="CG102">
        <v>3.8420699999999999E-3</v>
      </c>
      <c r="CM102">
        <v>2197.54</v>
      </c>
      <c r="CN102">
        <v>2165.33</v>
      </c>
      <c r="CO102">
        <v>1102.44</v>
      </c>
      <c r="CP102">
        <v>3.0562800000000001E-2</v>
      </c>
      <c r="CQ102">
        <v>7.9872099999999998E-3</v>
      </c>
      <c r="CR102">
        <v>102</v>
      </c>
      <c r="CS102">
        <v>4.6383599999999996</v>
      </c>
      <c r="CT102">
        <v>207.78899999999999</v>
      </c>
      <c r="CU102">
        <v>5.9130599999999998</v>
      </c>
      <c r="CV102">
        <v>5.9130599999999998</v>
      </c>
      <c r="CW102">
        <v>4.7228899999999997E-2</v>
      </c>
      <c r="CX102">
        <v>5.8658400000000004</v>
      </c>
      <c r="CY102">
        <v>0</v>
      </c>
      <c r="CZ102">
        <v>7.5261100000000001</v>
      </c>
      <c r="DA102">
        <v>192.65100000000001</v>
      </c>
      <c r="DB102">
        <v>12.2781</v>
      </c>
      <c r="DC102">
        <v>46.468200000000003</v>
      </c>
      <c r="DD102">
        <v>3.8508</v>
      </c>
      <c r="DE102">
        <v>61.538699999999999</v>
      </c>
      <c r="DF102">
        <v>4.3115600000000001</v>
      </c>
      <c r="DG102">
        <v>47.4876</v>
      </c>
      <c r="DH102">
        <v>47.4876</v>
      </c>
      <c r="DI102">
        <v>7.6890499999999999</v>
      </c>
      <c r="DJ102">
        <v>18.506399999999999</v>
      </c>
      <c r="DK102">
        <v>7.8425500000000002E-3</v>
      </c>
      <c r="DQ102">
        <v>2348.7600000000002</v>
      </c>
      <c r="DR102">
        <v>2316.5500000000002</v>
      </c>
      <c r="DS102">
        <v>2328.46</v>
      </c>
      <c r="DT102">
        <v>0.30974400000000002</v>
      </c>
      <c r="DU102">
        <v>0.67398400000000003</v>
      </c>
      <c r="DV102">
        <v>105</v>
      </c>
      <c r="DW102">
        <v>0.69528199999999996</v>
      </c>
      <c r="DX102">
        <v>1773.27</v>
      </c>
      <c r="DY102">
        <v>8.2484699999999994E-2</v>
      </c>
      <c r="DZ102">
        <v>1.95458</v>
      </c>
      <c r="EA102">
        <v>5.5593400000000001E-2</v>
      </c>
      <c r="EB102">
        <v>0.63722299999999998</v>
      </c>
      <c r="EC102">
        <v>0</v>
      </c>
      <c r="ED102">
        <v>4.1788400000000001</v>
      </c>
      <c r="EE102">
        <v>109.748</v>
      </c>
      <c r="EF102">
        <v>2.5347</v>
      </c>
      <c r="EG102">
        <v>46.570599999999999</v>
      </c>
      <c r="EH102">
        <v>9.1638500000000001</v>
      </c>
      <c r="EI102">
        <v>61.768700000000003</v>
      </c>
      <c r="EJ102">
        <v>13.385</v>
      </c>
      <c r="EK102">
        <v>26.9574</v>
      </c>
      <c r="EL102">
        <v>26.9574</v>
      </c>
      <c r="EM102">
        <v>2.8203999999999998</v>
      </c>
      <c r="EN102">
        <v>18.627400000000002</v>
      </c>
      <c r="EO102">
        <v>0.51231000000000004</v>
      </c>
    </row>
    <row r="103" spans="31:145" x14ac:dyDescent="0.2">
      <c r="AE103" s="94">
        <v>1895.09</v>
      </c>
      <c r="AF103" s="94">
        <v>1862.88</v>
      </c>
      <c r="AG103" s="94">
        <v>4362.18</v>
      </c>
      <c r="AH103" s="94">
        <v>0.239403</v>
      </c>
      <c r="AI103" s="94">
        <v>0.39537499999999998</v>
      </c>
      <c r="AJ103" s="94">
        <v>105</v>
      </c>
      <c r="AK103" s="94">
        <v>0.29890699999999998</v>
      </c>
      <c r="AL103" s="94">
        <v>611.64800000000002</v>
      </c>
      <c r="AM103" s="94">
        <v>1.5443699999999999E-2</v>
      </c>
      <c r="AN103" s="94">
        <v>0.65594799999999998</v>
      </c>
      <c r="AO103" s="94">
        <v>6.10606E-3</v>
      </c>
      <c r="AP103" s="94">
        <v>0.39660299999999998</v>
      </c>
      <c r="AQ103" s="94"/>
      <c r="AR103" s="94">
        <v>2.4280400000000002</v>
      </c>
      <c r="AS103" s="94">
        <v>97.427099999999996</v>
      </c>
      <c r="AT103" s="94">
        <v>1.6540699999999999</v>
      </c>
      <c r="AU103" s="94">
        <v>46.787199999999999</v>
      </c>
      <c r="AV103" s="94">
        <v>16.168399999999998</v>
      </c>
      <c r="AW103" s="94">
        <v>62.465499999999999</v>
      </c>
      <c r="AX103" s="94">
        <v>16.8704</v>
      </c>
      <c r="AY103" s="94">
        <v>11.2593</v>
      </c>
      <c r="AZ103" s="94">
        <v>11.2593</v>
      </c>
      <c r="BA103" s="94">
        <v>0.40236100000000002</v>
      </c>
      <c r="BB103" s="94">
        <v>19.0623</v>
      </c>
      <c r="BC103" s="94">
        <v>0.160745</v>
      </c>
      <c r="BD103" s="94"/>
      <c r="BE103" s="94"/>
      <c r="BF103" s="94"/>
      <c r="BG103" s="94"/>
      <c r="BH103" s="94"/>
      <c r="BI103" s="94">
        <v>2197.54</v>
      </c>
      <c r="BJ103" s="94">
        <v>2165.33</v>
      </c>
      <c r="BK103" s="94">
        <v>1064.95</v>
      </c>
      <c r="BL103" s="94">
        <v>2.9845500000000001E-2</v>
      </c>
      <c r="BM103" s="94">
        <v>3.90595E-3</v>
      </c>
      <c r="BN103" s="94">
        <v>102</v>
      </c>
      <c r="BO103" s="94">
        <v>0.51111700000000004</v>
      </c>
      <c r="BP103" s="94">
        <v>206.74199999999999</v>
      </c>
      <c r="BQ103" s="94">
        <v>1.80722</v>
      </c>
      <c r="BR103" s="94">
        <v>1.80722</v>
      </c>
      <c r="BS103" s="94">
        <v>7.05889E-3</v>
      </c>
      <c r="BT103" s="94">
        <v>1.80016</v>
      </c>
      <c r="BU103" s="94"/>
      <c r="BV103" s="94">
        <v>7.3004199999999999</v>
      </c>
      <c r="BW103" s="94">
        <v>193.172</v>
      </c>
      <c r="BX103" s="94">
        <v>3.7428599999999999</v>
      </c>
      <c r="BY103" s="94">
        <v>46.550800000000002</v>
      </c>
      <c r="BZ103" s="94">
        <v>4.0642800000000001</v>
      </c>
      <c r="CA103">
        <v>61.674599999999998</v>
      </c>
      <c r="CB103">
        <v>4.2892999999999999</v>
      </c>
      <c r="CC103">
        <v>46.885899999999999</v>
      </c>
      <c r="CD103">
        <v>46.885899999999999</v>
      </c>
      <c r="CE103">
        <v>7.4761199999999999</v>
      </c>
      <c r="CF103">
        <v>18.561800000000002</v>
      </c>
      <c r="CG103">
        <v>3.84426E-3</v>
      </c>
      <c r="CM103">
        <v>2273.15</v>
      </c>
      <c r="CN103">
        <v>2240.94</v>
      </c>
      <c r="CO103">
        <v>1110.02</v>
      </c>
      <c r="CP103">
        <v>3.0571299999999999E-2</v>
      </c>
      <c r="CQ103">
        <v>7.9966599999999992E-3</v>
      </c>
      <c r="CR103">
        <v>102</v>
      </c>
      <c r="CS103">
        <v>4.7932699999999997</v>
      </c>
      <c r="CT103">
        <v>215.21799999999999</v>
      </c>
      <c r="CU103">
        <v>5.9114000000000004</v>
      </c>
      <c r="CV103">
        <v>5.9114000000000004</v>
      </c>
      <c r="CW103">
        <v>4.7271399999999998E-2</v>
      </c>
      <c r="CX103">
        <v>5.8641199999999998</v>
      </c>
      <c r="CY103">
        <v>0</v>
      </c>
      <c r="CZ103">
        <v>7.5160900000000002</v>
      </c>
      <c r="DA103">
        <v>192.624</v>
      </c>
      <c r="DB103">
        <v>12.2758</v>
      </c>
      <c r="DC103">
        <v>46.434199999999997</v>
      </c>
      <c r="DD103">
        <v>3.8515600000000001</v>
      </c>
      <c r="DE103">
        <v>61.481999999999999</v>
      </c>
      <c r="DF103">
        <v>4.3124099999999999</v>
      </c>
      <c r="DG103">
        <v>47.306600000000003</v>
      </c>
      <c r="DH103">
        <v>47.306600000000003</v>
      </c>
      <c r="DI103">
        <v>7.6638599999999997</v>
      </c>
      <c r="DJ103">
        <v>18.482900000000001</v>
      </c>
      <c r="DK103">
        <v>7.8476699999999993E-3</v>
      </c>
      <c r="DQ103">
        <v>2424.37</v>
      </c>
      <c r="DR103">
        <v>2392.16</v>
      </c>
      <c r="DS103">
        <v>2406.36</v>
      </c>
      <c r="DT103">
        <v>0.314027</v>
      </c>
      <c r="DU103">
        <v>0.68490600000000001</v>
      </c>
      <c r="DV103">
        <v>105</v>
      </c>
      <c r="DW103">
        <v>0.70739099999999999</v>
      </c>
      <c r="DX103">
        <v>1851.16</v>
      </c>
      <c r="DY103">
        <v>8.1224500000000005E-2</v>
      </c>
      <c r="DZ103">
        <v>1.9740599999999999</v>
      </c>
      <c r="EA103">
        <v>5.5631199999999999E-2</v>
      </c>
      <c r="EB103">
        <v>0.62201300000000004</v>
      </c>
      <c r="EC103">
        <v>0</v>
      </c>
      <c r="ED103">
        <v>4.0932300000000001</v>
      </c>
      <c r="EE103">
        <v>108.54</v>
      </c>
      <c r="EF103">
        <v>2.5062199999999999</v>
      </c>
      <c r="EG103">
        <v>46.541899999999998</v>
      </c>
      <c r="EH103">
        <v>9.3812200000000008</v>
      </c>
      <c r="EI103">
        <v>61.724800000000002</v>
      </c>
      <c r="EJ103">
        <v>13.6784</v>
      </c>
      <c r="EK103">
        <v>26.1799</v>
      </c>
      <c r="EL103">
        <v>26.1799</v>
      </c>
      <c r="EM103">
        <v>2.6786699999999999</v>
      </c>
      <c r="EN103">
        <v>18.611000000000001</v>
      </c>
      <c r="EO103">
        <v>0.51768700000000001</v>
      </c>
    </row>
    <row r="104" spans="31:145" x14ac:dyDescent="0.2">
      <c r="AE104" s="94">
        <v>1970.7</v>
      </c>
      <c r="AF104" s="94">
        <v>1938.49</v>
      </c>
      <c r="AG104" s="94">
        <v>4421.6400000000003</v>
      </c>
      <c r="AH104" s="94">
        <v>0.239703</v>
      </c>
      <c r="AI104" s="94">
        <v>0.39622299999999999</v>
      </c>
      <c r="AJ104" s="94">
        <v>105</v>
      </c>
      <c r="AK104" s="94">
        <v>0.30401499999999998</v>
      </c>
      <c r="AL104" s="94">
        <v>671.10699999999997</v>
      </c>
      <c r="AM104" s="94">
        <v>1.5419199999999999E-2</v>
      </c>
      <c r="AN104" s="94">
        <v>0.65568599999999999</v>
      </c>
      <c r="AO104" s="94">
        <v>6.1094399999999998E-3</v>
      </c>
      <c r="AP104" s="94">
        <v>0.39588800000000002</v>
      </c>
      <c r="AQ104" s="94"/>
      <c r="AR104" s="94">
        <v>2.4203100000000002</v>
      </c>
      <c r="AS104" s="94">
        <v>97.340999999999994</v>
      </c>
      <c r="AT104" s="94">
        <v>1.65259</v>
      </c>
      <c r="AU104" s="94">
        <v>46.762500000000003</v>
      </c>
      <c r="AV104" s="94">
        <v>16.197299999999998</v>
      </c>
      <c r="AW104" s="94">
        <v>62.430500000000002</v>
      </c>
      <c r="AX104" s="94">
        <v>16.899899999999999</v>
      </c>
      <c r="AY104" s="94">
        <v>11.1723</v>
      </c>
      <c r="AZ104" s="94">
        <v>11.1723</v>
      </c>
      <c r="BA104" s="94">
        <v>0.39600600000000002</v>
      </c>
      <c r="BB104" s="94">
        <v>19.050599999999999</v>
      </c>
      <c r="BC104" s="94">
        <v>0.169769</v>
      </c>
      <c r="BD104" s="94"/>
      <c r="BE104" s="94"/>
      <c r="BF104" s="94"/>
      <c r="BG104" s="94"/>
      <c r="BH104" s="94"/>
      <c r="BI104" s="94">
        <v>2273.15</v>
      </c>
      <c r="BJ104" s="94">
        <v>2240.94</v>
      </c>
      <c r="BK104" s="94">
        <v>1072.3599999999999</v>
      </c>
      <c r="BL104" s="94">
        <v>2.9867899999999999E-2</v>
      </c>
      <c r="BM104" s="94">
        <v>3.91194E-3</v>
      </c>
      <c r="BN104" s="94">
        <v>102</v>
      </c>
      <c r="BO104" s="94">
        <v>0.528285</v>
      </c>
      <c r="BP104" s="94">
        <v>214.13499999999999</v>
      </c>
      <c r="BQ104" s="94">
        <v>1.80585</v>
      </c>
      <c r="BR104" s="94">
        <v>1.80585</v>
      </c>
      <c r="BS104" s="94">
        <v>7.0643900000000003E-3</v>
      </c>
      <c r="BT104" s="94">
        <v>1.7987899999999999</v>
      </c>
      <c r="BU104" s="94"/>
      <c r="BV104" s="94">
        <v>7.2896700000000001</v>
      </c>
      <c r="BW104" s="94">
        <v>193.09899999999999</v>
      </c>
      <c r="BX104" s="94">
        <v>3.7414000000000001</v>
      </c>
      <c r="BY104" s="94">
        <v>46.520600000000002</v>
      </c>
      <c r="BZ104" s="94">
        <v>4.0672699999999997</v>
      </c>
      <c r="CA104">
        <v>61.625999999999998</v>
      </c>
      <c r="CB104">
        <v>4.2924300000000004</v>
      </c>
      <c r="CC104">
        <v>46.7211</v>
      </c>
      <c r="CD104">
        <v>46.7211</v>
      </c>
      <c r="CE104">
        <v>7.4512700000000001</v>
      </c>
      <c r="CF104">
        <v>18.5425</v>
      </c>
      <c r="CG104">
        <v>3.84651E-3</v>
      </c>
      <c r="CM104">
        <v>2348.7600000000002</v>
      </c>
      <c r="CN104">
        <v>2316.5500000000002</v>
      </c>
      <c r="CO104">
        <v>1117.5999999999999</v>
      </c>
      <c r="CP104">
        <v>3.0573400000000001E-2</v>
      </c>
      <c r="CQ104">
        <v>8.0047599999999997E-3</v>
      </c>
      <c r="CR104">
        <v>102</v>
      </c>
      <c r="CS104">
        <v>4.9482200000000001</v>
      </c>
      <c r="CT104">
        <v>222.64699999999999</v>
      </c>
      <c r="CU104">
        <v>5.9110100000000001</v>
      </c>
      <c r="CV104">
        <v>5.9110100000000001</v>
      </c>
      <c r="CW104">
        <v>4.7316299999999999E-2</v>
      </c>
      <c r="CX104">
        <v>5.8636999999999997</v>
      </c>
      <c r="CY104">
        <v>0</v>
      </c>
      <c r="CZ104">
        <v>7.5066300000000004</v>
      </c>
      <c r="DA104">
        <v>192.61699999999999</v>
      </c>
      <c r="DB104">
        <v>12.274699999999999</v>
      </c>
      <c r="DC104">
        <v>46.398800000000001</v>
      </c>
      <c r="DD104">
        <v>3.8513600000000001</v>
      </c>
      <c r="DE104">
        <v>61.422199999999997</v>
      </c>
      <c r="DF104">
        <v>4.3121999999999998</v>
      </c>
      <c r="DG104">
        <v>47.121000000000002</v>
      </c>
      <c r="DH104">
        <v>47.121000000000002</v>
      </c>
      <c r="DI104">
        <v>7.6389300000000002</v>
      </c>
      <c r="DJ104">
        <v>18.457899999999999</v>
      </c>
      <c r="DK104">
        <v>7.8527200000000005E-3</v>
      </c>
      <c r="DQ104">
        <v>2499.98</v>
      </c>
      <c r="DR104">
        <v>2467.77</v>
      </c>
      <c r="DS104">
        <v>2485.2600000000002</v>
      </c>
      <c r="DT104">
        <v>0.31805499999999998</v>
      </c>
      <c r="DU104">
        <v>0.69536600000000004</v>
      </c>
      <c r="DV104">
        <v>105</v>
      </c>
      <c r="DW104">
        <v>0.71924999999999994</v>
      </c>
      <c r="DX104">
        <v>1930.05</v>
      </c>
      <c r="DY104">
        <v>8.0064200000000002E-2</v>
      </c>
      <c r="DZ104">
        <v>1.9963900000000001</v>
      </c>
      <c r="EA104">
        <v>5.5673899999999998E-2</v>
      </c>
      <c r="EB104">
        <v>0.60816800000000004</v>
      </c>
      <c r="EC104">
        <v>0</v>
      </c>
      <c r="ED104">
        <v>4.0133200000000002</v>
      </c>
      <c r="EE104">
        <v>107.429</v>
      </c>
      <c r="EF104">
        <v>2.4798300000000002</v>
      </c>
      <c r="EG104">
        <v>46.509799999999998</v>
      </c>
      <c r="EH104">
        <v>9.5860500000000002</v>
      </c>
      <c r="EI104">
        <v>61.673900000000003</v>
      </c>
      <c r="EJ104">
        <v>13.954499999999999</v>
      </c>
      <c r="EK104">
        <v>25.443300000000001</v>
      </c>
      <c r="EL104">
        <v>25.443300000000001</v>
      </c>
      <c r="EM104">
        <v>2.5482900000000002</v>
      </c>
      <c r="EN104">
        <v>18.591100000000001</v>
      </c>
      <c r="EO104">
        <v>0.52305599999999997</v>
      </c>
    </row>
    <row r="105" spans="31:145" x14ac:dyDescent="0.2">
      <c r="AE105" s="94">
        <v>2046.31</v>
      </c>
      <c r="AF105" s="94">
        <v>2014.1</v>
      </c>
      <c r="AG105" s="94">
        <v>4481.18</v>
      </c>
      <c r="AH105" s="94">
        <v>0.23999500000000001</v>
      </c>
      <c r="AI105" s="94">
        <v>0.39706399999999997</v>
      </c>
      <c r="AJ105" s="94">
        <v>105</v>
      </c>
      <c r="AK105" s="94">
        <v>0.30911100000000002</v>
      </c>
      <c r="AL105" s="94">
        <v>730.63699999999994</v>
      </c>
      <c r="AM105" s="94">
        <v>1.53952E-2</v>
      </c>
      <c r="AN105" s="94">
        <v>0.65544599999999997</v>
      </c>
      <c r="AO105" s="94">
        <v>6.1129000000000001E-3</v>
      </c>
      <c r="AP105" s="94">
        <v>0.39519199999999999</v>
      </c>
      <c r="AQ105" s="94"/>
      <c r="AR105" s="94">
        <v>2.4126699999999999</v>
      </c>
      <c r="AS105" s="94">
        <v>97.257099999999994</v>
      </c>
      <c r="AT105" s="94">
        <v>1.6511499999999999</v>
      </c>
      <c r="AU105" s="94">
        <v>46.7376</v>
      </c>
      <c r="AV105" s="94">
        <v>16.2254</v>
      </c>
      <c r="AW105" s="94">
        <v>62.394799999999996</v>
      </c>
      <c r="AX105" s="94">
        <v>16.928699999999999</v>
      </c>
      <c r="AY105" s="94">
        <v>11.0861</v>
      </c>
      <c r="AZ105" s="94">
        <v>11.0861</v>
      </c>
      <c r="BA105" s="94">
        <v>0.38980799999999999</v>
      </c>
      <c r="BB105" s="94">
        <v>19.0383</v>
      </c>
      <c r="BC105" s="94">
        <v>0.17815800000000001</v>
      </c>
      <c r="BD105" s="94"/>
      <c r="BE105" s="94"/>
      <c r="BF105" s="94"/>
      <c r="BG105" s="94"/>
      <c r="BH105" s="94"/>
      <c r="BI105" s="94">
        <v>2348.7600000000002</v>
      </c>
      <c r="BJ105" s="94">
        <v>2316.5500000000002</v>
      </c>
      <c r="BK105" s="94">
        <v>1079.77</v>
      </c>
      <c r="BL105" s="94">
        <v>2.9887799999999999E-2</v>
      </c>
      <c r="BM105" s="94">
        <v>3.9176899999999997E-3</v>
      </c>
      <c r="BN105" s="94">
        <v>102</v>
      </c>
      <c r="BO105" s="94">
        <v>0.54544999999999999</v>
      </c>
      <c r="BP105" s="94">
        <v>221.53200000000001</v>
      </c>
      <c r="BQ105" s="94">
        <v>1.8046500000000001</v>
      </c>
      <c r="BR105" s="94">
        <v>1.8046500000000001</v>
      </c>
      <c r="BS105" s="94">
        <v>7.0700600000000004E-3</v>
      </c>
      <c r="BT105" s="94">
        <v>1.79758</v>
      </c>
      <c r="BU105" s="94"/>
      <c r="BV105" s="94">
        <v>7.2790900000000001</v>
      </c>
      <c r="BW105" s="94">
        <v>193.035</v>
      </c>
      <c r="BX105" s="94">
        <v>3.74004</v>
      </c>
      <c r="BY105" s="94">
        <v>46.489600000000003</v>
      </c>
      <c r="BZ105" s="94">
        <v>4.06975</v>
      </c>
      <c r="CA105">
        <v>61.575600000000001</v>
      </c>
      <c r="CB105">
        <v>4.2950400000000002</v>
      </c>
      <c r="CC105">
        <v>46.553600000000003</v>
      </c>
      <c r="CD105">
        <v>46.553600000000003</v>
      </c>
      <c r="CE105">
        <v>7.4266100000000002</v>
      </c>
      <c r="CF105">
        <v>18.522200000000002</v>
      </c>
      <c r="CG105">
        <v>3.8487999999999999E-3</v>
      </c>
      <c r="CM105">
        <v>2424.37</v>
      </c>
      <c r="CN105">
        <v>2392.16</v>
      </c>
      <c r="CO105">
        <v>1125.19</v>
      </c>
      <c r="CP105">
        <v>3.0567199999999999E-2</v>
      </c>
      <c r="CQ105">
        <v>8.0110500000000005E-3</v>
      </c>
      <c r="CR105">
        <v>102</v>
      </c>
      <c r="CS105">
        <v>5.1032599999999997</v>
      </c>
      <c r="CT105">
        <v>230.07499999999999</v>
      </c>
      <c r="CU105">
        <v>5.9123200000000002</v>
      </c>
      <c r="CV105">
        <v>5.9123200000000002</v>
      </c>
      <c r="CW105">
        <v>4.73639E-2</v>
      </c>
      <c r="CX105">
        <v>5.8649500000000003</v>
      </c>
      <c r="CY105">
        <v>0</v>
      </c>
      <c r="CZ105">
        <v>7.4979500000000003</v>
      </c>
      <c r="DA105">
        <v>192.63900000000001</v>
      </c>
      <c r="DB105">
        <v>12.2752</v>
      </c>
      <c r="DC105">
        <v>46.361400000000003</v>
      </c>
      <c r="DD105">
        <v>3.8499099999999999</v>
      </c>
      <c r="DE105">
        <v>61.358400000000003</v>
      </c>
      <c r="DF105">
        <v>4.3106099999999996</v>
      </c>
      <c r="DG105">
        <v>46.929600000000001</v>
      </c>
      <c r="DH105">
        <v>46.929600000000001</v>
      </c>
      <c r="DI105">
        <v>7.6143099999999997</v>
      </c>
      <c r="DJ105">
        <v>18.430800000000001</v>
      </c>
      <c r="DK105">
        <v>7.8576600000000007E-3</v>
      </c>
      <c r="DQ105">
        <v>2571.41</v>
      </c>
      <c r="DR105">
        <v>2539.1999999999998</v>
      </c>
      <c r="DS105">
        <v>2551.4299999999998</v>
      </c>
      <c r="DT105">
        <v>0.28233200000000003</v>
      </c>
      <c r="DU105">
        <v>0.59549099999999999</v>
      </c>
      <c r="DV105">
        <v>105</v>
      </c>
      <c r="DW105">
        <v>0.76438399999999995</v>
      </c>
      <c r="DX105">
        <v>1996.17</v>
      </c>
      <c r="DY105">
        <v>0.166329</v>
      </c>
      <c r="DZ105">
        <v>2.6206900000000002</v>
      </c>
      <c r="EA105">
        <v>9.9047399999999994E-2</v>
      </c>
      <c r="EB105">
        <v>1.06009</v>
      </c>
      <c r="EC105">
        <v>0</v>
      </c>
      <c r="ED105">
        <v>3.9435899999999999</v>
      </c>
      <c r="EE105">
        <v>106.468</v>
      </c>
      <c r="EF105">
        <v>4.3667600000000002</v>
      </c>
      <c r="EG105">
        <v>46.485500000000002</v>
      </c>
      <c r="EH105">
        <v>9.7593700000000005</v>
      </c>
      <c r="EI105">
        <v>61.6357</v>
      </c>
      <c r="EJ105">
        <v>14.1922</v>
      </c>
      <c r="EK105">
        <v>24.8414</v>
      </c>
      <c r="EL105">
        <v>24.8414</v>
      </c>
      <c r="EM105">
        <v>2.44252</v>
      </c>
      <c r="EN105">
        <v>18.5763</v>
      </c>
      <c r="EO105">
        <v>0.52420100000000003</v>
      </c>
    </row>
    <row r="106" spans="31:145" x14ac:dyDescent="0.2">
      <c r="AE106" s="94">
        <v>2121.9299999999998</v>
      </c>
      <c r="AF106" s="94">
        <v>2089.71</v>
      </c>
      <c r="AG106" s="94">
        <v>4540.79</v>
      </c>
      <c r="AH106" s="94">
        <v>0.24027899999999999</v>
      </c>
      <c r="AI106" s="94">
        <v>0.39789799999999997</v>
      </c>
      <c r="AJ106" s="94">
        <v>105</v>
      </c>
      <c r="AK106" s="94">
        <v>0.314197</v>
      </c>
      <c r="AL106" s="94">
        <v>790.23800000000006</v>
      </c>
      <c r="AM106" s="94">
        <v>1.5371900000000001E-2</v>
      </c>
      <c r="AN106" s="94">
        <v>0.65522899999999995</v>
      </c>
      <c r="AO106" s="94">
        <v>6.11643E-3</v>
      </c>
      <c r="AP106" s="94">
        <v>0.394515</v>
      </c>
      <c r="AQ106" s="94"/>
      <c r="AR106" s="94">
        <v>2.4051100000000001</v>
      </c>
      <c r="AS106" s="94">
        <v>97.1755</v>
      </c>
      <c r="AT106" s="94">
        <v>1.64975</v>
      </c>
      <c r="AU106" s="94">
        <v>46.712499999999999</v>
      </c>
      <c r="AV106" s="94">
        <v>16.2529</v>
      </c>
      <c r="AW106" s="94">
        <v>62.3583</v>
      </c>
      <c r="AX106" s="94">
        <v>16.956800000000001</v>
      </c>
      <c r="AY106" s="94">
        <v>11.0006</v>
      </c>
      <c r="AZ106" s="94">
        <v>11.0006</v>
      </c>
      <c r="BA106" s="94">
        <v>0.383766</v>
      </c>
      <c r="BB106" s="94">
        <v>19.025600000000001</v>
      </c>
      <c r="BC106" s="94">
        <v>0.18597900000000001</v>
      </c>
      <c r="BD106" s="94"/>
      <c r="BE106" s="94"/>
      <c r="BF106" s="94"/>
      <c r="BG106" s="94"/>
      <c r="BH106" s="94"/>
      <c r="BI106" s="94">
        <v>2424.37</v>
      </c>
      <c r="BJ106" s="94">
        <v>2392.16</v>
      </c>
      <c r="BK106" s="94">
        <v>1087.19</v>
      </c>
      <c r="BL106" s="94">
        <v>2.9901E-2</v>
      </c>
      <c r="BM106" s="94">
        <v>3.9227400000000001E-3</v>
      </c>
      <c r="BN106" s="94">
        <v>102</v>
      </c>
      <c r="BO106" s="94">
        <v>0.56261700000000003</v>
      </c>
      <c r="BP106" s="94">
        <v>228.93199999999999</v>
      </c>
      <c r="BQ106" s="94">
        <v>1.80385</v>
      </c>
      <c r="BR106" s="94">
        <v>1.80385</v>
      </c>
      <c r="BS106" s="94">
        <v>7.0760500000000004E-3</v>
      </c>
      <c r="BT106" s="94">
        <v>1.79678</v>
      </c>
      <c r="BU106" s="94"/>
      <c r="BV106" s="94">
        <v>7.2691400000000002</v>
      </c>
      <c r="BW106" s="94">
        <v>192.99199999999999</v>
      </c>
      <c r="BX106" s="94">
        <v>3.7389299999999999</v>
      </c>
      <c r="BY106" s="94">
        <v>46.457000000000001</v>
      </c>
      <c r="BZ106" s="94">
        <v>4.0709099999999996</v>
      </c>
      <c r="CA106">
        <v>61.521799999999999</v>
      </c>
      <c r="CB106">
        <v>4.2962699999999998</v>
      </c>
      <c r="CC106">
        <v>46.382199999999997</v>
      </c>
      <c r="CD106">
        <v>46.382199999999997</v>
      </c>
      <c r="CE106">
        <v>7.4024799999999997</v>
      </c>
      <c r="CF106">
        <v>18.5002</v>
      </c>
      <c r="CG106">
        <v>3.85111E-3</v>
      </c>
      <c r="CM106">
        <v>2499.98</v>
      </c>
      <c r="CN106">
        <v>2467.77</v>
      </c>
      <c r="CO106">
        <v>1132.77</v>
      </c>
      <c r="CP106">
        <v>3.0550000000000001E-2</v>
      </c>
      <c r="CQ106">
        <v>8.0149499999999999E-3</v>
      </c>
      <c r="CR106">
        <v>102</v>
      </c>
      <c r="CS106">
        <v>5.2584499999999998</v>
      </c>
      <c r="CT106">
        <v>237.49799999999999</v>
      </c>
      <c r="CU106">
        <v>5.9158299999999997</v>
      </c>
      <c r="CV106">
        <v>5.9158299999999997</v>
      </c>
      <c r="CW106">
        <v>4.7415100000000002E-2</v>
      </c>
      <c r="CX106">
        <v>5.8684200000000004</v>
      </c>
      <c r="CY106">
        <v>0</v>
      </c>
      <c r="CZ106">
        <v>7.4902899999999999</v>
      </c>
      <c r="DA106">
        <v>192.696</v>
      </c>
      <c r="DB106">
        <v>12.2776</v>
      </c>
      <c r="DC106">
        <v>46.321599999999997</v>
      </c>
      <c r="DD106">
        <v>3.8468200000000001</v>
      </c>
      <c r="DE106">
        <v>61.289499999999997</v>
      </c>
      <c r="DF106">
        <v>4.30722</v>
      </c>
      <c r="DG106">
        <v>46.730899999999998</v>
      </c>
      <c r="DH106">
        <v>46.730899999999998</v>
      </c>
      <c r="DI106">
        <v>7.5901100000000001</v>
      </c>
      <c r="DJ106">
        <v>18.401199999999999</v>
      </c>
      <c r="DK106">
        <v>7.8624100000000002E-3</v>
      </c>
      <c r="DQ106">
        <v>2642.84</v>
      </c>
      <c r="DR106">
        <v>2610.63</v>
      </c>
      <c r="DS106">
        <v>2618.27</v>
      </c>
      <c r="DT106">
        <v>0.28525699999999998</v>
      </c>
      <c r="DU106">
        <v>0.60273500000000002</v>
      </c>
      <c r="DV106">
        <v>105</v>
      </c>
      <c r="DW106">
        <v>0.80879100000000004</v>
      </c>
      <c r="DX106">
        <v>2062.9699999999998</v>
      </c>
      <c r="DY106">
        <v>0.164433</v>
      </c>
      <c r="DZ106">
        <v>2.6218599999999999</v>
      </c>
      <c r="EA106">
        <v>9.9109299999999997E-2</v>
      </c>
      <c r="EB106">
        <v>1.0415700000000001</v>
      </c>
      <c r="EC106">
        <v>0</v>
      </c>
      <c r="ED106">
        <v>3.8818000000000001</v>
      </c>
      <c r="EE106">
        <v>105.617</v>
      </c>
      <c r="EF106">
        <v>4.3314599999999999</v>
      </c>
      <c r="EG106">
        <v>46.461100000000002</v>
      </c>
      <c r="EH106">
        <v>9.9299900000000001</v>
      </c>
      <c r="EI106">
        <v>61.596899999999998</v>
      </c>
      <c r="EJ106">
        <v>14.4191</v>
      </c>
      <c r="EK106">
        <v>24.256799999999998</v>
      </c>
      <c r="EL106">
        <v>24.256799999999998</v>
      </c>
      <c r="EM106">
        <v>2.3414000000000001</v>
      </c>
      <c r="EN106">
        <v>18.5611</v>
      </c>
      <c r="EO106">
        <v>0.52542199999999994</v>
      </c>
    </row>
    <row r="107" spans="31:145" x14ac:dyDescent="0.2">
      <c r="AE107" s="94">
        <v>2197.54</v>
      </c>
      <c r="AF107" s="94">
        <v>2165.33</v>
      </c>
      <c r="AG107" s="94">
        <v>4600.46</v>
      </c>
      <c r="AH107" s="94">
        <v>0.24055399999999999</v>
      </c>
      <c r="AI107" s="94">
        <v>0.39872299999999999</v>
      </c>
      <c r="AJ107" s="94">
        <v>105</v>
      </c>
      <c r="AK107" s="94">
        <v>0.319272</v>
      </c>
      <c r="AL107" s="94">
        <v>849.90700000000004</v>
      </c>
      <c r="AM107" s="94">
        <v>1.5349099999999999E-2</v>
      </c>
      <c r="AN107" s="94">
        <v>0.65503599999999995</v>
      </c>
      <c r="AO107" s="94">
        <v>6.1200500000000001E-3</v>
      </c>
      <c r="AP107" s="94">
        <v>0.39385799999999999</v>
      </c>
      <c r="AQ107" s="94"/>
      <c r="AR107" s="94">
        <v>2.39764</v>
      </c>
      <c r="AS107" s="94">
        <v>97.096199999999996</v>
      </c>
      <c r="AT107" s="94">
        <v>1.64838</v>
      </c>
      <c r="AU107" s="94">
        <v>46.687199999999997</v>
      </c>
      <c r="AV107" s="94">
        <v>16.279599999999999</v>
      </c>
      <c r="AW107" s="94">
        <v>62.321100000000001</v>
      </c>
      <c r="AX107" s="94">
        <v>16.984100000000002</v>
      </c>
      <c r="AY107" s="94">
        <v>10.9161</v>
      </c>
      <c r="AZ107" s="94">
        <v>10.9161</v>
      </c>
      <c r="BA107" s="94">
        <v>0.377888</v>
      </c>
      <c r="BB107" s="94">
        <v>19.0123</v>
      </c>
      <c r="BC107" s="94">
        <v>0.19329099999999999</v>
      </c>
      <c r="BD107" s="94"/>
      <c r="BE107" s="94"/>
      <c r="BF107" s="94"/>
      <c r="BG107" s="94"/>
      <c r="BH107" s="94"/>
      <c r="BI107" s="94">
        <v>2499.98</v>
      </c>
      <c r="BJ107" s="94">
        <v>2467.77</v>
      </c>
      <c r="BK107" s="94">
        <v>1094.6099999999999</v>
      </c>
      <c r="BL107" s="94">
        <v>2.9896499999999999E-2</v>
      </c>
      <c r="BM107" s="94">
        <v>3.92582E-3</v>
      </c>
      <c r="BN107" s="94">
        <v>102</v>
      </c>
      <c r="BO107" s="94">
        <v>0.57979599999999998</v>
      </c>
      <c r="BP107" s="94">
        <v>236.33099999999999</v>
      </c>
      <c r="BQ107" s="94">
        <v>1.80413</v>
      </c>
      <c r="BR107" s="94">
        <v>1.80413</v>
      </c>
      <c r="BS107" s="94">
        <v>7.08269E-3</v>
      </c>
      <c r="BT107" s="94">
        <v>1.79705</v>
      </c>
      <c r="BU107" s="94"/>
      <c r="BV107" s="94">
        <v>7.2610299999999999</v>
      </c>
      <c r="BW107" s="94">
        <v>193.00700000000001</v>
      </c>
      <c r="BX107" s="94">
        <v>3.7384499999999998</v>
      </c>
      <c r="BY107" s="94">
        <v>46.419899999999998</v>
      </c>
      <c r="BZ107" s="94">
        <v>4.0685500000000001</v>
      </c>
      <c r="CA107">
        <v>61.460099999999997</v>
      </c>
      <c r="CB107">
        <v>4.2938599999999996</v>
      </c>
      <c r="CC107">
        <v>46.203600000000002</v>
      </c>
      <c r="CD107">
        <v>46.203600000000002</v>
      </c>
      <c r="CE107">
        <v>7.3797600000000001</v>
      </c>
      <c r="CF107">
        <v>18.474699999999999</v>
      </c>
      <c r="CG107">
        <v>3.8533600000000001E-3</v>
      </c>
      <c r="CM107">
        <v>2571.41</v>
      </c>
      <c r="CN107">
        <v>2539.1999999999998</v>
      </c>
      <c r="CO107">
        <v>1140.4100000000001</v>
      </c>
      <c r="CP107">
        <v>3.2624199999999999E-2</v>
      </c>
      <c r="CQ107">
        <v>8.0250300000000007E-3</v>
      </c>
      <c r="CR107">
        <v>102</v>
      </c>
      <c r="CS107">
        <v>5.8887099999999997</v>
      </c>
      <c r="CT107">
        <v>244.512</v>
      </c>
      <c r="CU107">
        <v>10.514099999999999</v>
      </c>
      <c r="CV107">
        <v>10.514099999999999</v>
      </c>
      <c r="CW107">
        <v>8.4376000000000007E-2</v>
      </c>
      <c r="CX107">
        <v>10.4297</v>
      </c>
      <c r="CY107">
        <v>0</v>
      </c>
      <c r="CZ107">
        <v>7.4795800000000003</v>
      </c>
      <c r="DA107">
        <v>192.66900000000001</v>
      </c>
      <c r="DB107">
        <v>21.834499999999998</v>
      </c>
      <c r="DC107">
        <v>46.2928</v>
      </c>
      <c r="DD107">
        <v>3.8521000000000001</v>
      </c>
      <c r="DE107">
        <v>61.238700000000001</v>
      </c>
      <c r="DF107">
        <v>4.3126300000000004</v>
      </c>
      <c r="DG107">
        <v>46.548699999999997</v>
      </c>
      <c r="DH107">
        <v>46.548699999999997</v>
      </c>
      <c r="DI107">
        <v>7.5630499999999996</v>
      </c>
      <c r="DJ107">
        <v>18.379000000000001</v>
      </c>
      <c r="DK107">
        <v>7.8649800000000006E-3</v>
      </c>
      <c r="DQ107">
        <v>2714.27</v>
      </c>
      <c r="DR107">
        <v>2682.06</v>
      </c>
      <c r="DS107">
        <v>2685.79</v>
      </c>
      <c r="DT107">
        <v>0.28811100000000001</v>
      </c>
      <c r="DU107">
        <v>0.60986600000000002</v>
      </c>
      <c r="DV107">
        <v>105</v>
      </c>
      <c r="DW107">
        <v>0.85250300000000001</v>
      </c>
      <c r="DX107">
        <v>2130.4499999999998</v>
      </c>
      <c r="DY107">
        <v>0.16261300000000001</v>
      </c>
      <c r="DZ107">
        <v>2.6246700000000001</v>
      </c>
      <c r="EA107">
        <v>9.9172099999999999E-2</v>
      </c>
      <c r="EB107">
        <v>1.02397</v>
      </c>
      <c r="EC107">
        <v>0</v>
      </c>
      <c r="ED107">
        <v>3.8222299999999998</v>
      </c>
      <c r="EE107">
        <v>104.80200000000001</v>
      </c>
      <c r="EF107">
        <v>4.29765</v>
      </c>
      <c r="EG107">
        <v>46.436500000000002</v>
      </c>
      <c r="EH107">
        <v>10.097799999999999</v>
      </c>
      <c r="EI107">
        <v>61.557600000000001</v>
      </c>
      <c r="EJ107">
        <v>14.6417</v>
      </c>
      <c r="EK107">
        <v>23.689399999999999</v>
      </c>
      <c r="EL107">
        <v>23.689399999999999</v>
      </c>
      <c r="EM107">
        <v>2.2447699999999999</v>
      </c>
      <c r="EN107">
        <v>18.5456</v>
      </c>
      <c r="EO107">
        <v>0.52671599999999996</v>
      </c>
    </row>
    <row r="108" spans="31:145" x14ac:dyDescent="0.2">
      <c r="AE108" s="94">
        <v>2273.15</v>
      </c>
      <c r="AF108" s="94">
        <v>2240.94</v>
      </c>
      <c r="AG108" s="94">
        <v>4660.2</v>
      </c>
      <c r="AH108" s="94">
        <v>0.24081900000000001</v>
      </c>
      <c r="AI108" s="94">
        <v>0.39953499999999997</v>
      </c>
      <c r="AJ108" s="94">
        <v>105</v>
      </c>
      <c r="AK108" s="94">
        <v>0.32433800000000002</v>
      </c>
      <c r="AL108" s="94">
        <v>909.64200000000005</v>
      </c>
      <c r="AM108" s="94">
        <v>1.5327199999999999E-2</v>
      </c>
      <c r="AN108" s="94">
        <v>0.65486900000000003</v>
      </c>
      <c r="AO108" s="94">
        <v>6.1237599999999998E-3</v>
      </c>
      <c r="AP108" s="94">
        <v>0.39322600000000002</v>
      </c>
      <c r="AQ108" s="94"/>
      <c r="AR108" s="94">
        <v>2.3902800000000002</v>
      </c>
      <c r="AS108" s="94">
        <v>97.019900000000007</v>
      </c>
      <c r="AT108" s="94">
        <v>1.64706</v>
      </c>
      <c r="AU108" s="94">
        <v>46.661700000000003</v>
      </c>
      <c r="AV108" s="94">
        <v>16.305199999999999</v>
      </c>
      <c r="AW108" s="94">
        <v>62.282800000000002</v>
      </c>
      <c r="AX108" s="94">
        <v>17.010300000000001</v>
      </c>
      <c r="AY108" s="94">
        <v>10.832800000000001</v>
      </c>
      <c r="AZ108" s="94">
        <v>10.832800000000001</v>
      </c>
      <c r="BA108" s="94">
        <v>0.372201</v>
      </c>
      <c r="BB108" s="94">
        <v>18.9984</v>
      </c>
      <c r="BC108" s="94">
        <v>0.20014399999999999</v>
      </c>
      <c r="BD108" s="94"/>
      <c r="BE108" s="94"/>
      <c r="BF108" s="94"/>
      <c r="BG108" s="94"/>
      <c r="BH108" s="94"/>
      <c r="BI108" s="94">
        <v>2499.98</v>
      </c>
      <c r="BJ108" s="94">
        <v>2467.77</v>
      </c>
      <c r="BK108" s="94">
        <v>4834.25</v>
      </c>
      <c r="BL108" s="94">
        <v>2.9896499999999999E-2</v>
      </c>
      <c r="BM108" s="94"/>
      <c r="BN108" s="94">
        <v>-30</v>
      </c>
      <c r="BO108" s="94">
        <v>0.57979599999999998</v>
      </c>
      <c r="BP108" s="94">
        <v>236.33099999999999</v>
      </c>
      <c r="BQ108" s="94"/>
      <c r="BR108" s="94"/>
      <c r="BS108" s="94">
        <v>11.212999999999999</v>
      </c>
      <c r="BT108" s="94">
        <v>716.78599999999994</v>
      </c>
      <c r="BU108" s="94"/>
      <c r="BV108" s="94"/>
      <c r="BW108" s="94"/>
      <c r="BX108" s="94">
        <v>3004.32</v>
      </c>
      <c r="BY108" s="94">
        <v>46.572400000000002</v>
      </c>
      <c r="BZ108" s="94">
        <v>16.3249</v>
      </c>
      <c r="CA108">
        <v>62.140599999999999</v>
      </c>
      <c r="CB108">
        <v>17.0306</v>
      </c>
      <c r="CC108">
        <v>10.6495</v>
      </c>
      <c r="CD108">
        <v>10.6495</v>
      </c>
      <c r="CE108">
        <v>0.36246800000000001</v>
      </c>
      <c r="CF108">
        <v>18.942399999999999</v>
      </c>
      <c r="CG108">
        <v>3.8533600000000001E-3</v>
      </c>
      <c r="CM108">
        <v>2642.84</v>
      </c>
      <c r="CN108">
        <v>2610.63</v>
      </c>
      <c r="CO108">
        <v>1148.07</v>
      </c>
      <c r="CP108">
        <v>3.2661700000000002E-2</v>
      </c>
      <c r="CQ108">
        <v>8.0426100000000004E-3</v>
      </c>
      <c r="CR108">
        <v>102</v>
      </c>
      <c r="CS108">
        <v>6.5182500000000001</v>
      </c>
      <c r="CT108">
        <v>251.536</v>
      </c>
      <c r="CU108">
        <v>10.4999</v>
      </c>
      <c r="CV108">
        <v>10.4999</v>
      </c>
      <c r="CW108">
        <v>8.4446400000000005E-2</v>
      </c>
      <c r="CX108">
        <v>10.4154</v>
      </c>
      <c r="CY108">
        <v>0</v>
      </c>
      <c r="CZ108">
        <v>7.4652799999999999</v>
      </c>
      <c r="DA108">
        <v>192.53800000000001</v>
      </c>
      <c r="DB108">
        <v>21.819700000000001</v>
      </c>
      <c r="DC108">
        <v>46.2639</v>
      </c>
      <c r="DD108">
        <v>3.85738</v>
      </c>
      <c r="DE108">
        <v>61.1873</v>
      </c>
      <c r="DF108">
        <v>4.31846</v>
      </c>
      <c r="DG108">
        <v>46.365099999999998</v>
      </c>
      <c r="DH108">
        <v>46.365099999999998</v>
      </c>
      <c r="DI108">
        <v>7.5360199999999997</v>
      </c>
      <c r="DJ108">
        <v>18.356300000000001</v>
      </c>
      <c r="DK108">
        <v>7.8677399999999998E-3</v>
      </c>
      <c r="DQ108">
        <v>2785.7</v>
      </c>
      <c r="DR108">
        <v>2753.49</v>
      </c>
      <c r="DS108">
        <v>2753.96</v>
      </c>
      <c r="DT108">
        <v>0.29089399999999999</v>
      </c>
      <c r="DU108">
        <v>0.61688299999999996</v>
      </c>
      <c r="DV108">
        <v>105</v>
      </c>
      <c r="DW108">
        <v>0.89555499999999999</v>
      </c>
      <c r="DX108">
        <v>2198.5700000000002</v>
      </c>
      <c r="DY108">
        <v>0.16086600000000001</v>
      </c>
      <c r="DZ108">
        <v>2.6290499999999999</v>
      </c>
      <c r="EA108">
        <v>9.9235799999999999E-2</v>
      </c>
      <c r="EB108">
        <v>1.0072300000000001</v>
      </c>
      <c r="EC108">
        <v>0</v>
      </c>
      <c r="ED108">
        <v>3.7647900000000001</v>
      </c>
      <c r="EE108">
        <v>104.021</v>
      </c>
      <c r="EF108">
        <v>4.2652599999999996</v>
      </c>
      <c r="EG108">
        <v>46.411799999999999</v>
      </c>
      <c r="EH108">
        <v>10.2629</v>
      </c>
      <c r="EI108">
        <v>61.517800000000001</v>
      </c>
      <c r="EJ108">
        <v>14.8598</v>
      </c>
      <c r="EK108">
        <v>23.1387</v>
      </c>
      <c r="EL108">
        <v>23.1387</v>
      </c>
      <c r="EM108">
        <v>2.1524800000000002</v>
      </c>
      <c r="EN108">
        <v>18.529699999999998</v>
      </c>
      <c r="EO108">
        <v>0.52807599999999999</v>
      </c>
    </row>
    <row r="109" spans="31:145" x14ac:dyDescent="0.2">
      <c r="AE109" s="94">
        <v>2348.7600000000002</v>
      </c>
      <c r="AF109" s="94">
        <v>2316.5500000000002</v>
      </c>
      <c r="AG109" s="94">
        <v>4720</v>
      </c>
      <c r="AH109" s="94">
        <v>0.241065</v>
      </c>
      <c r="AI109" s="94">
        <v>0.40032600000000002</v>
      </c>
      <c r="AJ109" s="94">
        <v>105</v>
      </c>
      <c r="AK109" s="94">
        <v>0.32939299999999999</v>
      </c>
      <c r="AL109" s="94">
        <v>969.43799999999999</v>
      </c>
      <c r="AM109" s="94">
        <v>1.5306500000000001E-2</v>
      </c>
      <c r="AN109" s="94">
        <v>0.65474200000000005</v>
      </c>
      <c r="AO109" s="94">
        <v>6.1275899999999996E-3</v>
      </c>
      <c r="AP109" s="94">
        <v>0.39263199999999998</v>
      </c>
      <c r="AQ109" s="94"/>
      <c r="AR109" s="94">
        <v>2.38313</v>
      </c>
      <c r="AS109" s="94">
        <v>96.9482</v>
      </c>
      <c r="AT109" s="94">
        <v>1.6457900000000001</v>
      </c>
      <c r="AU109" s="94">
        <v>46.6355</v>
      </c>
      <c r="AV109" s="94">
        <v>16.328900000000001</v>
      </c>
      <c r="AW109" s="94">
        <v>62.243200000000002</v>
      </c>
      <c r="AX109" s="94">
        <v>17.034400000000002</v>
      </c>
      <c r="AY109" s="94">
        <v>10.7517</v>
      </c>
      <c r="AZ109" s="94">
        <v>10.7517</v>
      </c>
      <c r="BA109" s="94">
        <v>0.36681399999999997</v>
      </c>
      <c r="BB109" s="94">
        <v>18.983699999999999</v>
      </c>
      <c r="BC109" s="94">
        <v>0.20658099999999999</v>
      </c>
      <c r="BD109" s="94"/>
      <c r="BE109" s="94"/>
      <c r="BF109" s="94"/>
      <c r="BG109" s="94"/>
      <c r="BH109" s="94"/>
      <c r="BI109" s="94">
        <v>2571.4299999999998</v>
      </c>
      <c r="BJ109" s="94">
        <v>2539.1999999999998</v>
      </c>
      <c r="BK109" s="94">
        <v>4885.8</v>
      </c>
      <c r="BL109" s="94">
        <v>0.21998300000000001</v>
      </c>
      <c r="BM109" s="94">
        <v>0.33480900000000002</v>
      </c>
      <c r="BN109" s="94">
        <v>105</v>
      </c>
      <c r="BO109" s="94">
        <v>0.60474700000000003</v>
      </c>
      <c r="BP109" s="94">
        <v>287.858</v>
      </c>
      <c r="BQ109" s="94">
        <v>3.7226599999999999E-2</v>
      </c>
      <c r="BR109" s="94">
        <v>1.1968099999999999</v>
      </c>
      <c r="BS109" s="94">
        <v>1.2463800000000001E-2</v>
      </c>
      <c r="BT109" s="94">
        <v>0.79610800000000004</v>
      </c>
      <c r="BU109" s="94"/>
      <c r="BV109" s="94">
        <v>2.37039</v>
      </c>
      <c r="BW109" s="94">
        <v>96.908000000000001</v>
      </c>
      <c r="BX109" s="94">
        <v>3.3380800000000002</v>
      </c>
      <c r="BY109" s="94">
        <v>46.547699999999999</v>
      </c>
      <c r="BZ109" s="94">
        <v>16.338000000000001</v>
      </c>
      <c r="CA109">
        <v>62.100999999999999</v>
      </c>
      <c r="CB109">
        <v>17.043399999999998</v>
      </c>
      <c r="CC109">
        <v>10.586600000000001</v>
      </c>
      <c r="CD109">
        <v>10.586600000000001</v>
      </c>
      <c r="CE109">
        <v>0.35875400000000002</v>
      </c>
      <c r="CF109">
        <v>18.9267</v>
      </c>
      <c r="CG109">
        <v>9.0830900000000003E-3</v>
      </c>
      <c r="CM109">
        <v>2714.27</v>
      </c>
      <c r="CN109">
        <v>2682.06</v>
      </c>
      <c r="CO109">
        <v>1155.73</v>
      </c>
      <c r="CP109">
        <v>3.2699199999999998E-2</v>
      </c>
      <c r="CQ109">
        <v>8.0602999999999994E-3</v>
      </c>
      <c r="CR109">
        <v>102</v>
      </c>
      <c r="CS109">
        <v>7.1470900000000004</v>
      </c>
      <c r="CT109">
        <v>258.57</v>
      </c>
      <c r="CU109">
        <v>10.4857</v>
      </c>
      <c r="CV109">
        <v>10.4857</v>
      </c>
      <c r="CW109">
        <v>8.4517900000000007E-2</v>
      </c>
      <c r="CX109">
        <v>10.401199999999999</v>
      </c>
      <c r="CY109">
        <v>0</v>
      </c>
      <c r="CZ109">
        <v>7.4509100000000004</v>
      </c>
      <c r="DA109">
        <v>192.40799999999999</v>
      </c>
      <c r="DB109">
        <v>21.8049</v>
      </c>
      <c r="DC109">
        <v>46.234900000000003</v>
      </c>
      <c r="DD109">
        <v>3.86267</v>
      </c>
      <c r="DE109">
        <v>61.135300000000001</v>
      </c>
      <c r="DF109">
        <v>4.3243</v>
      </c>
      <c r="DG109">
        <v>46.180300000000003</v>
      </c>
      <c r="DH109">
        <v>46.180300000000003</v>
      </c>
      <c r="DI109">
        <v>7.5090199999999996</v>
      </c>
      <c r="DJ109">
        <v>18.333100000000002</v>
      </c>
      <c r="DK109">
        <v>7.8706899999999996E-3</v>
      </c>
      <c r="DQ109">
        <v>2857.13</v>
      </c>
      <c r="DR109">
        <v>2824.92</v>
      </c>
      <c r="DS109">
        <v>2822.77</v>
      </c>
      <c r="DT109">
        <v>0.29360599999999998</v>
      </c>
      <c r="DU109">
        <v>0.62378599999999995</v>
      </c>
      <c r="DV109">
        <v>105</v>
      </c>
      <c r="DW109">
        <v>0.93797699999999995</v>
      </c>
      <c r="DX109">
        <v>2267.33</v>
      </c>
      <c r="DY109">
        <v>0.15919</v>
      </c>
      <c r="DZ109">
        <v>2.63496</v>
      </c>
      <c r="EA109">
        <v>9.9300600000000003E-2</v>
      </c>
      <c r="EB109">
        <v>0.991309</v>
      </c>
      <c r="EC109">
        <v>0</v>
      </c>
      <c r="ED109">
        <v>3.7094</v>
      </c>
      <c r="EE109">
        <v>103.273</v>
      </c>
      <c r="EF109">
        <v>4.2342199999999997</v>
      </c>
      <c r="EG109">
        <v>46.387</v>
      </c>
      <c r="EH109">
        <v>10.425000000000001</v>
      </c>
      <c r="EI109">
        <v>61.477400000000003</v>
      </c>
      <c r="EJ109">
        <v>15.0733</v>
      </c>
      <c r="EK109">
        <v>22.604600000000001</v>
      </c>
      <c r="EL109">
        <v>22.604600000000001</v>
      </c>
      <c r="EM109">
        <v>2.0643699999999998</v>
      </c>
      <c r="EN109">
        <v>18.513400000000001</v>
      </c>
      <c r="EO109">
        <v>0.52949900000000005</v>
      </c>
    </row>
    <row r="110" spans="31:145" x14ac:dyDescent="0.2">
      <c r="AE110" s="94">
        <v>2424.37</v>
      </c>
      <c r="AF110" s="94">
        <v>2392.16</v>
      </c>
      <c r="AG110" s="94">
        <v>4779.8500000000004</v>
      </c>
      <c r="AH110" s="94">
        <v>0.24127299999999999</v>
      </c>
      <c r="AI110" s="94">
        <v>0.401059</v>
      </c>
      <c r="AJ110" s="94">
        <v>105</v>
      </c>
      <c r="AK110" s="94">
        <v>0.33444000000000002</v>
      </c>
      <c r="AL110" s="94">
        <v>1029.29</v>
      </c>
      <c r="AM110" s="94">
        <v>1.5288599999999999E-2</v>
      </c>
      <c r="AN110" s="94">
        <v>0.65469299999999997</v>
      </c>
      <c r="AO110" s="94">
        <v>6.1316399999999998E-3</v>
      </c>
      <c r="AP110" s="94">
        <v>0.392123</v>
      </c>
      <c r="AQ110" s="94"/>
      <c r="AR110" s="94">
        <v>2.3764400000000001</v>
      </c>
      <c r="AS110" s="94">
        <v>96.886799999999994</v>
      </c>
      <c r="AT110" s="94">
        <v>1.64463</v>
      </c>
      <c r="AU110" s="94">
        <v>46.6081</v>
      </c>
      <c r="AV110" s="94">
        <v>16.3476</v>
      </c>
      <c r="AW110" s="94">
        <v>62.200600000000001</v>
      </c>
      <c r="AX110" s="94">
        <v>17.053599999999999</v>
      </c>
      <c r="AY110" s="94">
        <v>10.6759</v>
      </c>
      <c r="AZ110" s="94">
        <v>10.6759</v>
      </c>
      <c r="BA110" s="94">
        <v>0.362064</v>
      </c>
      <c r="BB110" s="94">
        <v>18.967400000000001</v>
      </c>
      <c r="BC110" s="94">
        <v>0.212641</v>
      </c>
      <c r="BD110" s="94"/>
      <c r="BE110" s="94"/>
      <c r="BF110" s="94"/>
      <c r="BG110" s="94"/>
      <c r="BH110" s="94"/>
      <c r="BI110" s="94">
        <v>2642.86</v>
      </c>
      <c r="BJ110" s="94">
        <v>2610.63</v>
      </c>
      <c r="BK110" s="94">
        <v>4937.38</v>
      </c>
      <c r="BL110" s="94">
        <v>0.22009799999999999</v>
      </c>
      <c r="BM110" s="94">
        <v>0.33527499999999999</v>
      </c>
      <c r="BN110" s="94">
        <v>105</v>
      </c>
      <c r="BO110" s="94">
        <v>0.62966999999999995</v>
      </c>
      <c r="BP110" s="94">
        <v>339.411</v>
      </c>
      <c r="BQ110" s="94">
        <v>3.7198700000000001E-2</v>
      </c>
      <c r="BR110" s="94">
        <v>1.1967000000000001</v>
      </c>
      <c r="BS110" s="94">
        <v>1.24718E-2</v>
      </c>
      <c r="BT110" s="94">
        <v>0.79547800000000002</v>
      </c>
      <c r="BU110" s="94"/>
      <c r="BV110" s="94">
        <v>2.3652500000000001</v>
      </c>
      <c r="BW110" s="94">
        <v>96.870699999999999</v>
      </c>
      <c r="BX110" s="94">
        <v>3.3367800000000001</v>
      </c>
      <c r="BY110" s="94">
        <v>46.5229</v>
      </c>
      <c r="BZ110" s="94">
        <v>16.3508</v>
      </c>
      <c r="CA110">
        <v>62.0608</v>
      </c>
      <c r="CB110">
        <v>17.0564</v>
      </c>
      <c r="CC110">
        <v>10.5237</v>
      </c>
      <c r="CD110">
        <v>10.5237</v>
      </c>
      <c r="CE110">
        <v>0.35509200000000002</v>
      </c>
      <c r="CF110">
        <v>18.910599999999999</v>
      </c>
      <c r="CG110">
        <v>1.4157400000000001E-2</v>
      </c>
      <c r="CM110">
        <v>2785.7</v>
      </c>
      <c r="CN110">
        <v>2753.49</v>
      </c>
      <c r="CO110">
        <v>1163.4000000000001</v>
      </c>
      <c r="CP110">
        <v>3.2736700000000001E-2</v>
      </c>
      <c r="CQ110">
        <v>8.0781099999999995E-3</v>
      </c>
      <c r="CR110">
        <v>102</v>
      </c>
      <c r="CS110">
        <v>7.7752100000000004</v>
      </c>
      <c r="CT110">
        <v>265.613</v>
      </c>
      <c r="CU110">
        <v>10.471500000000001</v>
      </c>
      <c r="CV110">
        <v>10.471500000000001</v>
      </c>
      <c r="CW110">
        <v>8.4590200000000004E-2</v>
      </c>
      <c r="CX110">
        <v>10.386900000000001</v>
      </c>
      <c r="CY110">
        <v>0</v>
      </c>
      <c r="CZ110">
        <v>7.4364699999999999</v>
      </c>
      <c r="DA110">
        <v>192.27799999999999</v>
      </c>
      <c r="DB110">
        <v>21.790199999999999</v>
      </c>
      <c r="DC110">
        <v>46.206000000000003</v>
      </c>
      <c r="DD110">
        <v>3.8679600000000001</v>
      </c>
      <c r="DE110">
        <v>61.082700000000003</v>
      </c>
      <c r="DF110">
        <v>4.3301499999999997</v>
      </c>
      <c r="DG110">
        <v>45.994100000000003</v>
      </c>
      <c r="DH110">
        <v>45.994100000000003</v>
      </c>
      <c r="DI110">
        <v>7.4820599999999997</v>
      </c>
      <c r="DJ110">
        <v>18.3095</v>
      </c>
      <c r="DK110">
        <v>7.8738200000000001E-3</v>
      </c>
      <c r="DQ110">
        <v>2928.56</v>
      </c>
      <c r="DR110">
        <v>2896.34</v>
      </c>
      <c r="DS110">
        <v>2892.19</v>
      </c>
      <c r="DT110">
        <v>0.29624800000000001</v>
      </c>
      <c r="DU110">
        <v>0.63057099999999999</v>
      </c>
      <c r="DV110">
        <v>105</v>
      </c>
      <c r="DW110">
        <v>0.97979700000000003</v>
      </c>
      <c r="DX110">
        <v>2336.7199999999998</v>
      </c>
      <c r="DY110">
        <v>0.157582</v>
      </c>
      <c r="DZ110">
        <v>2.6423399999999999</v>
      </c>
      <c r="EA110">
        <v>9.9366399999999994E-2</v>
      </c>
      <c r="EB110">
        <v>0.97615600000000002</v>
      </c>
      <c r="EC110">
        <v>0</v>
      </c>
      <c r="ED110">
        <v>3.6559900000000001</v>
      </c>
      <c r="EE110">
        <v>102.556</v>
      </c>
      <c r="EF110">
        <v>4.2044800000000002</v>
      </c>
      <c r="EG110">
        <v>46.361899999999999</v>
      </c>
      <c r="EH110">
        <v>10.584099999999999</v>
      </c>
      <c r="EI110">
        <v>61.436300000000003</v>
      </c>
      <c r="EJ110">
        <v>15.2822</v>
      </c>
      <c r="EK110">
        <v>22.0867</v>
      </c>
      <c r="EL110">
        <v>22.0867</v>
      </c>
      <c r="EM110">
        <v>1.9803200000000001</v>
      </c>
      <c r="EN110">
        <v>18.496700000000001</v>
      </c>
      <c r="EO110">
        <v>0.53097899999999998</v>
      </c>
    </row>
    <row r="111" spans="31:145" x14ac:dyDescent="0.2">
      <c r="AE111" s="94">
        <v>2499.98</v>
      </c>
      <c r="AF111" s="94">
        <v>2467.77</v>
      </c>
      <c r="AG111" s="94">
        <v>4839.7299999999996</v>
      </c>
      <c r="AH111" s="94">
        <v>0.24137400000000001</v>
      </c>
      <c r="AI111" s="94">
        <v>0.40162999999999999</v>
      </c>
      <c r="AJ111" s="94">
        <v>105</v>
      </c>
      <c r="AK111" s="94">
        <v>0.33948099999999998</v>
      </c>
      <c r="AL111" s="94">
        <v>1089.1600000000001</v>
      </c>
      <c r="AM111" s="94">
        <v>1.52783E-2</v>
      </c>
      <c r="AN111" s="94">
        <v>0.65484399999999998</v>
      </c>
      <c r="AO111" s="94">
        <v>6.1362200000000004E-3</v>
      </c>
      <c r="AP111" s="94">
        <v>0.39184000000000002</v>
      </c>
      <c r="AQ111" s="94"/>
      <c r="AR111" s="94">
        <v>2.3710200000000001</v>
      </c>
      <c r="AS111" s="94">
        <v>96.852900000000005</v>
      </c>
      <c r="AT111" s="94">
        <v>1.6437299999999999</v>
      </c>
      <c r="AU111" s="94">
        <v>46.576900000000002</v>
      </c>
      <c r="AV111" s="94">
        <v>16.352599999999999</v>
      </c>
      <c r="AW111" s="94">
        <v>62.150300000000001</v>
      </c>
      <c r="AX111" s="94">
        <v>17.058700000000002</v>
      </c>
      <c r="AY111" s="94">
        <v>10.614699999999999</v>
      </c>
      <c r="AZ111" s="94">
        <v>10.614699999999999</v>
      </c>
      <c r="BA111" s="94">
        <v>0.35897200000000001</v>
      </c>
      <c r="BB111" s="94">
        <v>18.947299999999998</v>
      </c>
      <c r="BC111" s="94">
        <v>0.21835099999999999</v>
      </c>
      <c r="BD111" s="94"/>
      <c r="BE111" s="94"/>
      <c r="BF111" s="94"/>
      <c r="BG111" s="94"/>
      <c r="BH111" s="94"/>
      <c r="BI111" s="94">
        <v>2714.28</v>
      </c>
      <c r="BJ111" s="94">
        <v>2682.06</v>
      </c>
      <c r="BK111" s="94">
        <v>4988.99</v>
      </c>
      <c r="BL111" s="94">
        <v>0.22020999999999999</v>
      </c>
      <c r="BM111" s="94">
        <v>0.33574199999999998</v>
      </c>
      <c r="BN111" s="94">
        <v>105</v>
      </c>
      <c r="BO111" s="94">
        <v>0.65456700000000001</v>
      </c>
      <c r="BP111" s="94">
        <v>390.99</v>
      </c>
      <c r="BQ111" s="94">
        <v>3.7171299999999997E-2</v>
      </c>
      <c r="BR111" s="94">
        <v>1.19661</v>
      </c>
      <c r="BS111" s="94">
        <v>1.248E-2</v>
      </c>
      <c r="BT111" s="94">
        <v>0.79486100000000004</v>
      </c>
      <c r="BU111" s="94"/>
      <c r="BV111" s="94">
        <v>2.3601200000000002</v>
      </c>
      <c r="BW111" s="94">
        <v>96.834199999999996</v>
      </c>
      <c r="BX111" s="94">
        <v>3.3355100000000002</v>
      </c>
      <c r="BY111" s="94">
        <v>46.497900000000001</v>
      </c>
      <c r="BZ111" s="94">
        <v>16.363299999999999</v>
      </c>
      <c r="CA111">
        <v>62.0199</v>
      </c>
      <c r="CB111">
        <v>17.069099999999999</v>
      </c>
      <c r="CC111">
        <v>10.460800000000001</v>
      </c>
      <c r="CD111">
        <v>10.460800000000001</v>
      </c>
      <c r="CE111">
        <v>0.35148000000000001</v>
      </c>
      <c r="CF111">
        <v>18.893999999999998</v>
      </c>
      <c r="CG111">
        <v>1.9083300000000001E-2</v>
      </c>
      <c r="CM111">
        <v>2857.13</v>
      </c>
      <c r="CN111">
        <v>2824.92</v>
      </c>
      <c r="CO111">
        <v>1171.08</v>
      </c>
      <c r="CP111">
        <v>3.2774400000000002E-2</v>
      </c>
      <c r="CQ111">
        <v>8.0960600000000004E-3</v>
      </c>
      <c r="CR111">
        <v>102</v>
      </c>
      <c r="CS111">
        <v>8.4026099999999992</v>
      </c>
      <c r="CT111">
        <v>272.66500000000002</v>
      </c>
      <c r="CU111">
        <v>10.4574</v>
      </c>
      <c r="CV111">
        <v>10.4574</v>
      </c>
      <c r="CW111">
        <v>8.46634E-2</v>
      </c>
      <c r="CX111">
        <v>10.3727</v>
      </c>
      <c r="CY111">
        <v>0</v>
      </c>
      <c r="CZ111">
        <v>7.4219400000000002</v>
      </c>
      <c r="DA111">
        <v>192.148</v>
      </c>
      <c r="DB111">
        <v>21.775500000000001</v>
      </c>
      <c r="DC111">
        <v>46.176900000000003</v>
      </c>
      <c r="DD111">
        <v>3.8732799999999998</v>
      </c>
      <c r="DE111">
        <v>61.029499999999999</v>
      </c>
      <c r="DF111">
        <v>4.3360200000000004</v>
      </c>
      <c r="DG111">
        <v>45.806800000000003</v>
      </c>
      <c r="DH111">
        <v>45.806800000000003</v>
      </c>
      <c r="DI111">
        <v>7.4551299999999996</v>
      </c>
      <c r="DJ111">
        <v>18.285399999999999</v>
      </c>
      <c r="DK111">
        <v>7.8771299999999995E-3</v>
      </c>
      <c r="DQ111">
        <v>2999.98</v>
      </c>
      <c r="DR111">
        <v>2967.77</v>
      </c>
      <c r="DS111">
        <v>2962.22</v>
      </c>
      <c r="DT111">
        <v>0.29881799999999997</v>
      </c>
      <c r="DU111">
        <v>0.637239</v>
      </c>
      <c r="DV111">
        <v>105</v>
      </c>
      <c r="DW111">
        <v>1.0210399999999999</v>
      </c>
      <c r="DX111">
        <v>2406.6999999999998</v>
      </c>
      <c r="DY111">
        <v>0.15603800000000001</v>
      </c>
      <c r="DZ111">
        <v>2.6511499999999999</v>
      </c>
      <c r="EA111">
        <v>9.9433300000000002E-2</v>
      </c>
      <c r="EB111">
        <v>0.96173500000000001</v>
      </c>
      <c r="EC111">
        <v>0</v>
      </c>
      <c r="ED111">
        <v>3.6044800000000001</v>
      </c>
      <c r="EE111">
        <v>101.869</v>
      </c>
      <c r="EF111">
        <v>4.1759899999999996</v>
      </c>
      <c r="EG111">
        <v>46.3367</v>
      </c>
      <c r="EH111">
        <v>10.74</v>
      </c>
      <c r="EI111">
        <v>61.394599999999997</v>
      </c>
      <c r="EJ111">
        <v>15.4864</v>
      </c>
      <c r="EK111">
        <v>21.584800000000001</v>
      </c>
      <c r="EL111">
        <v>21.584800000000001</v>
      </c>
      <c r="EM111">
        <v>1.9001699999999999</v>
      </c>
      <c r="EN111">
        <v>18.479600000000001</v>
      </c>
      <c r="EO111">
        <v>0.53251199999999999</v>
      </c>
    </row>
    <row r="112" spans="31:145" x14ac:dyDescent="0.2">
      <c r="AE112" s="94">
        <v>2571.41</v>
      </c>
      <c r="AF112" s="94">
        <v>2539.1999999999998</v>
      </c>
      <c r="AG112" s="94">
        <v>4891.8100000000004</v>
      </c>
      <c r="AH112" s="94">
        <v>0.22223599999999999</v>
      </c>
      <c r="AI112" s="94">
        <v>0.34149099999999999</v>
      </c>
      <c r="AJ112" s="94">
        <v>105</v>
      </c>
      <c r="AK112" s="94">
        <v>0.35898200000000002</v>
      </c>
      <c r="AL112" s="94">
        <v>1141.22</v>
      </c>
      <c r="AM112" s="94">
        <v>3.1967799999999998E-2</v>
      </c>
      <c r="AN112" s="94">
        <v>1.05724</v>
      </c>
      <c r="AO112" s="94">
        <v>1.09167E-2</v>
      </c>
      <c r="AP112" s="94">
        <v>0.69620300000000002</v>
      </c>
      <c r="AQ112" s="94"/>
      <c r="AR112" s="94">
        <v>2.3661500000000002</v>
      </c>
      <c r="AS112" s="94">
        <v>96.825999999999993</v>
      </c>
      <c r="AT112" s="94">
        <v>2.9217499999999998</v>
      </c>
      <c r="AU112" s="94">
        <v>46.552199999999999</v>
      </c>
      <c r="AV112" s="94">
        <v>16.366399999999999</v>
      </c>
      <c r="AW112" s="94">
        <v>62.110799999999998</v>
      </c>
      <c r="AX112" s="94">
        <v>17.072600000000001</v>
      </c>
      <c r="AY112" s="94">
        <v>10.5509</v>
      </c>
      <c r="AZ112" s="94">
        <v>10.5509</v>
      </c>
      <c r="BA112" s="94">
        <v>0.35518100000000002</v>
      </c>
      <c r="BB112" s="94">
        <v>18.931799999999999</v>
      </c>
      <c r="BC112" s="94">
        <v>0.22029699999999999</v>
      </c>
      <c r="BD112" s="94"/>
      <c r="BE112" s="94"/>
      <c r="BF112" s="94"/>
      <c r="BG112" s="94"/>
      <c r="BH112" s="94"/>
      <c r="BI112" s="94">
        <v>2785.71</v>
      </c>
      <c r="BJ112" s="94">
        <v>2753.48</v>
      </c>
      <c r="BK112" s="94">
        <v>5040.62</v>
      </c>
      <c r="BL112" s="94">
        <v>0.22031899999999999</v>
      </c>
      <c r="BM112" s="94">
        <v>0.33620800000000001</v>
      </c>
      <c r="BN112" s="94">
        <v>105</v>
      </c>
      <c r="BO112" s="94">
        <v>0.67943699999999996</v>
      </c>
      <c r="BP112" s="94">
        <v>442.59500000000003</v>
      </c>
      <c r="BQ112" s="94">
        <v>3.7144400000000001E-2</v>
      </c>
      <c r="BR112" s="94">
        <v>1.19655</v>
      </c>
      <c r="BS112" s="94">
        <v>1.24882E-2</v>
      </c>
      <c r="BT112" s="94">
        <v>0.79425699999999999</v>
      </c>
      <c r="BU112" s="94"/>
      <c r="BV112" s="94">
        <v>2.3549899999999999</v>
      </c>
      <c r="BW112" s="94">
        <v>96.798500000000004</v>
      </c>
      <c r="BX112" s="94">
        <v>3.3342700000000001</v>
      </c>
      <c r="BY112" s="94">
        <v>46.472799999999999</v>
      </c>
      <c r="BZ112" s="94">
        <v>16.375599999999999</v>
      </c>
      <c r="CA112">
        <v>61.978499999999997</v>
      </c>
      <c r="CB112">
        <v>17.081600000000002</v>
      </c>
      <c r="CC112">
        <v>10.398</v>
      </c>
      <c r="CD112">
        <v>10.398</v>
      </c>
      <c r="CE112">
        <v>0.34792000000000001</v>
      </c>
      <c r="CF112">
        <v>18.877099999999999</v>
      </c>
      <c r="CG112">
        <v>2.3867699999999999E-2</v>
      </c>
      <c r="CM112">
        <v>2928.56</v>
      </c>
      <c r="CN112">
        <v>2896.34</v>
      </c>
      <c r="CO112">
        <v>1178.77</v>
      </c>
      <c r="CP112">
        <v>3.28122E-2</v>
      </c>
      <c r="CQ112">
        <v>8.1141500000000005E-3</v>
      </c>
      <c r="CR112">
        <v>102</v>
      </c>
      <c r="CS112">
        <v>9.0293100000000006</v>
      </c>
      <c r="CT112">
        <v>279.72699999999998</v>
      </c>
      <c r="CU112">
        <v>10.443199999999999</v>
      </c>
      <c r="CV112">
        <v>10.443199999999999</v>
      </c>
      <c r="CW112">
        <v>8.4737499999999993E-2</v>
      </c>
      <c r="CX112">
        <v>10.3584</v>
      </c>
      <c r="CY112">
        <v>0</v>
      </c>
      <c r="CZ112">
        <v>7.4073399999999996</v>
      </c>
      <c r="DA112">
        <v>192.018</v>
      </c>
      <c r="DB112">
        <v>21.7607</v>
      </c>
      <c r="DC112">
        <v>46.1479</v>
      </c>
      <c r="DD112">
        <v>3.8786200000000002</v>
      </c>
      <c r="DE112">
        <v>60.975900000000003</v>
      </c>
      <c r="DF112">
        <v>4.3419100000000004</v>
      </c>
      <c r="DG112">
        <v>45.618499999999997</v>
      </c>
      <c r="DH112">
        <v>45.618499999999997</v>
      </c>
      <c r="DI112">
        <v>7.4282300000000001</v>
      </c>
      <c r="DJ112">
        <v>18.260999999999999</v>
      </c>
      <c r="DK112">
        <v>7.8805999999999998E-3</v>
      </c>
      <c r="DQ112">
        <v>3071.41</v>
      </c>
      <c r="DR112">
        <v>3039.2</v>
      </c>
      <c r="DS112">
        <v>3032.83</v>
      </c>
      <c r="DT112">
        <v>0.301317</v>
      </c>
      <c r="DU112">
        <v>0.64378500000000005</v>
      </c>
      <c r="DV112">
        <v>105</v>
      </c>
      <c r="DW112">
        <v>1.0617399999999999</v>
      </c>
      <c r="DX112">
        <v>2477.27</v>
      </c>
      <c r="DY112">
        <v>0.154557</v>
      </c>
      <c r="DZ112">
        <v>2.6613600000000002</v>
      </c>
      <c r="EA112">
        <v>9.9501599999999996E-2</v>
      </c>
      <c r="EB112">
        <v>0.94801500000000005</v>
      </c>
      <c r="EC112">
        <v>0</v>
      </c>
      <c r="ED112">
        <v>3.5548099999999998</v>
      </c>
      <c r="EE112">
        <v>101.212</v>
      </c>
      <c r="EF112">
        <v>4.1487100000000003</v>
      </c>
      <c r="EG112">
        <v>46.311199999999999</v>
      </c>
      <c r="EH112">
        <v>10.8927</v>
      </c>
      <c r="EI112">
        <v>61.3521</v>
      </c>
      <c r="EJ112">
        <v>15.685700000000001</v>
      </c>
      <c r="EK112">
        <v>21.098600000000001</v>
      </c>
      <c r="EL112">
        <v>21.098600000000001</v>
      </c>
      <c r="EM112">
        <v>1.82382</v>
      </c>
      <c r="EN112">
        <v>18.462</v>
      </c>
      <c r="EO112">
        <v>0.53409600000000002</v>
      </c>
    </row>
    <row r="113" spans="31:145" x14ac:dyDescent="0.2">
      <c r="AE113" s="94">
        <v>2642.84</v>
      </c>
      <c r="AF113" s="94">
        <v>2610.63</v>
      </c>
      <c r="AG113" s="94">
        <v>4943.92</v>
      </c>
      <c r="AH113" s="94">
        <v>0.22236</v>
      </c>
      <c r="AI113" s="94">
        <v>0.34198099999999998</v>
      </c>
      <c r="AJ113" s="94">
        <v>105</v>
      </c>
      <c r="AK113" s="94">
        <v>0.37846099999999999</v>
      </c>
      <c r="AL113" s="94">
        <v>1193.31</v>
      </c>
      <c r="AM113" s="94">
        <v>3.1942400000000003E-2</v>
      </c>
      <c r="AN113" s="94">
        <v>1.05714</v>
      </c>
      <c r="AO113" s="94">
        <v>1.09237E-2</v>
      </c>
      <c r="AP113" s="94">
        <v>0.69562100000000004</v>
      </c>
      <c r="AQ113" s="94"/>
      <c r="AR113" s="94">
        <v>2.3609</v>
      </c>
      <c r="AS113" s="94">
        <v>96.786600000000007</v>
      </c>
      <c r="AT113" s="94">
        <v>2.92055</v>
      </c>
      <c r="AU113" s="94">
        <v>46.5274</v>
      </c>
      <c r="AV113" s="94">
        <v>16.38</v>
      </c>
      <c r="AW113" s="94">
        <v>62.070799999999998</v>
      </c>
      <c r="AX113" s="94">
        <v>17.086400000000001</v>
      </c>
      <c r="AY113" s="94">
        <v>10.4871</v>
      </c>
      <c r="AZ113" s="94">
        <v>10.4871</v>
      </c>
      <c r="BA113" s="94">
        <v>0.35144700000000001</v>
      </c>
      <c r="BB113" s="94">
        <v>18.915800000000001</v>
      </c>
      <c r="BC113" s="94">
        <v>0.22219</v>
      </c>
      <c r="BD113" s="94"/>
      <c r="BE113" s="94"/>
      <c r="BF113" s="94"/>
      <c r="BG113" s="94"/>
      <c r="BH113" s="94"/>
      <c r="BI113" s="94">
        <v>2857.14</v>
      </c>
      <c r="BJ113" s="94">
        <v>2824.91</v>
      </c>
      <c r="BK113" s="94">
        <v>5092.2700000000004</v>
      </c>
      <c r="BL113" s="94">
        <v>0.22042500000000001</v>
      </c>
      <c r="BM113" s="94">
        <v>0.33667399999999997</v>
      </c>
      <c r="BN113" s="94">
        <v>105</v>
      </c>
      <c r="BO113" s="94">
        <v>0.70428299999999999</v>
      </c>
      <c r="BP113" s="94">
        <v>494.22500000000002</v>
      </c>
      <c r="BQ113" s="94">
        <v>3.7117999999999998E-2</v>
      </c>
      <c r="BR113" s="94">
        <v>1.1964999999999999</v>
      </c>
      <c r="BS113" s="94">
        <v>1.24966E-2</v>
      </c>
      <c r="BT113" s="94">
        <v>0.79366700000000001</v>
      </c>
      <c r="BU113" s="94"/>
      <c r="BV113" s="94">
        <v>2.3498700000000001</v>
      </c>
      <c r="BW113" s="94">
        <v>96.763599999999997</v>
      </c>
      <c r="BX113" s="94">
        <v>3.3330500000000001</v>
      </c>
      <c r="BY113" s="94">
        <v>46.447600000000001</v>
      </c>
      <c r="BZ113" s="94">
        <v>16.387699999999999</v>
      </c>
      <c r="CA113">
        <v>61.936500000000002</v>
      </c>
      <c r="CB113">
        <v>17.093800000000002</v>
      </c>
      <c r="CC113">
        <v>10.3353</v>
      </c>
      <c r="CD113">
        <v>10.3353</v>
      </c>
      <c r="CE113">
        <v>0.34440900000000002</v>
      </c>
      <c r="CF113">
        <v>18.8597</v>
      </c>
      <c r="CG113">
        <v>2.8516799999999998E-2</v>
      </c>
      <c r="CM113">
        <v>2999.98</v>
      </c>
      <c r="CN113">
        <v>2967.77</v>
      </c>
      <c r="CO113">
        <v>1186.47</v>
      </c>
      <c r="CP113">
        <v>3.2850200000000003E-2</v>
      </c>
      <c r="CQ113">
        <v>8.1324099999999996E-3</v>
      </c>
      <c r="CR113">
        <v>102</v>
      </c>
      <c r="CS113">
        <v>9.6552799999999994</v>
      </c>
      <c r="CT113">
        <v>286.79899999999998</v>
      </c>
      <c r="CU113">
        <v>10.428900000000001</v>
      </c>
      <c r="CV113">
        <v>10.428900000000001</v>
      </c>
      <c r="CW113">
        <v>8.4812299999999993E-2</v>
      </c>
      <c r="CX113">
        <v>10.344099999999999</v>
      </c>
      <c r="CY113">
        <v>0</v>
      </c>
      <c r="CZ113">
        <v>7.3926400000000001</v>
      </c>
      <c r="DA113">
        <v>191.887</v>
      </c>
      <c r="DB113">
        <v>21.745899999999999</v>
      </c>
      <c r="DC113">
        <v>46.119</v>
      </c>
      <c r="DD113">
        <v>3.88401</v>
      </c>
      <c r="DE113">
        <v>60.921900000000001</v>
      </c>
      <c r="DF113">
        <v>4.3478599999999998</v>
      </c>
      <c r="DG113">
        <v>45.429099999999998</v>
      </c>
      <c r="DH113">
        <v>45.429099999999998</v>
      </c>
      <c r="DI113">
        <v>7.4013799999999996</v>
      </c>
      <c r="DJ113">
        <v>18.2361</v>
      </c>
      <c r="DK113">
        <v>7.8842300000000008E-3</v>
      </c>
      <c r="DQ113">
        <v>3142.84</v>
      </c>
      <c r="DR113">
        <v>3110.63</v>
      </c>
      <c r="DS113">
        <v>3104.01</v>
      </c>
      <c r="DT113">
        <v>0.30374000000000001</v>
      </c>
      <c r="DU113">
        <v>0.650204</v>
      </c>
      <c r="DV113">
        <v>105</v>
      </c>
      <c r="DW113">
        <v>1.10192</v>
      </c>
      <c r="DX113">
        <v>2548.41</v>
      </c>
      <c r="DY113">
        <v>0.153139</v>
      </c>
      <c r="DZ113">
        <v>2.6729099999999999</v>
      </c>
      <c r="EA113">
        <v>9.9571400000000004E-2</v>
      </c>
      <c r="EB113">
        <v>0.93497300000000005</v>
      </c>
      <c r="EC113">
        <v>0</v>
      </c>
      <c r="ED113">
        <v>3.5069599999999999</v>
      </c>
      <c r="EE113">
        <v>100.583</v>
      </c>
      <c r="EF113">
        <v>4.1226099999999999</v>
      </c>
      <c r="EG113">
        <v>46.285299999999999</v>
      </c>
      <c r="EH113">
        <v>11.0418</v>
      </c>
      <c r="EI113">
        <v>61.308500000000002</v>
      </c>
      <c r="EJ113">
        <v>15.879799999999999</v>
      </c>
      <c r="EK113">
        <v>20.628</v>
      </c>
      <c r="EL113">
        <v>20.628</v>
      </c>
      <c r="EM113">
        <v>1.7512000000000001</v>
      </c>
      <c r="EN113">
        <v>18.4438</v>
      </c>
      <c r="EO113">
        <v>0.53572500000000001</v>
      </c>
    </row>
    <row r="114" spans="31:145" x14ac:dyDescent="0.2">
      <c r="AE114" s="94">
        <v>2714.27</v>
      </c>
      <c r="AF114" s="94">
        <v>2682.06</v>
      </c>
      <c r="AG114" s="94">
        <v>4996.0600000000004</v>
      </c>
      <c r="AH114" s="94">
        <v>0.22248000000000001</v>
      </c>
      <c r="AI114" s="94">
        <v>0.34247100000000003</v>
      </c>
      <c r="AJ114" s="94">
        <v>105</v>
      </c>
      <c r="AK114" s="94">
        <v>0.39791700000000002</v>
      </c>
      <c r="AL114" s="94">
        <v>1245.43</v>
      </c>
      <c r="AM114" s="94">
        <v>3.1917500000000001E-2</v>
      </c>
      <c r="AN114" s="94">
        <v>1.0570600000000001</v>
      </c>
      <c r="AO114" s="94">
        <v>1.0930799999999999E-2</v>
      </c>
      <c r="AP114" s="94">
        <v>0.69505099999999997</v>
      </c>
      <c r="AQ114" s="94"/>
      <c r="AR114" s="94">
        <v>2.3556599999999999</v>
      </c>
      <c r="AS114" s="94">
        <v>96.748000000000005</v>
      </c>
      <c r="AT114" s="94">
        <v>2.9193799999999999</v>
      </c>
      <c r="AU114" s="94">
        <v>46.502499999999998</v>
      </c>
      <c r="AV114" s="94">
        <v>16.3933</v>
      </c>
      <c r="AW114" s="94">
        <v>62.030200000000001</v>
      </c>
      <c r="AX114" s="94">
        <v>17.099900000000002</v>
      </c>
      <c r="AY114" s="94">
        <v>10.423500000000001</v>
      </c>
      <c r="AZ114" s="94">
        <v>10.423500000000001</v>
      </c>
      <c r="BA114" s="94">
        <v>0.34776499999999999</v>
      </c>
      <c r="BB114" s="94">
        <v>18.8994</v>
      </c>
      <c r="BC114" s="94">
        <v>0.22403200000000001</v>
      </c>
      <c r="BD114" s="94"/>
      <c r="BE114" s="94"/>
      <c r="BF114" s="94"/>
      <c r="BG114" s="94"/>
      <c r="BH114" s="94"/>
      <c r="BI114" s="94">
        <v>2928.56</v>
      </c>
      <c r="BJ114" s="94">
        <v>2896.34</v>
      </c>
      <c r="BK114" s="94">
        <v>5143.95</v>
      </c>
      <c r="BL114" s="94">
        <v>0.220528</v>
      </c>
      <c r="BM114" s="94">
        <v>0.33713900000000002</v>
      </c>
      <c r="BN114" s="94">
        <v>105</v>
      </c>
      <c r="BO114" s="94">
        <v>0.72910399999999997</v>
      </c>
      <c r="BP114" s="94">
        <v>545.88</v>
      </c>
      <c r="BQ114" s="94">
        <v>3.7092100000000003E-2</v>
      </c>
      <c r="BR114" s="94">
        <v>1.1964699999999999</v>
      </c>
      <c r="BS114" s="94">
        <v>1.2505199999999999E-2</v>
      </c>
      <c r="BT114" s="94">
        <v>0.79308999999999996</v>
      </c>
      <c r="BU114" s="94"/>
      <c r="BV114" s="94">
        <v>2.34476</v>
      </c>
      <c r="BW114" s="94">
        <v>96.729500000000002</v>
      </c>
      <c r="BX114" s="94">
        <v>3.3318599999999998</v>
      </c>
      <c r="BY114" s="94">
        <v>46.422199999999997</v>
      </c>
      <c r="BZ114" s="94">
        <v>16.3995</v>
      </c>
      <c r="CA114">
        <v>61.893999999999998</v>
      </c>
      <c r="CB114">
        <v>17.105699999999999</v>
      </c>
      <c r="CC114">
        <v>10.2727</v>
      </c>
      <c r="CD114">
        <v>10.2727</v>
      </c>
      <c r="CE114">
        <v>0.34095199999999998</v>
      </c>
      <c r="CF114">
        <v>18.841999999999999</v>
      </c>
      <c r="CG114">
        <v>3.3036500000000003E-2</v>
      </c>
      <c r="CM114">
        <v>3071.41</v>
      </c>
      <c r="CN114">
        <v>3039.2</v>
      </c>
      <c r="CO114">
        <v>1194.18</v>
      </c>
      <c r="CP114">
        <v>3.28887E-2</v>
      </c>
      <c r="CQ114">
        <v>8.1508499999999994E-3</v>
      </c>
      <c r="CR114">
        <v>102</v>
      </c>
      <c r="CS114">
        <v>10.2805</v>
      </c>
      <c r="CT114">
        <v>293.88</v>
      </c>
      <c r="CU114">
        <v>10.4146</v>
      </c>
      <c r="CV114">
        <v>10.4146</v>
      </c>
      <c r="CW114">
        <v>8.4887900000000002E-2</v>
      </c>
      <c r="CX114">
        <v>10.329700000000001</v>
      </c>
      <c r="CY114">
        <v>0</v>
      </c>
      <c r="CZ114">
        <v>7.3778499999999996</v>
      </c>
      <c r="DA114">
        <v>191.755</v>
      </c>
      <c r="DB114">
        <v>21.731000000000002</v>
      </c>
      <c r="DC114">
        <v>46.09</v>
      </c>
      <c r="DD114">
        <v>3.8894500000000001</v>
      </c>
      <c r="DE114">
        <v>60.867400000000004</v>
      </c>
      <c r="DF114">
        <v>4.3538699999999997</v>
      </c>
      <c r="DG114">
        <v>45.238900000000001</v>
      </c>
      <c r="DH114">
        <v>45.238900000000001</v>
      </c>
      <c r="DI114">
        <v>7.3745399999999997</v>
      </c>
      <c r="DJ114">
        <v>18.210899999999999</v>
      </c>
      <c r="DK114">
        <v>7.8880200000000008E-3</v>
      </c>
      <c r="DQ114">
        <v>3214.27</v>
      </c>
      <c r="DR114">
        <v>3182.06</v>
      </c>
      <c r="DS114">
        <v>3175.74</v>
      </c>
      <c r="DT114">
        <v>0.306085</v>
      </c>
      <c r="DU114">
        <v>0.65648600000000001</v>
      </c>
      <c r="DV114">
        <v>105</v>
      </c>
      <c r="DW114">
        <v>1.1415999999999999</v>
      </c>
      <c r="DX114">
        <v>2620.1</v>
      </c>
      <c r="DY114">
        <v>0.151783</v>
      </c>
      <c r="DZ114">
        <v>2.6857600000000001</v>
      </c>
      <c r="EA114">
        <v>9.9643200000000001E-2</v>
      </c>
      <c r="EB114">
        <v>0.92259599999999997</v>
      </c>
      <c r="EC114">
        <v>0</v>
      </c>
      <c r="ED114">
        <v>3.4609000000000001</v>
      </c>
      <c r="EE114">
        <v>99.983099999999993</v>
      </c>
      <c r="EF114">
        <v>4.0976699999999999</v>
      </c>
      <c r="EG114">
        <v>46.258899999999997</v>
      </c>
      <c r="EH114">
        <v>11.186999999999999</v>
      </c>
      <c r="EI114">
        <v>61.2637</v>
      </c>
      <c r="EJ114">
        <v>16.068200000000001</v>
      </c>
      <c r="EK114">
        <v>20.173100000000002</v>
      </c>
      <c r="EL114">
        <v>20.173100000000002</v>
      </c>
      <c r="EM114">
        <v>1.6822600000000001</v>
      </c>
      <c r="EN114">
        <v>18.424800000000001</v>
      </c>
      <c r="EO114">
        <v>0.53739499999999996</v>
      </c>
    </row>
    <row r="115" spans="31:145" x14ac:dyDescent="0.2">
      <c r="AE115" s="94">
        <v>2785.7</v>
      </c>
      <c r="AF115" s="94">
        <v>2753.49</v>
      </c>
      <c r="AG115" s="94">
        <v>5048.22</v>
      </c>
      <c r="AH115" s="94">
        <v>0.22259799999999999</v>
      </c>
      <c r="AI115" s="94">
        <v>0.34295999999999999</v>
      </c>
      <c r="AJ115" s="94">
        <v>105</v>
      </c>
      <c r="AK115" s="94">
        <v>0.417352</v>
      </c>
      <c r="AL115" s="94">
        <v>1297.57</v>
      </c>
      <c r="AM115" s="94">
        <v>3.1892999999999998E-2</v>
      </c>
      <c r="AN115" s="94">
        <v>1.0569999999999999</v>
      </c>
      <c r="AO115" s="94">
        <v>1.0938E-2</v>
      </c>
      <c r="AP115" s="94">
        <v>0.69449300000000003</v>
      </c>
      <c r="AQ115" s="94"/>
      <c r="AR115" s="94">
        <v>2.3504299999999998</v>
      </c>
      <c r="AS115" s="94">
        <v>96.710300000000004</v>
      </c>
      <c r="AT115" s="94">
        <v>2.9182199999999998</v>
      </c>
      <c r="AU115" s="94">
        <v>46.477400000000003</v>
      </c>
      <c r="AV115" s="94">
        <v>16.406300000000002</v>
      </c>
      <c r="AW115" s="94">
        <v>61.988999999999997</v>
      </c>
      <c r="AX115" s="94">
        <v>17.113099999999999</v>
      </c>
      <c r="AY115" s="94">
        <v>10.3599</v>
      </c>
      <c r="AZ115" s="94">
        <v>10.3599</v>
      </c>
      <c r="BA115" s="94">
        <v>0.344136</v>
      </c>
      <c r="BB115" s="94">
        <v>18.8826</v>
      </c>
      <c r="BC115" s="94">
        <v>0.225827</v>
      </c>
      <c r="BD115" s="94"/>
      <c r="BE115" s="94"/>
      <c r="BF115" s="94"/>
      <c r="BG115" s="94"/>
      <c r="BH115" s="94"/>
      <c r="BI115" s="94">
        <v>2999.99</v>
      </c>
      <c r="BJ115" s="94">
        <v>2967.77</v>
      </c>
      <c r="BK115" s="94">
        <v>5195.6499999999996</v>
      </c>
      <c r="BL115" s="94">
        <v>0.22062799999999999</v>
      </c>
      <c r="BM115" s="94">
        <v>0.33760400000000002</v>
      </c>
      <c r="BN115" s="94">
        <v>105</v>
      </c>
      <c r="BO115" s="94">
        <v>0.75390199999999996</v>
      </c>
      <c r="BP115" s="94">
        <v>597.55700000000002</v>
      </c>
      <c r="BQ115" s="94">
        <v>3.7066700000000001E-2</v>
      </c>
      <c r="BR115" s="94">
        <v>1.1964600000000001</v>
      </c>
      <c r="BS115" s="94">
        <v>1.25138E-2</v>
      </c>
      <c r="BT115" s="94">
        <v>0.79252800000000001</v>
      </c>
      <c r="BU115" s="94"/>
      <c r="BV115" s="94">
        <v>2.3396699999999999</v>
      </c>
      <c r="BW115" s="94">
        <v>96.696299999999994</v>
      </c>
      <c r="BX115" s="94">
        <v>3.3307000000000002</v>
      </c>
      <c r="BY115" s="94">
        <v>46.396700000000003</v>
      </c>
      <c r="BZ115" s="94">
        <v>16.410900000000002</v>
      </c>
      <c r="CA115">
        <v>61.8508</v>
      </c>
      <c r="CB115">
        <v>17.1173</v>
      </c>
      <c r="CC115">
        <v>10.2103</v>
      </c>
      <c r="CD115">
        <v>10.2103</v>
      </c>
      <c r="CE115">
        <v>0.33755000000000002</v>
      </c>
      <c r="CF115">
        <v>18.823899999999998</v>
      </c>
      <c r="CG115">
        <v>3.7432399999999998E-2</v>
      </c>
      <c r="CM115">
        <v>3142.84</v>
      </c>
      <c r="CN115">
        <v>3110.63</v>
      </c>
      <c r="CO115">
        <v>1201.8900000000001</v>
      </c>
      <c r="CP115">
        <v>3.2927600000000001E-2</v>
      </c>
      <c r="CQ115">
        <v>8.1695199999999996E-3</v>
      </c>
      <c r="CR115">
        <v>102</v>
      </c>
      <c r="CS115">
        <v>10.904999999999999</v>
      </c>
      <c r="CT115">
        <v>300.971</v>
      </c>
      <c r="CU115">
        <v>10.4001</v>
      </c>
      <c r="CV115">
        <v>10.4001</v>
      </c>
      <c r="CW115">
        <v>8.4963999999999998E-2</v>
      </c>
      <c r="CX115">
        <v>10.315200000000001</v>
      </c>
      <c r="CY115">
        <v>0</v>
      </c>
      <c r="CZ115">
        <v>7.3629499999999997</v>
      </c>
      <c r="DA115">
        <v>191.62200000000001</v>
      </c>
      <c r="DB115">
        <v>21.716000000000001</v>
      </c>
      <c r="DC115">
        <v>46.061199999999999</v>
      </c>
      <c r="DD115">
        <v>3.8949699999999998</v>
      </c>
      <c r="DE115">
        <v>60.8127</v>
      </c>
      <c r="DF115">
        <v>4.3599600000000001</v>
      </c>
      <c r="DG115">
        <v>45.048000000000002</v>
      </c>
      <c r="DH115">
        <v>45.048000000000002</v>
      </c>
      <c r="DI115">
        <v>7.3477499999999996</v>
      </c>
      <c r="DJ115">
        <v>18.185300000000002</v>
      </c>
      <c r="DK115">
        <v>7.8919699999999999E-3</v>
      </c>
      <c r="DQ115">
        <v>3285.7</v>
      </c>
      <c r="DR115">
        <v>3253.49</v>
      </c>
      <c r="DS115">
        <v>3248</v>
      </c>
      <c r="DT115">
        <v>0.30834299999999998</v>
      </c>
      <c r="DU115">
        <v>0.66261700000000001</v>
      </c>
      <c r="DV115">
        <v>105</v>
      </c>
      <c r="DW115">
        <v>1.1808099999999999</v>
      </c>
      <c r="DX115">
        <v>2692.32</v>
      </c>
      <c r="DY115">
        <v>0.15049100000000001</v>
      </c>
      <c r="DZ115">
        <v>2.6998700000000002</v>
      </c>
      <c r="EA115">
        <v>9.9717799999999995E-2</v>
      </c>
      <c r="EB115">
        <v>0.91088800000000003</v>
      </c>
      <c r="EC115">
        <v>0</v>
      </c>
      <c r="ED115">
        <v>3.4166599999999998</v>
      </c>
      <c r="EE115">
        <v>99.412499999999994</v>
      </c>
      <c r="EF115">
        <v>4.0739099999999997</v>
      </c>
      <c r="EG115">
        <v>46.2318</v>
      </c>
      <c r="EH115">
        <v>11.3276</v>
      </c>
      <c r="EI115">
        <v>61.216900000000003</v>
      </c>
      <c r="EJ115">
        <v>16.2502</v>
      </c>
      <c r="EK115">
        <v>19.734200000000001</v>
      </c>
      <c r="EL115">
        <v>19.734200000000001</v>
      </c>
      <c r="EM115">
        <v>1.6170199999999999</v>
      </c>
      <c r="EN115">
        <v>18.404900000000001</v>
      </c>
      <c r="EO115">
        <v>0.53910400000000003</v>
      </c>
    </row>
    <row r="116" spans="31:145" x14ac:dyDescent="0.2">
      <c r="AE116" s="94">
        <v>2857.13</v>
      </c>
      <c r="AF116" s="94">
        <v>2824.92</v>
      </c>
      <c r="AG116" s="94">
        <v>5100.42</v>
      </c>
      <c r="AH116" s="94">
        <v>0.22271299999999999</v>
      </c>
      <c r="AI116" s="94">
        <v>0.34344799999999998</v>
      </c>
      <c r="AJ116" s="94">
        <v>105</v>
      </c>
      <c r="AK116" s="94">
        <v>0.43676700000000002</v>
      </c>
      <c r="AL116" s="94">
        <v>1349.74</v>
      </c>
      <c r="AM116" s="94">
        <v>3.1868899999999999E-2</v>
      </c>
      <c r="AN116" s="94">
        <v>1.0569599999999999</v>
      </c>
      <c r="AO116" s="94">
        <v>1.09453E-2</v>
      </c>
      <c r="AP116" s="94">
        <v>0.69394599999999995</v>
      </c>
      <c r="AQ116" s="94"/>
      <c r="AR116" s="94">
        <v>2.3452000000000002</v>
      </c>
      <c r="AS116" s="94">
        <v>96.673299999999998</v>
      </c>
      <c r="AT116" s="94">
        <v>2.9171</v>
      </c>
      <c r="AU116" s="94">
        <v>46.452199999999998</v>
      </c>
      <c r="AV116" s="94">
        <v>16.4191</v>
      </c>
      <c r="AW116" s="94">
        <v>61.947200000000002</v>
      </c>
      <c r="AX116" s="94">
        <v>17.126000000000001</v>
      </c>
      <c r="AY116" s="94">
        <v>10.2965</v>
      </c>
      <c r="AZ116" s="94">
        <v>10.2965</v>
      </c>
      <c r="BA116" s="94">
        <v>0.34055999999999997</v>
      </c>
      <c r="BB116" s="94">
        <v>18.865500000000001</v>
      </c>
      <c r="BC116" s="94">
        <v>0.227575</v>
      </c>
      <c r="BD116" s="94"/>
      <c r="BE116" s="94"/>
      <c r="BF116" s="94"/>
      <c r="BG116" s="94"/>
      <c r="BH116" s="94"/>
      <c r="BI116" s="94">
        <v>3071.42</v>
      </c>
      <c r="BJ116" s="94">
        <v>3039.19</v>
      </c>
      <c r="BK116" s="94">
        <v>5247.38</v>
      </c>
      <c r="BL116" s="94">
        <v>0.220723</v>
      </c>
      <c r="BM116" s="94">
        <v>0.33806599999999998</v>
      </c>
      <c r="BN116" s="94">
        <v>105</v>
      </c>
      <c r="BO116" s="94">
        <v>0.77867699999999995</v>
      </c>
      <c r="BP116" s="94">
        <v>649.25699999999995</v>
      </c>
      <c r="BQ116" s="94">
        <v>3.7041999999999999E-2</v>
      </c>
      <c r="BR116" s="94">
        <v>1.1964699999999999</v>
      </c>
      <c r="BS116" s="94">
        <v>1.2522699999999999E-2</v>
      </c>
      <c r="BT116" s="94">
        <v>0.79198500000000005</v>
      </c>
      <c r="BU116" s="94"/>
      <c r="BV116" s="94">
        <v>2.3346</v>
      </c>
      <c r="BW116" s="94">
        <v>96.664100000000005</v>
      </c>
      <c r="BX116" s="94">
        <v>3.32958</v>
      </c>
      <c r="BY116" s="94">
        <v>46.371000000000002</v>
      </c>
      <c r="BZ116" s="94">
        <v>16.422000000000001</v>
      </c>
      <c r="CA116">
        <v>61.806899999999999</v>
      </c>
      <c r="CB116">
        <v>17.128399999999999</v>
      </c>
      <c r="CC116">
        <v>10.148099999999999</v>
      </c>
      <c r="CD116">
        <v>10.148099999999999</v>
      </c>
      <c r="CE116">
        <v>0.33421400000000001</v>
      </c>
      <c r="CF116">
        <v>18.805299999999999</v>
      </c>
      <c r="CG116">
        <v>4.1709900000000001E-2</v>
      </c>
      <c r="CM116">
        <v>3214.27</v>
      </c>
      <c r="CN116">
        <v>3182.06</v>
      </c>
      <c r="CO116">
        <v>1209.6199999999999</v>
      </c>
      <c r="CP116">
        <v>3.2967099999999999E-2</v>
      </c>
      <c r="CQ116">
        <v>8.1884499999999999E-3</v>
      </c>
      <c r="CR116">
        <v>102</v>
      </c>
      <c r="CS116">
        <v>11.5288</v>
      </c>
      <c r="CT116">
        <v>308.07299999999998</v>
      </c>
      <c r="CU116">
        <v>10.3855</v>
      </c>
      <c r="CV116">
        <v>10.3855</v>
      </c>
      <c r="CW116">
        <v>8.50408E-2</v>
      </c>
      <c r="CX116">
        <v>10.3004</v>
      </c>
      <c r="CY116">
        <v>0</v>
      </c>
      <c r="CZ116">
        <v>7.3479299999999999</v>
      </c>
      <c r="DA116">
        <v>191.48699999999999</v>
      </c>
      <c r="DB116">
        <v>21.700800000000001</v>
      </c>
      <c r="DC116">
        <v>46.032400000000003</v>
      </c>
      <c r="DD116">
        <v>3.9005899999999998</v>
      </c>
      <c r="DE116">
        <v>60.7577</v>
      </c>
      <c r="DF116">
        <v>4.3661599999999998</v>
      </c>
      <c r="DG116">
        <v>44.856499999999997</v>
      </c>
      <c r="DH116">
        <v>44.856499999999997</v>
      </c>
      <c r="DI116">
        <v>7.3209900000000001</v>
      </c>
      <c r="DJ116">
        <v>18.159400000000002</v>
      </c>
      <c r="DK116">
        <v>7.8960799999999998E-3</v>
      </c>
      <c r="DQ116">
        <v>3357.13</v>
      </c>
      <c r="DR116">
        <v>3324.92</v>
      </c>
      <c r="DS116">
        <v>3320.76</v>
      </c>
      <c r="DT116">
        <v>0.310502</v>
      </c>
      <c r="DU116">
        <v>0.66857299999999997</v>
      </c>
      <c r="DV116">
        <v>105</v>
      </c>
      <c r="DW116">
        <v>1.21956</v>
      </c>
      <c r="DX116">
        <v>2765.05</v>
      </c>
      <c r="DY116">
        <v>0.14926700000000001</v>
      </c>
      <c r="DZ116">
        <v>2.71515</v>
      </c>
      <c r="EA116">
        <v>9.9796099999999999E-2</v>
      </c>
      <c r="EB116">
        <v>0.89987399999999995</v>
      </c>
      <c r="EC116">
        <v>0</v>
      </c>
      <c r="ED116">
        <v>3.37432</v>
      </c>
      <c r="EE116">
        <v>98.873199999999997</v>
      </c>
      <c r="EF116">
        <v>4.0513899999999996</v>
      </c>
      <c r="EG116">
        <v>46.203400000000002</v>
      </c>
      <c r="EH116">
        <v>11.4626</v>
      </c>
      <c r="EI116">
        <v>61.167499999999997</v>
      </c>
      <c r="EJ116">
        <v>16.424600000000002</v>
      </c>
      <c r="EK116">
        <v>19.311800000000002</v>
      </c>
      <c r="EL116">
        <v>19.311800000000002</v>
      </c>
      <c r="EM116">
        <v>1.5556300000000001</v>
      </c>
      <c r="EN116">
        <v>18.383500000000002</v>
      </c>
      <c r="EO116">
        <v>0.54084699999999997</v>
      </c>
    </row>
    <row r="117" spans="31:145" x14ac:dyDescent="0.2">
      <c r="AE117" s="94">
        <v>2928.56</v>
      </c>
      <c r="AF117" s="94">
        <v>2896.34</v>
      </c>
      <c r="AG117" s="94">
        <v>5152.63</v>
      </c>
      <c r="AH117" s="94">
        <v>0.22282399999999999</v>
      </c>
      <c r="AI117" s="94">
        <v>0.34393699999999999</v>
      </c>
      <c r="AJ117" s="94">
        <v>105</v>
      </c>
      <c r="AK117" s="94">
        <v>0.45616200000000001</v>
      </c>
      <c r="AL117" s="94">
        <v>1401.94</v>
      </c>
      <c r="AM117" s="94">
        <v>3.18453E-2</v>
      </c>
      <c r="AN117" s="94">
        <v>1.0569299999999999</v>
      </c>
      <c r="AO117" s="94">
        <v>1.09528E-2</v>
      </c>
      <c r="AP117" s="94">
        <v>0.69341200000000003</v>
      </c>
      <c r="AQ117" s="94"/>
      <c r="AR117" s="94">
        <v>2.3399899999999998</v>
      </c>
      <c r="AS117" s="94">
        <v>96.637200000000007</v>
      </c>
      <c r="AT117" s="94">
        <v>2.9159899999999999</v>
      </c>
      <c r="AU117" s="94">
        <v>46.426900000000003</v>
      </c>
      <c r="AV117" s="94">
        <v>16.4316</v>
      </c>
      <c r="AW117" s="94">
        <v>61.904899999999998</v>
      </c>
      <c r="AX117" s="94">
        <v>17.1387</v>
      </c>
      <c r="AY117" s="94">
        <v>10.2331</v>
      </c>
      <c r="AZ117" s="94">
        <v>10.2331</v>
      </c>
      <c r="BA117" s="94">
        <v>0.337036</v>
      </c>
      <c r="BB117" s="94">
        <v>18.847899999999999</v>
      </c>
      <c r="BC117" s="94">
        <v>0.22927900000000001</v>
      </c>
      <c r="BD117" s="94"/>
      <c r="BE117" s="94"/>
      <c r="BF117" s="94"/>
      <c r="BG117" s="94"/>
      <c r="BH117" s="94"/>
      <c r="BI117" s="94">
        <v>3142.85</v>
      </c>
      <c r="BJ117" s="94">
        <v>3110.62</v>
      </c>
      <c r="BK117" s="94">
        <v>5299.12</v>
      </c>
      <c r="BL117" s="94">
        <v>0.22081300000000001</v>
      </c>
      <c r="BM117" s="94">
        <v>0.33852500000000002</v>
      </c>
      <c r="BN117" s="94">
        <v>105</v>
      </c>
      <c r="BO117" s="94">
        <v>0.80342999999999998</v>
      </c>
      <c r="BP117" s="94">
        <v>700.97799999999995</v>
      </c>
      <c r="BQ117" s="94">
        <v>3.70184E-2</v>
      </c>
      <c r="BR117" s="94">
        <v>1.19652</v>
      </c>
      <c r="BS117" s="94">
        <v>1.25316E-2</v>
      </c>
      <c r="BT117" s="94">
        <v>0.79146700000000003</v>
      </c>
      <c r="BU117" s="94"/>
      <c r="BV117" s="94">
        <v>2.3295699999999999</v>
      </c>
      <c r="BW117" s="94">
        <v>96.633600000000001</v>
      </c>
      <c r="BX117" s="94">
        <v>3.3284899999999999</v>
      </c>
      <c r="BY117" s="94">
        <v>46.344999999999999</v>
      </c>
      <c r="BZ117" s="94">
        <v>16.432400000000001</v>
      </c>
      <c r="CA117">
        <v>61.7622</v>
      </c>
      <c r="CB117">
        <v>17.138999999999999</v>
      </c>
      <c r="CC117">
        <v>10.0863</v>
      </c>
      <c r="CD117">
        <v>10.0863</v>
      </c>
      <c r="CE117">
        <v>0.33096399999999998</v>
      </c>
      <c r="CF117">
        <v>18.786200000000001</v>
      </c>
      <c r="CG117">
        <v>4.5873700000000003E-2</v>
      </c>
      <c r="CM117">
        <v>3285.7</v>
      </c>
      <c r="CN117">
        <v>3253.49</v>
      </c>
      <c r="CO117">
        <v>1217.3499999999999</v>
      </c>
      <c r="CP117">
        <v>3.3007399999999999E-2</v>
      </c>
      <c r="CQ117">
        <v>8.2076700000000002E-3</v>
      </c>
      <c r="CR117">
        <v>102</v>
      </c>
      <c r="CS117">
        <v>12.1518</v>
      </c>
      <c r="CT117">
        <v>315.18400000000003</v>
      </c>
      <c r="CU117">
        <v>10.3705</v>
      </c>
      <c r="CV117">
        <v>10.3705</v>
      </c>
      <c r="CW117">
        <v>8.5117899999999996E-2</v>
      </c>
      <c r="CX117">
        <v>10.285399999999999</v>
      </c>
      <c r="CY117">
        <v>0</v>
      </c>
      <c r="CZ117">
        <v>7.33277</v>
      </c>
      <c r="DA117">
        <v>191.34899999999999</v>
      </c>
      <c r="DB117">
        <v>21.685300000000002</v>
      </c>
      <c r="DC117">
        <v>46.003900000000002</v>
      </c>
      <c r="DD117">
        <v>3.9063400000000001</v>
      </c>
      <c r="DE117">
        <v>60.702599999999997</v>
      </c>
      <c r="DF117">
        <v>4.3724999999999996</v>
      </c>
      <c r="DG117">
        <v>44.664499999999997</v>
      </c>
      <c r="DH117">
        <v>44.664499999999997</v>
      </c>
      <c r="DI117">
        <v>7.2942499999999999</v>
      </c>
      <c r="DJ117">
        <v>18.133400000000002</v>
      </c>
      <c r="DK117">
        <v>7.9003300000000005E-3</v>
      </c>
      <c r="DQ117">
        <v>3428.56</v>
      </c>
      <c r="DR117">
        <v>3396.34</v>
      </c>
      <c r="DS117">
        <v>3394.01</v>
      </c>
      <c r="DT117">
        <v>0.31254199999999999</v>
      </c>
      <c r="DU117">
        <v>0.67431399999999997</v>
      </c>
      <c r="DV117">
        <v>105</v>
      </c>
      <c r="DW117">
        <v>1.2579</v>
      </c>
      <c r="DX117">
        <v>2838.25</v>
      </c>
      <c r="DY117">
        <v>0.148121</v>
      </c>
      <c r="DZ117">
        <v>2.7315100000000001</v>
      </c>
      <c r="EA117">
        <v>9.9880099999999999E-2</v>
      </c>
      <c r="EB117">
        <v>0.88961400000000002</v>
      </c>
      <c r="EC117">
        <v>0</v>
      </c>
      <c r="ED117">
        <v>3.33406</v>
      </c>
      <c r="EE117">
        <v>98.368700000000004</v>
      </c>
      <c r="EF117">
        <v>4.0302199999999999</v>
      </c>
      <c r="EG117">
        <v>46.173299999999998</v>
      </c>
      <c r="EH117">
        <v>11.5905</v>
      </c>
      <c r="EI117">
        <v>61.113999999999997</v>
      </c>
      <c r="EJ117">
        <v>16.589400000000001</v>
      </c>
      <c r="EK117">
        <v>18.9072</v>
      </c>
      <c r="EL117">
        <v>18.9072</v>
      </c>
      <c r="EM117">
        <v>1.49834</v>
      </c>
      <c r="EN117">
        <v>18.3599</v>
      </c>
      <c r="EO117">
        <v>0.54261999999999999</v>
      </c>
    </row>
    <row r="118" spans="31:145" x14ac:dyDescent="0.2">
      <c r="AE118" s="94">
        <v>2999.98</v>
      </c>
      <c r="AF118" s="94">
        <v>2967.77</v>
      </c>
      <c r="AG118" s="94">
        <v>5204.88</v>
      </c>
      <c r="AH118" s="94">
        <v>0.22293299999999999</v>
      </c>
      <c r="AI118" s="94">
        <v>0.34442400000000001</v>
      </c>
      <c r="AJ118" s="94">
        <v>105</v>
      </c>
      <c r="AK118" s="94">
        <v>0.47553800000000002</v>
      </c>
      <c r="AL118" s="94">
        <v>1454.17</v>
      </c>
      <c r="AM118" s="94">
        <v>3.1822099999999999E-2</v>
      </c>
      <c r="AN118" s="94">
        <v>1.0569200000000001</v>
      </c>
      <c r="AO118" s="94">
        <v>1.0960299999999999E-2</v>
      </c>
      <c r="AP118" s="94">
        <v>0.69289000000000001</v>
      </c>
      <c r="AQ118" s="94"/>
      <c r="AR118" s="94">
        <v>2.3347899999999999</v>
      </c>
      <c r="AS118" s="94">
        <v>96.601900000000001</v>
      </c>
      <c r="AT118" s="94">
        <v>2.91492</v>
      </c>
      <c r="AU118" s="94">
        <v>46.401400000000002</v>
      </c>
      <c r="AV118" s="94">
        <v>16.443899999999999</v>
      </c>
      <c r="AW118" s="94">
        <v>61.862000000000002</v>
      </c>
      <c r="AX118" s="94">
        <v>17.1511</v>
      </c>
      <c r="AY118" s="94">
        <v>10.1699</v>
      </c>
      <c r="AZ118" s="94">
        <v>10.1699</v>
      </c>
      <c r="BA118" s="94">
        <v>0.333565</v>
      </c>
      <c r="BB118" s="94">
        <v>18.829899999999999</v>
      </c>
      <c r="BC118" s="94">
        <v>0.23094100000000001</v>
      </c>
      <c r="BD118" s="94"/>
      <c r="BE118" s="94"/>
      <c r="BF118" s="94"/>
      <c r="BG118" s="94"/>
      <c r="BH118" s="94"/>
      <c r="BI118" s="94">
        <v>3214.27</v>
      </c>
      <c r="BJ118" s="94">
        <v>3182.05</v>
      </c>
      <c r="BK118" s="94">
        <v>5350.89</v>
      </c>
      <c r="BL118" s="94">
        <v>0.22089400000000001</v>
      </c>
      <c r="BM118" s="94">
        <v>0.33897500000000003</v>
      </c>
      <c r="BN118" s="94">
        <v>105</v>
      </c>
      <c r="BO118" s="94">
        <v>0.82816400000000001</v>
      </c>
      <c r="BP118" s="94">
        <v>752.71799999999996</v>
      </c>
      <c r="BQ118" s="94">
        <v>3.6996300000000003E-2</v>
      </c>
      <c r="BR118" s="94">
        <v>1.19661</v>
      </c>
      <c r="BS118" s="94">
        <v>1.25408E-2</v>
      </c>
      <c r="BT118" s="94">
        <v>0.79098800000000002</v>
      </c>
      <c r="BU118" s="94"/>
      <c r="BV118" s="94">
        <v>2.3246099999999998</v>
      </c>
      <c r="BW118" s="94">
        <v>96.605400000000003</v>
      </c>
      <c r="BX118" s="94">
        <v>3.3274699999999999</v>
      </c>
      <c r="BY118" s="94">
        <v>46.3187</v>
      </c>
      <c r="BZ118" s="94">
        <v>16.4419</v>
      </c>
      <c r="CA118">
        <v>61.716500000000003</v>
      </c>
      <c r="CB118">
        <v>17.148499999999999</v>
      </c>
      <c r="CC118">
        <v>10.0253</v>
      </c>
      <c r="CD118">
        <v>10.0253</v>
      </c>
      <c r="CE118">
        <v>0.32784000000000002</v>
      </c>
      <c r="CF118">
        <v>18.766400000000001</v>
      </c>
      <c r="CG118">
        <v>4.9928599999999997E-2</v>
      </c>
      <c r="CM118">
        <v>3357.13</v>
      </c>
      <c r="CN118">
        <v>3324.92</v>
      </c>
      <c r="CO118">
        <v>1225.0999999999999</v>
      </c>
      <c r="CP118">
        <v>3.3048800000000003E-2</v>
      </c>
      <c r="CQ118">
        <v>8.2272400000000002E-3</v>
      </c>
      <c r="CR118">
        <v>102</v>
      </c>
      <c r="CS118">
        <v>12.773999999999999</v>
      </c>
      <c r="CT118">
        <v>322.30599999999998</v>
      </c>
      <c r="CU118">
        <v>10.3553</v>
      </c>
      <c r="CV118">
        <v>10.3553</v>
      </c>
      <c r="CW118">
        <v>8.5195199999999999E-2</v>
      </c>
      <c r="CX118">
        <v>10.270099999999999</v>
      </c>
      <c r="CY118">
        <v>0</v>
      </c>
      <c r="CZ118">
        <v>7.3174700000000001</v>
      </c>
      <c r="DA118">
        <v>191.208</v>
      </c>
      <c r="DB118">
        <v>21.669599999999999</v>
      </c>
      <c r="DC118">
        <v>45.975499999999997</v>
      </c>
      <c r="DD118">
        <v>3.9122499999999998</v>
      </c>
      <c r="DE118">
        <v>60.647399999999998</v>
      </c>
      <c r="DF118">
        <v>4.3790300000000002</v>
      </c>
      <c r="DG118">
        <v>44.4724</v>
      </c>
      <c r="DH118">
        <v>44.4724</v>
      </c>
      <c r="DI118">
        <v>7.2675299999999998</v>
      </c>
      <c r="DJ118">
        <v>18.107099999999999</v>
      </c>
      <c r="DK118">
        <v>7.9047300000000004E-3</v>
      </c>
      <c r="DQ118">
        <v>3499.98</v>
      </c>
      <c r="DR118">
        <v>3467.77</v>
      </c>
      <c r="DS118">
        <v>3467.69</v>
      </c>
      <c r="DT118">
        <v>0.31442999999999999</v>
      </c>
      <c r="DU118">
        <v>0.67978099999999997</v>
      </c>
      <c r="DV118">
        <v>105</v>
      </c>
      <c r="DW118">
        <v>1.29583</v>
      </c>
      <c r="DX118">
        <v>2911.9</v>
      </c>
      <c r="DY118">
        <v>0.147066</v>
      </c>
      <c r="DZ118">
        <v>2.7488000000000001</v>
      </c>
      <c r="EA118">
        <v>9.9972599999999995E-2</v>
      </c>
      <c r="EB118">
        <v>0.88021700000000003</v>
      </c>
      <c r="EC118">
        <v>0</v>
      </c>
      <c r="ED118">
        <v>3.29616</v>
      </c>
      <c r="EE118">
        <v>97.905100000000004</v>
      </c>
      <c r="EF118">
        <v>4.0106000000000002</v>
      </c>
      <c r="EG118">
        <v>46.1404</v>
      </c>
      <c r="EH118">
        <v>11.7088</v>
      </c>
      <c r="EI118">
        <v>61.054400000000001</v>
      </c>
      <c r="EJ118">
        <v>16.741700000000002</v>
      </c>
      <c r="EK118">
        <v>18.522400000000001</v>
      </c>
      <c r="EL118">
        <v>18.522400000000001</v>
      </c>
      <c r="EM118">
        <v>1.44567</v>
      </c>
      <c r="EN118">
        <v>18.333100000000002</v>
      </c>
      <c r="EO118">
        <v>0.54441799999999996</v>
      </c>
    </row>
    <row r="119" spans="31:145" x14ac:dyDescent="0.2">
      <c r="AE119" s="94">
        <v>3071.41</v>
      </c>
      <c r="AF119" s="94">
        <v>3039.2</v>
      </c>
      <c r="AG119" s="94">
        <v>5257.14</v>
      </c>
      <c r="AH119" s="94">
        <v>0.22303799999999999</v>
      </c>
      <c r="AI119" s="94">
        <v>0.34491100000000002</v>
      </c>
      <c r="AJ119" s="94">
        <v>105</v>
      </c>
      <c r="AK119" s="94">
        <v>0.494894</v>
      </c>
      <c r="AL119" s="94">
        <v>1506.41</v>
      </c>
      <c r="AM119" s="94">
        <v>3.1799500000000001E-2</v>
      </c>
      <c r="AN119" s="94">
        <v>1.0569299999999999</v>
      </c>
      <c r="AO119" s="94">
        <v>1.0968E-2</v>
      </c>
      <c r="AP119" s="94">
        <v>0.69238200000000005</v>
      </c>
      <c r="AQ119" s="94"/>
      <c r="AR119" s="94">
        <v>2.3296100000000002</v>
      </c>
      <c r="AS119" s="94">
        <v>96.567499999999995</v>
      </c>
      <c r="AT119" s="94">
        <v>2.9138700000000002</v>
      </c>
      <c r="AU119" s="94">
        <v>46.375799999999998</v>
      </c>
      <c r="AV119" s="94">
        <v>16.4558</v>
      </c>
      <c r="AW119" s="94">
        <v>61.818399999999997</v>
      </c>
      <c r="AX119" s="94">
        <v>17.1631</v>
      </c>
      <c r="AY119" s="94">
        <v>10.1069</v>
      </c>
      <c r="AZ119" s="94">
        <v>10.1069</v>
      </c>
      <c r="BA119" s="94">
        <v>0.33015499999999998</v>
      </c>
      <c r="BB119" s="94">
        <v>18.811499999999999</v>
      </c>
      <c r="BC119" s="94">
        <v>0.23256199999999999</v>
      </c>
      <c r="BD119" s="94"/>
      <c r="BE119" s="94"/>
      <c r="BF119" s="94"/>
      <c r="BG119" s="94"/>
      <c r="BH119" s="94"/>
      <c r="BI119" s="94">
        <v>3285.7</v>
      </c>
      <c r="BJ119" s="94">
        <v>3253.48</v>
      </c>
      <c r="BK119" s="94">
        <v>5402.67</v>
      </c>
      <c r="BL119" s="94">
        <v>0.22095999999999999</v>
      </c>
      <c r="BM119" s="94">
        <v>0.33940799999999999</v>
      </c>
      <c r="BN119" s="94">
        <v>105</v>
      </c>
      <c r="BO119" s="94">
        <v>0.85287900000000005</v>
      </c>
      <c r="BP119" s="94">
        <v>804.47400000000005</v>
      </c>
      <c r="BQ119" s="94">
        <v>3.69769E-2</v>
      </c>
      <c r="BR119" s="94">
        <v>1.1967699999999999</v>
      </c>
      <c r="BS119" s="94">
        <v>1.25503E-2</v>
      </c>
      <c r="BT119" s="94">
        <v>0.790578</v>
      </c>
      <c r="BU119" s="94"/>
      <c r="BV119" s="94">
        <v>2.3198099999999999</v>
      </c>
      <c r="BW119" s="94">
        <v>96.581199999999995</v>
      </c>
      <c r="BX119" s="94">
        <v>3.3265500000000001</v>
      </c>
      <c r="BY119" s="94">
        <v>46.291800000000002</v>
      </c>
      <c r="BZ119" s="94">
        <v>16.4495</v>
      </c>
      <c r="CA119">
        <v>61.669199999999996</v>
      </c>
      <c r="CB119">
        <v>17.156199999999998</v>
      </c>
      <c r="CC119">
        <v>9.9656800000000008</v>
      </c>
      <c r="CD119">
        <v>9.9656800000000008</v>
      </c>
      <c r="CE119">
        <v>0.32492399999999999</v>
      </c>
      <c r="CF119">
        <v>18.745799999999999</v>
      </c>
      <c r="CG119">
        <v>5.3878700000000002E-2</v>
      </c>
      <c r="CM119">
        <v>3428.56</v>
      </c>
      <c r="CN119">
        <v>3396.34</v>
      </c>
      <c r="CO119">
        <v>1232.8499999999999</v>
      </c>
      <c r="CP119">
        <v>3.30914E-2</v>
      </c>
      <c r="CQ119">
        <v>8.2472199999999996E-3</v>
      </c>
      <c r="CR119">
        <v>102</v>
      </c>
      <c r="CS119">
        <v>13.3954</v>
      </c>
      <c r="CT119">
        <v>329.43900000000002</v>
      </c>
      <c r="CU119">
        <v>10.339600000000001</v>
      </c>
      <c r="CV119">
        <v>10.339600000000001</v>
      </c>
      <c r="CW119">
        <v>8.5272700000000007E-2</v>
      </c>
      <c r="CX119">
        <v>10.254300000000001</v>
      </c>
      <c r="CY119">
        <v>0</v>
      </c>
      <c r="CZ119">
        <v>7.30199</v>
      </c>
      <c r="DA119">
        <v>191.06299999999999</v>
      </c>
      <c r="DB119">
        <v>21.653400000000001</v>
      </c>
      <c r="DC119">
        <v>45.947499999999998</v>
      </c>
      <c r="DD119">
        <v>3.9183699999999999</v>
      </c>
      <c r="DE119">
        <v>60.592399999999998</v>
      </c>
      <c r="DF119">
        <v>4.3857699999999999</v>
      </c>
      <c r="DG119">
        <v>44.280299999999997</v>
      </c>
      <c r="DH119">
        <v>44.280299999999997</v>
      </c>
      <c r="DI119">
        <v>7.2408400000000004</v>
      </c>
      <c r="DJ119">
        <v>18.0807</v>
      </c>
      <c r="DK119">
        <v>7.9092799999999994E-3</v>
      </c>
      <c r="DQ119">
        <v>3566.65</v>
      </c>
      <c r="DR119">
        <v>3534.44</v>
      </c>
      <c r="DS119">
        <v>3521.3</v>
      </c>
      <c r="DT119">
        <v>0.24509</v>
      </c>
      <c r="DU119">
        <v>0.47406199999999998</v>
      </c>
      <c r="DV119">
        <v>106</v>
      </c>
      <c r="DW119">
        <v>1.5626500000000001</v>
      </c>
      <c r="DX119">
        <v>2965.24</v>
      </c>
      <c r="DY119">
        <v>0.47486899999999999</v>
      </c>
      <c r="DZ119">
        <v>3.7321200000000001</v>
      </c>
      <c r="EA119">
        <v>0.22511700000000001</v>
      </c>
      <c r="EB119">
        <v>1.96286</v>
      </c>
      <c r="EC119">
        <v>0</v>
      </c>
      <c r="ED119">
        <v>3.2642899999999999</v>
      </c>
      <c r="EE119">
        <v>97.517099999999999</v>
      </c>
      <c r="EF119">
        <v>8.9851100000000006</v>
      </c>
      <c r="EG119">
        <v>46.119399999999999</v>
      </c>
      <c r="EH119">
        <v>11.8002</v>
      </c>
      <c r="EI119">
        <v>61.0169</v>
      </c>
      <c r="EJ119">
        <v>16.864000000000001</v>
      </c>
      <c r="EK119">
        <v>18.2425</v>
      </c>
      <c r="EL119">
        <v>18.2425</v>
      </c>
      <c r="EM119">
        <v>1.40683</v>
      </c>
      <c r="EN119">
        <v>18.316600000000001</v>
      </c>
      <c r="EO119">
        <v>0.54403699999999999</v>
      </c>
    </row>
    <row r="120" spans="31:145" x14ac:dyDescent="0.2">
      <c r="AE120" s="94">
        <v>3142.84</v>
      </c>
      <c r="AF120" s="94">
        <v>3110.63</v>
      </c>
      <c r="AG120" s="94">
        <v>5309.44</v>
      </c>
      <c r="AH120" s="94">
        <v>0.223138</v>
      </c>
      <c r="AI120" s="94">
        <v>0.34539500000000001</v>
      </c>
      <c r="AJ120" s="94">
        <v>105</v>
      </c>
      <c r="AK120" s="94">
        <v>0.51423300000000005</v>
      </c>
      <c r="AL120" s="94">
        <v>1558.69</v>
      </c>
      <c r="AM120" s="94">
        <v>3.17775E-2</v>
      </c>
      <c r="AN120" s="94">
        <v>1.0569599999999999</v>
      </c>
      <c r="AO120" s="94">
        <v>1.0975800000000001E-2</v>
      </c>
      <c r="AP120" s="94">
        <v>0.69189100000000003</v>
      </c>
      <c r="AQ120" s="94"/>
      <c r="AR120" s="94">
        <v>2.3244500000000001</v>
      </c>
      <c r="AS120" s="94">
        <v>96.534400000000005</v>
      </c>
      <c r="AT120" s="94">
        <v>2.9128500000000002</v>
      </c>
      <c r="AU120" s="94">
        <v>46.35</v>
      </c>
      <c r="AV120" s="94">
        <v>16.467199999999998</v>
      </c>
      <c r="AW120" s="94">
        <v>61.7742</v>
      </c>
      <c r="AX120" s="94">
        <v>17.174700000000001</v>
      </c>
      <c r="AY120" s="94">
        <v>10.0442</v>
      </c>
      <c r="AZ120" s="94">
        <v>10.0442</v>
      </c>
      <c r="BA120" s="94">
        <v>0.32681700000000002</v>
      </c>
      <c r="BB120" s="94">
        <v>18.7927</v>
      </c>
      <c r="BC120" s="94">
        <v>0.23414499999999999</v>
      </c>
      <c r="BD120" s="94"/>
      <c r="BE120" s="94"/>
      <c r="BF120" s="94"/>
      <c r="BG120" s="94"/>
      <c r="BH120" s="94"/>
      <c r="BI120" s="94">
        <v>3357.13</v>
      </c>
      <c r="BJ120" s="94">
        <v>3324.9</v>
      </c>
      <c r="BK120" s="94">
        <v>5454.46</v>
      </c>
      <c r="BL120" s="94">
        <v>0.220998</v>
      </c>
      <c r="BM120" s="94">
        <v>0.339808</v>
      </c>
      <c r="BN120" s="94">
        <v>105</v>
      </c>
      <c r="BO120" s="94">
        <v>0.877579</v>
      </c>
      <c r="BP120" s="94">
        <v>856.23800000000006</v>
      </c>
      <c r="BQ120" s="94">
        <v>3.6962500000000002E-2</v>
      </c>
      <c r="BR120" s="94">
        <v>1.19706</v>
      </c>
      <c r="BS120" s="94">
        <v>1.2560200000000001E-2</v>
      </c>
      <c r="BT120" s="94">
        <v>0.79029199999999999</v>
      </c>
      <c r="BU120" s="94"/>
      <c r="BV120" s="94">
        <v>2.3153100000000002</v>
      </c>
      <c r="BW120" s="94">
        <v>96.564700000000002</v>
      </c>
      <c r="BX120" s="94">
        <v>3.3258200000000002</v>
      </c>
      <c r="BY120" s="94">
        <v>46.2637</v>
      </c>
      <c r="BZ120" s="94">
        <v>16.453800000000001</v>
      </c>
      <c r="CA120">
        <v>61.619100000000003</v>
      </c>
      <c r="CB120">
        <v>17.160399999999999</v>
      </c>
      <c r="CC120">
        <v>9.9088200000000004</v>
      </c>
      <c r="CD120">
        <v>9.9088200000000004</v>
      </c>
      <c r="CE120">
        <v>0.32237700000000002</v>
      </c>
      <c r="CF120">
        <v>18.723700000000001</v>
      </c>
      <c r="CG120">
        <v>5.7727899999999999E-2</v>
      </c>
      <c r="CM120">
        <v>3499.98</v>
      </c>
      <c r="CN120">
        <v>3467.77</v>
      </c>
      <c r="CO120">
        <v>1240.6199999999999</v>
      </c>
      <c r="CP120">
        <v>3.3135699999999997E-2</v>
      </c>
      <c r="CQ120">
        <v>8.2676799999999995E-3</v>
      </c>
      <c r="CR120">
        <v>102</v>
      </c>
      <c r="CS120">
        <v>14.016</v>
      </c>
      <c r="CT120">
        <v>336.58300000000003</v>
      </c>
      <c r="CU120">
        <v>10.3233</v>
      </c>
      <c r="CV120">
        <v>10.3233</v>
      </c>
      <c r="CW120">
        <v>8.5349900000000006E-2</v>
      </c>
      <c r="CX120">
        <v>10.238</v>
      </c>
      <c r="CY120">
        <v>0</v>
      </c>
      <c r="CZ120">
        <v>7.2863100000000003</v>
      </c>
      <c r="DA120">
        <v>190.91300000000001</v>
      </c>
      <c r="DB120">
        <v>21.636700000000001</v>
      </c>
      <c r="DC120">
        <v>45.919800000000002</v>
      </c>
      <c r="DD120">
        <v>3.9247399999999999</v>
      </c>
      <c r="DE120">
        <v>60.537700000000001</v>
      </c>
      <c r="DF120">
        <v>4.3928000000000003</v>
      </c>
      <c r="DG120">
        <v>44.088500000000003</v>
      </c>
      <c r="DH120">
        <v>44.088500000000003</v>
      </c>
      <c r="DI120">
        <v>7.2141700000000002</v>
      </c>
      <c r="DJ120">
        <v>18.054300000000001</v>
      </c>
      <c r="DK120">
        <v>7.9139799999999993E-3</v>
      </c>
      <c r="DQ120">
        <v>3633.32</v>
      </c>
      <c r="DR120">
        <v>3601.11</v>
      </c>
      <c r="DS120">
        <v>3575.16</v>
      </c>
      <c r="DT120">
        <v>0.24626100000000001</v>
      </c>
      <c r="DU120">
        <v>0.47688199999999997</v>
      </c>
      <c r="DV120">
        <v>106</v>
      </c>
      <c r="DW120">
        <v>1.82751</v>
      </c>
      <c r="DX120">
        <v>3018.84</v>
      </c>
      <c r="DY120">
        <v>0.47234199999999998</v>
      </c>
      <c r="DZ120">
        <v>3.7230300000000001</v>
      </c>
      <c r="EA120">
        <v>0.22525100000000001</v>
      </c>
      <c r="EB120">
        <v>1.9475800000000001</v>
      </c>
      <c r="EC120">
        <v>0</v>
      </c>
      <c r="ED120">
        <v>3.23706</v>
      </c>
      <c r="EE120">
        <v>97.179000000000002</v>
      </c>
      <c r="EF120">
        <v>8.9541000000000004</v>
      </c>
      <c r="EG120">
        <v>46.099600000000002</v>
      </c>
      <c r="EH120">
        <v>11.8932</v>
      </c>
      <c r="EI120">
        <v>60.9818</v>
      </c>
      <c r="EJ120">
        <v>16.982099999999999</v>
      </c>
      <c r="EK120">
        <v>17.965199999999999</v>
      </c>
      <c r="EL120">
        <v>17.965199999999999</v>
      </c>
      <c r="EM120">
        <v>1.3683799999999999</v>
      </c>
      <c r="EN120">
        <v>18.301100000000002</v>
      </c>
      <c r="EO120">
        <v>0.54367600000000005</v>
      </c>
    </row>
    <row r="121" spans="31:145" x14ac:dyDescent="0.2">
      <c r="AE121" s="94">
        <v>3214.27</v>
      </c>
      <c r="AF121" s="94">
        <v>3182.06</v>
      </c>
      <c r="AG121" s="94">
        <v>5361.75</v>
      </c>
      <c r="AH121" s="94">
        <v>0.22323000000000001</v>
      </c>
      <c r="AI121" s="94">
        <v>0.34587200000000001</v>
      </c>
      <c r="AJ121" s="94">
        <v>105</v>
      </c>
      <c r="AK121" s="94">
        <v>0.533555</v>
      </c>
      <c r="AL121" s="94">
        <v>1610.98</v>
      </c>
      <c r="AM121" s="94">
        <v>3.1756600000000003E-2</v>
      </c>
      <c r="AN121" s="94">
        <v>1.0570200000000001</v>
      </c>
      <c r="AO121" s="94">
        <v>1.0983700000000001E-2</v>
      </c>
      <c r="AP121" s="94">
        <v>0.69142899999999996</v>
      </c>
      <c r="AQ121" s="94"/>
      <c r="AR121" s="94">
        <v>2.3193600000000001</v>
      </c>
      <c r="AS121" s="94">
        <v>96.503200000000007</v>
      </c>
      <c r="AT121" s="94">
        <v>2.91187</v>
      </c>
      <c r="AU121" s="94">
        <v>46.323900000000002</v>
      </c>
      <c r="AV121" s="94">
        <v>16.477799999999998</v>
      </c>
      <c r="AW121" s="94">
        <v>61.728999999999999</v>
      </c>
      <c r="AX121" s="94">
        <v>17.185400000000001</v>
      </c>
      <c r="AY121" s="94">
        <v>9.9820899999999995</v>
      </c>
      <c r="AZ121" s="94">
        <v>9.9820899999999995</v>
      </c>
      <c r="BA121" s="94">
        <v>0.32358599999999998</v>
      </c>
      <c r="BB121" s="94">
        <v>18.773299999999999</v>
      </c>
      <c r="BC121" s="94">
        <v>0.23569100000000001</v>
      </c>
      <c r="BD121" s="94"/>
      <c r="BE121" s="94"/>
      <c r="BF121" s="94"/>
      <c r="BG121" s="94"/>
      <c r="BH121" s="94"/>
      <c r="BI121" s="94">
        <v>3428.56</v>
      </c>
      <c r="BJ121" s="94">
        <v>3396.33</v>
      </c>
      <c r="BK121" s="94">
        <v>5506.24</v>
      </c>
      <c r="BL121" s="94">
        <v>0.22098200000000001</v>
      </c>
      <c r="BM121" s="94">
        <v>0.34014100000000003</v>
      </c>
      <c r="BN121" s="94">
        <v>105</v>
      </c>
      <c r="BO121" s="94">
        <v>0.90227100000000005</v>
      </c>
      <c r="BP121" s="94">
        <v>907.99900000000002</v>
      </c>
      <c r="BQ121" s="94">
        <v>3.6957900000000002E-2</v>
      </c>
      <c r="BR121" s="94">
        <v>1.1976</v>
      </c>
      <c r="BS121" s="94">
        <v>1.2570899999999999E-2</v>
      </c>
      <c r="BT121" s="94">
        <v>0.79024700000000003</v>
      </c>
      <c r="BU121" s="94"/>
      <c r="BV121" s="94">
        <v>2.3113899999999998</v>
      </c>
      <c r="BW121" s="94">
        <v>96.562600000000003</v>
      </c>
      <c r="BX121" s="94">
        <v>3.3254299999999999</v>
      </c>
      <c r="BY121" s="94">
        <v>46.2333</v>
      </c>
      <c r="BZ121" s="94">
        <v>16.451499999999999</v>
      </c>
      <c r="CA121">
        <v>61.563899999999997</v>
      </c>
      <c r="CB121">
        <v>17.157800000000002</v>
      </c>
      <c r="CC121">
        <v>9.8572299999999995</v>
      </c>
      <c r="CD121">
        <v>9.8572299999999995</v>
      </c>
      <c r="CE121">
        <v>0.320521</v>
      </c>
      <c r="CF121">
        <v>18.698899999999998</v>
      </c>
      <c r="CG121">
        <v>6.1479199999999998E-2</v>
      </c>
      <c r="CM121">
        <v>3499.98</v>
      </c>
      <c r="CN121">
        <v>3467.77</v>
      </c>
      <c r="CO121">
        <v>4430.45</v>
      </c>
      <c r="CP121">
        <v>3.3135699999999997E-2</v>
      </c>
      <c r="CQ121">
        <v>0</v>
      </c>
      <c r="CR121">
        <v>-30</v>
      </c>
      <c r="CS121">
        <v>14.016</v>
      </c>
      <c r="CT121">
        <v>336.58300000000003</v>
      </c>
      <c r="CU121">
        <v>0</v>
      </c>
      <c r="CV121">
        <v>0</v>
      </c>
      <c r="CW121">
        <v>19.021599999999999</v>
      </c>
      <c r="CX121">
        <v>691.90800000000002</v>
      </c>
      <c r="CY121">
        <v>0</v>
      </c>
      <c r="CZ121">
        <v>0</v>
      </c>
      <c r="DA121">
        <v>0</v>
      </c>
      <c r="DB121">
        <v>2692.39</v>
      </c>
      <c r="DC121">
        <v>46.116100000000003</v>
      </c>
      <c r="DD121">
        <v>13.0558</v>
      </c>
      <c r="DE121">
        <v>61.140300000000003</v>
      </c>
      <c r="DF121">
        <v>14.3424</v>
      </c>
      <c r="DG121">
        <v>15.569699999999999</v>
      </c>
      <c r="DH121">
        <v>15.569699999999999</v>
      </c>
      <c r="DI121">
        <v>0.99158800000000002</v>
      </c>
      <c r="DJ121">
        <v>18.423999999999999</v>
      </c>
      <c r="DK121">
        <v>7.9139799999999993E-3</v>
      </c>
      <c r="DQ121">
        <v>3699.98</v>
      </c>
      <c r="DR121">
        <v>3667.77</v>
      </c>
      <c r="DS121">
        <v>3629.29</v>
      </c>
      <c r="DT121">
        <v>0.24746099999999999</v>
      </c>
      <c r="DU121">
        <v>0.47975400000000001</v>
      </c>
      <c r="DV121">
        <v>106</v>
      </c>
      <c r="DW121">
        <v>2.0903999999999998</v>
      </c>
      <c r="DX121">
        <v>3072.7</v>
      </c>
      <c r="DY121">
        <v>0.469773</v>
      </c>
      <c r="DZ121">
        <v>3.714</v>
      </c>
      <c r="EA121">
        <v>0.22537599999999999</v>
      </c>
      <c r="EB121">
        <v>1.9321900000000001</v>
      </c>
      <c r="EC121">
        <v>0</v>
      </c>
      <c r="ED121">
        <v>3.2097699999999998</v>
      </c>
      <c r="EE121">
        <v>96.837000000000003</v>
      </c>
      <c r="EF121">
        <v>8.92286</v>
      </c>
      <c r="EG121">
        <v>46.081299999999999</v>
      </c>
      <c r="EH121">
        <v>11.988899999999999</v>
      </c>
      <c r="EI121">
        <v>60.9497</v>
      </c>
      <c r="EJ121">
        <v>17.103200000000001</v>
      </c>
      <c r="EK121">
        <v>17.689599999999999</v>
      </c>
      <c r="EL121">
        <v>17.689599999999999</v>
      </c>
      <c r="EM121">
        <v>1.33005</v>
      </c>
      <c r="EN121">
        <v>18.287199999999999</v>
      </c>
      <c r="EO121">
        <v>0.54333399999999998</v>
      </c>
    </row>
    <row r="122" spans="31:145" x14ac:dyDescent="0.2">
      <c r="AE122" s="94">
        <v>3285.7</v>
      </c>
      <c r="AF122" s="94">
        <v>3253.49</v>
      </c>
      <c r="AG122" s="94">
        <v>5414.08</v>
      </c>
      <c r="AH122" s="94">
        <v>0.22331100000000001</v>
      </c>
      <c r="AI122" s="94">
        <v>0.34633599999999998</v>
      </c>
      <c r="AJ122" s="94">
        <v>105</v>
      </c>
      <c r="AK122" s="94">
        <v>0.55286100000000005</v>
      </c>
      <c r="AL122" s="94">
        <v>1663.29</v>
      </c>
      <c r="AM122" s="94">
        <v>3.1737599999999998E-2</v>
      </c>
      <c r="AN122" s="94">
        <v>1.05714</v>
      </c>
      <c r="AO122" s="94">
        <v>1.0991900000000001E-2</v>
      </c>
      <c r="AP122" s="94">
        <v>0.69101699999999999</v>
      </c>
      <c r="AQ122" s="94"/>
      <c r="AR122" s="94">
        <v>2.3143799999999999</v>
      </c>
      <c r="AS122" s="94">
        <v>96.475399999999993</v>
      </c>
      <c r="AT122" s="94">
        <v>2.9109699999999998</v>
      </c>
      <c r="AU122" s="94">
        <v>46.297199999999997</v>
      </c>
      <c r="AV122" s="94">
        <v>16.486899999999999</v>
      </c>
      <c r="AW122" s="94">
        <v>61.682400000000001</v>
      </c>
      <c r="AX122" s="94">
        <v>17.194500000000001</v>
      </c>
      <c r="AY122" s="94">
        <v>9.9212199999999999</v>
      </c>
      <c r="AZ122" s="94">
        <v>9.9212199999999999</v>
      </c>
      <c r="BA122" s="94">
        <v>0.32053500000000001</v>
      </c>
      <c r="BB122" s="94">
        <v>18.7531</v>
      </c>
      <c r="BC122" s="94">
        <v>0.237201</v>
      </c>
      <c r="BD122" s="94"/>
      <c r="BE122" s="94"/>
      <c r="BF122" s="94"/>
      <c r="BG122" s="94"/>
      <c r="BH122" s="94"/>
      <c r="BI122" s="94">
        <v>3499.98</v>
      </c>
      <c r="BJ122" s="94">
        <v>3467.76</v>
      </c>
      <c r="BK122" s="94">
        <v>5558</v>
      </c>
      <c r="BL122" s="94">
        <v>0.220862</v>
      </c>
      <c r="BM122" s="94">
        <v>0.340341</v>
      </c>
      <c r="BN122" s="94">
        <v>105</v>
      </c>
      <c r="BO122" s="94">
        <v>0.92696599999999996</v>
      </c>
      <c r="BP122" s="94">
        <v>959.73099999999999</v>
      </c>
      <c r="BQ122" s="94">
        <v>3.69723E-2</v>
      </c>
      <c r="BR122" s="94">
        <v>1.1986000000000001</v>
      </c>
      <c r="BS122" s="94">
        <v>1.2583199999999999E-2</v>
      </c>
      <c r="BT122" s="94">
        <v>0.79066999999999998</v>
      </c>
      <c r="BU122" s="94"/>
      <c r="BV122" s="94">
        <v>2.30864</v>
      </c>
      <c r="BW122" s="94">
        <v>96.588800000000006</v>
      </c>
      <c r="BX122" s="94">
        <v>3.32572</v>
      </c>
      <c r="BY122" s="94">
        <v>46.198500000000003</v>
      </c>
      <c r="BZ122" s="94">
        <v>16.436199999999999</v>
      </c>
      <c r="CA122">
        <v>61.498899999999999</v>
      </c>
      <c r="CB122">
        <v>17.142099999999999</v>
      </c>
      <c r="CC122">
        <v>9.8158399999999997</v>
      </c>
      <c r="CD122">
        <v>9.8158399999999997</v>
      </c>
      <c r="CE122">
        <v>0.31999699999999998</v>
      </c>
      <c r="CF122">
        <v>18.668900000000001</v>
      </c>
      <c r="CG122">
        <v>6.5134800000000007E-2</v>
      </c>
      <c r="CM122">
        <v>3575</v>
      </c>
      <c r="CN122">
        <v>3542.77</v>
      </c>
      <c r="CO122">
        <v>4475.1099999999997</v>
      </c>
      <c r="CP122">
        <v>0.18151700000000001</v>
      </c>
      <c r="CQ122">
        <v>0.243004</v>
      </c>
      <c r="CR122">
        <v>106</v>
      </c>
      <c r="CS122">
        <v>16.3736</v>
      </c>
      <c r="CT122">
        <v>378.88499999999999</v>
      </c>
      <c r="CU122">
        <v>0.78300599999999998</v>
      </c>
      <c r="CV122">
        <v>9.1218400000000006</v>
      </c>
      <c r="CW122">
        <v>0.190274</v>
      </c>
      <c r="CX122">
        <v>6.9051999999999998</v>
      </c>
      <c r="CY122">
        <v>0</v>
      </c>
      <c r="CZ122">
        <v>2.9460899999999999</v>
      </c>
      <c r="DA122">
        <v>105.518</v>
      </c>
      <c r="DB122">
        <v>26.921099999999999</v>
      </c>
      <c r="DC122">
        <v>46.1</v>
      </c>
      <c r="DD122">
        <v>13.1081</v>
      </c>
      <c r="DE122">
        <v>61.1126</v>
      </c>
      <c r="DF122">
        <v>14.3954</v>
      </c>
      <c r="DG122">
        <v>15.419600000000001</v>
      </c>
      <c r="DH122">
        <v>15.419600000000001</v>
      </c>
      <c r="DI122">
        <v>0.97399999999999998</v>
      </c>
      <c r="DJ122">
        <v>18.412099999999999</v>
      </c>
      <c r="DK122">
        <v>9.3433400000000003E-3</v>
      </c>
      <c r="DQ122">
        <v>3699.98</v>
      </c>
      <c r="DR122">
        <v>3667.77</v>
      </c>
      <c r="DS122">
        <v>5608.83</v>
      </c>
      <c r="DT122">
        <v>0.24746099999999999</v>
      </c>
      <c r="DU122">
        <v>0</v>
      </c>
      <c r="DV122">
        <v>-30</v>
      </c>
      <c r="DW122">
        <v>2.0903999999999998</v>
      </c>
      <c r="DX122">
        <v>3072.7</v>
      </c>
      <c r="DY122">
        <v>0</v>
      </c>
      <c r="DZ122">
        <v>0</v>
      </c>
      <c r="EA122">
        <v>89.610200000000006</v>
      </c>
      <c r="EB122">
        <v>566.93899999999996</v>
      </c>
      <c r="EC122">
        <v>0</v>
      </c>
      <c r="ED122">
        <v>0</v>
      </c>
      <c r="EE122">
        <v>0</v>
      </c>
      <c r="EF122">
        <v>3109.27</v>
      </c>
      <c r="EG122">
        <v>46.114899999999999</v>
      </c>
      <c r="EH122">
        <v>16.2789</v>
      </c>
      <c r="EI122">
        <v>61.328699999999998</v>
      </c>
      <c r="EJ122">
        <v>22.427600000000002</v>
      </c>
      <c r="EK122">
        <v>9.8877400000000009</v>
      </c>
      <c r="EL122">
        <v>9.8877400000000009</v>
      </c>
      <c r="EM122">
        <v>0.33432200000000001</v>
      </c>
      <c r="EN122">
        <v>18.584900000000001</v>
      </c>
      <c r="EO122">
        <v>0.54333399999999998</v>
      </c>
    </row>
    <row r="123" spans="31:145" x14ac:dyDescent="0.2">
      <c r="AE123" s="94">
        <v>3357.13</v>
      </c>
      <c r="AF123" s="94">
        <v>3324.92</v>
      </c>
      <c r="AG123" s="94">
        <v>5466.43</v>
      </c>
      <c r="AH123" s="94">
        <v>0.22336600000000001</v>
      </c>
      <c r="AI123" s="94">
        <v>0.34677000000000002</v>
      </c>
      <c r="AJ123" s="94">
        <v>105</v>
      </c>
      <c r="AK123" s="94">
        <v>0.57215400000000005</v>
      </c>
      <c r="AL123" s="94">
        <v>1715.62</v>
      </c>
      <c r="AM123" s="94">
        <v>3.1722500000000001E-2</v>
      </c>
      <c r="AN123" s="94">
        <v>1.0573600000000001</v>
      </c>
      <c r="AO123" s="94">
        <v>1.10004E-2</v>
      </c>
      <c r="AP123" s="94">
        <v>0.69070100000000001</v>
      </c>
      <c r="AQ123" s="94"/>
      <c r="AR123" s="94">
        <v>2.3096800000000002</v>
      </c>
      <c r="AS123" s="94">
        <v>96.454300000000003</v>
      </c>
      <c r="AT123" s="94">
        <v>2.9102000000000001</v>
      </c>
      <c r="AU123" s="94">
        <v>46.269500000000001</v>
      </c>
      <c r="AV123" s="94">
        <v>16.492799999999999</v>
      </c>
      <c r="AW123" s="94">
        <v>61.633400000000002</v>
      </c>
      <c r="AX123" s="94">
        <v>17.200500000000002</v>
      </c>
      <c r="AY123" s="94">
        <v>9.8628599999999995</v>
      </c>
      <c r="AZ123" s="94">
        <v>9.8628599999999995</v>
      </c>
      <c r="BA123" s="94">
        <v>0.31782100000000002</v>
      </c>
      <c r="BB123" s="94">
        <v>18.7315</v>
      </c>
      <c r="BC123" s="94">
        <v>0.238676</v>
      </c>
      <c r="BD123" s="94"/>
      <c r="BE123" s="94"/>
      <c r="BF123" s="94"/>
      <c r="BG123" s="94"/>
      <c r="BH123" s="94"/>
      <c r="BI123" s="94">
        <v>3574.98</v>
      </c>
      <c r="BJ123" s="94">
        <v>3542.76</v>
      </c>
      <c r="BK123" s="94">
        <v>5607.02</v>
      </c>
      <c r="BL123" s="94">
        <v>0.19923099999999999</v>
      </c>
      <c r="BM123" s="94">
        <v>0.26946199999999998</v>
      </c>
      <c r="BN123" s="94">
        <v>105</v>
      </c>
      <c r="BO123" s="94">
        <v>1.1228199999999999</v>
      </c>
      <c r="BP123" s="94">
        <v>1008.56</v>
      </c>
      <c r="BQ123" s="94">
        <v>0.105166</v>
      </c>
      <c r="BR123" s="94">
        <v>2.4359099999999998</v>
      </c>
      <c r="BS123" s="94">
        <v>2.8338200000000001E-2</v>
      </c>
      <c r="BT123" s="94">
        <v>1.77952</v>
      </c>
      <c r="BU123" s="94"/>
      <c r="BV123" s="94">
        <v>2.3054399999999999</v>
      </c>
      <c r="BW123" s="94">
        <v>96.603200000000001</v>
      </c>
      <c r="BX123" s="94">
        <v>7.4862700000000002</v>
      </c>
      <c r="BY123" s="94">
        <v>46.1721</v>
      </c>
      <c r="BZ123" s="94">
        <v>16.442</v>
      </c>
      <c r="CA123">
        <v>61.451000000000001</v>
      </c>
      <c r="CB123">
        <v>17.147500000000001</v>
      </c>
      <c r="CC123">
        <v>9.7594600000000007</v>
      </c>
      <c r="CD123">
        <v>9.7594600000000007</v>
      </c>
      <c r="CE123">
        <v>0.31741000000000003</v>
      </c>
      <c r="CF123">
        <v>18.647400000000001</v>
      </c>
      <c r="CG123">
        <v>6.6377199999999997E-2</v>
      </c>
      <c r="CM123">
        <v>3649.99</v>
      </c>
      <c r="CN123">
        <v>3617.77</v>
      </c>
      <c r="CO123">
        <v>4519.88</v>
      </c>
      <c r="CP123">
        <v>0.18196899999999999</v>
      </c>
      <c r="CQ123">
        <v>0.243751</v>
      </c>
      <c r="CR123">
        <v>106</v>
      </c>
      <c r="CS123">
        <v>18.721900000000002</v>
      </c>
      <c r="CT123">
        <v>421.30799999999999</v>
      </c>
      <c r="CU123">
        <v>0.78093599999999996</v>
      </c>
      <c r="CV123">
        <v>9.0931300000000004</v>
      </c>
      <c r="CW123">
        <v>0.190354</v>
      </c>
      <c r="CX123">
        <v>6.8766699999999998</v>
      </c>
      <c r="CY123">
        <v>0</v>
      </c>
      <c r="CZ123">
        <v>2.9315699999999998</v>
      </c>
      <c r="DA123">
        <v>105.306</v>
      </c>
      <c r="DB123">
        <v>26.8689</v>
      </c>
      <c r="DC123">
        <v>46.085799999999999</v>
      </c>
      <c r="DD123">
        <v>13.164400000000001</v>
      </c>
      <c r="DE123">
        <v>61.088700000000003</v>
      </c>
      <c r="DF123">
        <v>14.455299999999999</v>
      </c>
      <c r="DG123">
        <v>15.267300000000001</v>
      </c>
      <c r="DH123">
        <v>15.267300000000001</v>
      </c>
      <c r="DI123">
        <v>0.95577999999999996</v>
      </c>
      <c r="DJ123">
        <v>18.402200000000001</v>
      </c>
      <c r="DK123">
        <v>1.076E-2</v>
      </c>
      <c r="DQ123">
        <v>3749.99</v>
      </c>
      <c r="DR123">
        <v>3717.77</v>
      </c>
      <c r="DS123">
        <v>5658.51</v>
      </c>
      <c r="DT123">
        <v>0.30293700000000001</v>
      </c>
      <c r="DU123">
        <v>0.60389000000000004</v>
      </c>
      <c r="DV123">
        <v>106</v>
      </c>
      <c r="DW123">
        <v>2.2440199999999999</v>
      </c>
      <c r="DX123">
        <v>3122.23</v>
      </c>
      <c r="DY123">
        <v>0.37105500000000002</v>
      </c>
      <c r="DZ123">
        <v>3.5728800000000001</v>
      </c>
      <c r="EA123">
        <v>0.224076</v>
      </c>
      <c r="EB123">
        <v>1.4152499999999999</v>
      </c>
      <c r="EC123">
        <v>0</v>
      </c>
      <c r="ED123">
        <v>2.31793</v>
      </c>
      <c r="EE123">
        <v>84.409599999999998</v>
      </c>
      <c r="EF123">
        <v>7.7718100000000003</v>
      </c>
      <c r="EG123">
        <v>46.1023</v>
      </c>
      <c r="EH123">
        <v>16.327100000000002</v>
      </c>
      <c r="EI123">
        <v>61.309800000000003</v>
      </c>
      <c r="EJ123">
        <v>22.4757</v>
      </c>
      <c r="EK123">
        <v>9.7949300000000008</v>
      </c>
      <c r="EL123">
        <v>9.7949300000000008</v>
      </c>
      <c r="EM123">
        <v>0.32713599999999998</v>
      </c>
      <c r="EN123">
        <v>18.578099999999999</v>
      </c>
      <c r="EO123">
        <v>0.54357599999999995</v>
      </c>
    </row>
    <row r="124" spans="31:145" x14ac:dyDescent="0.2">
      <c r="AE124" s="94">
        <v>3428.56</v>
      </c>
      <c r="AF124" s="94">
        <v>3396.34</v>
      </c>
      <c r="AG124" s="94">
        <v>5518.77</v>
      </c>
      <c r="AH124" s="94">
        <v>0.22336900000000001</v>
      </c>
      <c r="AI124" s="94">
        <v>0.347138</v>
      </c>
      <c r="AJ124" s="94">
        <v>105</v>
      </c>
      <c r="AK124" s="94">
        <v>0.59143900000000005</v>
      </c>
      <c r="AL124" s="94">
        <v>1767.94</v>
      </c>
      <c r="AM124" s="94">
        <v>3.1715399999999998E-2</v>
      </c>
      <c r="AN124" s="94">
        <v>1.05779</v>
      </c>
      <c r="AO124" s="94">
        <v>1.10096E-2</v>
      </c>
      <c r="AP124" s="94">
        <v>0.69058799999999998</v>
      </c>
      <c r="AQ124" s="94"/>
      <c r="AR124" s="94">
        <v>2.3055400000000001</v>
      </c>
      <c r="AS124" s="94">
        <v>96.447199999999995</v>
      </c>
      <c r="AT124" s="94">
        <v>2.90971</v>
      </c>
      <c r="AU124" s="94">
        <v>46.2395</v>
      </c>
      <c r="AV124" s="94">
        <v>16.4923</v>
      </c>
      <c r="AW124" s="94">
        <v>61.5792</v>
      </c>
      <c r="AX124" s="94">
        <v>17.1998</v>
      </c>
      <c r="AY124" s="94">
        <v>9.8098100000000006</v>
      </c>
      <c r="AZ124" s="94">
        <v>9.8098100000000006</v>
      </c>
      <c r="BA124" s="94">
        <v>0.31579200000000002</v>
      </c>
      <c r="BB124" s="94">
        <v>18.7073</v>
      </c>
      <c r="BC124" s="94">
        <v>0.240117</v>
      </c>
      <c r="BD124" s="94"/>
      <c r="BE124" s="94"/>
      <c r="BF124" s="94"/>
      <c r="BG124" s="94"/>
      <c r="BH124" s="94"/>
      <c r="BI124" s="94">
        <v>3649.98</v>
      </c>
      <c r="BJ124" s="94">
        <v>3617.76</v>
      </c>
      <c r="BK124" s="94">
        <v>5656.06</v>
      </c>
      <c r="BL124" s="94">
        <v>0.19928299999999999</v>
      </c>
      <c r="BM124" s="94">
        <v>0.26979799999999998</v>
      </c>
      <c r="BN124" s="94">
        <v>105</v>
      </c>
      <c r="BO124" s="94">
        <v>1.31857</v>
      </c>
      <c r="BP124" s="94">
        <v>1057.4000000000001</v>
      </c>
      <c r="BQ124" s="94">
        <v>0.105115</v>
      </c>
      <c r="BR124" s="94">
        <v>2.4359899999999999</v>
      </c>
      <c r="BS124" s="94">
        <v>2.836E-2</v>
      </c>
      <c r="BT124" s="94">
        <v>1.7787599999999999</v>
      </c>
      <c r="BU124" s="94"/>
      <c r="BV124" s="94">
        <v>2.3008600000000001</v>
      </c>
      <c r="BW124" s="94">
        <v>96.583500000000001</v>
      </c>
      <c r="BX124" s="94">
        <v>7.4850099999999999</v>
      </c>
      <c r="BY124" s="94">
        <v>46.146500000000003</v>
      </c>
      <c r="BZ124" s="94">
        <v>16.450199999999999</v>
      </c>
      <c r="CA124">
        <v>61.404499999999999</v>
      </c>
      <c r="CB124">
        <v>17.1557</v>
      </c>
      <c r="CC124">
        <v>9.7009399999999992</v>
      </c>
      <c r="CD124">
        <v>9.7009399999999992</v>
      </c>
      <c r="CE124">
        <v>0.314581</v>
      </c>
      <c r="CF124">
        <v>18.6265</v>
      </c>
      <c r="CG124">
        <v>6.7606600000000003E-2</v>
      </c>
      <c r="CM124">
        <v>3724.99</v>
      </c>
      <c r="CN124">
        <v>3692.76</v>
      </c>
      <c r="CO124">
        <v>4564.78</v>
      </c>
      <c r="CP124">
        <v>0.18246799999999999</v>
      </c>
      <c r="CQ124">
        <v>0.24456</v>
      </c>
      <c r="CR124">
        <v>106</v>
      </c>
      <c r="CS124">
        <v>21.06</v>
      </c>
      <c r="CT124">
        <v>463.86399999999998</v>
      </c>
      <c r="CU124">
        <v>0.77862900000000002</v>
      </c>
      <c r="CV124">
        <v>9.0623699999999996</v>
      </c>
      <c r="CW124">
        <v>0.19042100000000001</v>
      </c>
      <c r="CX124">
        <v>6.8460799999999997</v>
      </c>
      <c r="CY124">
        <v>0</v>
      </c>
      <c r="CZ124">
        <v>2.9164699999999999</v>
      </c>
      <c r="DA124">
        <v>105.078</v>
      </c>
      <c r="DB124">
        <v>26.812899999999999</v>
      </c>
      <c r="DC124">
        <v>46.073599999999999</v>
      </c>
      <c r="DD124">
        <v>13.2255</v>
      </c>
      <c r="DE124">
        <v>61.069400000000002</v>
      </c>
      <c r="DF124">
        <v>14.520200000000001</v>
      </c>
      <c r="DG124">
        <v>15.1122</v>
      </c>
      <c r="DH124">
        <v>15.1122</v>
      </c>
      <c r="DI124">
        <v>0.93680799999999997</v>
      </c>
      <c r="DJ124">
        <v>18.394500000000001</v>
      </c>
      <c r="DK124">
        <v>1.2164400000000001E-2</v>
      </c>
      <c r="DQ124">
        <v>3799.98</v>
      </c>
      <c r="DR124">
        <v>3767.76</v>
      </c>
      <c r="DS124">
        <v>5708.29</v>
      </c>
      <c r="DT124">
        <v>0.30348700000000001</v>
      </c>
      <c r="DU124">
        <v>0.60545400000000005</v>
      </c>
      <c r="DV124">
        <v>106</v>
      </c>
      <c r="DW124">
        <v>2.3971900000000002</v>
      </c>
      <c r="DX124">
        <v>3171.86</v>
      </c>
      <c r="DY124">
        <v>0.37020199999999998</v>
      </c>
      <c r="DZ124">
        <v>3.5760900000000002</v>
      </c>
      <c r="EA124">
        <v>0.22414000000000001</v>
      </c>
      <c r="EB124">
        <v>1.41093</v>
      </c>
      <c r="EC124">
        <v>0</v>
      </c>
      <c r="ED124">
        <v>2.3079999999999998</v>
      </c>
      <c r="EE124">
        <v>84.299899999999994</v>
      </c>
      <c r="EF124">
        <v>7.7619999999999996</v>
      </c>
      <c r="EG124">
        <v>46.091099999999997</v>
      </c>
      <c r="EH124">
        <v>16.378699999999998</v>
      </c>
      <c r="EI124">
        <v>61.293900000000001</v>
      </c>
      <c r="EJ124">
        <v>22.535799999999998</v>
      </c>
      <c r="EK124">
        <v>9.7004400000000004</v>
      </c>
      <c r="EL124">
        <v>9.7004400000000004</v>
      </c>
      <c r="EM124">
        <v>0.31972099999999998</v>
      </c>
      <c r="EN124">
        <v>18.572700000000001</v>
      </c>
      <c r="EO124">
        <v>0.54382200000000003</v>
      </c>
    </row>
    <row r="125" spans="31:145" x14ac:dyDescent="0.2">
      <c r="AE125" s="94">
        <v>3499.98</v>
      </c>
      <c r="AF125" s="94">
        <v>3467.77</v>
      </c>
      <c r="AG125" s="94">
        <v>5571.09</v>
      </c>
      <c r="AH125" s="94">
        <v>0.22325999999999999</v>
      </c>
      <c r="AI125" s="94">
        <v>0.34736</v>
      </c>
      <c r="AJ125" s="94">
        <v>105</v>
      </c>
      <c r="AK125" s="94">
        <v>0.61072499999999996</v>
      </c>
      <c r="AL125" s="94">
        <v>1820.25</v>
      </c>
      <c r="AM125" s="94">
        <v>3.1725799999999998E-2</v>
      </c>
      <c r="AN125" s="94">
        <v>1.05864</v>
      </c>
      <c r="AO125" s="94">
        <v>1.1020200000000001E-2</v>
      </c>
      <c r="AP125" s="94">
        <v>0.69091100000000005</v>
      </c>
      <c r="AQ125" s="94"/>
      <c r="AR125" s="94">
        <v>2.3026399999999998</v>
      </c>
      <c r="AS125" s="94">
        <v>96.470100000000002</v>
      </c>
      <c r="AT125" s="94">
        <v>2.9098099999999998</v>
      </c>
      <c r="AU125" s="94">
        <v>46.204799999999999</v>
      </c>
      <c r="AV125" s="94">
        <v>16.477499999999999</v>
      </c>
      <c r="AW125" s="94">
        <v>61.514499999999998</v>
      </c>
      <c r="AX125" s="94">
        <v>17.1846</v>
      </c>
      <c r="AY125" s="94">
        <v>9.7681000000000004</v>
      </c>
      <c r="AZ125" s="94">
        <v>9.7681000000000004</v>
      </c>
      <c r="BA125" s="94">
        <v>0.31521900000000003</v>
      </c>
      <c r="BB125" s="94">
        <v>18.677600000000002</v>
      </c>
      <c r="BC125" s="94">
        <v>0.24152299999999999</v>
      </c>
      <c r="BD125" s="94"/>
      <c r="BE125" s="94"/>
      <c r="BF125" s="94"/>
      <c r="BG125" s="94"/>
      <c r="BH125" s="94"/>
      <c r="BI125" s="94">
        <v>3724.98</v>
      </c>
      <c r="BJ125" s="94">
        <v>3692.76</v>
      </c>
      <c r="BK125" s="94">
        <v>5705.12</v>
      </c>
      <c r="BL125" s="94">
        <v>0.19936599999999999</v>
      </c>
      <c r="BM125" s="94">
        <v>0.270173</v>
      </c>
      <c r="BN125" s="94">
        <v>105</v>
      </c>
      <c r="BO125" s="94">
        <v>1.51417</v>
      </c>
      <c r="BP125" s="94">
        <v>1106.26</v>
      </c>
      <c r="BQ125" s="94">
        <v>0.105047</v>
      </c>
      <c r="BR125" s="94">
        <v>2.4357199999999999</v>
      </c>
      <c r="BS125" s="94">
        <v>2.8380800000000001E-2</v>
      </c>
      <c r="BT125" s="94">
        <v>1.77766</v>
      </c>
      <c r="BU125" s="94"/>
      <c r="BV125" s="94">
        <v>2.2958699999999999</v>
      </c>
      <c r="BW125" s="94">
        <v>96.554500000000004</v>
      </c>
      <c r="BX125" s="94">
        <v>7.4831899999999996</v>
      </c>
      <c r="BY125" s="94">
        <v>46.122300000000003</v>
      </c>
      <c r="BZ125" s="94">
        <v>16.462499999999999</v>
      </c>
      <c r="CA125">
        <v>61.360700000000001</v>
      </c>
      <c r="CB125">
        <v>17.167999999999999</v>
      </c>
      <c r="CC125">
        <v>9.6392299999999995</v>
      </c>
      <c r="CD125">
        <v>9.6392299999999995</v>
      </c>
      <c r="CE125">
        <v>0.31136200000000003</v>
      </c>
      <c r="CF125">
        <v>18.6069</v>
      </c>
      <c r="CG125">
        <v>6.8823499999999996E-2</v>
      </c>
      <c r="CM125">
        <v>3799.98</v>
      </c>
      <c r="CN125">
        <v>3767.76</v>
      </c>
      <c r="CO125">
        <v>4609.8100000000004</v>
      </c>
      <c r="CP125">
        <v>0.18302299999999999</v>
      </c>
      <c r="CQ125">
        <v>0.24543999999999999</v>
      </c>
      <c r="CR125">
        <v>106</v>
      </c>
      <c r="CS125">
        <v>23.3873</v>
      </c>
      <c r="CT125">
        <v>506.56700000000001</v>
      </c>
      <c r="CU125">
        <v>0.77605000000000002</v>
      </c>
      <c r="CV125">
        <v>9.0292300000000001</v>
      </c>
      <c r="CW125">
        <v>0.190474</v>
      </c>
      <c r="CX125">
        <v>6.8131000000000004</v>
      </c>
      <c r="CY125">
        <v>0</v>
      </c>
      <c r="CZ125">
        <v>2.9006699999999999</v>
      </c>
      <c r="DA125">
        <v>104.83199999999999</v>
      </c>
      <c r="DB125">
        <v>26.752500000000001</v>
      </c>
      <c r="DC125">
        <v>46.063899999999997</v>
      </c>
      <c r="DD125">
        <v>13.2921</v>
      </c>
      <c r="DE125">
        <v>61.055300000000003</v>
      </c>
      <c r="DF125">
        <v>14.591100000000001</v>
      </c>
      <c r="DG125">
        <v>14.9537</v>
      </c>
      <c r="DH125">
        <v>14.9537</v>
      </c>
      <c r="DI125">
        <v>0.91695099999999996</v>
      </c>
      <c r="DJ125">
        <v>18.389600000000002</v>
      </c>
      <c r="DK125">
        <v>1.35573E-2</v>
      </c>
    </row>
    <row r="126" spans="31:145" x14ac:dyDescent="0.2">
      <c r="AE126" s="94">
        <v>3574.98</v>
      </c>
      <c r="AF126" s="94">
        <v>3542.77</v>
      </c>
      <c r="AG126" s="94">
        <v>5620.52</v>
      </c>
      <c r="AH126" s="94">
        <v>0.20088400000000001</v>
      </c>
      <c r="AI126" s="94">
        <v>0.27456799999999998</v>
      </c>
      <c r="AJ126" s="94">
        <v>105</v>
      </c>
      <c r="AK126" s="94">
        <v>0.76284600000000002</v>
      </c>
      <c r="AL126" s="94">
        <v>1869.52</v>
      </c>
      <c r="AM126" s="94">
        <v>9.0390999999999999E-2</v>
      </c>
      <c r="AN126" s="94">
        <v>2.1435900000000001</v>
      </c>
      <c r="AO126" s="94">
        <v>2.48185E-2</v>
      </c>
      <c r="AP126" s="94">
        <v>1.5550299999999999</v>
      </c>
      <c r="AQ126" s="94"/>
      <c r="AR126" s="94">
        <v>2.29948</v>
      </c>
      <c r="AS126" s="94">
        <v>96.485500000000002</v>
      </c>
      <c r="AT126" s="94">
        <v>6.5499599999999996</v>
      </c>
      <c r="AU126" s="94">
        <v>46.177900000000001</v>
      </c>
      <c r="AV126" s="94">
        <v>16.482199999999999</v>
      </c>
      <c r="AW126" s="94">
        <v>61.465699999999998</v>
      </c>
      <c r="AX126" s="94">
        <v>17.188800000000001</v>
      </c>
      <c r="AY126" s="94">
        <v>9.71279</v>
      </c>
      <c r="AZ126" s="94">
        <v>9.71279</v>
      </c>
      <c r="BA126" s="94">
        <v>0.31276700000000002</v>
      </c>
      <c r="BB126" s="94">
        <v>18.6557</v>
      </c>
      <c r="BC126" s="94">
        <v>0.24172299999999999</v>
      </c>
      <c r="BD126" s="94"/>
      <c r="BE126" s="94"/>
      <c r="BF126" s="94"/>
      <c r="BG126" s="94"/>
      <c r="BH126" s="94"/>
      <c r="BI126" s="94">
        <v>3799.98</v>
      </c>
      <c r="BJ126" s="94">
        <v>3767.76</v>
      </c>
      <c r="BK126" s="94">
        <v>5754.21</v>
      </c>
      <c r="BL126" s="94">
        <v>0.19950300000000001</v>
      </c>
      <c r="BM126" s="94">
        <v>0.27060899999999999</v>
      </c>
      <c r="BN126" s="94">
        <v>105</v>
      </c>
      <c r="BO126" s="94">
        <v>1.7095899999999999</v>
      </c>
      <c r="BP126" s="94">
        <v>1155.1500000000001</v>
      </c>
      <c r="BQ126" s="94">
        <v>0.104948</v>
      </c>
      <c r="BR126" s="94">
        <v>2.4348800000000002</v>
      </c>
      <c r="BS126" s="94">
        <v>2.8400000000000002E-2</v>
      </c>
      <c r="BT126" s="94">
        <v>1.7759799999999999</v>
      </c>
      <c r="BU126" s="94"/>
      <c r="BV126" s="94">
        <v>2.2902399999999998</v>
      </c>
      <c r="BW126" s="94">
        <v>96.510099999999994</v>
      </c>
      <c r="BX126" s="94">
        <v>7.4804599999999999</v>
      </c>
      <c r="BY126" s="94">
        <v>46.100299999999997</v>
      </c>
      <c r="BZ126" s="94">
        <v>16.481300000000001</v>
      </c>
      <c r="CA126">
        <v>61.3217</v>
      </c>
      <c r="CB126">
        <v>17.187100000000001</v>
      </c>
      <c r="CC126">
        <v>9.57254</v>
      </c>
      <c r="CD126">
        <v>9.57254</v>
      </c>
      <c r="CE126">
        <v>0.30751200000000001</v>
      </c>
      <c r="CF126">
        <v>18.589600000000001</v>
      </c>
      <c r="CG126">
        <v>7.0028499999999994E-2</v>
      </c>
      <c r="CM126">
        <v>3866.65</v>
      </c>
      <c r="CN126">
        <v>3834.42</v>
      </c>
      <c r="CO126">
        <v>4649.97</v>
      </c>
      <c r="CP126">
        <v>0.18360299999999999</v>
      </c>
      <c r="CQ126">
        <v>0.24634400000000001</v>
      </c>
      <c r="CR126">
        <v>106</v>
      </c>
      <c r="CS126">
        <v>25.446400000000001</v>
      </c>
      <c r="CT126">
        <v>544.66300000000001</v>
      </c>
      <c r="CU126">
        <v>0.77333799999999997</v>
      </c>
      <c r="CV126">
        <v>8.9955599999999993</v>
      </c>
      <c r="CW126">
        <v>0.19050700000000001</v>
      </c>
      <c r="CX126">
        <v>6.77956</v>
      </c>
      <c r="CY126">
        <v>0</v>
      </c>
      <c r="CZ126">
        <v>2.8850699999999998</v>
      </c>
      <c r="DA126">
        <v>104.581</v>
      </c>
      <c r="DB126">
        <v>26.6876</v>
      </c>
      <c r="DC126">
        <v>46.057600000000001</v>
      </c>
      <c r="DD126">
        <v>13.3569</v>
      </c>
      <c r="DE126">
        <v>61.047800000000002</v>
      </c>
      <c r="DF126">
        <v>14.660399999999999</v>
      </c>
      <c r="DG126">
        <v>14.8094</v>
      </c>
      <c r="DH126">
        <v>14.8094</v>
      </c>
      <c r="DI126">
        <v>0.89843799999999996</v>
      </c>
      <c r="DJ126">
        <v>18.387899999999998</v>
      </c>
      <c r="DK126">
        <v>1.47864E-2</v>
      </c>
      <c r="EA126">
        <v>0.22525100000000001</v>
      </c>
      <c r="EB126">
        <v>1.9475800000000001</v>
      </c>
      <c r="EC126">
        <v>0</v>
      </c>
      <c r="ED126">
        <v>3.23706</v>
      </c>
      <c r="EE126">
        <v>97.179000000000002</v>
      </c>
      <c r="EF126">
        <v>8.9541000000000004</v>
      </c>
      <c r="EG126">
        <v>46.099600000000002</v>
      </c>
      <c r="EH126">
        <v>11.8932</v>
      </c>
      <c r="EI126">
        <v>60.9818</v>
      </c>
      <c r="EJ126">
        <v>16.982099999999999</v>
      </c>
      <c r="EK126">
        <v>17.965199999999999</v>
      </c>
      <c r="EL126">
        <v>17.965199999999999</v>
      </c>
      <c r="EM126">
        <v>1.3683799999999999</v>
      </c>
      <c r="EN126">
        <v>18.301100000000002</v>
      </c>
      <c r="EO126">
        <v>0.54367600000000005</v>
      </c>
    </row>
    <row r="127" spans="31:145" x14ac:dyDescent="0.2">
      <c r="AE127" s="94">
        <v>3649.98</v>
      </c>
      <c r="AF127" s="94">
        <v>3617.77</v>
      </c>
      <c r="AG127" s="94">
        <v>5669.96</v>
      </c>
      <c r="AH127" s="94">
        <v>0.20092199999999999</v>
      </c>
      <c r="AI127" s="94">
        <v>0.27489599999999997</v>
      </c>
      <c r="AJ127" s="94">
        <v>105</v>
      </c>
      <c r="AK127" s="94">
        <v>0.91489299999999996</v>
      </c>
      <c r="AL127" s="94">
        <v>1918.81</v>
      </c>
      <c r="AM127" s="94">
        <v>9.0354000000000004E-2</v>
      </c>
      <c r="AN127" s="94">
        <v>2.1438299999999999</v>
      </c>
      <c r="AO127" s="94">
        <v>2.4837999999999999E-2</v>
      </c>
      <c r="AP127" s="94">
        <v>1.5545</v>
      </c>
      <c r="AQ127" s="94"/>
      <c r="AR127" s="94">
        <v>2.29508</v>
      </c>
      <c r="AS127" s="94">
        <v>96.469899999999996</v>
      </c>
      <c r="AT127" s="94">
        <v>6.54908</v>
      </c>
      <c r="AU127" s="94">
        <v>46.151699999999998</v>
      </c>
      <c r="AV127" s="94">
        <v>16.488700000000001</v>
      </c>
      <c r="AW127" s="94">
        <v>61.417999999999999</v>
      </c>
      <c r="AX127" s="94">
        <v>17.1953</v>
      </c>
      <c r="AY127" s="94">
        <v>9.6557600000000008</v>
      </c>
      <c r="AZ127" s="94">
        <v>9.6557600000000008</v>
      </c>
      <c r="BA127" s="94">
        <v>0.31013099999999999</v>
      </c>
      <c r="BB127" s="94">
        <v>18.6341</v>
      </c>
      <c r="BC127" s="94">
        <v>0.241924</v>
      </c>
      <c r="BD127" s="94"/>
      <c r="BE127" s="94"/>
      <c r="BF127" s="94"/>
      <c r="BG127" s="94"/>
      <c r="BH127" s="94"/>
      <c r="BI127" s="94">
        <v>3866.65</v>
      </c>
      <c r="BJ127" s="94">
        <v>3834.43</v>
      </c>
      <c r="BK127" s="94">
        <v>5797.89</v>
      </c>
      <c r="BL127" s="94">
        <v>0.19970599999999999</v>
      </c>
      <c r="BM127" s="94">
        <v>0.27110600000000001</v>
      </c>
      <c r="BN127" s="94">
        <v>105</v>
      </c>
      <c r="BO127" s="94">
        <v>1.88306</v>
      </c>
      <c r="BP127" s="94">
        <v>1198.6600000000001</v>
      </c>
      <c r="BQ127" s="94">
        <v>0.104813</v>
      </c>
      <c r="BR127" s="94">
        <v>2.4332500000000001</v>
      </c>
      <c r="BS127" s="94">
        <v>2.84155E-2</v>
      </c>
      <c r="BT127" s="94">
        <v>1.7735799999999999</v>
      </c>
      <c r="BU127" s="94"/>
      <c r="BV127" s="94">
        <v>2.28403</v>
      </c>
      <c r="BW127" s="94">
        <v>96.4465</v>
      </c>
      <c r="BX127" s="94">
        <v>7.4762599999999999</v>
      </c>
      <c r="BY127" s="94">
        <v>46.0839</v>
      </c>
      <c r="BZ127" s="94">
        <v>16.506900000000002</v>
      </c>
      <c r="CA127">
        <v>61.293599999999998</v>
      </c>
      <c r="CB127">
        <v>17.213100000000001</v>
      </c>
      <c r="CC127">
        <v>9.50685</v>
      </c>
      <c r="CD127">
        <v>9.50685</v>
      </c>
      <c r="CE127">
        <v>0.303255</v>
      </c>
      <c r="CF127">
        <v>18.5777</v>
      </c>
      <c r="CG127">
        <v>7.1090200000000006E-2</v>
      </c>
      <c r="CM127">
        <v>3933.32</v>
      </c>
      <c r="CN127">
        <v>3901.09</v>
      </c>
      <c r="CO127">
        <v>4690.26</v>
      </c>
      <c r="CP127">
        <v>0.18421199999999999</v>
      </c>
      <c r="CQ127">
        <v>0.247277</v>
      </c>
      <c r="CR127">
        <v>106</v>
      </c>
      <c r="CS127">
        <v>27.4954</v>
      </c>
      <c r="CT127">
        <v>582.904</v>
      </c>
      <c r="CU127">
        <v>0.77048000000000005</v>
      </c>
      <c r="CV127">
        <v>8.9611699999999992</v>
      </c>
      <c r="CW127">
        <v>0.190522</v>
      </c>
      <c r="CX127">
        <v>6.7452800000000002</v>
      </c>
      <c r="CY127">
        <v>0</v>
      </c>
      <c r="CZ127">
        <v>2.86958</v>
      </c>
      <c r="DA127">
        <v>104.324</v>
      </c>
      <c r="DB127">
        <v>26.624500000000001</v>
      </c>
      <c r="DC127">
        <v>46.053800000000003</v>
      </c>
      <c r="DD127">
        <v>13.4275</v>
      </c>
      <c r="DE127">
        <v>61.045900000000003</v>
      </c>
      <c r="DF127">
        <v>14.7356</v>
      </c>
      <c r="DG127">
        <v>14.661300000000001</v>
      </c>
      <c r="DH127">
        <v>14.661300000000001</v>
      </c>
      <c r="DI127">
        <v>0.87899000000000005</v>
      </c>
      <c r="DJ127">
        <v>18.388999999999999</v>
      </c>
      <c r="DK127">
        <v>1.6007500000000001E-2</v>
      </c>
      <c r="EA127">
        <v>0.22537599999999999</v>
      </c>
      <c r="EB127">
        <v>1.9321900000000001</v>
      </c>
      <c r="EC127">
        <v>0</v>
      </c>
      <c r="ED127">
        <v>3.2097699999999998</v>
      </c>
      <c r="EE127">
        <v>96.837000000000003</v>
      </c>
      <c r="EF127">
        <v>8.92286</v>
      </c>
      <c r="EG127">
        <v>46.081299999999999</v>
      </c>
      <c r="EH127">
        <v>11.988899999999999</v>
      </c>
      <c r="EI127">
        <v>60.9497</v>
      </c>
      <c r="EJ127">
        <v>17.103200000000001</v>
      </c>
      <c r="EK127">
        <v>17.689599999999999</v>
      </c>
      <c r="EL127">
        <v>17.689599999999999</v>
      </c>
      <c r="EM127">
        <v>1.33005</v>
      </c>
      <c r="EN127">
        <v>18.287199999999999</v>
      </c>
      <c r="EO127">
        <v>0.54333399999999998</v>
      </c>
    </row>
    <row r="128" spans="31:145" x14ac:dyDescent="0.2">
      <c r="AE128" s="94">
        <v>3724.98</v>
      </c>
      <c r="AF128" s="94">
        <v>3692.77</v>
      </c>
      <c r="AG128" s="94">
        <v>5719.42</v>
      </c>
      <c r="AH128" s="94">
        <v>0.200987</v>
      </c>
      <c r="AI128" s="94">
        <v>0.27525699999999997</v>
      </c>
      <c r="AJ128" s="94">
        <v>105</v>
      </c>
      <c r="AK128" s="94">
        <v>1.0668500000000001</v>
      </c>
      <c r="AL128" s="94">
        <v>1968.11</v>
      </c>
      <c r="AM128" s="94">
        <v>9.0304200000000001E-2</v>
      </c>
      <c r="AN128" s="94">
        <v>2.1438299999999999</v>
      </c>
      <c r="AO128" s="94">
        <v>2.4856900000000001E-2</v>
      </c>
      <c r="AP128" s="94">
        <v>1.55372</v>
      </c>
      <c r="AQ128" s="94"/>
      <c r="AR128" s="94">
        <v>2.29033</v>
      </c>
      <c r="AS128" s="94">
        <v>96.446700000000007</v>
      </c>
      <c r="AT128" s="94">
        <v>6.5478199999999998</v>
      </c>
      <c r="AU128" s="94">
        <v>46.1265</v>
      </c>
      <c r="AV128" s="94">
        <v>16.4986</v>
      </c>
      <c r="AW128" s="94">
        <v>61.372300000000003</v>
      </c>
      <c r="AX128" s="94">
        <v>17.205200000000001</v>
      </c>
      <c r="AY128" s="94">
        <v>9.5960000000000001</v>
      </c>
      <c r="AZ128" s="94">
        <v>9.5960000000000001</v>
      </c>
      <c r="BA128" s="94">
        <v>0.30717299999999997</v>
      </c>
      <c r="BB128" s="94">
        <v>18.613600000000002</v>
      </c>
      <c r="BC128" s="94">
        <v>0.24212400000000001</v>
      </c>
      <c r="BD128" s="94"/>
      <c r="BE128" s="94"/>
      <c r="BF128" s="94"/>
      <c r="BG128" s="94"/>
      <c r="BH128" s="94"/>
      <c r="BI128" s="94">
        <v>3933.32</v>
      </c>
      <c r="BJ128" s="94">
        <v>3901.09</v>
      </c>
      <c r="BK128" s="94">
        <v>5841.63</v>
      </c>
      <c r="BL128" s="94">
        <v>0.20000699999999999</v>
      </c>
      <c r="BM128" s="94">
        <v>0.27169700000000002</v>
      </c>
      <c r="BN128" s="94">
        <v>105</v>
      </c>
      <c r="BO128" s="94">
        <v>2.0562299999999998</v>
      </c>
      <c r="BP128" s="94">
        <v>1242.23</v>
      </c>
      <c r="BQ128" s="94">
        <v>0.104625</v>
      </c>
      <c r="BR128" s="94">
        <v>2.4304999999999999</v>
      </c>
      <c r="BS128" s="94">
        <v>2.8426199999999999E-2</v>
      </c>
      <c r="BT128" s="94">
        <v>1.77014</v>
      </c>
      <c r="BU128" s="94"/>
      <c r="BV128" s="94">
        <v>2.2768899999999999</v>
      </c>
      <c r="BW128" s="94">
        <v>96.354600000000005</v>
      </c>
      <c r="BX128" s="94">
        <v>7.4705300000000001</v>
      </c>
      <c r="BY128" s="94">
        <v>46.072299999999998</v>
      </c>
      <c r="BZ128" s="94">
        <v>16.545500000000001</v>
      </c>
      <c r="CA128">
        <v>61.275700000000001</v>
      </c>
      <c r="CB128">
        <v>17.252400000000002</v>
      </c>
      <c r="CC128">
        <v>9.4318899999999992</v>
      </c>
      <c r="CD128">
        <v>9.4318899999999992</v>
      </c>
      <c r="CE128">
        <v>0.29778100000000002</v>
      </c>
      <c r="CF128">
        <v>18.571000000000002</v>
      </c>
      <c r="CG128">
        <v>7.2143799999999994E-2</v>
      </c>
      <c r="CM128">
        <v>3999.98</v>
      </c>
      <c r="CN128">
        <v>3967.76</v>
      </c>
      <c r="CO128">
        <v>4730.7</v>
      </c>
      <c r="CP128">
        <v>0.18489</v>
      </c>
      <c r="CQ128">
        <v>0.24829799999999999</v>
      </c>
      <c r="CR128">
        <v>106</v>
      </c>
      <c r="CS128">
        <v>29.5337</v>
      </c>
      <c r="CT128">
        <v>621.303</v>
      </c>
      <c r="CU128">
        <v>0.76729599999999998</v>
      </c>
      <c r="CV128">
        <v>8.9239700000000006</v>
      </c>
      <c r="CW128">
        <v>0.19051799999999999</v>
      </c>
      <c r="CX128">
        <v>6.70817</v>
      </c>
      <c r="CY128">
        <v>0</v>
      </c>
      <c r="CZ128">
        <v>2.8532600000000001</v>
      </c>
      <c r="DA128">
        <v>104.044</v>
      </c>
      <c r="DB128">
        <v>26.556000000000001</v>
      </c>
      <c r="DC128">
        <v>46.052900000000001</v>
      </c>
      <c r="DD128">
        <v>13.505100000000001</v>
      </c>
      <c r="DE128">
        <v>61.0503</v>
      </c>
      <c r="DF128">
        <v>14.818099999999999</v>
      </c>
      <c r="DG128">
        <v>14.5085</v>
      </c>
      <c r="DH128">
        <v>14.5085</v>
      </c>
      <c r="DI128">
        <v>0.85848100000000005</v>
      </c>
      <c r="DJ128">
        <v>18.3934</v>
      </c>
      <c r="DK128">
        <v>1.7221199999999999E-2</v>
      </c>
      <c r="EA128">
        <v>89.610200000000006</v>
      </c>
      <c r="EB128">
        <v>566.93899999999996</v>
      </c>
      <c r="EC128">
        <v>0</v>
      </c>
      <c r="ED128">
        <v>0</v>
      </c>
      <c r="EE128">
        <v>0</v>
      </c>
      <c r="EF128">
        <v>3109.27</v>
      </c>
      <c r="EG128">
        <v>46.114899999999999</v>
      </c>
      <c r="EH128">
        <v>16.2789</v>
      </c>
      <c r="EI128">
        <v>61.328699999999998</v>
      </c>
      <c r="EJ128">
        <v>22.427600000000002</v>
      </c>
      <c r="EK128">
        <v>9.8877400000000009</v>
      </c>
      <c r="EL128">
        <v>9.8877400000000009</v>
      </c>
      <c r="EM128">
        <v>0.33432200000000001</v>
      </c>
      <c r="EN128">
        <v>18.584900000000001</v>
      </c>
      <c r="EO128">
        <v>0.54333399999999998</v>
      </c>
    </row>
    <row r="129" spans="31:145" x14ac:dyDescent="0.2">
      <c r="AE129" s="94">
        <v>3799.98</v>
      </c>
      <c r="AF129" s="94">
        <v>3767.77</v>
      </c>
      <c r="AG129" s="94">
        <v>5768.9</v>
      </c>
      <c r="AH129" s="94">
        <v>0.201097</v>
      </c>
      <c r="AI129" s="94">
        <v>0.27567199999999997</v>
      </c>
      <c r="AJ129" s="94">
        <v>105</v>
      </c>
      <c r="AK129" s="94">
        <v>1.2186699999999999</v>
      </c>
      <c r="AL129" s="94">
        <v>2017.44</v>
      </c>
      <c r="AM129" s="94">
        <v>9.0232199999999999E-2</v>
      </c>
      <c r="AN129" s="94">
        <v>2.1433800000000001</v>
      </c>
      <c r="AO129" s="94">
        <v>2.4874500000000001E-2</v>
      </c>
      <c r="AP129" s="94">
        <v>1.5525100000000001</v>
      </c>
      <c r="AQ129" s="94"/>
      <c r="AR129" s="94">
        <v>2.2850199999999998</v>
      </c>
      <c r="AS129" s="94">
        <v>96.410300000000007</v>
      </c>
      <c r="AT129" s="94">
        <v>6.5458999999999996</v>
      </c>
      <c r="AU129" s="94">
        <v>46.103400000000001</v>
      </c>
      <c r="AV129" s="94">
        <v>16.514399999999998</v>
      </c>
      <c r="AW129" s="94">
        <v>61.330800000000004</v>
      </c>
      <c r="AX129" s="94">
        <v>17.2211</v>
      </c>
      <c r="AY129" s="94">
        <v>9.5317600000000002</v>
      </c>
      <c r="AZ129" s="94">
        <v>9.5317600000000002</v>
      </c>
      <c r="BA129" s="94">
        <v>0.30365500000000001</v>
      </c>
      <c r="BB129" s="94">
        <v>18.595199999999998</v>
      </c>
      <c r="BC129" s="94">
        <v>0.24232500000000001</v>
      </c>
      <c r="BD129" s="94"/>
      <c r="BE129" s="94"/>
      <c r="BF129" s="94"/>
      <c r="BG129" s="94"/>
      <c r="BH129" s="94"/>
      <c r="BI129" s="94">
        <v>3999.98</v>
      </c>
      <c r="BJ129" s="94">
        <v>3967.76</v>
      </c>
      <c r="BK129" s="94">
        <v>5885.48</v>
      </c>
      <c r="BL129" s="94">
        <v>0.20047300000000001</v>
      </c>
      <c r="BM129" s="94">
        <v>0.27247100000000002</v>
      </c>
      <c r="BN129" s="94">
        <v>105</v>
      </c>
      <c r="BO129" s="94">
        <v>2.2289300000000001</v>
      </c>
      <c r="BP129" s="94">
        <v>1285.9100000000001</v>
      </c>
      <c r="BQ129" s="94">
        <v>0.10434499999999999</v>
      </c>
      <c r="BR129" s="94">
        <v>2.4259400000000002</v>
      </c>
      <c r="BS129" s="94">
        <v>2.8430799999999999E-2</v>
      </c>
      <c r="BT129" s="94">
        <v>1.76494</v>
      </c>
      <c r="BU129" s="94"/>
      <c r="BV129" s="94">
        <v>2.2678600000000002</v>
      </c>
      <c r="BW129" s="94">
        <v>96.215400000000002</v>
      </c>
      <c r="BX129" s="94">
        <v>7.4618900000000004</v>
      </c>
      <c r="BY129" s="94">
        <v>46.067900000000002</v>
      </c>
      <c r="BZ129" s="94">
        <v>16.604199999999999</v>
      </c>
      <c r="CA129">
        <v>61.273699999999998</v>
      </c>
      <c r="CB129">
        <v>17.3124</v>
      </c>
      <c r="CC129">
        <v>9.3427600000000002</v>
      </c>
      <c r="CD129">
        <v>9.3427600000000002</v>
      </c>
      <c r="CE129">
        <v>0.290466</v>
      </c>
      <c r="CF129">
        <v>18.572500000000002</v>
      </c>
      <c r="CG129">
        <v>7.3190500000000006E-2</v>
      </c>
      <c r="EA129">
        <v>0.224076</v>
      </c>
      <c r="EB129">
        <v>1.4152499999999999</v>
      </c>
      <c r="EC129">
        <v>0</v>
      </c>
      <c r="ED129">
        <v>2.31793</v>
      </c>
      <c r="EE129">
        <v>84.409599999999998</v>
      </c>
      <c r="EF129">
        <v>7.7718100000000003</v>
      </c>
      <c r="EG129">
        <v>46.1023</v>
      </c>
      <c r="EH129">
        <v>16.327100000000002</v>
      </c>
      <c r="EI129">
        <v>61.309800000000003</v>
      </c>
      <c r="EJ129">
        <v>22.4757</v>
      </c>
      <c r="EK129">
        <v>9.7949300000000008</v>
      </c>
      <c r="EL129">
        <v>9.7949300000000008</v>
      </c>
      <c r="EM129">
        <v>0.32713599999999998</v>
      </c>
      <c r="EN129">
        <v>18.578099999999999</v>
      </c>
      <c r="EO129">
        <v>0.54357599999999995</v>
      </c>
    </row>
    <row r="130" spans="31:145" x14ac:dyDescent="0.2">
      <c r="AE130" s="94"/>
      <c r="AF130" s="94"/>
      <c r="AG130" s="94"/>
      <c r="AH130" s="94"/>
      <c r="AI130" s="94"/>
      <c r="AJ130" s="94"/>
      <c r="AK130" s="94"/>
      <c r="AL130" s="94"/>
      <c r="AM130" s="94"/>
      <c r="AN130" s="94"/>
      <c r="AO130" s="94"/>
      <c r="AP130" s="94"/>
      <c r="AQ130" s="94"/>
      <c r="AR130" s="94"/>
      <c r="AS130" s="94"/>
      <c r="AT130" s="94"/>
      <c r="AU130" s="94"/>
      <c r="AV130" s="94"/>
      <c r="AW130" s="94"/>
      <c r="AX130" s="94"/>
      <c r="AY130" s="94"/>
      <c r="AZ130" s="94"/>
      <c r="BA130" s="94"/>
      <c r="BB130" s="94"/>
      <c r="BC130" s="94"/>
      <c r="BD130" s="94"/>
      <c r="BE130" s="94"/>
      <c r="BF130" s="94"/>
      <c r="BG130" s="94"/>
      <c r="BH130" s="94"/>
      <c r="BI130" s="94"/>
      <c r="BJ130" s="94"/>
      <c r="BK130" s="94"/>
      <c r="BL130" s="94"/>
      <c r="BM130" s="94"/>
      <c r="BN130" s="94"/>
      <c r="BO130" s="94"/>
      <c r="BP130" s="94"/>
      <c r="BQ130" s="94"/>
      <c r="BR130" s="94"/>
      <c r="BS130" s="94"/>
      <c r="BT130" s="94"/>
      <c r="BU130" s="94"/>
      <c r="BV130" s="94"/>
      <c r="BW130" s="94"/>
      <c r="BX130" s="94"/>
      <c r="BY130" s="94"/>
      <c r="BZ130" s="94"/>
      <c r="EA130">
        <v>0.22414000000000001</v>
      </c>
      <c r="EB130">
        <v>1.41093</v>
      </c>
      <c r="EC130">
        <v>0</v>
      </c>
      <c r="ED130">
        <v>2.3079999999999998</v>
      </c>
      <c r="EE130">
        <v>84.299899999999994</v>
      </c>
      <c r="EF130">
        <v>7.7619999999999996</v>
      </c>
      <c r="EG130">
        <v>46.091099999999997</v>
      </c>
      <c r="EH130">
        <v>16.378699999999998</v>
      </c>
      <c r="EI130">
        <v>61.293900000000001</v>
      </c>
      <c r="EJ130">
        <v>22.535799999999998</v>
      </c>
      <c r="EK130">
        <v>9.7004400000000004</v>
      </c>
      <c r="EL130">
        <v>9.7004400000000004</v>
      </c>
      <c r="EM130">
        <v>0.31972099999999998</v>
      </c>
      <c r="EN130">
        <v>18.572700000000001</v>
      </c>
      <c r="EO130">
        <v>0.54382200000000003</v>
      </c>
    </row>
    <row r="131" spans="31:145" x14ac:dyDescent="0.2">
      <c r="AE131" s="94"/>
      <c r="AF131" s="94"/>
      <c r="AG131" s="94"/>
      <c r="AH131" s="94"/>
      <c r="AI131" s="94"/>
      <c r="AJ131" s="94"/>
      <c r="AK131" s="94"/>
      <c r="AL131" s="94"/>
      <c r="AM131" s="94"/>
      <c r="AN131" s="94"/>
      <c r="AO131" s="94"/>
      <c r="AP131" s="94"/>
      <c r="AQ131" s="94"/>
      <c r="AR131" s="94"/>
      <c r="AS131" s="94"/>
      <c r="AT131" s="94"/>
      <c r="AU131" s="94"/>
      <c r="AV131" s="94"/>
      <c r="AW131" s="94"/>
      <c r="AX131" s="94"/>
      <c r="AY131" s="94"/>
      <c r="AZ131" s="94"/>
      <c r="BA131" s="94"/>
      <c r="BB131" s="94"/>
      <c r="BC131" s="94"/>
      <c r="BD131" s="94"/>
      <c r="BE131" s="94"/>
      <c r="BF131" s="94"/>
      <c r="BG131" s="94"/>
      <c r="BH131" s="94"/>
      <c r="BI131" s="94"/>
      <c r="BJ131" s="94"/>
      <c r="BK131" s="94"/>
      <c r="BL131" s="94"/>
      <c r="BM131" s="94"/>
      <c r="BN131" s="94"/>
      <c r="BO131" s="94"/>
      <c r="BP131" s="94"/>
      <c r="BQ131" s="94"/>
      <c r="BR131" s="94"/>
      <c r="BS131" s="94"/>
      <c r="BT131" s="94"/>
      <c r="BU131" s="94"/>
      <c r="BV131" s="94"/>
      <c r="BW131" s="94"/>
      <c r="BX131" s="94"/>
      <c r="BY131" s="94"/>
      <c r="BZ131" s="94"/>
    </row>
    <row r="132" spans="31:145" x14ac:dyDescent="0.2">
      <c r="AE132" s="94"/>
      <c r="AF132" s="94"/>
      <c r="AG132" s="94"/>
      <c r="AH132" s="94"/>
      <c r="AI132" s="94"/>
      <c r="AJ132" s="94"/>
      <c r="AK132" s="94"/>
      <c r="AL132" s="94"/>
      <c r="AM132" s="94"/>
      <c r="AN132" s="94"/>
      <c r="AO132" s="94"/>
      <c r="AP132" s="94"/>
      <c r="AQ132" s="94"/>
      <c r="AR132" s="94"/>
      <c r="AS132" s="94"/>
      <c r="AT132" s="94"/>
      <c r="AU132" s="94"/>
      <c r="AV132" s="94"/>
      <c r="AW132" s="94"/>
      <c r="AX132" s="94"/>
      <c r="AY132" s="94"/>
      <c r="AZ132" s="94"/>
      <c r="BA132" s="94"/>
      <c r="BB132" s="94"/>
      <c r="BC132" s="94"/>
      <c r="BD132" s="94"/>
      <c r="BE132" s="94"/>
      <c r="BF132" s="94"/>
      <c r="BG132" s="94"/>
      <c r="BH132" s="94"/>
      <c r="BI132" s="94"/>
      <c r="BJ132" s="94"/>
      <c r="BK132" s="94"/>
      <c r="BL132" s="94"/>
      <c r="BM132" s="94"/>
      <c r="BN132" s="94"/>
      <c r="BO132" s="94"/>
      <c r="BP132" s="94"/>
      <c r="BQ132" s="94"/>
      <c r="BR132" s="94"/>
      <c r="BS132" s="94"/>
      <c r="BT132" s="94"/>
      <c r="BU132" s="94"/>
      <c r="BV132" s="94"/>
      <c r="BW132" s="94"/>
      <c r="BX132" s="94"/>
      <c r="BY132" s="94"/>
      <c r="BZ132" s="94"/>
      <c r="EA132">
        <v>0.219169</v>
      </c>
      <c r="EB132">
        <v>1.7741400000000001</v>
      </c>
      <c r="EC132">
        <v>0</v>
      </c>
      <c r="ED132">
        <v>3.0379499999999999</v>
      </c>
      <c r="EE132">
        <v>94.313199999999995</v>
      </c>
      <c r="EF132">
        <v>8.4626699999999992</v>
      </c>
      <c r="EG132">
        <v>46.1083</v>
      </c>
      <c r="EH132">
        <v>12.7103</v>
      </c>
      <c r="EI132">
        <v>61.043100000000003</v>
      </c>
      <c r="EJ132">
        <v>18.0246</v>
      </c>
      <c r="EK132">
        <v>16.183900000000001</v>
      </c>
      <c r="EL132">
        <v>16.183900000000001</v>
      </c>
      <c r="EM132">
        <v>1.09396</v>
      </c>
      <c r="EN132">
        <v>18.346900000000002</v>
      </c>
      <c r="EO132">
        <v>0.58716199999999996</v>
      </c>
    </row>
    <row r="133" spans="31:145" x14ac:dyDescent="0.2">
      <c r="AE133" s="94"/>
      <c r="AF133" s="94"/>
      <c r="AG133" s="94"/>
      <c r="AH133" s="94"/>
      <c r="AI133" s="94"/>
      <c r="AJ133" s="94"/>
      <c r="AK133" s="94"/>
      <c r="AL133" s="94"/>
      <c r="AM133" s="94"/>
      <c r="AN133" s="94"/>
      <c r="AO133" s="94"/>
      <c r="AP133" s="94"/>
      <c r="AQ133" s="94"/>
      <c r="AR133" s="94"/>
      <c r="AS133" s="94"/>
      <c r="AT133" s="94"/>
      <c r="AU133" s="94"/>
      <c r="AV133" s="94"/>
      <c r="AW133" s="94"/>
      <c r="AX133" s="94"/>
      <c r="AY133" s="94"/>
      <c r="AZ133" s="94"/>
      <c r="BA133" s="94"/>
      <c r="BB133" s="94"/>
      <c r="BC133" s="94"/>
      <c r="BD133" s="94"/>
      <c r="BE133" s="94"/>
      <c r="BF133" s="94"/>
      <c r="BG133" s="94"/>
      <c r="BH133" s="94"/>
      <c r="BI133" s="94"/>
      <c r="BJ133" s="94"/>
      <c r="BK133" s="94"/>
      <c r="BL133" s="94"/>
      <c r="BM133" s="94"/>
      <c r="BN133" s="94"/>
      <c r="BO133" s="94"/>
      <c r="BP133" s="94"/>
      <c r="BQ133" s="94"/>
      <c r="BR133" s="94"/>
      <c r="BS133" s="94"/>
      <c r="BT133" s="94"/>
      <c r="BU133" s="94"/>
      <c r="BV133" s="94"/>
      <c r="BW133" s="94"/>
      <c r="BX133" s="94"/>
      <c r="BY133" s="94"/>
      <c r="BZ133" s="94"/>
      <c r="EA133">
        <v>0.21928900000000001</v>
      </c>
      <c r="EB133">
        <v>1.76173</v>
      </c>
      <c r="EC133">
        <v>0</v>
      </c>
      <c r="ED133">
        <v>3.0139800000000001</v>
      </c>
      <c r="EE133">
        <v>94.022000000000006</v>
      </c>
      <c r="EF133">
        <v>8.4367999999999999</v>
      </c>
      <c r="EG133">
        <v>46.089700000000001</v>
      </c>
      <c r="EH133">
        <v>12.8009</v>
      </c>
      <c r="EI133">
        <v>61.011299999999999</v>
      </c>
      <c r="EJ133">
        <v>18.137499999999999</v>
      </c>
      <c r="EK133">
        <v>15.9399</v>
      </c>
      <c r="EL133">
        <v>15.9399</v>
      </c>
      <c r="EM133">
        <v>1.0629200000000001</v>
      </c>
      <c r="EN133">
        <v>18.333400000000001</v>
      </c>
      <c r="EO133">
        <v>0.58674499999999996</v>
      </c>
    </row>
    <row r="134" spans="31:145" x14ac:dyDescent="0.2">
      <c r="AE134" s="94"/>
      <c r="AF134" s="94"/>
      <c r="AG134" s="94"/>
      <c r="AH134" s="94"/>
      <c r="AI134" s="94"/>
      <c r="AJ134" s="94"/>
      <c r="AK134" s="94"/>
      <c r="AL134" s="94"/>
      <c r="AM134" s="94"/>
      <c r="AN134" s="94"/>
      <c r="AO134" s="94"/>
      <c r="AP134" s="94"/>
      <c r="AQ134" s="94"/>
      <c r="AR134" s="94"/>
      <c r="AS134" s="94"/>
      <c r="AT134" s="94"/>
      <c r="AU134" s="94"/>
      <c r="AV134" s="94"/>
      <c r="AW134" s="94"/>
      <c r="AX134" s="94"/>
      <c r="AY134" s="94"/>
      <c r="AZ134" s="94"/>
      <c r="BA134" s="94"/>
      <c r="BB134" s="94"/>
      <c r="BC134" s="94"/>
      <c r="BD134" s="94"/>
      <c r="BE134" s="94"/>
      <c r="BF134" s="94"/>
      <c r="BG134" s="94"/>
      <c r="BH134" s="94"/>
      <c r="BI134" s="94"/>
      <c r="BJ134" s="94"/>
      <c r="BK134" s="94"/>
      <c r="BL134" s="94"/>
      <c r="BM134" s="94"/>
      <c r="BN134" s="94"/>
      <c r="BO134" s="94"/>
      <c r="BP134" s="94"/>
      <c r="BQ134" s="94"/>
      <c r="BR134" s="94"/>
      <c r="BS134" s="94"/>
      <c r="BT134" s="94"/>
      <c r="BU134" s="94"/>
      <c r="BV134" s="94"/>
      <c r="BW134" s="94"/>
      <c r="BX134" s="94"/>
      <c r="BY134" s="94"/>
      <c r="BZ134" s="94"/>
      <c r="EA134">
        <v>87.270600000000002</v>
      </c>
      <c r="EB134">
        <v>551.10699999999997</v>
      </c>
      <c r="EC134">
        <v>0</v>
      </c>
      <c r="ED134">
        <v>0</v>
      </c>
      <c r="EE134">
        <v>0</v>
      </c>
      <c r="EF134">
        <v>3025.78</v>
      </c>
      <c r="EG134">
        <v>46.116</v>
      </c>
      <c r="EH134">
        <v>16.310700000000001</v>
      </c>
      <c r="EI134">
        <v>61.333799999999997</v>
      </c>
      <c r="EJ134">
        <v>22.465699999999998</v>
      </c>
      <c r="EK134">
        <v>9.8439099999999993</v>
      </c>
      <c r="EL134">
        <v>9.8439099999999993</v>
      </c>
      <c r="EM134">
        <v>0.33024300000000001</v>
      </c>
      <c r="EN134">
        <v>18.5885</v>
      </c>
      <c r="EO134">
        <v>0.58674499999999996</v>
      </c>
    </row>
    <row r="135" spans="31:145" x14ac:dyDescent="0.2">
      <c r="AE135" s="94"/>
      <c r="AF135" s="94"/>
      <c r="AG135" s="94"/>
      <c r="AH135" s="94"/>
      <c r="AI135" s="94"/>
      <c r="AJ135" s="94"/>
      <c r="AK135" s="94"/>
      <c r="AL135" s="94"/>
      <c r="AM135" s="94"/>
      <c r="AN135" s="94"/>
      <c r="AO135" s="94"/>
      <c r="AP135" s="94"/>
      <c r="AQ135" s="94"/>
      <c r="AR135" s="94"/>
      <c r="AS135" s="94"/>
      <c r="AT135" s="94"/>
      <c r="AU135" s="94"/>
      <c r="AV135" s="94"/>
      <c r="AW135" s="94"/>
      <c r="AX135" s="94"/>
      <c r="AY135" s="94"/>
      <c r="AZ135" s="94"/>
      <c r="BA135" s="94"/>
      <c r="BB135" s="94"/>
      <c r="BC135" s="94"/>
      <c r="BD135" s="94"/>
      <c r="BE135" s="94"/>
      <c r="BF135" s="94"/>
      <c r="BG135" s="94"/>
      <c r="BH135" s="94"/>
      <c r="BI135" s="94"/>
      <c r="BJ135" s="94"/>
      <c r="BK135" s="94"/>
      <c r="BL135" s="94"/>
      <c r="BM135" s="94"/>
      <c r="BN135" s="94"/>
      <c r="BO135" s="94"/>
      <c r="BP135" s="94"/>
      <c r="BQ135" s="94"/>
      <c r="BR135" s="94"/>
      <c r="BS135" s="94"/>
      <c r="BT135" s="94"/>
      <c r="BU135" s="94"/>
      <c r="BV135" s="94"/>
      <c r="BW135" s="94"/>
      <c r="BX135" s="94"/>
      <c r="BY135" s="94"/>
      <c r="BZ135" s="94"/>
      <c r="EA135">
        <v>0.218227</v>
      </c>
      <c r="EB135">
        <v>1.37574</v>
      </c>
      <c r="EC135">
        <v>0</v>
      </c>
      <c r="ED135">
        <v>2.3127499999999999</v>
      </c>
      <c r="EE135">
        <v>84.338200000000001</v>
      </c>
      <c r="EF135">
        <v>7.5631199999999996</v>
      </c>
      <c r="EG135">
        <v>46.103200000000001</v>
      </c>
      <c r="EH135">
        <v>16.358799999999999</v>
      </c>
      <c r="EI135">
        <v>61.314599999999999</v>
      </c>
      <c r="EJ135">
        <v>22.5136</v>
      </c>
      <c r="EK135">
        <v>9.7512500000000006</v>
      </c>
      <c r="EL135">
        <v>9.7512500000000006</v>
      </c>
      <c r="EM135">
        <v>0.32311899999999999</v>
      </c>
      <c r="EN135">
        <v>18.581499999999998</v>
      </c>
      <c r="EO135">
        <v>0.58684599999999998</v>
      </c>
    </row>
    <row r="136" spans="31:145" x14ac:dyDescent="0.2">
      <c r="AE136" s="94"/>
      <c r="AF136" s="94"/>
      <c r="AG136" s="94"/>
      <c r="AH136" s="94"/>
      <c r="AI136" s="94"/>
      <c r="AJ136" s="94"/>
      <c r="AK136" s="94"/>
      <c r="AL136" s="94"/>
      <c r="AM136" s="94"/>
      <c r="AN136" s="94"/>
      <c r="AO136" s="94"/>
      <c r="AP136" s="94"/>
      <c r="AQ136" s="94"/>
      <c r="AR136" s="94"/>
      <c r="AS136" s="94"/>
      <c r="AT136" s="94"/>
      <c r="AU136" s="94"/>
      <c r="AV136" s="94"/>
      <c r="AW136" s="94"/>
      <c r="AX136" s="94"/>
      <c r="AY136" s="94"/>
      <c r="AZ136" s="94"/>
      <c r="BA136" s="94"/>
      <c r="BB136" s="94"/>
      <c r="BC136" s="94"/>
      <c r="BD136" s="94"/>
      <c r="BE136" s="94"/>
      <c r="BF136" s="94"/>
      <c r="BG136" s="94"/>
      <c r="BH136" s="94"/>
      <c r="BI136" s="94"/>
      <c r="BJ136" s="94"/>
      <c r="BK136" s="94"/>
      <c r="BL136" s="94"/>
      <c r="BM136" s="94"/>
      <c r="BN136" s="94"/>
      <c r="BO136" s="94"/>
      <c r="BP136" s="94"/>
      <c r="BQ136" s="94"/>
      <c r="BR136" s="94"/>
      <c r="BS136" s="94"/>
      <c r="BT136" s="94"/>
      <c r="BU136" s="94"/>
      <c r="BV136" s="94"/>
      <c r="BW136" s="94"/>
      <c r="BX136" s="94"/>
      <c r="BY136" s="94"/>
      <c r="BZ136" s="94"/>
      <c r="EA136">
        <v>0.21829000000000001</v>
      </c>
      <c r="EB136">
        <v>1.37155</v>
      </c>
      <c r="EC136">
        <v>0</v>
      </c>
      <c r="ED136">
        <v>2.3028400000000002</v>
      </c>
      <c r="EE136">
        <v>84.229200000000006</v>
      </c>
      <c r="EF136">
        <v>7.5536099999999999</v>
      </c>
      <c r="EG136">
        <v>46.091799999999999</v>
      </c>
      <c r="EH136">
        <v>16.410299999999999</v>
      </c>
      <c r="EI136">
        <v>61.298400000000001</v>
      </c>
      <c r="EJ136">
        <v>22.573599999999999</v>
      </c>
      <c r="EK136">
        <v>9.6569299999999991</v>
      </c>
      <c r="EL136">
        <v>9.6569299999999991</v>
      </c>
      <c r="EM136">
        <v>0.31577300000000003</v>
      </c>
      <c r="EN136">
        <v>18.5761</v>
      </c>
      <c r="EO136">
        <v>0.58695299999999995</v>
      </c>
    </row>
    <row r="137" spans="31:145" x14ac:dyDescent="0.2">
      <c r="AE137" s="94"/>
      <c r="AF137" s="94"/>
      <c r="AG137" s="94"/>
      <c r="AH137" s="94"/>
      <c r="AI137" s="94"/>
      <c r="AJ137" s="94"/>
      <c r="AK137" s="94"/>
      <c r="AL137" s="94"/>
      <c r="AM137" s="94"/>
      <c r="AN137" s="94"/>
      <c r="AO137" s="94"/>
      <c r="AP137" s="94"/>
      <c r="AQ137" s="94"/>
      <c r="AR137" s="94"/>
      <c r="AS137" s="94"/>
      <c r="AT137" s="94"/>
      <c r="AU137" s="94"/>
      <c r="AV137" s="94"/>
      <c r="AW137" s="94"/>
      <c r="AX137" s="94"/>
      <c r="AY137" s="94"/>
      <c r="AZ137" s="94"/>
      <c r="BA137" s="94"/>
      <c r="BB137" s="94"/>
      <c r="BC137" s="94"/>
      <c r="BD137" s="94"/>
      <c r="BE137" s="94"/>
      <c r="BF137" s="94"/>
      <c r="BG137" s="94"/>
      <c r="BH137" s="94"/>
      <c r="BI137" s="94"/>
      <c r="BJ137" s="94"/>
      <c r="BK137" s="94"/>
      <c r="BL137" s="94"/>
      <c r="BM137" s="94"/>
      <c r="BN137" s="94"/>
      <c r="BO137" s="94"/>
      <c r="BP137" s="94"/>
      <c r="BQ137" s="94"/>
      <c r="BR137" s="94"/>
      <c r="BS137" s="94"/>
      <c r="BT137" s="94"/>
      <c r="BU137" s="94"/>
      <c r="BV137" s="94"/>
      <c r="BW137" s="94"/>
      <c r="BX137" s="94"/>
      <c r="BY137" s="94"/>
      <c r="BZ137" s="94"/>
    </row>
    <row r="138" spans="31:145" x14ac:dyDescent="0.2">
      <c r="AE138" s="94"/>
      <c r="AF138" s="94"/>
      <c r="AG138" s="94"/>
      <c r="AH138" s="94"/>
      <c r="AI138" s="94"/>
      <c r="AJ138" s="94"/>
      <c r="AK138" s="94"/>
      <c r="AL138" s="94"/>
      <c r="AM138" s="94"/>
      <c r="AN138" s="94"/>
      <c r="AO138" s="94"/>
      <c r="AP138" s="94"/>
      <c r="AQ138" s="94"/>
      <c r="AR138" s="94"/>
      <c r="AS138" s="94"/>
      <c r="AT138" s="94"/>
      <c r="AU138" s="94"/>
      <c r="AV138" s="94"/>
      <c r="AW138" s="94"/>
      <c r="AX138" s="94"/>
      <c r="AY138" s="94"/>
      <c r="AZ138" s="94"/>
      <c r="BA138" s="94"/>
      <c r="BB138" s="94"/>
      <c r="BC138" s="94"/>
      <c r="BD138" s="94"/>
      <c r="BE138" s="94"/>
      <c r="BF138" s="94"/>
      <c r="BG138" s="94"/>
      <c r="BH138" s="94"/>
      <c r="BI138" s="94"/>
      <c r="BJ138" s="94"/>
      <c r="BK138" s="94"/>
      <c r="BL138" s="94"/>
      <c r="BM138" s="94"/>
      <c r="BN138" s="94"/>
      <c r="BO138" s="94"/>
      <c r="BP138" s="94"/>
      <c r="BQ138" s="94"/>
      <c r="BR138" s="94"/>
      <c r="BS138" s="94"/>
      <c r="BT138" s="94"/>
      <c r="BU138" s="94"/>
      <c r="BV138" s="94"/>
      <c r="BW138" s="94"/>
      <c r="BX138" s="94"/>
      <c r="BY138" s="94"/>
      <c r="BZ138" s="94"/>
      <c r="EA138">
        <v>0.219169</v>
      </c>
      <c r="EB138">
        <v>1.7741400000000001</v>
      </c>
      <c r="EC138">
        <v>0</v>
      </c>
      <c r="ED138">
        <v>3.0379499999999999</v>
      </c>
      <c r="EE138">
        <v>94.313199999999995</v>
      </c>
      <c r="EF138">
        <v>8.4626699999999992</v>
      </c>
      <c r="EG138">
        <v>46.1083</v>
      </c>
      <c r="EH138">
        <v>12.7103</v>
      </c>
      <c r="EI138">
        <v>61.043100000000003</v>
      </c>
      <c r="EJ138">
        <v>18.0246</v>
      </c>
      <c r="EK138">
        <v>16.183900000000001</v>
      </c>
      <c r="EL138">
        <v>16.183900000000001</v>
      </c>
      <c r="EM138">
        <v>1.09396</v>
      </c>
      <c r="EN138">
        <v>18.346900000000002</v>
      </c>
      <c r="EO138">
        <v>0.58716199999999996</v>
      </c>
    </row>
    <row r="139" spans="31:145" x14ac:dyDescent="0.2">
      <c r="AE139" s="94"/>
      <c r="AF139" s="94"/>
      <c r="AG139" s="94"/>
      <c r="AH139" s="94"/>
      <c r="AI139" s="94"/>
      <c r="AJ139" s="94"/>
      <c r="AK139" s="94"/>
      <c r="AL139" s="94"/>
      <c r="AM139" s="94"/>
      <c r="AN139" s="94"/>
      <c r="AO139" s="94"/>
      <c r="AP139" s="94"/>
      <c r="AQ139" s="94"/>
      <c r="AR139" s="94"/>
      <c r="AS139" s="94"/>
      <c r="AT139" s="94"/>
      <c r="AU139" s="94"/>
      <c r="AV139" s="94"/>
      <c r="AW139" s="94"/>
      <c r="AX139" s="94"/>
      <c r="AY139" s="94"/>
      <c r="AZ139" s="94"/>
      <c r="BA139" s="94"/>
      <c r="BB139" s="94"/>
      <c r="BC139" s="94"/>
      <c r="BD139" s="94"/>
      <c r="BE139" s="94"/>
      <c r="BF139" s="94"/>
      <c r="BG139" s="94"/>
      <c r="BH139" s="94"/>
      <c r="BI139" s="94"/>
      <c r="BJ139" s="94"/>
      <c r="BK139" s="94"/>
      <c r="BL139" s="94"/>
      <c r="BM139" s="94"/>
      <c r="BN139" s="94"/>
      <c r="BO139" s="94"/>
      <c r="BP139" s="94"/>
      <c r="BQ139" s="94"/>
      <c r="BR139" s="94"/>
      <c r="BS139" s="94"/>
      <c r="BT139" s="94"/>
      <c r="BU139" s="94"/>
      <c r="BV139" s="94"/>
      <c r="BW139" s="94"/>
      <c r="BX139" s="94"/>
      <c r="BY139" s="94"/>
      <c r="BZ139" s="94"/>
      <c r="EA139">
        <v>0.21928900000000001</v>
      </c>
      <c r="EB139">
        <v>1.76173</v>
      </c>
      <c r="EC139">
        <v>0</v>
      </c>
      <c r="ED139">
        <v>3.0139800000000001</v>
      </c>
      <c r="EE139">
        <v>94.022000000000006</v>
      </c>
      <c r="EF139">
        <v>8.4367999999999999</v>
      </c>
      <c r="EG139">
        <v>46.089700000000001</v>
      </c>
      <c r="EH139">
        <v>12.8009</v>
      </c>
      <c r="EI139">
        <v>61.011299999999999</v>
      </c>
      <c r="EJ139">
        <v>18.137499999999999</v>
      </c>
      <c r="EK139">
        <v>15.9399</v>
      </c>
      <c r="EL139">
        <v>15.9399</v>
      </c>
      <c r="EM139">
        <v>1.0629200000000001</v>
      </c>
      <c r="EN139">
        <v>18.333400000000001</v>
      </c>
      <c r="EO139">
        <v>0.58674499999999996</v>
      </c>
    </row>
    <row r="140" spans="31:145" x14ac:dyDescent="0.2">
      <c r="AE140" s="94"/>
      <c r="AF140" s="94"/>
      <c r="AG140" s="94"/>
      <c r="AH140" s="94"/>
      <c r="AI140" s="94"/>
      <c r="AJ140" s="94"/>
      <c r="AK140" s="94"/>
      <c r="AL140" s="94"/>
      <c r="AM140" s="94"/>
      <c r="AN140" s="94"/>
      <c r="AO140" s="94"/>
      <c r="AP140" s="94"/>
      <c r="AQ140" s="94"/>
      <c r="AR140" s="94"/>
      <c r="AS140" s="94"/>
      <c r="AT140" s="94"/>
      <c r="AU140" s="94"/>
      <c r="AV140" s="94"/>
      <c r="AW140" s="94"/>
      <c r="AX140" s="94"/>
      <c r="AY140" s="94"/>
      <c r="AZ140" s="94"/>
      <c r="BA140" s="94"/>
      <c r="BB140" s="94"/>
      <c r="BC140" s="94"/>
      <c r="BD140" s="94"/>
      <c r="BE140" s="94"/>
      <c r="BF140" s="94"/>
      <c r="BG140" s="94"/>
      <c r="BH140" s="94"/>
      <c r="BI140" s="94"/>
      <c r="BJ140" s="94"/>
      <c r="BK140" s="94"/>
      <c r="BL140" s="94"/>
      <c r="BM140" s="94"/>
      <c r="BN140" s="94"/>
      <c r="BO140" s="94"/>
      <c r="BP140" s="94"/>
      <c r="BQ140" s="94"/>
      <c r="BR140" s="94"/>
      <c r="BS140" s="94"/>
      <c r="BT140" s="94"/>
      <c r="BU140" s="94"/>
      <c r="BV140" s="94"/>
      <c r="BW140" s="94"/>
      <c r="BX140" s="94"/>
      <c r="BY140" s="94"/>
      <c r="BZ140" s="94"/>
      <c r="EA140">
        <v>87.270600000000002</v>
      </c>
      <c r="EB140">
        <v>551.10699999999997</v>
      </c>
      <c r="EC140">
        <v>0</v>
      </c>
      <c r="ED140">
        <v>0</v>
      </c>
      <c r="EE140">
        <v>0</v>
      </c>
      <c r="EF140">
        <v>3025.78</v>
      </c>
      <c r="EG140">
        <v>46.116</v>
      </c>
      <c r="EH140">
        <v>16.310700000000001</v>
      </c>
      <c r="EI140">
        <v>61.333799999999997</v>
      </c>
      <c r="EJ140">
        <v>22.465699999999998</v>
      </c>
      <c r="EK140">
        <v>9.8439099999999993</v>
      </c>
      <c r="EL140">
        <v>9.8439099999999993</v>
      </c>
      <c r="EM140">
        <v>0.33024300000000001</v>
      </c>
      <c r="EN140">
        <v>18.5885</v>
      </c>
      <c r="EO140">
        <v>0.58674499999999996</v>
      </c>
    </row>
    <row r="141" spans="31:145" x14ac:dyDescent="0.2">
      <c r="AE141" s="94"/>
      <c r="AF141" s="94"/>
      <c r="AG141" s="94"/>
      <c r="AH141" s="94"/>
      <c r="AI141" s="94"/>
      <c r="AJ141" s="94"/>
      <c r="AK141" s="94"/>
      <c r="AL141" s="94"/>
      <c r="AM141" s="94"/>
      <c r="AN141" s="94"/>
      <c r="AO141" s="94"/>
      <c r="AP141" s="94"/>
      <c r="AQ141" s="94"/>
      <c r="AR141" s="94"/>
      <c r="AS141" s="94"/>
      <c r="AT141" s="94"/>
      <c r="AU141" s="94"/>
      <c r="AV141" s="94"/>
      <c r="AW141" s="94"/>
      <c r="AX141" s="94"/>
      <c r="AY141" s="94"/>
      <c r="AZ141" s="94"/>
      <c r="BA141" s="94"/>
      <c r="BB141" s="94"/>
      <c r="BC141" s="94"/>
      <c r="BD141" s="94"/>
      <c r="BE141" s="94"/>
      <c r="BF141" s="94"/>
      <c r="BG141" s="94"/>
      <c r="BH141" s="94"/>
      <c r="BI141" s="94"/>
      <c r="BJ141" s="94"/>
      <c r="BK141" s="94"/>
      <c r="BL141" s="94"/>
      <c r="BM141" s="94"/>
      <c r="BN141" s="94"/>
      <c r="BO141" s="94"/>
      <c r="BP141" s="94"/>
      <c r="BQ141" s="94"/>
      <c r="BR141" s="94"/>
      <c r="BS141" s="94"/>
      <c r="BT141" s="94"/>
      <c r="BU141" s="94"/>
      <c r="BV141" s="94"/>
      <c r="BW141" s="94"/>
      <c r="BX141" s="94"/>
      <c r="BY141" s="94"/>
      <c r="BZ141" s="94"/>
      <c r="EA141">
        <v>0.218227</v>
      </c>
      <c r="EB141">
        <v>1.37574</v>
      </c>
      <c r="EC141">
        <v>0</v>
      </c>
      <c r="ED141">
        <v>2.3127499999999999</v>
      </c>
      <c r="EE141">
        <v>84.338200000000001</v>
      </c>
      <c r="EF141">
        <v>7.5631199999999996</v>
      </c>
      <c r="EG141">
        <v>46.103200000000001</v>
      </c>
      <c r="EH141">
        <v>16.358799999999999</v>
      </c>
      <c r="EI141">
        <v>61.314599999999999</v>
      </c>
      <c r="EJ141">
        <v>22.5136</v>
      </c>
      <c r="EK141">
        <v>9.7512500000000006</v>
      </c>
      <c r="EL141">
        <v>9.7512500000000006</v>
      </c>
      <c r="EM141">
        <v>0.32311899999999999</v>
      </c>
      <c r="EN141">
        <v>18.581499999999998</v>
      </c>
      <c r="EO141">
        <v>0.58684599999999998</v>
      </c>
    </row>
    <row r="142" spans="31:145" x14ac:dyDescent="0.2">
      <c r="AE142" s="94"/>
      <c r="AF142" s="94"/>
      <c r="AG142" s="94"/>
      <c r="AH142" s="94"/>
      <c r="AI142" s="94"/>
      <c r="AJ142" s="94"/>
      <c r="AK142" s="94"/>
      <c r="AL142" s="94"/>
      <c r="AM142" s="94"/>
      <c r="AN142" s="94"/>
      <c r="AO142" s="94"/>
      <c r="AP142" s="94"/>
      <c r="AQ142" s="94"/>
      <c r="AR142" s="94"/>
      <c r="AS142" s="94"/>
      <c r="AT142" s="94"/>
      <c r="AU142" s="94"/>
      <c r="AV142" s="94"/>
      <c r="AW142" s="94"/>
      <c r="AX142" s="94"/>
      <c r="AY142" s="94"/>
      <c r="AZ142" s="94"/>
      <c r="BA142" s="94"/>
      <c r="BB142" s="94"/>
      <c r="BC142" s="94"/>
      <c r="BD142" s="94"/>
      <c r="BE142" s="94"/>
      <c r="BF142" s="94"/>
      <c r="BG142" s="94"/>
      <c r="BH142" s="94"/>
      <c r="BI142" s="94"/>
      <c r="BJ142" s="94"/>
      <c r="BK142" s="94"/>
      <c r="BL142" s="94"/>
      <c r="BM142" s="94"/>
      <c r="BN142" s="94"/>
      <c r="BO142" s="94"/>
      <c r="BP142" s="94"/>
      <c r="BQ142" s="94"/>
      <c r="BR142" s="94"/>
      <c r="BS142" s="94"/>
      <c r="BT142" s="94"/>
      <c r="BU142" s="94"/>
      <c r="BV142" s="94"/>
      <c r="BW142" s="94"/>
      <c r="BX142" s="94"/>
      <c r="BY142" s="94"/>
      <c r="BZ142" s="94"/>
      <c r="EA142">
        <v>0.21829000000000001</v>
      </c>
      <c r="EB142">
        <v>1.37155</v>
      </c>
      <c r="EC142">
        <v>0</v>
      </c>
      <c r="ED142">
        <v>2.3028400000000002</v>
      </c>
      <c r="EE142">
        <v>84.229200000000006</v>
      </c>
      <c r="EF142">
        <v>7.5536099999999999</v>
      </c>
      <c r="EG142">
        <v>46.091799999999999</v>
      </c>
      <c r="EH142">
        <v>16.410299999999999</v>
      </c>
      <c r="EI142">
        <v>61.298400000000001</v>
      </c>
      <c r="EJ142">
        <v>22.573599999999999</v>
      </c>
      <c r="EK142">
        <v>9.6569299999999991</v>
      </c>
      <c r="EL142">
        <v>9.6569299999999991</v>
      </c>
      <c r="EM142">
        <v>0.31577300000000003</v>
      </c>
      <c r="EN142">
        <v>18.5761</v>
      </c>
      <c r="EO142">
        <v>0.58695299999999995</v>
      </c>
    </row>
    <row r="143" spans="31:145" x14ac:dyDescent="0.2">
      <c r="AE143" s="94"/>
      <c r="AF143" s="94"/>
      <c r="AG143" s="94"/>
      <c r="AH143" s="94"/>
      <c r="AI143" s="94"/>
      <c r="AJ143" s="94"/>
      <c r="AK143" s="94"/>
      <c r="AL143" s="94"/>
      <c r="AM143" s="94"/>
      <c r="AN143" s="94"/>
      <c r="AO143" s="94"/>
      <c r="AP143" s="94"/>
      <c r="AQ143" s="94"/>
      <c r="AR143" s="94"/>
      <c r="AS143" s="94"/>
      <c r="AT143" s="94"/>
      <c r="AU143" s="94"/>
      <c r="AV143" s="94"/>
      <c r="AW143" s="94"/>
      <c r="AX143" s="94"/>
      <c r="AY143" s="94"/>
      <c r="AZ143" s="94"/>
      <c r="BA143" s="94"/>
      <c r="BB143" s="94"/>
      <c r="BC143" s="94"/>
      <c r="BD143" s="94"/>
      <c r="BE143" s="94"/>
      <c r="BF143" s="94"/>
      <c r="BG143" s="94"/>
      <c r="BH143" s="94"/>
      <c r="BI143" s="94"/>
      <c r="BJ143" s="94"/>
      <c r="BK143" s="94"/>
      <c r="BL143" s="94"/>
      <c r="BM143" s="94"/>
      <c r="BN143" s="94"/>
      <c r="BO143" s="94"/>
      <c r="BP143" s="94"/>
      <c r="BQ143" s="94"/>
      <c r="BR143" s="94"/>
      <c r="BS143" s="94"/>
      <c r="BT143" s="94"/>
      <c r="BU143" s="94"/>
      <c r="BV143" s="94"/>
      <c r="BW143" s="94"/>
      <c r="BX143" s="94"/>
      <c r="BY143" s="94"/>
      <c r="BZ143" s="94"/>
    </row>
    <row r="144" spans="31:145" x14ac:dyDescent="0.2">
      <c r="AE144" s="94"/>
      <c r="AF144" s="94"/>
      <c r="AG144" s="94"/>
      <c r="AH144" s="94"/>
      <c r="AI144" s="94"/>
      <c r="AJ144" s="94"/>
      <c r="AK144" s="94"/>
      <c r="AL144" s="94"/>
      <c r="AM144" s="94"/>
      <c r="AN144" s="94"/>
      <c r="AO144" s="94"/>
      <c r="AP144" s="94"/>
      <c r="AQ144" s="94"/>
      <c r="AR144" s="94"/>
      <c r="AS144" s="94"/>
      <c r="AT144" s="94"/>
      <c r="AU144" s="94"/>
      <c r="AV144" s="94"/>
      <c r="AW144" s="94"/>
      <c r="AX144" s="94"/>
      <c r="AY144" s="94"/>
      <c r="AZ144" s="94"/>
      <c r="BA144" s="94"/>
      <c r="BB144" s="94"/>
      <c r="BC144" s="94"/>
      <c r="BD144" s="94"/>
      <c r="BE144" s="94"/>
      <c r="BF144" s="94"/>
      <c r="BG144" s="94"/>
      <c r="BH144" s="94"/>
      <c r="BI144" s="94"/>
      <c r="BJ144" s="94"/>
      <c r="BK144" s="94"/>
      <c r="BL144" s="94"/>
      <c r="BM144" s="94"/>
      <c r="BN144" s="94"/>
      <c r="BO144" s="94"/>
      <c r="BP144" s="94"/>
      <c r="BQ144" s="94"/>
      <c r="BR144" s="94"/>
      <c r="BS144" s="94"/>
      <c r="BT144" s="94"/>
      <c r="BU144" s="94"/>
      <c r="BV144" s="94"/>
      <c r="BW144" s="94"/>
      <c r="BX144" s="94"/>
      <c r="BY144" s="94"/>
      <c r="BZ144" s="94"/>
      <c r="EA144">
        <v>0.219169</v>
      </c>
      <c r="EB144">
        <v>1.7741400000000001</v>
      </c>
      <c r="EC144">
        <v>0</v>
      </c>
      <c r="ED144">
        <v>3.0379499999999999</v>
      </c>
      <c r="EE144">
        <v>94.313199999999995</v>
      </c>
      <c r="EF144">
        <v>8.4626699999999992</v>
      </c>
      <c r="EG144">
        <v>46.1083</v>
      </c>
      <c r="EH144">
        <v>12.7103</v>
      </c>
      <c r="EI144">
        <v>61.043100000000003</v>
      </c>
      <c r="EJ144">
        <v>18.0246</v>
      </c>
      <c r="EK144">
        <v>16.183900000000001</v>
      </c>
      <c r="EL144">
        <v>16.183900000000001</v>
      </c>
      <c r="EM144">
        <v>1.09396</v>
      </c>
      <c r="EN144">
        <v>18.346900000000002</v>
      </c>
      <c r="EO144">
        <v>0.58716199999999996</v>
      </c>
    </row>
    <row r="145" spans="131:145" x14ac:dyDescent="0.2">
      <c r="EA145">
        <v>0.21928900000000001</v>
      </c>
      <c r="EB145">
        <v>1.76173</v>
      </c>
      <c r="EC145">
        <v>0</v>
      </c>
      <c r="ED145">
        <v>3.0139800000000001</v>
      </c>
      <c r="EE145">
        <v>94.022000000000006</v>
      </c>
      <c r="EF145">
        <v>8.4367999999999999</v>
      </c>
      <c r="EG145">
        <v>46.089700000000001</v>
      </c>
      <c r="EH145">
        <v>12.8009</v>
      </c>
      <c r="EI145">
        <v>61.011299999999999</v>
      </c>
      <c r="EJ145">
        <v>18.137499999999999</v>
      </c>
      <c r="EK145">
        <v>15.9399</v>
      </c>
      <c r="EL145">
        <v>15.9399</v>
      </c>
      <c r="EM145">
        <v>1.0629200000000001</v>
      </c>
      <c r="EN145">
        <v>18.333400000000001</v>
      </c>
      <c r="EO145">
        <v>0.58674499999999996</v>
      </c>
    </row>
  </sheetData>
  <pageMargins left="0.7" right="0.7" top="0.75" bottom="0.75" header="0.3" footer="0.3"/>
  <pageSetup paperSize="173" orientation="portrait" horizontalDpi="300" verticalDpi="300" r:id="rId1"/>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7">
    <tabColor rgb="FFFFC000"/>
  </sheetPr>
  <dimension ref="A1:CW402"/>
  <sheetViews>
    <sheetView showGridLines="0" workbookViewId="0">
      <selection activeCell="N33" sqref="N33"/>
    </sheetView>
  </sheetViews>
  <sheetFormatPr defaultColWidth="9.33203125" defaultRowHeight="12" x14ac:dyDescent="0.2"/>
  <cols>
    <col min="1" max="1" width="0.6640625" style="604" customWidth="1"/>
    <col min="2" max="2" width="17.33203125" style="514" customWidth="1"/>
    <col min="3" max="3" width="2.83203125" style="514" customWidth="1"/>
    <col min="4" max="4" width="13.83203125" style="514" customWidth="1"/>
    <col min="5" max="5" width="14.5" style="514" customWidth="1"/>
    <col min="6" max="6" width="1" style="514" customWidth="1"/>
    <col min="7" max="7" width="13.33203125" style="514" customWidth="1"/>
    <col min="8" max="8" width="10.1640625" style="514" customWidth="1"/>
    <col min="9" max="10" width="12.1640625" style="514" customWidth="1"/>
    <col min="11" max="15" width="13" style="514" customWidth="1"/>
    <col min="16" max="16" width="13.83203125" style="514" customWidth="1"/>
    <col min="17" max="27" width="10" style="514" customWidth="1"/>
    <col min="28" max="29" width="9.6640625" style="514" customWidth="1"/>
    <col min="30" max="30" width="18.5" style="514" customWidth="1"/>
    <col min="31" max="32" width="9.33203125" style="514"/>
    <col min="33" max="33" width="20.33203125" style="514" customWidth="1"/>
    <col min="34" max="34" width="47.5" style="514" customWidth="1"/>
    <col min="35" max="35" width="3.83203125" style="514" customWidth="1"/>
    <col min="36" max="37" width="16.6640625" style="514" customWidth="1"/>
    <col min="38" max="55" width="12.83203125" style="514" customWidth="1"/>
    <col min="56" max="56" width="75.5" style="514" customWidth="1"/>
    <col min="57" max="57" width="9.33203125" style="514"/>
    <col min="58" max="58" width="9.33203125" style="520"/>
    <col min="59" max="59" width="14.83203125" style="520" customWidth="1"/>
    <col min="60" max="60" width="9.6640625" style="520" bestFit="1" customWidth="1"/>
    <col min="61" max="61" width="12.6640625" style="520" bestFit="1" customWidth="1"/>
    <col min="62" max="62" width="9.6640625" style="520" bestFit="1" customWidth="1"/>
    <col min="63" max="67" width="13" style="520" customWidth="1"/>
    <col min="68" max="68" width="16.83203125" style="520" customWidth="1"/>
    <col min="69" max="81" width="9.6640625" style="520" bestFit="1" customWidth="1"/>
    <col min="82" max="82" width="3.6640625" style="514" customWidth="1"/>
    <col min="83" max="86" width="14.83203125" style="514" customWidth="1"/>
    <col min="87" max="87" width="17.1640625" style="514" customWidth="1"/>
    <col min="88" max="91" width="14.83203125" style="514" customWidth="1"/>
    <col min="92" max="93" width="9.33203125" style="514"/>
    <col min="94" max="99" width="16.5" style="514" customWidth="1"/>
    <col min="100" max="100" width="9.33203125" style="514"/>
    <col min="101" max="101" width="17.83203125" style="514" customWidth="1"/>
    <col min="102" max="102" width="19.6640625" style="514" customWidth="1"/>
    <col min="103" max="103" width="17.1640625" style="514" customWidth="1"/>
    <col min="104" max="104" width="13.83203125" style="514" customWidth="1"/>
    <col min="105" max="105" width="9.5" style="514" bestFit="1" customWidth="1"/>
    <col min="106" max="107" width="9.6640625" style="514" bestFit="1" customWidth="1"/>
    <col min="108" max="111" width="9.5" style="514" bestFit="1" customWidth="1"/>
    <col min="112" max="115" width="13" style="514" customWidth="1"/>
    <col min="116" max="116" width="9.33203125" style="514"/>
    <col min="117" max="120" width="9.5" style="514" bestFit="1" customWidth="1"/>
    <col min="121" max="121" width="9.33203125" style="514"/>
    <col min="122" max="134" width="9.5" style="514" bestFit="1" customWidth="1"/>
    <col min="135" max="135" width="9.33203125" style="514"/>
    <col min="136" max="138" width="9.5" style="514" bestFit="1" customWidth="1"/>
    <col min="139" max="139" width="9.33203125" style="514"/>
    <col min="140" max="140" width="9.5" style="514" bestFit="1" customWidth="1"/>
    <col min="141" max="141" width="9.33203125" style="514"/>
    <col min="142" max="144" width="9.5" style="514" bestFit="1" customWidth="1"/>
    <col min="145" max="147" width="9.33203125" style="514"/>
    <col min="148" max="148" width="37.5" style="514" customWidth="1"/>
    <col min="149" max="149" width="50.6640625" style="514" customWidth="1"/>
    <col min="150" max="16384" width="9.33203125" style="514"/>
  </cols>
  <sheetData>
    <row r="1" spans="2:101" ht="15" x14ac:dyDescent="0.25">
      <c r="B1" s="513" t="s">
        <v>466</v>
      </c>
      <c r="C1" s="513"/>
      <c r="D1" s="513"/>
      <c r="E1" s="513"/>
      <c r="G1" s="515"/>
      <c r="H1" s="516"/>
      <c r="I1" s="516"/>
      <c r="J1" s="516"/>
      <c r="K1" s="516"/>
      <c r="L1" s="516"/>
      <c r="M1" s="517" t="s">
        <v>467</v>
      </c>
      <c r="N1" s="516"/>
      <c r="O1" s="516"/>
      <c r="P1" s="515"/>
      <c r="Q1" s="518" t="s">
        <v>468</v>
      </c>
      <c r="R1" s="518"/>
      <c r="S1" s="518" t="s">
        <v>469</v>
      </c>
      <c r="T1" s="518" t="s">
        <v>470</v>
      </c>
      <c r="U1" s="518" t="s">
        <v>471</v>
      </c>
      <c r="V1" s="518"/>
      <c r="W1" s="518"/>
      <c r="X1" s="518"/>
      <c r="Y1" s="518"/>
      <c r="Z1" s="518"/>
      <c r="AA1" s="518"/>
      <c r="AB1" s="518"/>
      <c r="AC1" s="519"/>
    </row>
    <row r="2" spans="2:101" ht="18" x14ac:dyDescent="0.35">
      <c r="B2" s="521" t="s">
        <v>207</v>
      </c>
      <c r="C2" s="522" t="s">
        <v>65</v>
      </c>
      <c r="D2" s="523" t="s">
        <v>472</v>
      </c>
      <c r="E2" s="524"/>
      <c r="G2" s="525" t="s">
        <v>42</v>
      </c>
      <c r="H2" s="526" t="s">
        <v>473</v>
      </c>
      <c r="I2" s="527" t="s">
        <v>57</v>
      </c>
      <c r="J2" s="527" t="s">
        <v>474</v>
      </c>
      <c r="K2" s="528" t="s">
        <v>475</v>
      </c>
      <c r="L2" s="528" t="s">
        <v>475</v>
      </c>
      <c r="M2" s="528" t="s">
        <v>80</v>
      </c>
      <c r="N2" s="528" t="s">
        <v>476</v>
      </c>
      <c r="O2" s="528" t="s">
        <v>476</v>
      </c>
      <c r="P2" s="525" t="s">
        <v>42</v>
      </c>
      <c r="Q2" s="529" t="s">
        <v>477</v>
      </c>
      <c r="R2" s="529" t="s">
        <v>478</v>
      </c>
      <c r="S2" s="529" t="s">
        <v>479</v>
      </c>
      <c r="T2" s="529" t="s">
        <v>480</v>
      </c>
      <c r="U2" s="529" t="s">
        <v>481</v>
      </c>
      <c r="V2" s="529" t="s">
        <v>482</v>
      </c>
      <c r="W2" s="529" t="s">
        <v>483</v>
      </c>
      <c r="X2" s="529" t="s">
        <v>484</v>
      </c>
      <c r="Y2" s="529" t="s">
        <v>485</v>
      </c>
      <c r="Z2" s="529" t="s">
        <v>486</v>
      </c>
      <c r="AA2" s="529" t="s">
        <v>487</v>
      </c>
      <c r="AB2" s="529" t="s">
        <v>488</v>
      </c>
      <c r="AC2" s="530" t="s">
        <v>489</v>
      </c>
      <c r="CW2" s="514" t="s">
        <v>490</v>
      </c>
    </row>
    <row r="3" spans="2:101" ht="15" x14ac:dyDescent="0.25">
      <c r="B3" s="531" t="s">
        <v>58</v>
      </c>
      <c r="C3" s="532" t="s">
        <v>65</v>
      </c>
      <c r="D3" s="533" t="s">
        <v>491</v>
      </c>
      <c r="E3" s="534"/>
      <c r="G3" s="535" t="s">
        <v>492</v>
      </c>
      <c r="H3" s="536"/>
      <c r="I3" s="537" t="s">
        <v>44</v>
      </c>
      <c r="J3" s="537" t="s">
        <v>188</v>
      </c>
      <c r="K3" s="538" t="s">
        <v>493</v>
      </c>
      <c r="L3" s="538" t="s">
        <v>494</v>
      </c>
      <c r="M3" s="538" t="s">
        <v>495</v>
      </c>
      <c r="N3" s="538" t="s">
        <v>496</v>
      </c>
      <c r="O3" s="538" t="s">
        <v>497</v>
      </c>
      <c r="P3" s="535" t="s">
        <v>492</v>
      </c>
      <c r="Q3" s="539" t="s">
        <v>498</v>
      </c>
      <c r="R3" s="539" t="s">
        <v>498</v>
      </c>
      <c r="S3" s="539" t="s">
        <v>498</v>
      </c>
      <c r="T3" s="539" t="s">
        <v>498</v>
      </c>
      <c r="U3" s="539" t="s">
        <v>498</v>
      </c>
      <c r="V3" s="539" t="s">
        <v>498</v>
      </c>
      <c r="W3" s="539" t="s">
        <v>498</v>
      </c>
      <c r="X3" s="539" t="s">
        <v>498</v>
      </c>
      <c r="Y3" s="539" t="s">
        <v>498</v>
      </c>
      <c r="Z3" s="539" t="s">
        <v>498</v>
      </c>
      <c r="AA3" s="539" t="s">
        <v>498</v>
      </c>
      <c r="AB3" s="539" t="s">
        <v>498</v>
      </c>
      <c r="AC3" s="540" t="s">
        <v>498</v>
      </c>
      <c r="CW3" s="514" t="s">
        <v>499</v>
      </c>
    </row>
    <row r="4" spans="2:101" ht="15.75" x14ac:dyDescent="0.25">
      <c r="B4" s="531" t="s">
        <v>209</v>
      </c>
      <c r="C4" s="532" t="s">
        <v>65</v>
      </c>
      <c r="D4" s="533" t="s">
        <v>500</v>
      </c>
      <c r="E4" s="534"/>
      <c r="G4" s="541"/>
      <c r="H4" s="542"/>
      <c r="I4" s="543"/>
      <c r="J4" s="543"/>
      <c r="K4" s="544"/>
      <c r="L4" s="544"/>
      <c r="M4" s="544"/>
      <c r="N4" s="544"/>
      <c r="O4" s="544"/>
      <c r="P4" s="541"/>
      <c r="Q4" s="545"/>
      <c r="R4" s="546"/>
      <c r="S4" s="547"/>
      <c r="T4" s="548"/>
      <c r="U4" s="548"/>
      <c r="V4" s="548"/>
      <c r="W4" s="548"/>
      <c r="X4" s="548"/>
      <c r="Y4" s="548"/>
      <c r="Z4" s="548"/>
      <c r="AA4" s="548"/>
      <c r="AB4" s="548"/>
      <c r="AC4" s="549">
        <v>1.2999999999999999E-2</v>
      </c>
      <c r="CW4" s="514" t="s">
        <v>501</v>
      </c>
    </row>
    <row r="5" spans="2:101" ht="15.75" x14ac:dyDescent="0.25">
      <c r="B5" s="531" t="s">
        <v>126</v>
      </c>
      <c r="C5" s="532" t="s">
        <v>65</v>
      </c>
      <c r="D5" s="533" t="s">
        <v>502</v>
      </c>
      <c r="E5" s="534"/>
      <c r="G5" s="550"/>
      <c r="H5" s="551"/>
      <c r="I5" s="552"/>
      <c r="J5" s="552"/>
      <c r="K5" s="553"/>
      <c r="L5" s="553"/>
      <c r="M5" s="553"/>
      <c r="N5" s="553"/>
      <c r="O5" s="553"/>
      <c r="P5" s="550"/>
      <c r="Q5" s="554"/>
      <c r="R5" s="555"/>
      <c r="S5" s="556"/>
      <c r="T5" s="557"/>
      <c r="U5" s="557"/>
      <c r="V5" s="557"/>
      <c r="W5" s="557"/>
      <c r="X5" s="557"/>
      <c r="Y5" s="557"/>
      <c r="Z5" s="557"/>
      <c r="AA5" s="557"/>
      <c r="AB5" s="557"/>
      <c r="AC5" s="558">
        <v>7.9000000000000008E-3</v>
      </c>
      <c r="BO5" s="559" t="s">
        <v>503</v>
      </c>
      <c r="BP5" s="560"/>
      <c r="BQ5" s="561" t="e">
        <f>AVERAGE(BQ10:BQ36)</f>
        <v>#DIV/0!</v>
      </c>
      <c r="BR5" s="561" t="e">
        <f t="shared" ref="BR5:CC5" si="0">AVERAGE(BR10:BR36)</f>
        <v>#DIV/0!</v>
      </c>
      <c r="BS5" s="561" t="e">
        <f t="shared" si="0"/>
        <v>#DIV/0!</v>
      </c>
      <c r="BT5" s="561" t="e">
        <f t="shared" si="0"/>
        <v>#DIV/0!</v>
      </c>
      <c r="BU5" s="561" t="e">
        <f t="shared" si="0"/>
        <v>#DIV/0!</v>
      </c>
      <c r="BV5" s="561" t="e">
        <f t="shared" si="0"/>
        <v>#DIV/0!</v>
      </c>
      <c r="BW5" s="561" t="e">
        <f t="shared" si="0"/>
        <v>#DIV/0!</v>
      </c>
      <c r="BX5" s="561" t="e">
        <f t="shared" si="0"/>
        <v>#DIV/0!</v>
      </c>
      <c r="BY5" s="561" t="e">
        <f t="shared" si="0"/>
        <v>#DIV/0!</v>
      </c>
      <c r="BZ5" s="561" t="e">
        <f t="shared" si="0"/>
        <v>#DIV/0!</v>
      </c>
      <c r="CA5" s="561" t="e">
        <f t="shared" si="0"/>
        <v>#DIV/0!</v>
      </c>
      <c r="CB5" s="561" t="e">
        <f t="shared" si="0"/>
        <v>#DIV/0!</v>
      </c>
      <c r="CC5" s="562">
        <f t="shared" si="0"/>
        <v>1.4729629629629617E-2</v>
      </c>
      <c r="CW5" s="514" t="s">
        <v>504</v>
      </c>
    </row>
    <row r="6" spans="2:101" ht="15.75" x14ac:dyDescent="0.25">
      <c r="B6" s="563"/>
      <c r="C6" s="564"/>
      <c r="D6" s="564"/>
      <c r="E6" s="565"/>
      <c r="G6" s="566"/>
      <c r="H6" s="567"/>
      <c r="I6" s="568"/>
      <c r="J6" s="568"/>
      <c r="K6" s="569"/>
      <c r="L6" s="569"/>
      <c r="M6" s="569"/>
      <c r="N6" s="569"/>
      <c r="O6" s="569"/>
      <c r="P6" s="566"/>
      <c r="Q6" s="570"/>
      <c r="R6" s="571"/>
      <c r="S6" s="572"/>
      <c r="T6" s="573"/>
      <c r="U6" s="573"/>
      <c r="V6" s="573"/>
      <c r="W6" s="573"/>
      <c r="X6" s="573"/>
      <c r="Y6" s="573"/>
      <c r="Z6" s="573"/>
      <c r="AA6" s="573"/>
      <c r="AB6" s="573"/>
      <c r="AC6" s="574">
        <v>0</v>
      </c>
      <c r="CW6" s="514" t="s">
        <v>505</v>
      </c>
    </row>
    <row r="7" spans="2:101" ht="15.75" x14ac:dyDescent="0.25">
      <c r="B7" s="513" t="s">
        <v>506</v>
      </c>
      <c r="C7" s="513"/>
      <c r="D7" s="513"/>
      <c r="E7" s="513"/>
      <c r="G7" s="575"/>
      <c r="H7" s="576"/>
      <c r="I7" s="577"/>
      <c r="J7" s="577"/>
      <c r="K7" s="578"/>
      <c r="L7" s="578"/>
      <c r="M7" s="578"/>
      <c r="N7" s="578"/>
      <c r="O7" s="578"/>
      <c r="P7" s="575"/>
      <c r="Q7" s="579"/>
      <c r="R7" s="580"/>
      <c r="S7" s="581"/>
      <c r="T7" s="582"/>
      <c r="U7" s="582"/>
      <c r="V7" s="582"/>
      <c r="W7" s="582"/>
      <c r="X7" s="582"/>
      <c r="Y7" s="582"/>
      <c r="Z7" s="582"/>
      <c r="AA7" s="582"/>
      <c r="AB7" s="582"/>
      <c r="AC7" s="583">
        <v>4.7000000000000002E-3</v>
      </c>
      <c r="BF7" s="584"/>
      <c r="BG7" s="585"/>
      <c r="BH7" s="585"/>
      <c r="BI7" s="585"/>
      <c r="BJ7" s="585"/>
      <c r="BK7" s="585"/>
      <c r="BL7" s="585"/>
      <c r="BM7" s="585"/>
      <c r="BN7" s="585"/>
      <c r="BO7" s="585"/>
      <c r="BP7" s="584"/>
      <c r="BQ7" s="585"/>
      <c r="BR7" s="585"/>
      <c r="BS7" s="585"/>
      <c r="BT7" s="585"/>
      <c r="BU7" s="585"/>
      <c r="BV7" s="585"/>
      <c r="BW7" s="585"/>
      <c r="BX7" s="585"/>
      <c r="BY7" s="585"/>
      <c r="BZ7" s="585"/>
      <c r="CA7" s="585"/>
      <c r="CB7" s="585"/>
      <c r="CC7" s="586"/>
      <c r="CW7" s="514" t="s">
        <v>507</v>
      </c>
    </row>
    <row r="8" spans="2:101" x14ac:dyDescent="0.2">
      <c r="B8" s="515" t="s">
        <v>508</v>
      </c>
      <c r="C8" s="516" t="s">
        <v>65</v>
      </c>
      <c r="D8" s="622">
        <v>18264</v>
      </c>
      <c r="E8" s="587"/>
      <c r="BF8" s="588" t="s">
        <v>509</v>
      </c>
      <c r="BG8" s="589" t="s">
        <v>510</v>
      </c>
      <c r="BH8" s="589" t="s">
        <v>473</v>
      </c>
      <c r="BI8" s="589" t="s">
        <v>57</v>
      </c>
      <c r="BJ8" s="589" t="s">
        <v>474</v>
      </c>
      <c r="BK8" s="589" t="s">
        <v>475</v>
      </c>
      <c r="BL8" s="589" t="s">
        <v>475</v>
      </c>
      <c r="BM8" s="589" t="s">
        <v>511</v>
      </c>
      <c r="BN8" s="589" t="s">
        <v>476</v>
      </c>
      <c r="BO8" s="589" t="s">
        <v>476</v>
      </c>
      <c r="BP8" s="588" t="s">
        <v>42</v>
      </c>
      <c r="BQ8" s="589" t="s">
        <v>73</v>
      </c>
      <c r="BR8" s="589" t="s">
        <v>512</v>
      </c>
      <c r="BS8" s="589" t="s">
        <v>513</v>
      </c>
      <c r="BT8" s="589" t="s">
        <v>514</v>
      </c>
      <c r="BU8" s="589" t="s">
        <v>481</v>
      </c>
      <c r="BV8" s="589" t="s">
        <v>482</v>
      </c>
      <c r="BW8" s="589" t="s">
        <v>483</v>
      </c>
      <c r="BX8" s="589" t="s">
        <v>484</v>
      </c>
      <c r="BY8" s="589" t="s">
        <v>485</v>
      </c>
      <c r="BZ8" s="589" t="s">
        <v>486</v>
      </c>
      <c r="CA8" s="589" t="s">
        <v>487</v>
      </c>
      <c r="CB8" s="589" t="s">
        <v>488</v>
      </c>
      <c r="CC8" s="590" t="s">
        <v>489</v>
      </c>
      <c r="CW8" s="514" t="s">
        <v>515</v>
      </c>
    </row>
    <row r="9" spans="2:101" x14ac:dyDescent="0.2">
      <c r="B9" s="591" t="s">
        <v>516</v>
      </c>
      <c r="C9" s="592" t="s">
        <v>65</v>
      </c>
      <c r="D9" s="623">
        <v>47484</v>
      </c>
      <c r="E9" s="593"/>
      <c r="BF9" s="594"/>
      <c r="BG9" s="595" t="s">
        <v>517</v>
      </c>
      <c r="BH9" s="595"/>
      <c r="BI9" s="595" t="s">
        <v>44</v>
      </c>
      <c r="BJ9" s="595" t="s">
        <v>188</v>
      </c>
      <c r="BK9" s="595" t="s">
        <v>493</v>
      </c>
      <c r="BL9" s="595" t="s">
        <v>494</v>
      </c>
      <c r="BM9" s="595" t="s">
        <v>495</v>
      </c>
      <c r="BN9" s="595" t="s">
        <v>496</v>
      </c>
      <c r="BO9" s="595" t="s">
        <v>497</v>
      </c>
      <c r="BP9" s="594" t="s">
        <v>492</v>
      </c>
      <c r="BQ9" s="595" t="s">
        <v>498</v>
      </c>
      <c r="BR9" s="595" t="s">
        <v>498</v>
      </c>
      <c r="BS9" s="595" t="s">
        <v>498</v>
      </c>
      <c r="BT9" s="595" t="s">
        <v>498</v>
      </c>
      <c r="BU9" s="595" t="s">
        <v>498</v>
      </c>
      <c r="BV9" s="595" t="s">
        <v>498</v>
      </c>
      <c r="BW9" s="595" t="s">
        <v>498</v>
      </c>
      <c r="BX9" s="595" t="s">
        <v>498</v>
      </c>
      <c r="BY9" s="595" t="s">
        <v>498</v>
      </c>
      <c r="BZ9" s="595" t="s">
        <v>498</v>
      </c>
      <c r="CA9" s="595" t="s">
        <v>498</v>
      </c>
      <c r="CB9" s="595" t="s">
        <v>498</v>
      </c>
      <c r="CC9" s="596" t="s">
        <v>498</v>
      </c>
      <c r="CW9" s="514" t="s">
        <v>518</v>
      </c>
    </row>
    <row r="10" spans="2:101" ht="13.5" customHeight="1" x14ac:dyDescent="0.2">
      <c r="BF10" s="597">
        <v>0</v>
      </c>
      <c r="BG10" s="598"/>
      <c r="BH10" s="599"/>
      <c r="BI10" s="599"/>
      <c r="BJ10" s="599"/>
      <c r="BK10" s="599"/>
      <c r="BL10" s="599"/>
      <c r="BM10" s="599"/>
      <c r="BN10" s="599"/>
      <c r="BO10" s="599"/>
      <c r="BP10" s="598"/>
      <c r="BQ10" s="599"/>
      <c r="BR10" s="599"/>
      <c r="BS10" s="599"/>
      <c r="BT10" s="599"/>
      <c r="BU10" s="599"/>
      <c r="BV10" s="599"/>
      <c r="BW10" s="599"/>
      <c r="BX10" s="599"/>
      <c r="BY10" s="599"/>
      <c r="BZ10" s="599"/>
      <c r="CA10" s="599"/>
      <c r="CB10" s="599"/>
      <c r="CC10" s="599">
        <v>9.2999999999999992E-3</v>
      </c>
      <c r="CW10" s="514" t="s">
        <v>519</v>
      </c>
    </row>
    <row r="11" spans="2:101" ht="13.5" customHeight="1" x14ac:dyDescent="0.2">
      <c r="BF11" s="597">
        <v>0</v>
      </c>
      <c r="BG11" s="598"/>
      <c r="BH11" s="599"/>
      <c r="BI11" s="599"/>
      <c r="BJ11" s="599"/>
      <c r="BK11" s="599"/>
      <c r="BL11" s="599"/>
      <c r="BM11" s="599"/>
      <c r="BN11" s="599"/>
      <c r="BO11" s="599"/>
      <c r="BP11" s="598"/>
      <c r="BQ11" s="599"/>
      <c r="BR11" s="599"/>
      <c r="BS11" s="599"/>
      <c r="BT11" s="599"/>
      <c r="BU11" s="599"/>
      <c r="BV11" s="599"/>
      <c r="BW11" s="599"/>
      <c r="BX11" s="599"/>
      <c r="BY11" s="599"/>
      <c r="BZ11" s="599"/>
      <c r="CA11" s="599"/>
      <c r="CB11" s="599"/>
      <c r="CC11" s="599">
        <v>9.2999999999999992E-3</v>
      </c>
      <c r="CW11" s="514" t="s">
        <v>520</v>
      </c>
    </row>
    <row r="12" spans="2:101" ht="13.5" customHeight="1" x14ac:dyDescent="0.2">
      <c r="BF12" s="597"/>
      <c r="BG12" s="598"/>
      <c r="BH12" s="599"/>
      <c r="BI12" s="599"/>
      <c r="BJ12" s="599"/>
      <c r="BK12" s="599"/>
      <c r="BL12" s="599"/>
      <c r="BM12" s="599"/>
      <c r="BN12" s="599"/>
      <c r="BO12" s="599"/>
      <c r="BP12" s="598"/>
      <c r="BQ12" s="599"/>
      <c r="BR12" s="599"/>
      <c r="BS12" s="599"/>
      <c r="BT12" s="599"/>
      <c r="BU12" s="599"/>
      <c r="BV12" s="599"/>
      <c r="BW12" s="599"/>
      <c r="BX12" s="599"/>
      <c r="BY12" s="599"/>
      <c r="BZ12" s="599"/>
      <c r="CA12" s="599"/>
      <c r="CB12" s="599"/>
      <c r="CC12" s="599">
        <v>1.2699999999999999E-2</v>
      </c>
      <c r="CW12" s="514" t="s">
        <v>521</v>
      </c>
    </row>
    <row r="13" spans="2:101" ht="13.5" customHeight="1" x14ac:dyDescent="0.2">
      <c r="BF13" s="597"/>
      <c r="BG13" s="598"/>
      <c r="BH13" s="599"/>
      <c r="BI13" s="599"/>
      <c r="BJ13" s="599"/>
      <c r="BK13" s="599"/>
      <c r="BL13" s="599"/>
      <c r="BM13" s="599"/>
      <c r="BN13" s="599"/>
      <c r="BO13" s="599"/>
      <c r="BP13" s="598"/>
      <c r="BQ13" s="599"/>
      <c r="BR13" s="599"/>
      <c r="BS13" s="599"/>
      <c r="BT13" s="599"/>
      <c r="BU13" s="599"/>
      <c r="BV13" s="599"/>
      <c r="BW13" s="599"/>
      <c r="BX13" s="599"/>
      <c r="BY13" s="599"/>
      <c r="BZ13" s="599"/>
      <c r="CA13" s="599"/>
      <c r="CB13" s="599"/>
      <c r="CC13" s="599">
        <v>1.2699999999999999E-2</v>
      </c>
      <c r="CW13" s="514" t="s">
        <v>522</v>
      </c>
    </row>
    <row r="14" spans="2:101" ht="13.5" customHeight="1" x14ac:dyDescent="0.2">
      <c r="I14" s="600"/>
      <c r="BF14" s="597"/>
      <c r="BG14" s="598"/>
      <c r="BH14" s="599"/>
      <c r="BI14" s="599"/>
      <c r="BJ14" s="599"/>
      <c r="BK14" s="599"/>
      <c r="BL14" s="599"/>
      <c r="BM14" s="599"/>
      <c r="BN14" s="599"/>
      <c r="BO14" s="599"/>
      <c r="BP14" s="598"/>
      <c r="BQ14" s="599"/>
      <c r="BR14" s="599"/>
      <c r="BS14" s="599"/>
      <c r="BT14" s="599"/>
      <c r="BU14" s="599"/>
      <c r="BV14" s="599"/>
      <c r="BW14" s="599"/>
      <c r="BX14" s="599"/>
      <c r="BY14" s="599"/>
      <c r="BZ14" s="599"/>
      <c r="CA14" s="599"/>
      <c r="CB14" s="599"/>
      <c r="CC14" s="599">
        <v>1.54E-2</v>
      </c>
      <c r="CW14" s="514" t="s">
        <v>523</v>
      </c>
    </row>
    <row r="15" spans="2:101" ht="13.5" customHeight="1" x14ac:dyDescent="0.25">
      <c r="B15" s="601" t="s">
        <v>524</v>
      </c>
      <c r="C15" s="602" t="s">
        <v>65</v>
      </c>
      <c r="D15" s="867" t="s">
        <v>472</v>
      </c>
      <c r="E15" s="868"/>
      <c r="I15" s="600"/>
      <c r="BF15" s="597"/>
      <c r="BG15" s="598"/>
      <c r="BH15" s="599"/>
      <c r="BI15" s="599"/>
      <c r="BJ15" s="599"/>
      <c r="BK15" s="599"/>
      <c r="BL15" s="599"/>
      <c r="BM15" s="599"/>
      <c r="BN15" s="599"/>
      <c r="BO15" s="599"/>
      <c r="BP15" s="598"/>
      <c r="BQ15" s="599"/>
      <c r="BR15" s="599"/>
      <c r="BS15" s="599"/>
      <c r="BT15" s="599"/>
      <c r="BU15" s="599"/>
      <c r="BV15" s="599"/>
      <c r="BW15" s="599"/>
      <c r="BX15" s="599"/>
      <c r="BY15" s="599"/>
      <c r="BZ15" s="599"/>
      <c r="CA15" s="599"/>
      <c r="CB15" s="599"/>
      <c r="CC15" s="599">
        <v>1.54E-2</v>
      </c>
      <c r="CW15" s="514" t="s">
        <v>525</v>
      </c>
    </row>
    <row r="16" spans="2:101" ht="13.5" customHeight="1" x14ac:dyDescent="0.2">
      <c r="G16" s="603"/>
      <c r="H16" s="603"/>
      <c r="I16" s="600"/>
      <c r="J16" s="603"/>
      <c r="BF16" s="597"/>
      <c r="BG16" s="598"/>
      <c r="BH16" s="599"/>
      <c r="BI16" s="599"/>
      <c r="BJ16" s="599"/>
      <c r="BK16" s="599"/>
      <c r="BL16" s="599"/>
      <c r="BM16" s="599"/>
      <c r="BN16" s="599"/>
      <c r="BO16" s="599"/>
      <c r="BP16" s="598"/>
      <c r="BQ16" s="599"/>
      <c r="BR16" s="599"/>
      <c r="BS16" s="599"/>
      <c r="BT16" s="599"/>
      <c r="BU16" s="599"/>
      <c r="BV16" s="599"/>
      <c r="BW16" s="599"/>
      <c r="BX16" s="599"/>
      <c r="BY16" s="599"/>
      <c r="BZ16" s="599"/>
      <c r="CA16" s="599"/>
      <c r="CB16" s="599"/>
      <c r="CC16" s="599">
        <v>1.54E-2</v>
      </c>
      <c r="CW16" s="514" t="s">
        <v>526</v>
      </c>
    </row>
    <row r="17" spans="1:101" ht="13.5" customHeight="1" x14ac:dyDescent="0.2">
      <c r="B17" s="521" t="s">
        <v>527</v>
      </c>
      <c r="C17" s="522" t="s">
        <v>65</v>
      </c>
      <c r="D17" s="605">
        <f>+SUM(C20:C300)</f>
        <v>5</v>
      </c>
      <c r="E17" s="606"/>
      <c r="G17" s="603"/>
      <c r="H17" s="603"/>
      <c r="I17" s="603"/>
      <c r="J17" s="603"/>
      <c r="BF17" s="597"/>
      <c r="BG17" s="598"/>
      <c r="BH17" s="599"/>
      <c r="BI17" s="599"/>
      <c r="BJ17" s="599"/>
      <c r="BK17" s="599"/>
      <c r="BL17" s="599"/>
      <c r="BM17" s="599"/>
      <c r="BN17" s="599"/>
      <c r="BO17" s="599"/>
      <c r="BP17" s="598"/>
      <c r="BQ17" s="599"/>
      <c r="BR17" s="599"/>
      <c r="BS17" s="599"/>
      <c r="BT17" s="599"/>
      <c r="BU17" s="599"/>
      <c r="BV17" s="599"/>
      <c r="BW17" s="599"/>
      <c r="BX17" s="599"/>
      <c r="BY17" s="599"/>
      <c r="BZ17" s="599"/>
      <c r="CA17" s="599"/>
      <c r="CB17" s="599"/>
      <c r="CC17" s="599">
        <v>1.54E-2</v>
      </c>
      <c r="CW17" s="514" t="s">
        <v>528</v>
      </c>
    </row>
    <row r="18" spans="1:101" ht="13.5" customHeight="1" x14ac:dyDescent="0.2">
      <c r="B18" s="563" t="s">
        <v>529</v>
      </c>
      <c r="C18" s="564" t="s">
        <v>65</v>
      </c>
      <c r="D18" s="607">
        <f>+COUNT(C20:C300)-SUM(C20:C300)</f>
        <v>8</v>
      </c>
      <c r="E18" s="608"/>
      <c r="H18" s="603"/>
      <c r="I18" s="603"/>
      <c r="J18" s="603"/>
      <c r="BF18" s="597"/>
      <c r="BG18" s="598"/>
      <c r="BH18" s="599"/>
      <c r="BI18" s="599"/>
      <c r="BJ18" s="599"/>
      <c r="BK18" s="599"/>
      <c r="BL18" s="599"/>
      <c r="BM18" s="599"/>
      <c r="BN18" s="599"/>
      <c r="BO18" s="599"/>
      <c r="BP18" s="598"/>
      <c r="BQ18" s="599"/>
      <c r="BR18" s="599"/>
      <c r="BS18" s="599"/>
      <c r="BT18" s="599"/>
      <c r="BU18" s="599"/>
      <c r="BV18" s="599"/>
      <c r="BW18" s="599"/>
      <c r="BX18" s="599"/>
      <c r="BY18" s="599"/>
      <c r="BZ18" s="599"/>
      <c r="CA18" s="599"/>
      <c r="CB18" s="599"/>
      <c r="CC18" s="599">
        <v>1.54E-2</v>
      </c>
      <c r="CW18" s="514" t="s">
        <v>530</v>
      </c>
    </row>
    <row r="19" spans="1:101" ht="13.5" customHeight="1" x14ac:dyDescent="0.2">
      <c r="B19" s="591" t="s">
        <v>126</v>
      </c>
      <c r="C19" s="592"/>
      <c r="D19" s="592" t="s">
        <v>209</v>
      </c>
      <c r="E19" s="593" t="s">
        <v>58</v>
      </c>
      <c r="G19" s="603"/>
      <c r="H19" s="603"/>
      <c r="I19" s="603"/>
      <c r="J19" s="603"/>
      <c r="BF19" s="597"/>
      <c r="BG19" s="598"/>
      <c r="BH19" s="599"/>
      <c r="BI19" s="599"/>
      <c r="BJ19" s="599"/>
      <c r="BK19" s="599"/>
      <c r="BL19" s="599"/>
      <c r="BM19" s="599"/>
      <c r="BN19" s="599"/>
      <c r="BO19" s="599"/>
      <c r="BP19" s="598"/>
      <c r="BQ19" s="599"/>
      <c r="BR19" s="599"/>
      <c r="BS19" s="599"/>
      <c r="BT19" s="599"/>
      <c r="BU19" s="599"/>
      <c r="BV19" s="599"/>
      <c r="BW19" s="599"/>
      <c r="BX19" s="599"/>
      <c r="BY19" s="599"/>
      <c r="BZ19" s="599"/>
      <c r="CA19" s="599"/>
      <c r="CB19" s="599"/>
      <c r="CC19" s="599">
        <v>1.54E-2</v>
      </c>
      <c r="CW19" s="514" t="s">
        <v>531</v>
      </c>
    </row>
    <row r="20" spans="1:101" ht="13.5" customHeight="1" x14ac:dyDescent="0.2">
      <c r="A20" s="604" t="s">
        <v>532</v>
      </c>
      <c r="B20" s="609" t="s">
        <v>502</v>
      </c>
      <c r="C20" s="610">
        <v>0</v>
      </c>
      <c r="D20" s="611" t="s">
        <v>500</v>
      </c>
      <c r="E20" s="612" t="s">
        <v>491</v>
      </c>
      <c r="F20" s="600"/>
      <c r="G20" s="603"/>
      <c r="H20" s="603"/>
      <c r="I20" s="603"/>
      <c r="J20" s="603"/>
      <c r="BF20" s="597"/>
      <c r="BG20" s="598"/>
      <c r="BH20" s="599"/>
      <c r="BI20" s="599"/>
      <c r="BJ20" s="599"/>
      <c r="BK20" s="599"/>
      <c r="BL20" s="599"/>
      <c r="BM20" s="599"/>
      <c r="BN20" s="599"/>
      <c r="BO20" s="599"/>
      <c r="BP20" s="598"/>
      <c r="BQ20" s="599"/>
      <c r="BR20" s="599"/>
      <c r="BS20" s="599"/>
      <c r="BT20" s="599"/>
      <c r="BU20" s="599"/>
      <c r="BV20" s="599"/>
      <c r="BW20" s="599"/>
      <c r="BX20" s="599"/>
      <c r="BY20" s="599"/>
      <c r="BZ20" s="599"/>
      <c r="CA20" s="599"/>
      <c r="CB20" s="599"/>
      <c r="CC20" s="599">
        <v>1.54E-2</v>
      </c>
      <c r="CW20" s="514" t="s">
        <v>533</v>
      </c>
    </row>
    <row r="21" spans="1:101" ht="13.5" customHeight="1" x14ac:dyDescent="0.2">
      <c r="A21" s="604" t="s">
        <v>534</v>
      </c>
      <c r="B21" s="613" t="s">
        <v>535</v>
      </c>
      <c r="C21" s="614">
        <v>1</v>
      </c>
      <c r="D21" s="615" t="s">
        <v>500</v>
      </c>
      <c r="E21" s="616" t="s">
        <v>536</v>
      </c>
      <c r="F21" s="617"/>
      <c r="G21" s="603"/>
      <c r="H21" s="603"/>
      <c r="I21" s="603"/>
      <c r="J21" s="603"/>
      <c r="BF21" s="597"/>
      <c r="BG21" s="598"/>
      <c r="BH21" s="599"/>
      <c r="BI21" s="599"/>
      <c r="BJ21" s="599"/>
      <c r="BK21" s="599"/>
      <c r="BL21" s="599"/>
      <c r="BM21" s="599"/>
      <c r="BN21" s="599"/>
      <c r="BO21" s="599"/>
      <c r="BP21" s="598"/>
      <c r="BQ21" s="599"/>
      <c r="BR21" s="599"/>
      <c r="BS21" s="599"/>
      <c r="BT21" s="599"/>
      <c r="BU21" s="599"/>
      <c r="BV21" s="599"/>
      <c r="BW21" s="599"/>
      <c r="BX21" s="599"/>
      <c r="BY21" s="599"/>
      <c r="BZ21" s="599"/>
      <c r="CA21" s="599"/>
      <c r="CB21" s="599"/>
      <c r="CC21" s="599">
        <v>1.54E-2</v>
      </c>
      <c r="CW21" s="514" t="s">
        <v>537</v>
      </c>
    </row>
    <row r="22" spans="1:101" ht="13.5" customHeight="1" x14ac:dyDescent="0.2">
      <c r="A22" s="604" t="s">
        <v>499</v>
      </c>
      <c r="B22" s="618" t="s">
        <v>538</v>
      </c>
      <c r="C22" s="619">
        <v>0</v>
      </c>
      <c r="D22" s="617" t="s">
        <v>500</v>
      </c>
      <c r="E22" s="620" t="s">
        <v>539</v>
      </c>
      <c r="F22" s="600"/>
      <c r="G22" s="603"/>
      <c r="H22" s="603"/>
      <c r="I22" s="603"/>
      <c r="J22" s="603"/>
      <c r="BF22" s="597"/>
      <c r="BG22" s="598"/>
      <c r="BH22" s="599"/>
      <c r="BI22" s="599"/>
      <c r="BJ22" s="599"/>
      <c r="BK22" s="599"/>
      <c r="BL22" s="599"/>
      <c r="BM22" s="599"/>
      <c r="BN22" s="599"/>
      <c r="BO22" s="599"/>
      <c r="BP22" s="598"/>
      <c r="BQ22" s="599"/>
      <c r="BR22" s="599"/>
      <c r="BS22" s="599"/>
      <c r="BT22" s="599"/>
      <c r="BU22" s="599"/>
      <c r="BV22" s="599"/>
      <c r="BW22" s="599"/>
      <c r="BX22" s="599"/>
      <c r="BY22" s="599"/>
      <c r="BZ22" s="599"/>
      <c r="CA22" s="599"/>
      <c r="CB22" s="599"/>
      <c r="CC22" s="599">
        <v>1.5399999999999983E-2</v>
      </c>
      <c r="CW22" s="514" t="s">
        <v>472</v>
      </c>
    </row>
    <row r="23" spans="1:101" ht="13.5" customHeight="1" x14ac:dyDescent="0.2">
      <c r="A23" s="604" t="s">
        <v>501</v>
      </c>
      <c r="B23" s="613" t="s">
        <v>540</v>
      </c>
      <c r="C23" s="614">
        <v>0</v>
      </c>
      <c r="D23" s="615" t="s">
        <v>500</v>
      </c>
      <c r="E23" s="616" t="s">
        <v>541</v>
      </c>
      <c r="F23" s="600"/>
      <c r="G23" s="603"/>
      <c r="H23" s="603"/>
      <c r="I23" s="603"/>
      <c r="J23" s="603"/>
      <c r="BF23" s="597"/>
      <c r="BG23" s="598"/>
      <c r="BH23" s="599"/>
      <c r="BI23" s="599"/>
      <c r="BJ23" s="599"/>
      <c r="BK23" s="599"/>
      <c r="BL23" s="599"/>
      <c r="BM23" s="599"/>
      <c r="BN23" s="599"/>
      <c r="BO23" s="599"/>
      <c r="BP23" s="598"/>
      <c r="BQ23" s="599"/>
      <c r="BR23" s="599"/>
      <c r="BS23" s="599"/>
      <c r="BT23" s="599"/>
      <c r="BU23" s="599"/>
      <c r="BV23" s="599"/>
      <c r="BW23" s="599"/>
      <c r="BX23" s="599"/>
      <c r="BY23" s="599"/>
      <c r="BZ23" s="599"/>
      <c r="CA23" s="599"/>
      <c r="CB23" s="599"/>
      <c r="CC23" s="599">
        <v>1.5399999999999983E-2</v>
      </c>
      <c r="CW23" s="514" t="s">
        <v>542</v>
      </c>
    </row>
    <row r="24" spans="1:101" ht="13.5" customHeight="1" x14ac:dyDescent="0.2">
      <c r="A24" s="604" t="s">
        <v>543</v>
      </c>
      <c r="B24" s="618" t="s">
        <v>544</v>
      </c>
      <c r="C24" s="619">
        <v>1</v>
      </c>
      <c r="D24" s="617" t="s">
        <v>545</v>
      </c>
      <c r="E24" s="620" t="s">
        <v>536</v>
      </c>
      <c r="F24" s="617"/>
      <c r="G24" s="603"/>
      <c r="H24" s="603"/>
      <c r="I24" s="603"/>
      <c r="J24" s="603"/>
      <c r="BF24" s="597"/>
      <c r="BG24" s="598"/>
      <c r="BH24" s="599"/>
      <c r="BI24" s="599"/>
      <c r="BJ24" s="599"/>
      <c r="BK24" s="599"/>
      <c r="BL24" s="599"/>
      <c r="BM24" s="599"/>
      <c r="BN24" s="599"/>
      <c r="BO24" s="599"/>
      <c r="BP24" s="598"/>
      <c r="BQ24" s="599"/>
      <c r="BR24" s="599"/>
      <c r="BS24" s="599"/>
      <c r="BT24" s="599"/>
      <c r="BU24" s="599"/>
      <c r="BV24" s="599"/>
      <c r="BW24" s="599"/>
      <c r="BX24" s="599"/>
      <c r="BY24" s="599"/>
      <c r="BZ24" s="599"/>
      <c r="CA24" s="599"/>
      <c r="CB24" s="599"/>
      <c r="CC24" s="599">
        <v>1.5399999999999983E-2</v>
      </c>
      <c r="CW24" s="514" t="s">
        <v>546</v>
      </c>
    </row>
    <row r="25" spans="1:101" ht="13.5" customHeight="1" x14ac:dyDescent="0.2">
      <c r="A25" s="604" t="s">
        <v>504</v>
      </c>
      <c r="B25" s="613" t="s">
        <v>547</v>
      </c>
      <c r="C25" s="614">
        <v>1</v>
      </c>
      <c r="D25" s="615" t="s">
        <v>548</v>
      </c>
      <c r="E25" s="616" t="s">
        <v>536</v>
      </c>
      <c r="F25" s="617"/>
      <c r="G25" s="603"/>
      <c r="H25" s="603"/>
      <c r="I25" s="603"/>
      <c r="J25" s="603"/>
      <c r="BF25" s="597"/>
      <c r="BG25" s="598"/>
      <c r="BH25" s="599"/>
      <c r="BI25" s="599"/>
      <c r="BJ25" s="599"/>
      <c r="BK25" s="599"/>
      <c r="BL25" s="599"/>
      <c r="BM25" s="599"/>
      <c r="BN25" s="599"/>
      <c r="BO25" s="599"/>
      <c r="BP25" s="598"/>
      <c r="BQ25" s="599"/>
      <c r="BR25" s="599"/>
      <c r="BS25" s="599"/>
      <c r="BT25" s="599"/>
      <c r="BU25" s="599"/>
      <c r="BV25" s="599"/>
      <c r="BW25" s="599"/>
      <c r="BX25" s="599"/>
      <c r="BY25" s="599"/>
      <c r="BZ25" s="599"/>
      <c r="CA25" s="599"/>
      <c r="CB25" s="599"/>
      <c r="CC25" s="599">
        <v>1.5399999999999983E-2</v>
      </c>
      <c r="CW25" s="514" t="s">
        <v>549</v>
      </c>
    </row>
    <row r="26" spans="1:101" ht="13.5" customHeight="1" x14ac:dyDescent="0.2">
      <c r="A26" s="604" t="s">
        <v>505</v>
      </c>
      <c r="B26" s="618" t="s">
        <v>550</v>
      </c>
      <c r="C26" s="619">
        <v>1</v>
      </c>
      <c r="D26" s="617" t="s">
        <v>551</v>
      </c>
      <c r="E26" s="620" t="s">
        <v>536</v>
      </c>
      <c r="F26" s="617"/>
      <c r="G26" s="603"/>
      <c r="H26" s="603"/>
      <c r="I26" s="603"/>
      <c r="J26" s="603"/>
      <c r="BF26" s="597"/>
      <c r="BG26" s="598"/>
      <c r="BH26" s="599"/>
      <c r="BI26" s="599"/>
      <c r="BJ26" s="599"/>
      <c r="BK26" s="599"/>
      <c r="BL26" s="599"/>
      <c r="BM26" s="599"/>
      <c r="BN26" s="599"/>
      <c r="BO26" s="599"/>
      <c r="BP26" s="598"/>
      <c r="BQ26" s="599"/>
      <c r="BR26" s="599"/>
      <c r="BS26" s="599"/>
      <c r="BT26" s="599"/>
      <c r="BU26" s="599"/>
      <c r="BV26" s="599"/>
      <c r="BW26" s="599"/>
      <c r="BX26" s="599"/>
      <c r="BY26" s="599"/>
      <c r="BZ26" s="599"/>
      <c r="CA26" s="599"/>
      <c r="CB26" s="599"/>
      <c r="CC26" s="599">
        <v>1.5399999999999983E-2</v>
      </c>
      <c r="CW26" s="514" t="s">
        <v>552</v>
      </c>
    </row>
    <row r="27" spans="1:101" ht="13.5" customHeight="1" x14ac:dyDescent="0.2">
      <c r="A27" s="604" t="s">
        <v>507</v>
      </c>
      <c r="B27" s="613" t="s">
        <v>553</v>
      </c>
      <c r="C27" s="614">
        <v>0</v>
      </c>
      <c r="D27" s="615" t="s">
        <v>551</v>
      </c>
      <c r="E27" s="616" t="s">
        <v>539</v>
      </c>
      <c r="F27" s="600"/>
      <c r="G27" s="603"/>
      <c r="H27" s="603"/>
      <c r="I27" s="603"/>
      <c r="J27" s="603"/>
      <c r="BF27" s="597"/>
      <c r="BG27" s="598"/>
      <c r="BH27" s="599"/>
      <c r="BI27" s="599"/>
      <c r="BJ27" s="599"/>
      <c r="BK27" s="599"/>
      <c r="BL27" s="599"/>
      <c r="BM27" s="599"/>
      <c r="BN27" s="599"/>
      <c r="BO27" s="599"/>
      <c r="BP27" s="598"/>
      <c r="BQ27" s="599"/>
      <c r="BR27" s="599"/>
      <c r="BS27" s="599"/>
      <c r="BT27" s="599"/>
      <c r="BU27" s="599"/>
      <c r="BV27" s="599"/>
      <c r="BW27" s="599"/>
      <c r="BX27" s="599"/>
      <c r="BY27" s="599"/>
      <c r="BZ27" s="599"/>
      <c r="CA27" s="599"/>
      <c r="CB27" s="599"/>
      <c r="CC27" s="599">
        <v>1.5399999999999983E-2</v>
      </c>
      <c r="CW27" s="514" t="s">
        <v>554</v>
      </c>
    </row>
    <row r="28" spans="1:101" ht="13.5" customHeight="1" x14ac:dyDescent="0.2">
      <c r="A28" s="604" t="s">
        <v>518</v>
      </c>
      <c r="B28" s="618" t="s">
        <v>555</v>
      </c>
      <c r="C28" s="619">
        <v>0</v>
      </c>
      <c r="D28" s="617" t="s">
        <v>556</v>
      </c>
      <c r="E28" s="620" t="s">
        <v>557</v>
      </c>
      <c r="F28" s="600"/>
      <c r="G28" s="603"/>
      <c r="H28" s="603"/>
      <c r="I28" s="603"/>
      <c r="J28" s="603"/>
      <c r="BF28" s="597"/>
      <c r="BG28" s="598"/>
      <c r="BH28" s="599"/>
      <c r="BI28" s="599"/>
      <c r="BJ28" s="599"/>
      <c r="BK28" s="599"/>
      <c r="BL28" s="599"/>
      <c r="BM28" s="599"/>
      <c r="BN28" s="599"/>
      <c r="BO28" s="599"/>
      <c r="BP28" s="598"/>
      <c r="BQ28" s="599"/>
      <c r="BR28" s="599"/>
      <c r="BS28" s="599"/>
      <c r="BT28" s="599"/>
      <c r="BU28" s="599"/>
      <c r="BV28" s="599"/>
      <c r="BW28" s="599"/>
      <c r="BX28" s="599"/>
      <c r="BY28" s="599"/>
      <c r="BZ28" s="599"/>
      <c r="CA28" s="599"/>
      <c r="CB28" s="599"/>
      <c r="CC28" s="599">
        <v>1.5399999999999983E-2</v>
      </c>
      <c r="CW28" s="514" t="s">
        <v>558</v>
      </c>
    </row>
    <row r="29" spans="1:101" ht="13.5" customHeight="1" x14ac:dyDescent="0.2">
      <c r="A29" s="604" t="s">
        <v>519</v>
      </c>
      <c r="B29" s="613" t="s">
        <v>559</v>
      </c>
      <c r="C29" s="614">
        <v>0</v>
      </c>
      <c r="D29" s="615" t="s">
        <v>556</v>
      </c>
      <c r="E29" s="616" t="s">
        <v>560</v>
      </c>
      <c r="F29" s="600"/>
      <c r="G29" s="603"/>
      <c r="H29" s="603"/>
      <c r="I29" s="603"/>
      <c r="J29" s="603"/>
      <c r="BF29" s="597"/>
      <c r="BG29" s="598"/>
      <c r="BH29" s="599"/>
      <c r="BI29" s="599"/>
      <c r="BJ29" s="599"/>
      <c r="BK29" s="599"/>
      <c r="BL29" s="599"/>
      <c r="BM29" s="599"/>
      <c r="BN29" s="599"/>
      <c r="BO29" s="599"/>
      <c r="BP29" s="598"/>
      <c r="BQ29" s="599"/>
      <c r="BR29" s="599"/>
      <c r="BS29" s="599"/>
      <c r="BT29" s="599"/>
      <c r="BU29" s="599"/>
      <c r="BV29" s="599"/>
      <c r="BW29" s="599"/>
      <c r="BX29" s="599"/>
      <c r="BY29" s="599"/>
      <c r="BZ29" s="599"/>
      <c r="CA29" s="599"/>
      <c r="CB29" s="599"/>
      <c r="CC29" s="599">
        <v>1.5399999999999983E-2</v>
      </c>
      <c r="CW29" s="514" t="s">
        <v>561</v>
      </c>
    </row>
    <row r="30" spans="1:101" ht="13.5" customHeight="1" x14ac:dyDescent="0.2">
      <c r="A30" s="604" t="s">
        <v>520</v>
      </c>
      <c r="B30" s="618" t="s">
        <v>562</v>
      </c>
      <c r="C30" s="619">
        <v>0</v>
      </c>
      <c r="D30" s="617" t="s">
        <v>556</v>
      </c>
      <c r="E30" s="620" t="s">
        <v>536</v>
      </c>
      <c r="F30" s="600"/>
      <c r="G30" s="603"/>
      <c r="H30" s="603"/>
      <c r="I30" s="603"/>
      <c r="J30" s="603"/>
      <c r="BF30" s="597"/>
      <c r="BG30" s="598"/>
      <c r="BH30" s="599"/>
      <c r="BI30" s="599"/>
      <c r="BJ30" s="599"/>
      <c r="BK30" s="599"/>
      <c r="BL30" s="599"/>
      <c r="BM30" s="599"/>
      <c r="BN30" s="599"/>
      <c r="BO30" s="599"/>
      <c r="BP30" s="598"/>
      <c r="BQ30" s="599"/>
      <c r="BR30" s="599"/>
      <c r="BS30" s="599"/>
      <c r="BT30" s="599"/>
      <c r="BU30" s="599"/>
      <c r="BV30" s="599"/>
      <c r="BW30" s="599"/>
      <c r="BX30" s="599"/>
      <c r="BY30" s="599"/>
      <c r="BZ30" s="599"/>
      <c r="CA30" s="599"/>
      <c r="CB30" s="599"/>
      <c r="CC30" s="599">
        <v>1.5399999999999983E-2</v>
      </c>
    </row>
    <row r="31" spans="1:101" ht="13.5" customHeight="1" x14ac:dyDescent="0.2">
      <c r="A31" s="604" t="s">
        <v>521</v>
      </c>
      <c r="B31" s="613" t="s">
        <v>563</v>
      </c>
      <c r="C31" s="614">
        <v>0</v>
      </c>
      <c r="D31" s="615" t="s">
        <v>556</v>
      </c>
      <c r="E31" s="616" t="s">
        <v>539</v>
      </c>
      <c r="F31" s="600"/>
      <c r="G31" s="603"/>
      <c r="H31" s="603"/>
      <c r="I31" s="603"/>
      <c r="J31" s="603"/>
      <c r="BF31" s="597"/>
      <c r="BG31" s="598"/>
      <c r="BH31" s="599"/>
      <c r="BI31" s="599"/>
      <c r="BJ31" s="599"/>
      <c r="BK31" s="599"/>
      <c r="BL31" s="599"/>
      <c r="BM31" s="599"/>
      <c r="BN31" s="599"/>
      <c r="BO31" s="599"/>
      <c r="BP31" s="598"/>
      <c r="BQ31" s="599"/>
      <c r="BR31" s="599"/>
      <c r="BS31" s="599"/>
      <c r="BT31" s="599"/>
      <c r="BU31" s="599"/>
      <c r="BV31" s="599"/>
      <c r="BW31" s="599"/>
      <c r="BX31" s="599"/>
      <c r="BY31" s="599"/>
      <c r="BZ31" s="599"/>
      <c r="CA31" s="599"/>
      <c r="CB31" s="599"/>
      <c r="CC31" s="599">
        <v>1.5399999999999983E-2</v>
      </c>
    </row>
    <row r="32" spans="1:101" ht="13.5" customHeight="1" x14ac:dyDescent="0.2">
      <c r="A32" s="604" t="s">
        <v>522</v>
      </c>
      <c r="B32" s="618" t="s">
        <v>564</v>
      </c>
      <c r="C32" s="619">
        <v>1</v>
      </c>
      <c r="D32" s="617" t="s">
        <v>565</v>
      </c>
      <c r="E32" s="620" t="s">
        <v>536</v>
      </c>
      <c r="F32" s="617"/>
      <c r="G32" s="603"/>
      <c r="H32" s="603"/>
      <c r="I32" s="603"/>
      <c r="J32" s="603"/>
      <c r="BF32" s="597"/>
      <c r="BG32" s="598"/>
      <c r="BH32" s="599"/>
      <c r="BI32" s="599"/>
      <c r="BJ32" s="599"/>
      <c r="BK32" s="599"/>
      <c r="BL32" s="599"/>
      <c r="BM32" s="599"/>
      <c r="BN32" s="599"/>
      <c r="BO32" s="599"/>
      <c r="BP32" s="598"/>
      <c r="BQ32" s="599"/>
      <c r="BR32" s="599"/>
      <c r="BS32" s="599"/>
      <c r="BT32" s="599"/>
      <c r="BU32" s="599"/>
      <c r="BV32" s="599"/>
      <c r="BW32" s="599"/>
      <c r="BX32" s="599"/>
      <c r="BY32" s="599"/>
      <c r="BZ32" s="599"/>
      <c r="CA32" s="599"/>
      <c r="CB32" s="599"/>
      <c r="CC32" s="599">
        <v>1.21E-2</v>
      </c>
    </row>
    <row r="33" spans="1:81" ht="13.5" customHeight="1" x14ac:dyDescent="0.2">
      <c r="A33" s="604" t="s">
        <v>566</v>
      </c>
      <c r="B33" s="613"/>
      <c r="C33" s="614"/>
      <c r="D33" s="615"/>
      <c r="E33" s="616"/>
      <c r="F33" s="600"/>
      <c r="G33" s="603"/>
      <c r="H33" s="603"/>
      <c r="I33" s="603"/>
      <c r="J33" s="603"/>
      <c r="BF33" s="597"/>
      <c r="BG33" s="598"/>
      <c r="BH33" s="599"/>
      <c r="BI33" s="599"/>
      <c r="BJ33" s="599"/>
      <c r="BK33" s="599"/>
      <c r="BL33" s="599"/>
      <c r="BM33" s="599"/>
      <c r="BN33" s="599"/>
      <c r="BO33" s="599"/>
      <c r="BP33" s="598"/>
      <c r="BQ33" s="599"/>
      <c r="BR33" s="599"/>
      <c r="BS33" s="599"/>
      <c r="BT33" s="599"/>
      <c r="BU33" s="599"/>
      <c r="BV33" s="599"/>
      <c r="BW33" s="599"/>
      <c r="BX33" s="599"/>
      <c r="BY33" s="599"/>
      <c r="BZ33" s="599"/>
      <c r="CA33" s="599"/>
      <c r="CB33" s="599"/>
      <c r="CC33" s="599">
        <v>2.0299999999999999E-2</v>
      </c>
    </row>
    <row r="34" spans="1:81" ht="13.5" customHeight="1" x14ac:dyDescent="0.2">
      <c r="A34" s="604" t="s">
        <v>567</v>
      </c>
      <c r="B34" s="618"/>
      <c r="C34" s="619"/>
      <c r="D34" s="617"/>
      <c r="E34" s="620"/>
      <c r="F34" s="600"/>
      <c r="G34" s="603"/>
      <c r="H34" s="603"/>
      <c r="I34" s="603"/>
      <c r="J34" s="603"/>
      <c r="BF34" s="597"/>
      <c r="BG34" s="598"/>
      <c r="BH34" s="599"/>
      <c r="BI34" s="599"/>
      <c r="BJ34" s="599"/>
      <c r="BK34" s="599"/>
      <c r="BL34" s="599"/>
      <c r="BM34" s="599"/>
      <c r="BN34" s="599"/>
      <c r="BO34" s="599"/>
      <c r="BP34" s="598"/>
      <c r="BQ34" s="599"/>
      <c r="BR34" s="599"/>
      <c r="BS34" s="599"/>
      <c r="BT34" s="599"/>
      <c r="BU34" s="599"/>
      <c r="BV34" s="599"/>
      <c r="BW34" s="599"/>
      <c r="BX34" s="599"/>
      <c r="BY34" s="599"/>
      <c r="BZ34" s="599"/>
      <c r="CA34" s="599"/>
      <c r="CB34" s="599"/>
      <c r="CC34" s="599">
        <v>1.47E-2</v>
      </c>
    </row>
    <row r="35" spans="1:81" ht="13.5" customHeight="1" x14ac:dyDescent="0.2">
      <c r="A35" s="604" t="s">
        <v>523</v>
      </c>
      <c r="B35" s="613"/>
      <c r="C35" s="614"/>
      <c r="D35" s="615"/>
      <c r="E35" s="616"/>
      <c r="F35" s="600"/>
      <c r="G35" s="603"/>
      <c r="H35" s="603"/>
      <c r="I35" s="603"/>
      <c r="J35" s="603"/>
      <c r="BF35" s="597"/>
      <c r="BG35" s="598"/>
      <c r="BH35" s="599"/>
      <c r="BI35" s="599"/>
      <c r="BJ35" s="599"/>
      <c r="BK35" s="599"/>
      <c r="BL35" s="599"/>
      <c r="BM35" s="599"/>
      <c r="BN35" s="599"/>
      <c r="BO35" s="599"/>
      <c r="BP35" s="598"/>
      <c r="BQ35" s="599"/>
      <c r="BR35" s="599"/>
      <c r="BS35" s="599"/>
      <c r="BT35" s="599"/>
      <c r="BU35" s="599"/>
      <c r="BV35" s="599"/>
      <c r="BW35" s="599"/>
      <c r="BX35" s="599"/>
      <c r="BY35" s="599"/>
      <c r="BZ35" s="599"/>
      <c r="CA35" s="599"/>
      <c r="CB35" s="599"/>
      <c r="CC35" s="599">
        <v>1.47E-2</v>
      </c>
    </row>
    <row r="36" spans="1:81" ht="13.5" customHeight="1" x14ac:dyDescent="0.2">
      <c r="A36" s="604" t="s">
        <v>568</v>
      </c>
      <c r="B36" s="618"/>
      <c r="C36" s="619"/>
      <c r="D36" s="617"/>
      <c r="E36" s="620"/>
      <c r="F36" s="600"/>
      <c r="G36" s="603"/>
      <c r="H36" s="603"/>
      <c r="I36" s="603"/>
      <c r="J36" s="603"/>
      <c r="BF36" s="597"/>
      <c r="BG36" s="598"/>
      <c r="BH36" s="599"/>
      <c r="BI36" s="599"/>
      <c r="BJ36" s="599"/>
      <c r="BK36" s="599"/>
      <c r="BL36" s="599"/>
      <c r="BM36" s="599"/>
      <c r="BN36" s="599"/>
      <c r="BO36" s="599"/>
      <c r="BP36" s="598"/>
      <c r="BQ36" s="599"/>
      <c r="BR36" s="599"/>
      <c r="BS36" s="599"/>
      <c r="BT36" s="599"/>
      <c r="BU36" s="599"/>
      <c r="BV36" s="599"/>
      <c r="BW36" s="599"/>
      <c r="BX36" s="599"/>
      <c r="BY36" s="599"/>
      <c r="BZ36" s="599"/>
      <c r="CA36" s="599"/>
      <c r="CB36" s="599"/>
      <c r="CC36" s="599">
        <v>1.47E-2</v>
      </c>
    </row>
    <row r="37" spans="1:81" ht="13.5" customHeight="1" x14ac:dyDescent="0.2">
      <c r="A37" s="604" t="s">
        <v>569</v>
      </c>
      <c r="B37" s="613"/>
      <c r="C37" s="614"/>
      <c r="D37" s="615"/>
      <c r="E37" s="616"/>
      <c r="F37" s="600"/>
      <c r="G37" s="603"/>
      <c r="H37" s="603"/>
      <c r="I37" s="603"/>
      <c r="J37" s="603"/>
      <c r="BF37" s="597"/>
      <c r="BG37" s="598"/>
      <c r="BH37" s="599"/>
      <c r="BI37" s="599"/>
      <c r="BJ37" s="599"/>
      <c r="BK37" s="599"/>
      <c r="BL37" s="599"/>
      <c r="BM37" s="599"/>
      <c r="BN37" s="599"/>
      <c r="BO37" s="599"/>
      <c r="BP37" s="598"/>
      <c r="BQ37" s="599"/>
      <c r="BR37" s="599"/>
      <c r="BS37" s="599"/>
      <c r="BT37" s="599"/>
      <c r="BU37" s="599"/>
      <c r="BV37" s="599"/>
      <c r="BW37" s="599"/>
      <c r="BX37" s="599"/>
      <c r="BY37" s="599"/>
      <c r="BZ37" s="599"/>
      <c r="CA37" s="599"/>
      <c r="CB37" s="599"/>
      <c r="CC37" s="599">
        <v>1.5699999999999999E-2</v>
      </c>
    </row>
    <row r="38" spans="1:81" ht="13.5" customHeight="1" x14ac:dyDescent="0.2">
      <c r="A38" s="604" t="s">
        <v>525</v>
      </c>
      <c r="B38" s="618"/>
      <c r="C38" s="619"/>
      <c r="D38" s="617"/>
      <c r="E38" s="620"/>
      <c r="F38" s="600"/>
      <c r="G38" s="603"/>
      <c r="H38" s="603"/>
      <c r="I38" s="603"/>
      <c r="J38" s="603"/>
      <c r="BF38" s="597"/>
      <c r="BG38" s="598"/>
      <c r="BH38" s="599"/>
      <c r="BI38" s="599"/>
      <c r="BJ38" s="599"/>
      <c r="BK38" s="599"/>
      <c r="BL38" s="599"/>
      <c r="BM38" s="599"/>
      <c r="BN38" s="599"/>
      <c r="BO38" s="599"/>
      <c r="BP38" s="598"/>
      <c r="BQ38" s="599"/>
      <c r="BR38" s="599"/>
      <c r="BS38" s="599"/>
      <c r="BT38" s="599"/>
      <c r="BU38" s="599"/>
      <c r="BV38" s="599"/>
      <c r="BW38" s="599"/>
      <c r="BX38" s="599"/>
      <c r="BY38" s="599"/>
      <c r="BZ38" s="599"/>
      <c r="CA38" s="599"/>
      <c r="CB38" s="599"/>
      <c r="CC38" s="599">
        <v>1.61E-2</v>
      </c>
    </row>
    <row r="39" spans="1:81" ht="13.5" customHeight="1" x14ac:dyDescent="0.2">
      <c r="A39" s="604" t="s">
        <v>526</v>
      </c>
      <c r="B39" s="613"/>
      <c r="C39" s="614"/>
      <c r="D39" s="615"/>
      <c r="E39" s="616"/>
      <c r="F39" s="600"/>
      <c r="G39" s="603"/>
      <c r="H39" s="603"/>
      <c r="I39" s="603"/>
      <c r="J39" s="603"/>
      <c r="BF39" s="597"/>
      <c r="BG39" s="598"/>
      <c r="BH39" s="599"/>
      <c r="BI39" s="599"/>
      <c r="BJ39" s="599"/>
      <c r="BK39" s="599"/>
      <c r="BL39" s="599"/>
      <c r="BM39" s="599"/>
      <c r="BN39" s="599"/>
      <c r="BO39" s="599"/>
      <c r="BP39" s="598"/>
      <c r="BQ39" s="599"/>
      <c r="BR39" s="599"/>
      <c r="BS39" s="599"/>
      <c r="BT39" s="599"/>
      <c r="BU39" s="599"/>
      <c r="BV39" s="599"/>
      <c r="BW39" s="599"/>
      <c r="BX39" s="599"/>
      <c r="BY39" s="599"/>
      <c r="BZ39" s="599"/>
      <c r="CA39" s="599"/>
      <c r="CB39" s="599"/>
      <c r="CC39" s="599">
        <v>1.61E-2</v>
      </c>
    </row>
    <row r="40" spans="1:81" ht="13.5" customHeight="1" x14ac:dyDescent="0.2">
      <c r="A40" s="604" t="s">
        <v>528</v>
      </c>
      <c r="B40" s="618"/>
      <c r="C40" s="619"/>
      <c r="D40" s="617"/>
      <c r="E40" s="620"/>
      <c r="F40" s="600"/>
      <c r="G40" s="603"/>
      <c r="H40" s="603"/>
      <c r="I40" s="603"/>
      <c r="J40" s="603"/>
      <c r="BF40" s="597"/>
      <c r="BG40" s="598"/>
      <c r="BH40" s="599"/>
      <c r="BI40" s="599"/>
      <c r="BJ40" s="599"/>
      <c r="BK40" s="599"/>
      <c r="BL40" s="599"/>
      <c r="BM40" s="599"/>
      <c r="BN40" s="599"/>
      <c r="BO40" s="599"/>
      <c r="BP40" s="598"/>
      <c r="BQ40" s="599"/>
      <c r="BR40" s="599"/>
      <c r="BS40" s="599"/>
      <c r="BT40" s="599"/>
      <c r="BU40" s="599"/>
      <c r="BV40" s="599"/>
      <c r="BW40" s="599"/>
      <c r="BX40" s="599"/>
      <c r="BY40" s="599"/>
      <c r="BZ40" s="599"/>
      <c r="CA40" s="599"/>
      <c r="CB40" s="599"/>
      <c r="CC40" s="599">
        <v>1.61E-2</v>
      </c>
    </row>
    <row r="41" spans="1:81" ht="13.5" customHeight="1" x14ac:dyDescent="0.2">
      <c r="A41" s="604" t="s">
        <v>530</v>
      </c>
      <c r="B41" s="613"/>
      <c r="C41" s="614"/>
      <c r="D41" s="615"/>
      <c r="E41" s="616"/>
      <c r="F41" s="600"/>
      <c r="G41" s="603"/>
      <c r="H41" s="603"/>
      <c r="I41" s="603"/>
      <c r="J41" s="603"/>
      <c r="BF41" s="597"/>
      <c r="BG41" s="598"/>
      <c r="BH41" s="599"/>
      <c r="BI41" s="599"/>
      <c r="BJ41" s="599"/>
      <c r="BK41" s="599"/>
      <c r="BL41" s="599"/>
      <c r="BM41" s="599"/>
      <c r="BN41" s="599"/>
      <c r="BO41" s="599"/>
      <c r="BP41" s="598"/>
      <c r="BQ41" s="599"/>
      <c r="BR41" s="599"/>
      <c r="BS41" s="599"/>
      <c r="BT41" s="599"/>
      <c r="BU41" s="599"/>
      <c r="BV41" s="599"/>
      <c r="BW41" s="599"/>
      <c r="BX41" s="599"/>
      <c r="BY41" s="599"/>
      <c r="BZ41" s="599"/>
      <c r="CA41" s="599"/>
      <c r="CB41" s="599"/>
      <c r="CC41" s="599">
        <v>1.61E-2</v>
      </c>
    </row>
    <row r="42" spans="1:81" ht="13.5" customHeight="1" x14ac:dyDescent="0.2">
      <c r="A42" s="604" t="s">
        <v>570</v>
      </c>
      <c r="B42" s="618"/>
      <c r="C42" s="619"/>
      <c r="D42" s="617"/>
      <c r="E42" s="620"/>
      <c r="F42" s="600"/>
      <c r="G42" s="603"/>
      <c r="H42" s="603"/>
      <c r="I42" s="603"/>
      <c r="J42" s="603"/>
      <c r="BF42" s="597"/>
      <c r="BG42" s="598"/>
      <c r="BH42" s="599"/>
      <c r="BI42" s="599"/>
      <c r="BJ42" s="599"/>
      <c r="BK42" s="599"/>
      <c r="BL42" s="599"/>
      <c r="BM42" s="599"/>
      <c r="BN42" s="599"/>
      <c r="BO42" s="599"/>
      <c r="BP42" s="598"/>
      <c r="BQ42" s="599"/>
      <c r="BR42" s="599"/>
      <c r="BS42" s="599"/>
      <c r="BT42" s="599"/>
      <c r="BU42" s="599"/>
      <c r="BV42" s="599"/>
      <c r="BW42" s="599"/>
      <c r="BX42" s="599"/>
      <c r="BY42" s="599"/>
      <c r="BZ42" s="599"/>
      <c r="CA42" s="599"/>
      <c r="CB42" s="599"/>
      <c r="CC42" s="599">
        <v>1.43E-2</v>
      </c>
    </row>
    <row r="43" spans="1:81" ht="13.5" customHeight="1" x14ac:dyDescent="0.2">
      <c r="A43" s="604" t="s">
        <v>531</v>
      </c>
      <c r="B43" s="613"/>
      <c r="C43" s="614"/>
      <c r="D43" s="615"/>
      <c r="E43" s="616"/>
      <c r="F43" s="600"/>
      <c r="G43" s="603"/>
      <c r="H43" s="603"/>
      <c r="I43" s="603"/>
      <c r="J43" s="603"/>
      <c r="BF43" s="597"/>
      <c r="BG43" s="598"/>
      <c r="BH43" s="599"/>
      <c r="BI43" s="599"/>
      <c r="BJ43" s="599"/>
      <c r="BK43" s="599"/>
      <c r="BL43" s="599"/>
      <c r="BM43" s="599"/>
      <c r="BN43" s="599"/>
      <c r="BO43" s="599"/>
      <c r="BP43" s="598"/>
      <c r="BQ43" s="599"/>
      <c r="BR43" s="599"/>
      <c r="BS43" s="599"/>
      <c r="BT43" s="599"/>
      <c r="BU43" s="599"/>
      <c r="BV43" s="599"/>
      <c r="BW43" s="599"/>
      <c r="BX43" s="599"/>
      <c r="BY43" s="599"/>
      <c r="BZ43" s="599"/>
      <c r="CA43" s="599"/>
      <c r="CB43" s="599"/>
      <c r="CC43" s="599">
        <v>1.43E-2</v>
      </c>
    </row>
    <row r="44" spans="1:81" ht="13.5" customHeight="1" x14ac:dyDescent="0.2">
      <c r="A44" s="604" t="s">
        <v>533</v>
      </c>
      <c r="B44" s="618"/>
      <c r="C44" s="619"/>
      <c r="D44" s="617"/>
      <c r="E44" s="620"/>
      <c r="F44" s="600"/>
      <c r="G44" s="603"/>
      <c r="H44" s="603"/>
      <c r="I44" s="603"/>
      <c r="J44" s="603"/>
      <c r="BF44" s="597"/>
      <c r="BG44" s="598"/>
      <c r="BH44" s="599"/>
      <c r="BI44" s="599"/>
      <c r="BJ44" s="599"/>
      <c r="BK44" s="599"/>
      <c r="BL44" s="599"/>
      <c r="BM44" s="599"/>
      <c r="BN44" s="599"/>
      <c r="BO44" s="599"/>
      <c r="BP44" s="598"/>
      <c r="BQ44" s="599"/>
      <c r="BR44" s="599"/>
      <c r="BS44" s="599"/>
      <c r="BT44" s="599"/>
      <c r="BU44" s="599"/>
      <c r="BV44" s="599"/>
      <c r="BW44" s="599"/>
      <c r="BX44" s="599"/>
      <c r="BY44" s="599"/>
      <c r="BZ44" s="599"/>
      <c r="CA44" s="599"/>
      <c r="CB44" s="599"/>
      <c r="CC44" s="599">
        <v>1.43E-2</v>
      </c>
    </row>
    <row r="45" spans="1:81" ht="13.5" customHeight="1" x14ac:dyDescent="0.2">
      <c r="A45" s="604" t="s">
        <v>537</v>
      </c>
      <c r="B45" s="613"/>
      <c r="C45" s="614"/>
      <c r="D45" s="615"/>
      <c r="E45" s="616"/>
      <c r="F45" s="600"/>
      <c r="G45" s="603"/>
      <c r="H45" s="603"/>
      <c r="I45" s="603"/>
      <c r="J45" s="603"/>
      <c r="BF45" s="597"/>
      <c r="BG45" s="598"/>
      <c r="BH45" s="599"/>
      <c r="BI45" s="599"/>
      <c r="BJ45" s="599"/>
      <c r="BK45" s="599"/>
      <c r="BL45" s="599"/>
      <c r="BM45" s="599"/>
      <c r="BN45" s="599"/>
      <c r="BO45" s="599"/>
      <c r="BP45" s="598"/>
      <c r="BQ45" s="599"/>
      <c r="BR45" s="599"/>
      <c r="BS45" s="599"/>
      <c r="BT45" s="599"/>
      <c r="BU45" s="599"/>
      <c r="BV45" s="599"/>
      <c r="BW45" s="599"/>
      <c r="BX45" s="599"/>
      <c r="BY45" s="599"/>
      <c r="BZ45" s="599"/>
      <c r="CA45" s="599"/>
      <c r="CB45" s="599"/>
      <c r="CC45" s="599">
        <v>1.43E-2</v>
      </c>
    </row>
    <row r="46" spans="1:81" ht="13.5" customHeight="1" x14ac:dyDescent="0.2">
      <c r="A46" s="604" t="s">
        <v>571</v>
      </c>
      <c r="B46" s="618"/>
      <c r="C46" s="619"/>
      <c r="D46" s="617"/>
      <c r="E46" s="620"/>
      <c r="F46" s="600"/>
      <c r="G46" s="603"/>
      <c r="H46" s="603"/>
      <c r="I46" s="603"/>
      <c r="J46" s="603"/>
      <c r="BF46" s="597"/>
      <c r="BG46" s="598"/>
      <c r="BH46" s="599"/>
      <c r="BI46" s="599"/>
      <c r="BJ46" s="599"/>
      <c r="BK46" s="599"/>
      <c r="BL46" s="599"/>
      <c r="BM46" s="599"/>
      <c r="BN46" s="599"/>
      <c r="BO46" s="599"/>
      <c r="BP46" s="598"/>
      <c r="BQ46" s="599"/>
      <c r="BR46" s="599"/>
      <c r="BS46" s="599"/>
      <c r="BT46" s="599"/>
      <c r="BU46" s="599"/>
      <c r="BV46" s="599"/>
      <c r="BW46" s="599"/>
      <c r="BX46" s="599"/>
      <c r="BY46" s="599"/>
      <c r="BZ46" s="599"/>
      <c r="CA46" s="599"/>
      <c r="CB46" s="599"/>
      <c r="CC46" s="599">
        <v>1.54E-2</v>
      </c>
    </row>
    <row r="47" spans="1:81" ht="13.5" customHeight="1" x14ac:dyDescent="0.2">
      <c r="A47" s="604" t="s">
        <v>472</v>
      </c>
      <c r="B47" s="613"/>
      <c r="C47" s="614"/>
      <c r="D47" s="615"/>
      <c r="E47" s="616"/>
      <c r="F47" s="617"/>
      <c r="G47" s="603"/>
      <c r="H47" s="603"/>
      <c r="I47" s="603"/>
      <c r="J47" s="603"/>
      <c r="BF47" s="597"/>
      <c r="BG47" s="598"/>
      <c r="BH47" s="599"/>
      <c r="BI47" s="599"/>
      <c r="BJ47" s="599"/>
      <c r="BK47" s="599"/>
      <c r="BL47" s="599"/>
      <c r="BM47" s="599"/>
      <c r="BN47" s="599"/>
      <c r="BO47" s="599"/>
      <c r="BP47" s="598"/>
      <c r="BQ47" s="599"/>
      <c r="BR47" s="599"/>
      <c r="BS47" s="599"/>
      <c r="BT47" s="599"/>
      <c r="BU47" s="599"/>
      <c r="BV47" s="599"/>
      <c r="BW47" s="599"/>
      <c r="BX47" s="599"/>
      <c r="BY47" s="599"/>
      <c r="BZ47" s="599"/>
      <c r="CA47" s="599"/>
      <c r="CB47" s="599"/>
      <c r="CC47" s="599">
        <v>1.54E-2</v>
      </c>
    </row>
    <row r="48" spans="1:81" ht="13.5" customHeight="1" x14ac:dyDescent="0.2">
      <c r="A48" s="604" t="s">
        <v>542</v>
      </c>
      <c r="B48" s="618"/>
      <c r="C48" s="619"/>
      <c r="D48" s="617"/>
      <c r="E48" s="620"/>
      <c r="F48" s="600"/>
      <c r="G48" s="603"/>
      <c r="H48" s="603"/>
      <c r="I48" s="603"/>
      <c r="J48" s="603"/>
      <c r="BF48" s="597"/>
      <c r="BG48" s="598"/>
      <c r="BH48" s="599"/>
      <c r="BI48" s="599"/>
      <c r="BJ48" s="599"/>
      <c r="BK48" s="599"/>
      <c r="BL48" s="599"/>
      <c r="BM48" s="599"/>
      <c r="BN48" s="599"/>
      <c r="BO48" s="599"/>
      <c r="BP48" s="598"/>
      <c r="BQ48" s="599"/>
      <c r="BR48" s="599"/>
      <c r="BS48" s="599"/>
      <c r="BT48" s="599"/>
      <c r="BU48" s="599"/>
      <c r="BV48" s="599"/>
      <c r="BW48" s="599"/>
      <c r="BX48" s="599"/>
      <c r="BY48" s="599"/>
      <c r="BZ48" s="599"/>
      <c r="CA48" s="599"/>
      <c r="CB48" s="599"/>
      <c r="CC48" s="599">
        <v>1.54E-2</v>
      </c>
    </row>
    <row r="49" spans="1:81" ht="13.5" customHeight="1" x14ac:dyDescent="0.2">
      <c r="A49" s="604" t="s">
        <v>546</v>
      </c>
      <c r="B49" s="613"/>
      <c r="C49" s="614"/>
      <c r="D49" s="615"/>
      <c r="E49" s="616"/>
      <c r="F49" s="617"/>
      <c r="BF49" s="597"/>
      <c r="BG49" s="598"/>
      <c r="BH49" s="599"/>
      <c r="BI49" s="599"/>
      <c r="BJ49" s="599"/>
      <c r="BK49" s="599"/>
      <c r="BL49" s="599"/>
      <c r="BM49" s="599"/>
      <c r="BN49" s="599"/>
      <c r="BO49" s="599"/>
      <c r="BP49" s="598"/>
      <c r="BQ49" s="599"/>
      <c r="BR49" s="599"/>
      <c r="BS49" s="599"/>
      <c r="BT49" s="599"/>
      <c r="BU49" s="599"/>
      <c r="BV49" s="599"/>
      <c r="BW49" s="599"/>
      <c r="BX49" s="599"/>
      <c r="BY49" s="599"/>
      <c r="BZ49" s="599"/>
      <c r="CA49" s="599"/>
      <c r="CB49" s="599"/>
      <c r="CC49" s="599">
        <v>1.35E-2</v>
      </c>
    </row>
    <row r="50" spans="1:81" ht="13.5" customHeight="1" x14ac:dyDescent="0.2">
      <c r="A50" s="604" t="s">
        <v>572</v>
      </c>
      <c r="B50" s="618"/>
      <c r="C50" s="619"/>
      <c r="D50" s="617"/>
      <c r="E50" s="620"/>
      <c r="F50" s="600"/>
      <c r="BF50" s="597"/>
      <c r="BG50" s="598"/>
      <c r="BH50" s="599"/>
      <c r="BI50" s="599"/>
      <c r="BJ50" s="599"/>
      <c r="BK50" s="599"/>
      <c r="BL50" s="599"/>
      <c r="BM50" s="599"/>
      <c r="BN50" s="599"/>
      <c r="BO50" s="599"/>
      <c r="BP50" s="598"/>
      <c r="BQ50" s="599"/>
      <c r="BR50" s="599"/>
      <c r="BS50" s="599"/>
      <c r="BT50" s="599"/>
      <c r="BU50" s="599"/>
      <c r="BV50" s="599"/>
      <c r="BW50" s="599"/>
      <c r="BX50" s="599"/>
      <c r="BY50" s="599"/>
      <c r="BZ50" s="599"/>
      <c r="CA50" s="599"/>
      <c r="CB50" s="599"/>
      <c r="CC50" s="599">
        <v>1.35E-2</v>
      </c>
    </row>
    <row r="51" spans="1:81" ht="13.5" customHeight="1" x14ac:dyDescent="0.2">
      <c r="A51" s="604" t="s">
        <v>552</v>
      </c>
      <c r="B51" s="613"/>
      <c r="C51" s="614"/>
      <c r="D51" s="615"/>
      <c r="E51" s="616"/>
      <c r="F51" s="617"/>
      <c r="BF51" s="597"/>
      <c r="BG51" s="598"/>
      <c r="BH51" s="599"/>
      <c r="BI51" s="599"/>
      <c r="BJ51" s="599"/>
      <c r="BK51" s="599"/>
      <c r="BL51" s="599"/>
      <c r="BM51" s="599"/>
      <c r="BN51" s="599"/>
      <c r="BO51" s="599"/>
      <c r="BP51" s="598"/>
      <c r="BQ51" s="599"/>
      <c r="BR51" s="599"/>
      <c r="BS51" s="599"/>
      <c r="BT51" s="599"/>
      <c r="BU51" s="599"/>
      <c r="BV51" s="599"/>
      <c r="BW51" s="599"/>
      <c r="BX51" s="599"/>
      <c r="BY51" s="599"/>
      <c r="BZ51" s="599"/>
      <c r="CA51" s="599"/>
      <c r="CB51" s="599"/>
      <c r="CC51" s="599">
        <v>1.2699999999999999E-2</v>
      </c>
    </row>
    <row r="52" spans="1:81" ht="13.5" customHeight="1" x14ac:dyDescent="0.2">
      <c r="A52" s="604" t="s">
        <v>554</v>
      </c>
      <c r="B52" s="618"/>
      <c r="C52" s="619"/>
      <c r="D52" s="617"/>
      <c r="E52" s="620"/>
      <c r="F52" s="600"/>
      <c r="BF52" s="597"/>
      <c r="BG52" s="598"/>
      <c r="BH52" s="599"/>
      <c r="BI52" s="599"/>
      <c r="BJ52" s="599"/>
      <c r="BK52" s="599"/>
      <c r="BL52" s="599"/>
      <c r="BM52" s="599"/>
      <c r="BN52" s="599"/>
      <c r="BO52" s="599"/>
      <c r="BP52" s="598"/>
      <c r="BQ52" s="599"/>
      <c r="BR52" s="599"/>
      <c r="BS52" s="599"/>
      <c r="BT52" s="599"/>
      <c r="BU52" s="599"/>
      <c r="BV52" s="599"/>
      <c r="BW52" s="599"/>
      <c r="BX52" s="599"/>
      <c r="BY52" s="599"/>
      <c r="BZ52" s="599"/>
      <c r="CA52" s="599"/>
      <c r="CB52" s="599"/>
      <c r="CC52" s="599">
        <v>1.5299999999999999E-2</v>
      </c>
    </row>
    <row r="53" spans="1:81" ht="13.5" customHeight="1" x14ac:dyDescent="0.2">
      <c r="A53" s="604" t="s">
        <v>558</v>
      </c>
      <c r="B53" s="613"/>
      <c r="C53" s="614"/>
      <c r="D53" s="615"/>
      <c r="E53" s="616"/>
      <c r="BF53" s="597"/>
      <c r="BG53" s="598"/>
      <c r="BH53" s="599"/>
      <c r="BI53" s="599"/>
      <c r="BJ53" s="599"/>
      <c r="BK53" s="599"/>
      <c r="BL53" s="599"/>
      <c r="BM53" s="599"/>
      <c r="BN53" s="599"/>
      <c r="BO53" s="599"/>
      <c r="BP53" s="598"/>
      <c r="BQ53" s="599"/>
      <c r="BR53" s="599"/>
      <c r="BS53" s="599"/>
      <c r="BT53" s="599"/>
      <c r="BU53" s="599"/>
      <c r="BV53" s="599"/>
      <c r="BW53" s="599"/>
      <c r="BX53" s="599"/>
      <c r="BY53" s="599"/>
      <c r="BZ53" s="599"/>
      <c r="CA53" s="599"/>
      <c r="CB53" s="599"/>
      <c r="CC53" s="599">
        <v>1.5299999999999999E-2</v>
      </c>
    </row>
    <row r="54" spans="1:81" x14ac:dyDescent="0.2">
      <c r="A54" s="604" t="s">
        <v>573</v>
      </c>
      <c r="B54" s="618"/>
      <c r="C54" s="619"/>
      <c r="D54" s="617"/>
      <c r="E54" s="620"/>
      <c r="BF54" s="597"/>
      <c r="BG54" s="598"/>
      <c r="BH54" s="599"/>
      <c r="BI54" s="599"/>
      <c r="BJ54" s="599"/>
      <c r="BK54" s="599"/>
      <c r="BL54" s="599"/>
      <c r="BM54" s="599"/>
      <c r="BN54" s="599"/>
      <c r="BO54" s="599"/>
      <c r="BP54" s="598"/>
      <c r="BQ54" s="599"/>
      <c r="BR54" s="599"/>
      <c r="BS54" s="599"/>
      <c r="BT54" s="599"/>
      <c r="BU54" s="599"/>
      <c r="BV54" s="599"/>
      <c r="BW54" s="599"/>
      <c r="BX54" s="599"/>
      <c r="BY54" s="599"/>
      <c r="BZ54" s="599"/>
      <c r="CA54" s="599"/>
      <c r="CB54" s="599"/>
      <c r="CC54" s="599">
        <v>1.5299999999999999E-2</v>
      </c>
    </row>
    <row r="55" spans="1:81" x14ac:dyDescent="0.2">
      <c r="A55" s="604" t="s">
        <v>574</v>
      </c>
      <c r="B55" s="613"/>
      <c r="C55" s="614"/>
      <c r="D55" s="615"/>
      <c r="E55" s="616"/>
      <c r="BF55" s="597"/>
      <c r="BG55" s="598"/>
      <c r="BH55" s="599"/>
      <c r="BI55" s="599"/>
      <c r="BJ55" s="599"/>
      <c r="BK55" s="599"/>
      <c r="BL55" s="599"/>
      <c r="BM55" s="599"/>
      <c r="BN55" s="599"/>
      <c r="BO55" s="599"/>
      <c r="BP55" s="598"/>
      <c r="BQ55" s="599"/>
      <c r="BR55" s="599"/>
      <c r="BS55" s="599"/>
      <c r="BT55" s="599"/>
      <c r="BU55" s="599"/>
      <c r="BV55" s="599"/>
      <c r="BW55" s="599"/>
      <c r="BX55" s="599"/>
      <c r="BY55" s="599"/>
      <c r="BZ55" s="599"/>
      <c r="CA55" s="599"/>
      <c r="CB55" s="599"/>
      <c r="CC55" s="599">
        <v>1.5299999999999999E-2</v>
      </c>
    </row>
    <row r="56" spans="1:81" x14ac:dyDescent="0.2">
      <c r="A56" s="604" t="s">
        <v>561</v>
      </c>
      <c r="B56" s="618"/>
      <c r="C56" s="619"/>
      <c r="D56" s="617"/>
      <c r="E56" s="620"/>
      <c r="BF56" s="597"/>
      <c r="BG56" s="598"/>
      <c r="BH56" s="599"/>
      <c r="BI56" s="599"/>
      <c r="BJ56" s="599"/>
      <c r="BK56" s="599"/>
      <c r="BL56" s="599"/>
      <c r="BM56" s="599"/>
      <c r="BN56" s="599"/>
      <c r="BO56" s="599"/>
      <c r="BP56" s="598"/>
      <c r="BQ56" s="599"/>
      <c r="BR56" s="599"/>
      <c r="BS56" s="599"/>
      <c r="BT56" s="599"/>
      <c r="BU56" s="599"/>
      <c r="BV56" s="599"/>
      <c r="BW56" s="599"/>
      <c r="BX56" s="599"/>
      <c r="BY56" s="599"/>
      <c r="BZ56" s="599"/>
      <c r="CA56" s="599"/>
      <c r="CB56" s="599"/>
      <c r="CC56" s="599">
        <v>1.5299999999999999E-2</v>
      </c>
    </row>
    <row r="57" spans="1:81" x14ac:dyDescent="0.2">
      <c r="A57" s="604" t="s">
        <v>575</v>
      </c>
      <c r="B57" s="613"/>
      <c r="C57" s="614"/>
      <c r="D57" s="615"/>
      <c r="E57" s="616"/>
      <c r="BF57" s="597"/>
      <c r="BG57" s="598"/>
      <c r="BH57" s="599"/>
      <c r="BI57" s="599"/>
      <c r="BJ57" s="599"/>
      <c r="BK57" s="599"/>
      <c r="BL57" s="599"/>
      <c r="BM57" s="599"/>
      <c r="BN57" s="599"/>
      <c r="BO57" s="599"/>
      <c r="BP57" s="598"/>
      <c r="BQ57" s="599"/>
      <c r="BR57" s="599"/>
      <c r="BS57" s="599"/>
      <c r="BT57" s="599"/>
      <c r="BU57" s="599"/>
      <c r="BV57" s="599"/>
      <c r="BW57" s="599"/>
      <c r="BX57" s="599"/>
      <c r="BY57" s="599"/>
      <c r="BZ57" s="599"/>
      <c r="CA57" s="599"/>
      <c r="CB57" s="599"/>
      <c r="CC57" s="599">
        <v>1.5299999999999999E-2</v>
      </c>
    </row>
    <row r="58" spans="1:81" x14ac:dyDescent="0.2">
      <c r="BF58" s="597"/>
      <c r="BG58" s="598"/>
      <c r="BH58" s="599"/>
      <c r="BI58" s="599"/>
      <c r="BJ58" s="599"/>
      <c r="BK58" s="599"/>
      <c r="BL58" s="599"/>
      <c r="BM58" s="599"/>
      <c r="BN58" s="599"/>
      <c r="BO58" s="599"/>
      <c r="BP58" s="598"/>
      <c r="BQ58" s="599"/>
      <c r="BR58" s="599"/>
      <c r="BS58" s="599"/>
      <c r="BT58" s="599"/>
      <c r="BU58" s="599"/>
      <c r="BV58" s="599"/>
      <c r="BW58" s="599"/>
      <c r="BX58" s="599"/>
      <c r="BY58" s="599"/>
      <c r="BZ58" s="599"/>
      <c r="CA58" s="599"/>
      <c r="CB58" s="599"/>
      <c r="CC58" s="599">
        <v>1.41E-2</v>
      </c>
    </row>
    <row r="59" spans="1:81" x14ac:dyDescent="0.2">
      <c r="BF59" s="597"/>
      <c r="BG59" s="598"/>
      <c r="BH59" s="599"/>
      <c r="BI59" s="599"/>
      <c r="BJ59" s="599"/>
      <c r="BK59" s="599"/>
      <c r="BL59" s="599"/>
      <c r="BM59" s="599"/>
      <c r="BN59" s="599"/>
      <c r="BO59" s="599"/>
      <c r="BP59" s="598"/>
      <c r="BQ59" s="599"/>
      <c r="BR59" s="599"/>
      <c r="BS59" s="599"/>
      <c r="BT59" s="599"/>
      <c r="BU59" s="599"/>
      <c r="BV59" s="599"/>
      <c r="BW59" s="599"/>
      <c r="BX59" s="599"/>
      <c r="BY59" s="599"/>
      <c r="BZ59" s="599"/>
      <c r="CA59" s="599"/>
      <c r="CB59" s="599"/>
      <c r="CC59" s="599">
        <v>1.41E-2</v>
      </c>
    </row>
    <row r="60" spans="1:81" x14ac:dyDescent="0.2">
      <c r="BF60" s="597"/>
      <c r="BG60" s="598"/>
      <c r="BH60" s="599"/>
      <c r="BI60" s="599"/>
      <c r="BJ60" s="599"/>
      <c r="BK60" s="599"/>
      <c r="BL60" s="599"/>
      <c r="BM60" s="599"/>
      <c r="BN60" s="599"/>
      <c r="BO60" s="599"/>
      <c r="BP60" s="598"/>
      <c r="BQ60" s="599"/>
      <c r="BR60" s="599"/>
      <c r="BS60" s="599"/>
      <c r="BT60" s="599"/>
      <c r="BU60" s="599"/>
      <c r="BV60" s="599"/>
      <c r="BW60" s="599"/>
      <c r="BX60" s="599"/>
      <c r="BY60" s="599"/>
      <c r="BZ60" s="599"/>
      <c r="CA60" s="599"/>
      <c r="CB60" s="599"/>
      <c r="CC60" s="599">
        <v>1.41E-2</v>
      </c>
    </row>
    <row r="61" spans="1:81" x14ac:dyDescent="0.2">
      <c r="BF61" s="597"/>
      <c r="BG61" s="598"/>
      <c r="BH61" s="599"/>
      <c r="BI61" s="599"/>
      <c r="BJ61" s="599"/>
      <c r="BK61" s="599"/>
      <c r="BL61" s="599"/>
      <c r="BM61" s="599"/>
      <c r="BN61" s="599"/>
      <c r="BO61" s="599"/>
      <c r="BP61" s="598"/>
      <c r="BQ61" s="599"/>
      <c r="BR61" s="599"/>
      <c r="BS61" s="599"/>
      <c r="BT61" s="599"/>
      <c r="BU61" s="599"/>
      <c r="BV61" s="599"/>
      <c r="BW61" s="599"/>
      <c r="BX61" s="599"/>
      <c r="BY61" s="599"/>
      <c r="BZ61" s="599"/>
      <c r="CA61" s="599"/>
      <c r="CB61" s="599"/>
      <c r="CC61" s="599">
        <v>1.41E-2</v>
      </c>
    </row>
    <row r="62" spans="1:81" x14ac:dyDescent="0.2">
      <c r="BF62" s="597"/>
      <c r="BG62" s="598"/>
      <c r="BH62" s="599"/>
      <c r="BI62" s="599"/>
      <c r="BJ62" s="599"/>
      <c r="BK62" s="599"/>
      <c r="BL62" s="599"/>
      <c r="BM62" s="599"/>
      <c r="BN62" s="599"/>
      <c r="BO62" s="599"/>
      <c r="BP62" s="598"/>
      <c r="BQ62" s="599"/>
      <c r="BR62" s="599"/>
      <c r="BS62" s="599"/>
      <c r="BT62" s="599"/>
      <c r="BU62" s="599"/>
      <c r="BV62" s="599"/>
      <c r="BW62" s="599"/>
      <c r="BX62" s="599"/>
      <c r="BY62" s="599"/>
      <c r="BZ62" s="599"/>
      <c r="CA62" s="599"/>
      <c r="CB62" s="599"/>
      <c r="CC62" s="599">
        <v>1.41E-2</v>
      </c>
    </row>
    <row r="63" spans="1:81" x14ac:dyDescent="0.2">
      <c r="BF63" s="597"/>
      <c r="BG63" s="598"/>
      <c r="BH63" s="599"/>
      <c r="BI63" s="599"/>
      <c r="BJ63" s="599"/>
      <c r="BK63" s="599"/>
      <c r="BL63" s="599"/>
      <c r="BM63" s="599"/>
      <c r="BN63" s="599"/>
      <c r="BO63" s="599"/>
      <c r="BP63" s="598"/>
      <c r="BQ63" s="599"/>
      <c r="BR63" s="599"/>
      <c r="BS63" s="599"/>
      <c r="BT63" s="599"/>
      <c r="BU63" s="599"/>
      <c r="BV63" s="599"/>
      <c r="BW63" s="599"/>
      <c r="BX63" s="599"/>
      <c r="BY63" s="599"/>
      <c r="BZ63" s="599"/>
      <c r="CA63" s="599"/>
      <c r="CB63" s="599"/>
      <c r="CC63" s="599">
        <v>1.41E-2</v>
      </c>
    </row>
    <row r="64" spans="1:81" x14ac:dyDescent="0.2">
      <c r="BF64" s="597"/>
      <c r="BG64" s="598"/>
      <c r="BH64" s="599"/>
      <c r="BI64" s="599"/>
      <c r="BJ64" s="599"/>
      <c r="BK64" s="599"/>
      <c r="BL64" s="599"/>
      <c r="BM64" s="599"/>
      <c r="BN64" s="599"/>
      <c r="BO64" s="599"/>
      <c r="BP64" s="598"/>
      <c r="BQ64" s="599"/>
      <c r="BR64" s="599"/>
      <c r="BS64" s="599"/>
      <c r="BT64" s="599"/>
      <c r="BU64" s="599"/>
      <c r="BV64" s="599"/>
      <c r="BW64" s="599"/>
      <c r="BX64" s="599"/>
      <c r="BY64" s="599"/>
      <c r="BZ64" s="599"/>
      <c r="CA64" s="599"/>
      <c r="CB64" s="599"/>
      <c r="CC64" s="599">
        <v>1.2699999999999993E-2</v>
      </c>
    </row>
    <row r="65" spans="58:81" x14ac:dyDescent="0.2">
      <c r="BF65" s="597"/>
      <c r="BG65" s="598"/>
      <c r="BH65" s="599"/>
      <c r="BI65" s="599"/>
      <c r="BJ65" s="599"/>
      <c r="BK65" s="599"/>
      <c r="BL65" s="599"/>
      <c r="BM65" s="599"/>
      <c r="BN65" s="599"/>
      <c r="BO65" s="599"/>
      <c r="BP65" s="598"/>
      <c r="BQ65" s="599"/>
      <c r="BR65" s="599"/>
      <c r="BS65" s="599"/>
      <c r="BT65" s="599"/>
      <c r="BU65" s="599"/>
      <c r="BV65" s="599"/>
      <c r="BW65" s="599"/>
      <c r="BX65" s="599"/>
      <c r="BY65" s="599"/>
      <c r="BZ65" s="599"/>
      <c r="CA65" s="599"/>
      <c r="CB65" s="599"/>
      <c r="CC65" s="599">
        <v>1.2699999999999999E-2</v>
      </c>
    </row>
    <row r="66" spans="58:81" x14ac:dyDescent="0.2">
      <c r="BF66" s="597"/>
      <c r="BG66" s="598"/>
      <c r="BH66" s="599"/>
      <c r="BI66" s="599"/>
      <c r="BJ66" s="599"/>
      <c r="BK66" s="599"/>
      <c r="BL66" s="599"/>
      <c r="BM66" s="599"/>
      <c r="BN66" s="599"/>
      <c r="BO66" s="599"/>
      <c r="BP66" s="598"/>
      <c r="BQ66" s="599"/>
      <c r="BR66" s="599"/>
      <c r="BS66" s="599"/>
      <c r="BT66" s="599"/>
      <c r="BU66" s="599"/>
      <c r="BV66" s="599"/>
      <c r="BW66" s="599"/>
      <c r="BX66" s="599"/>
      <c r="BY66" s="599"/>
      <c r="BZ66" s="599"/>
      <c r="CA66" s="599"/>
      <c r="CB66" s="599"/>
      <c r="CC66" s="599">
        <v>1.41E-2</v>
      </c>
    </row>
    <row r="67" spans="58:81" x14ac:dyDescent="0.2">
      <c r="BF67" s="597"/>
      <c r="BG67" s="598"/>
      <c r="BH67" s="599"/>
      <c r="BI67" s="599"/>
      <c r="BJ67" s="599"/>
      <c r="BK67" s="599"/>
      <c r="BL67" s="599"/>
      <c r="BM67" s="599"/>
      <c r="BN67" s="599"/>
      <c r="BO67" s="599"/>
      <c r="BP67" s="598"/>
      <c r="BQ67" s="599"/>
      <c r="BR67" s="599"/>
      <c r="BS67" s="599"/>
      <c r="BT67" s="599"/>
      <c r="BU67" s="599"/>
      <c r="BV67" s="599"/>
      <c r="BW67" s="599"/>
      <c r="BX67" s="599"/>
      <c r="BY67" s="599"/>
      <c r="BZ67" s="599"/>
      <c r="CA67" s="599"/>
      <c r="CB67" s="599"/>
      <c r="CC67" s="599">
        <v>1.41E-2</v>
      </c>
    </row>
    <row r="68" spans="58:81" x14ac:dyDescent="0.2">
      <c r="BF68" s="597"/>
      <c r="BG68" s="598"/>
      <c r="BH68" s="599"/>
      <c r="BI68" s="599"/>
      <c r="BJ68" s="599"/>
      <c r="BK68" s="599"/>
      <c r="BL68" s="599"/>
      <c r="BM68" s="599"/>
      <c r="BN68" s="599"/>
      <c r="BO68" s="599"/>
      <c r="BP68" s="598"/>
      <c r="BQ68" s="599"/>
      <c r="BR68" s="599"/>
      <c r="BS68" s="599"/>
      <c r="BT68" s="599"/>
      <c r="BU68" s="599"/>
      <c r="BV68" s="599"/>
      <c r="BW68" s="599"/>
      <c r="BX68" s="599"/>
      <c r="BY68" s="599"/>
      <c r="BZ68" s="599"/>
      <c r="CA68" s="599"/>
      <c r="CB68" s="599"/>
      <c r="CC68" s="599">
        <v>1.41E-2</v>
      </c>
    </row>
    <row r="69" spans="58:81" x14ac:dyDescent="0.2">
      <c r="BF69" s="597"/>
      <c r="BG69" s="598"/>
      <c r="BH69" s="599"/>
      <c r="BI69" s="599"/>
      <c r="BJ69" s="599"/>
      <c r="BK69" s="599"/>
      <c r="BL69" s="599"/>
      <c r="BM69" s="599"/>
      <c r="BN69" s="599"/>
      <c r="BO69" s="599"/>
      <c r="BP69" s="598"/>
      <c r="BQ69" s="599"/>
      <c r="BR69" s="599"/>
      <c r="BS69" s="599"/>
      <c r="BT69" s="599"/>
      <c r="BU69" s="599"/>
      <c r="BV69" s="599"/>
      <c r="BW69" s="599"/>
      <c r="BX69" s="599"/>
      <c r="BY69" s="599"/>
      <c r="BZ69" s="599"/>
      <c r="CA69" s="599"/>
      <c r="CB69" s="599"/>
      <c r="CC69" s="599">
        <v>1.41E-2</v>
      </c>
    </row>
    <row r="70" spans="58:81" x14ac:dyDescent="0.2">
      <c r="BF70" s="597"/>
      <c r="BG70" s="598"/>
      <c r="BH70" s="599"/>
      <c r="BI70" s="599"/>
      <c r="BJ70" s="599"/>
      <c r="BK70" s="599"/>
      <c r="BL70" s="599"/>
      <c r="BM70" s="599"/>
      <c r="BN70" s="599"/>
      <c r="BO70" s="599"/>
      <c r="BP70" s="598"/>
      <c r="BQ70" s="599"/>
      <c r="BR70" s="599"/>
      <c r="BS70" s="599"/>
      <c r="BT70" s="599"/>
      <c r="BU70" s="599"/>
      <c r="BV70" s="599"/>
      <c r="BW70" s="599"/>
      <c r="BX70" s="599"/>
      <c r="BY70" s="599"/>
      <c r="BZ70" s="599"/>
      <c r="CA70" s="599"/>
      <c r="CB70" s="599"/>
      <c r="CC70" s="599">
        <v>1.41E-2</v>
      </c>
    </row>
    <row r="71" spans="58:81" x14ac:dyDescent="0.2">
      <c r="BF71" s="597"/>
      <c r="BG71" s="598"/>
      <c r="BH71" s="599"/>
      <c r="BI71" s="599"/>
      <c r="BJ71" s="599"/>
      <c r="BK71" s="599"/>
      <c r="BL71" s="599"/>
      <c r="BM71" s="599"/>
      <c r="BN71" s="599"/>
      <c r="BO71" s="599"/>
      <c r="BP71" s="598"/>
      <c r="BQ71" s="599"/>
      <c r="BR71" s="599"/>
      <c r="BS71" s="599"/>
      <c r="BT71" s="599"/>
      <c r="BU71" s="599"/>
      <c r="BV71" s="599"/>
      <c r="BW71" s="599"/>
      <c r="BX71" s="599"/>
      <c r="BY71" s="599"/>
      <c r="BZ71" s="599"/>
      <c r="CA71" s="599"/>
      <c r="CB71" s="599"/>
      <c r="CC71" s="599">
        <v>1.41E-2</v>
      </c>
    </row>
    <row r="72" spans="58:81" x14ac:dyDescent="0.2">
      <c r="BF72" s="597"/>
      <c r="BG72" s="598"/>
      <c r="BH72" s="599"/>
      <c r="BI72" s="599"/>
      <c r="BJ72" s="599"/>
      <c r="BK72" s="599"/>
      <c r="BL72" s="599"/>
      <c r="BM72" s="599"/>
      <c r="BN72" s="599"/>
      <c r="BO72" s="599"/>
      <c r="BP72" s="598"/>
      <c r="BQ72" s="599"/>
      <c r="BR72" s="599"/>
      <c r="BS72" s="599"/>
      <c r="BT72" s="599"/>
      <c r="BU72" s="599"/>
      <c r="BV72" s="599"/>
      <c r="BW72" s="599"/>
      <c r="BX72" s="599"/>
      <c r="BY72" s="599"/>
      <c r="BZ72" s="599"/>
      <c r="CA72" s="599"/>
      <c r="CB72" s="599"/>
      <c r="CC72" s="599">
        <v>1.41E-2</v>
      </c>
    </row>
    <row r="73" spans="58:81" x14ac:dyDescent="0.2">
      <c r="BF73" s="597"/>
      <c r="BG73" s="598"/>
      <c r="BH73" s="599"/>
      <c r="BI73" s="599"/>
      <c r="BJ73" s="599"/>
      <c r="BK73" s="599"/>
      <c r="BL73" s="599"/>
      <c r="BM73" s="599"/>
      <c r="BN73" s="599"/>
      <c r="BO73" s="599"/>
      <c r="BP73" s="598"/>
      <c r="BQ73" s="599"/>
      <c r="BR73" s="599"/>
      <c r="BS73" s="599"/>
      <c r="BT73" s="599"/>
      <c r="BU73" s="599"/>
      <c r="BV73" s="599"/>
      <c r="BW73" s="599"/>
      <c r="BX73" s="599"/>
      <c r="BY73" s="599"/>
      <c r="BZ73" s="599"/>
      <c r="CA73" s="599"/>
      <c r="CB73" s="599"/>
      <c r="CC73" s="599">
        <v>1.61E-2</v>
      </c>
    </row>
    <row r="74" spans="58:81" x14ac:dyDescent="0.2">
      <c r="BF74" s="597"/>
      <c r="BG74" s="598"/>
      <c r="BH74" s="599"/>
      <c r="BI74" s="599"/>
      <c r="BJ74" s="599"/>
      <c r="BK74" s="599"/>
      <c r="BL74" s="599"/>
      <c r="BM74" s="599"/>
      <c r="BN74" s="599"/>
      <c r="BO74" s="599"/>
      <c r="BP74" s="598"/>
      <c r="BQ74" s="599"/>
      <c r="BR74" s="599"/>
      <c r="BS74" s="599"/>
      <c r="BT74" s="599"/>
      <c r="BU74" s="599"/>
      <c r="BV74" s="599"/>
      <c r="BW74" s="599"/>
      <c r="BX74" s="599"/>
      <c r="BY74" s="599"/>
      <c r="BZ74" s="599"/>
      <c r="CA74" s="599"/>
      <c r="CB74" s="599"/>
      <c r="CC74" s="599">
        <v>1.61E-2</v>
      </c>
    </row>
    <row r="75" spans="58:81" x14ac:dyDescent="0.2">
      <c r="BF75" s="597"/>
      <c r="BG75" s="598"/>
      <c r="BH75" s="599"/>
      <c r="BI75" s="599"/>
      <c r="BJ75" s="599"/>
      <c r="BK75" s="599"/>
      <c r="BL75" s="599"/>
      <c r="BM75" s="599"/>
      <c r="BN75" s="599"/>
      <c r="BO75" s="599"/>
      <c r="BP75" s="598"/>
      <c r="BQ75" s="599"/>
      <c r="BR75" s="599"/>
      <c r="BS75" s="599"/>
      <c r="BT75" s="599"/>
      <c r="BU75" s="599"/>
      <c r="BV75" s="599"/>
      <c r="BW75" s="599"/>
      <c r="BX75" s="599"/>
      <c r="BY75" s="599"/>
      <c r="BZ75" s="599"/>
      <c r="CA75" s="599"/>
      <c r="CB75" s="599"/>
      <c r="CC75" s="599">
        <v>1.0999999999999999E-2</v>
      </c>
    </row>
    <row r="76" spans="58:81" x14ac:dyDescent="0.2">
      <c r="BF76" s="597"/>
      <c r="BG76" s="598"/>
      <c r="BH76" s="599"/>
      <c r="BI76" s="599"/>
      <c r="BJ76" s="599"/>
      <c r="BK76" s="599"/>
      <c r="BL76" s="599"/>
      <c r="BM76" s="599"/>
      <c r="BN76" s="599"/>
      <c r="BO76" s="599"/>
      <c r="BP76" s="598"/>
      <c r="BQ76" s="599"/>
      <c r="BR76" s="599"/>
      <c r="BS76" s="599"/>
      <c r="BT76" s="599"/>
      <c r="BU76" s="599"/>
      <c r="BV76" s="599"/>
      <c r="BW76" s="599"/>
      <c r="BX76" s="599"/>
      <c r="BY76" s="599"/>
      <c r="BZ76" s="599"/>
      <c r="CA76" s="599"/>
      <c r="CB76" s="599"/>
      <c r="CC76" s="599">
        <v>1.0999999999999999E-2</v>
      </c>
    </row>
    <row r="77" spans="58:81" x14ac:dyDescent="0.2">
      <c r="BF77" s="597"/>
      <c r="BG77" s="598"/>
      <c r="BH77" s="599"/>
      <c r="BI77" s="599"/>
      <c r="BJ77" s="599"/>
      <c r="BK77" s="599"/>
      <c r="BL77" s="599"/>
      <c r="BM77" s="599"/>
      <c r="BN77" s="599"/>
      <c r="BO77" s="599"/>
      <c r="BP77" s="598"/>
      <c r="BQ77" s="599"/>
      <c r="BR77" s="599"/>
      <c r="BS77" s="599"/>
      <c r="BT77" s="599"/>
      <c r="BU77" s="599"/>
      <c r="BV77" s="599"/>
      <c r="BW77" s="599"/>
      <c r="BX77" s="599"/>
      <c r="BY77" s="599"/>
      <c r="BZ77" s="599"/>
      <c r="CA77" s="599"/>
      <c r="CB77" s="599"/>
      <c r="CC77" s="599">
        <v>1.0999999999999999E-2</v>
      </c>
    </row>
    <row r="78" spans="58:81" x14ac:dyDescent="0.2">
      <c r="BF78" s="597"/>
      <c r="BG78" s="598"/>
      <c r="BH78" s="599"/>
      <c r="BI78" s="599"/>
      <c r="BJ78" s="599"/>
      <c r="BK78" s="599"/>
      <c r="BL78" s="599"/>
      <c r="BM78" s="599"/>
      <c r="BN78" s="599"/>
      <c r="BO78" s="599"/>
      <c r="BP78" s="598"/>
      <c r="BQ78" s="599"/>
      <c r="BR78" s="599"/>
      <c r="BS78" s="599"/>
      <c r="BT78" s="599"/>
      <c r="BU78" s="599"/>
      <c r="BV78" s="599"/>
      <c r="BW78" s="599"/>
      <c r="BX78" s="599"/>
      <c r="BY78" s="599"/>
      <c r="BZ78" s="599"/>
      <c r="CA78" s="599"/>
      <c r="CB78" s="599"/>
      <c r="CC78" s="599">
        <v>1.0999999999999999E-2</v>
      </c>
    </row>
    <row r="79" spans="58:81" x14ac:dyDescent="0.2">
      <c r="BF79" s="597"/>
      <c r="BG79" s="598"/>
      <c r="BH79" s="599"/>
      <c r="BI79" s="599"/>
      <c r="BJ79" s="599"/>
      <c r="BK79" s="599"/>
      <c r="BL79" s="599"/>
      <c r="BM79" s="599"/>
      <c r="BN79" s="599"/>
      <c r="BO79" s="599"/>
      <c r="BP79" s="598"/>
      <c r="BQ79" s="599"/>
      <c r="BR79" s="599"/>
      <c r="BS79" s="599"/>
      <c r="BT79" s="599"/>
      <c r="BU79" s="599"/>
      <c r="BV79" s="599"/>
      <c r="BW79" s="599"/>
      <c r="BX79" s="599"/>
      <c r="BY79" s="599"/>
      <c r="BZ79" s="599"/>
      <c r="CA79" s="599"/>
      <c r="CB79" s="599"/>
      <c r="CC79" s="599">
        <v>1.0999999999999999E-2</v>
      </c>
    </row>
    <row r="80" spans="58:81" x14ac:dyDescent="0.2">
      <c r="BF80" s="597"/>
      <c r="BG80" s="598"/>
      <c r="BH80" s="599"/>
      <c r="BI80" s="599"/>
      <c r="BJ80" s="599"/>
      <c r="BK80" s="599"/>
      <c r="BL80" s="599"/>
      <c r="BM80" s="599"/>
      <c r="BN80" s="599"/>
      <c r="BO80" s="599"/>
      <c r="BP80" s="598"/>
      <c r="BQ80" s="599"/>
      <c r="BR80" s="599"/>
      <c r="BS80" s="599"/>
      <c r="BT80" s="599"/>
      <c r="BU80" s="599"/>
      <c r="BV80" s="599"/>
      <c r="BW80" s="599"/>
      <c r="BX80" s="599"/>
      <c r="BY80" s="599"/>
      <c r="BZ80" s="599"/>
      <c r="CA80" s="599"/>
      <c r="CB80" s="599"/>
      <c r="CC80" s="599">
        <v>1.0999999999999999E-2</v>
      </c>
    </row>
    <row r="81" spans="58:81" x14ac:dyDescent="0.2">
      <c r="BF81" s="597"/>
      <c r="BG81" s="598"/>
      <c r="BH81" s="599"/>
      <c r="BI81" s="599"/>
      <c r="BJ81" s="599"/>
      <c r="BK81" s="599"/>
      <c r="BL81" s="599"/>
      <c r="BM81" s="599"/>
      <c r="BN81" s="599"/>
      <c r="BO81" s="599"/>
      <c r="BP81" s="598"/>
      <c r="BQ81" s="599"/>
      <c r="BR81" s="599"/>
      <c r="BS81" s="599"/>
      <c r="BT81" s="599"/>
      <c r="BU81" s="599"/>
      <c r="BV81" s="599"/>
      <c r="BW81" s="599"/>
      <c r="BX81" s="599"/>
      <c r="BY81" s="599"/>
      <c r="BZ81" s="599"/>
      <c r="CA81" s="599"/>
      <c r="CB81" s="599"/>
      <c r="CC81" s="599">
        <v>9.4999999999999998E-3</v>
      </c>
    </row>
    <row r="82" spans="58:81" x14ac:dyDescent="0.2">
      <c r="BF82" s="597"/>
      <c r="BG82" s="598"/>
      <c r="BH82" s="599"/>
      <c r="BI82" s="599"/>
      <c r="BJ82" s="599"/>
      <c r="BK82" s="599"/>
      <c r="BL82" s="599"/>
      <c r="BM82" s="599"/>
      <c r="BN82" s="599"/>
      <c r="BO82" s="599"/>
      <c r="BP82" s="598"/>
      <c r="BQ82" s="599"/>
      <c r="BR82" s="599"/>
      <c r="BS82" s="599"/>
      <c r="BT82" s="599"/>
      <c r="BU82" s="599"/>
      <c r="BV82" s="599"/>
      <c r="BW82" s="599"/>
      <c r="BX82" s="599"/>
      <c r="BY82" s="599"/>
      <c r="BZ82" s="599"/>
      <c r="CA82" s="599"/>
      <c r="CB82" s="599"/>
      <c r="CC82" s="599">
        <v>9.4999999999999998E-3</v>
      </c>
    </row>
    <row r="83" spans="58:81" x14ac:dyDescent="0.2">
      <c r="BF83" s="597"/>
      <c r="BG83" s="598"/>
      <c r="BH83" s="599"/>
      <c r="BI83" s="599"/>
      <c r="BJ83" s="599"/>
      <c r="BK83" s="599"/>
      <c r="BL83" s="599"/>
      <c r="BM83" s="599"/>
      <c r="BN83" s="599"/>
      <c r="BO83" s="599"/>
      <c r="BP83" s="598"/>
      <c r="BQ83" s="599"/>
      <c r="BR83" s="599"/>
      <c r="BS83" s="599"/>
      <c r="BT83" s="599"/>
      <c r="BU83" s="599"/>
      <c r="BV83" s="599"/>
      <c r="BW83" s="599"/>
      <c r="BX83" s="599"/>
      <c r="BY83" s="599"/>
      <c r="BZ83" s="599"/>
      <c r="CA83" s="599"/>
      <c r="CB83" s="599"/>
      <c r="CC83" s="599">
        <v>1.8499999999999999E-2</v>
      </c>
    </row>
    <row r="84" spans="58:81" x14ac:dyDescent="0.2">
      <c r="BF84" s="597"/>
      <c r="BG84" s="598"/>
      <c r="BH84" s="599"/>
      <c r="BI84" s="599"/>
      <c r="BJ84" s="599"/>
      <c r="BK84" s="599"/>
      <c r="BL84" s="599"/>
      <c r="BM84" s="599"/>
      <c r="BN84" s="599"/>
      <c r="BO84" s="599"/>
      <c r="BP84" s="598"/>
      <c r="BQ84" s="599"/>
      <c r="BR84" s="599"/>
      <c r="BS84" s="599"/>
      <c r="BT84" s="599"/>
      <c r="BU84" s="599"/>
      <c r="BV84" s="599"/>
      <c r="BW84" s="599"/>
      <c r="BX84" s="599"/>
      <c r="BY84" s="599"/>
      <c r="BZ84" s="599"/>
      <c r="CA84" s="599"/>
      <c r="CB84" s="599"/>
      <c r="CC84" s="599">
        <v>1.8499999999999999E-2</v>
      </c>
    </row>
    <row r="85" spans="58:81" x14ac:dyDescent="0.2">
      <c r="BF85" s="597"/>
      <c r="BG85" s="598"/>
      <c r="BH85" s="599"/>
      <c r="BI85" s="599"/>
      <c r="BJ85" s="599"/>
      <c r="BK85" s="599"/>
      <c r="BL85" s="599"/>
      <c r="BM85" s="599"/>
      <c r="BN85" s="599"/>
      <c r="BO85" s="599"/>
      <c r="BP85" s="598"/>
      <c r="BQ85" s="599"/>
      <c r="BR85" s="599"/>
      <c r="BS85" s="599"/>
      <c r="BT85" s="599"/>
      <c r="BU85" s="599"/>
      <c r="BV85" s="599"/>
      <c r="BW85" s="599"/>
      <c r="BX85" s="599"/>
      <c r="BY85" s="599"/>
      <c r="BZ85" s="599"/>
      <c r="CA85" s="599"/>
      <c r="CB85" s="599"/>
      <c r="CC85" s="599">
        <v>1.8499999999999999E-2</v>
      </c>
    </row>
    <row r="86" spans="58:81" x14ac:dyDescent="0.2">
      <c r="BF86" s="597"/>
      <c r="BG86" s="598"/>
      <c r="BH86" s="599"/>
      <c r="BI86" s="599"/>
      <c r="BJ86" s="599"/>
      <c r="BK86" s="599"/>
      <c r="BL86" s="599"/>
      <c r="BM86" s="599"/>
      <c r="BN86" s="599"/>
      <c r="BO86" s="599"/>
      <c r="BP86" s="598"/>
      <c r="BQ86" s="599"/>
      <c r="BR86" s="599"/>
      <c r="BS86" s="599"/>
      <c r="BT86" s="599"/>
      <c r="BU86" s="599"/>
      <c r="BV86" s="599"/>
      <c r="BW86" s="599"/>
      <c r="BX86" s="599"/>
      <c r="BY86" s="599"/>
      <c r="BZ86" s="599"/>
      <c r="CA86" s="599"/>
      <c r="CB86" s="599"/>
      <c r="CC86" s="599">
        <v>1.09E-2</v>
      </c>
    </row>
    <row r="87" spans="58:81" x14ac:dyDescent="0.2">
      <c r="BF87" s="597"/>
      <c r="BG87" s="598"/>
      <c r="BH87" s="599"/>
      <c r="BI87" s="599"/>
      <c r="BJ87" s="599"/>
      <c r="BK87" s="599"/>
      <c r="BL87" s="599"/>
      <c r="BM87" s="599"/>
      <c r="BN87" s="599"/>
      <c r="BO87" s="599"/>
      <c r="BP87" s="598"/>
      <c r="BQ87" s="599"/>
      <c r="BR87" s="599"/>
      <c r="BS87" s="599"/>
      <c r="BT87" s="599"/>
      <c r="BU87" s="599"/>
      <c r="BV87" s="599"/>
      <c r="BW87" s="599"/>
      <c r="BX87" s="599"/>
      <c r="BY87" s="599"/>
      <c r="BZ87" s="599"/>
      <c r="CA87" s="599"/>
      <c r="CB87" s="599"/>
      <c r="CC87" s="599">
        <v>1.09E-2</v>
      </c>
    </row>
    <row r="88" spans="58:81" x14ac:dyDescent="0.2">
      <c r="BF88" s="597"/>
      <c r="BG88" s="598"/>
      <c r="BH88" s="599"/>
      <c r="BI88" s="599"/>
      <c r="BJ88" s="599"/>
      <c r="BK88" s="599"/>
      <c r="BL88" s="599"/>
      <c r="BM88" s="599"/>
      <c r="BN88" s="599"/>
      <c r="BO88" s="599"/>
      <c r="BP88" s="598"/>
      <c r="BQ88" s="599"/>
      <c r="BR88" s="599"/>
      <c r="BS88" s="599"/>
      <c r="BT88" s="599"/>
      <c r="BU88" s="599"/>
      <c r="BV88" s="599"/>
      <c r="BW88" s="599"/>
      <c r="BX88" s="599"/>
      <c r="BY88" s="599"/>
      <c r="BZ88" s="599"/>
      <c r="CA88" s="599"/>
      <c r="CB88" s="599"/>
      <c r="CC88" s="599">
        <v>1.3299999999999999E-2</v>
      </c>
    </row>
    <row r="89" spans="58:81" x14ac:dyDescent="0.2">
      <c r="BF89" s="597"/>
      <c r="BG89" s="598"/>
      <c r="BH89" s="599"/>
      <c r="BI89" s="599"/>
      <c r="BJ89" s="599"/>
      <c r="BK89" s="599"/>
      <c r="BL89" s="599"/>
      <c r="BM89" s="599"/>
      <c r="BN89" s="599"/>
      <c r="BO89" s="599"/>
      <c r="BP89" s="598"/>
      <c r="BQ89" s="599"/>
      <c r="BR89" s="599"/>
      <c r="BS89" s="599"/>
      <c r="BT89" s="599"/>
      <c r="BU89" s="599"/>
      <c r="BV89" s="599"/>
      <c r="BW89" s="599"/>
      <c r="BX89" s="599"/>
      <c r="BY89" s="599"/>
      <c r="BZ89" s="599"/>
      <c r="CA89" s="599"/>
      <c r="CB89" s="599"/>
      <c r="CC89" s="599">
        <v>1.3299999999999999E-2</v>
      </c>
    </row>
    <row r="90" spans="58:81" x14ac:dyDescent="0.2">
      <c r="BF90" s="597"/>
      <c r="BG90" s="598"/>
      <c r="BH90" s="599"/>
      <c r="BI90" s="599"/>
      <c r="BJ90" s="599"/>
      <c r="BK90" s="599"/>
      <c r="BL90" s="599"/>
      <c r="BM90" s="599"/>
      <c r="BN90" s="599"/>
      <c r="BO90" s="599"/>
      <c r="BP90" s="598"/>
      <c r="BQ90" s="599"/>
      <c r="BR90" s="599"/>
      <c r="BS90" s="599"/>
      <c r="BT90" s="599"/>
      <c r="BU90" s="599"/>
      <c r="BV90" s="599"/>
      <c r="BW90" s="599"/>
      <c r="BX90" s="599"/>
      <c r="BY90" s="599"/>
      <c r="BZ90" s="599"/>
      <c r="CA90" s="599"/>
      <c r="CB90" s="599"/>
      <c r="CC90" s="599">
        <v>1.3299999999999999E-2</v>
      </c>
    </row>
    <row r="91" spans="58:81" x14ac:dyDescent="0.2">
      <c r="BF91" s="597"/>
      <c r="BG91" s="598"/>
      <c r="BH91" s="599"/>
      <c r="BI91" s="599"/>
      <c r="BJ91" s="599"/>
      <c r="BK91" s="599"/>
      <c r="BL91" s="599"/>
      <c r="BM91" s="599"/>
      <c r="BN91" s="599"/>
      <c r="BO91" s="599"/>
      <c r="BP91" s="598"/>
      <c r="BQ91" s="599"/>
      <c r="BR91" s="599"/>
      <c r="BS91" s="599"/>
      <c r="BT91" s="599"/>
      <c r="BU91" s="599"/>
      <c r="BV91" s="599"/>
      <c r="BW91" s="599"/>
      <c r="BX91" s="599"/>
      <c r="BY91" s="599"/>
      <c r="BZ91" s="599"/>
      <c r="CA91" s="599"/>
      <c r="CB91" s="599"/>
      <c r="CC91" s="599">
        <v>1.3299999999999999E-2</v>
      </c>
    </row>
    <row r="92" spans="58:81" x14ac:dyDescent="0.2">
      <c r="BF92" s="597"/>
      <c r="BG92" s="598"/>
      <c r="BH92" s="599"/>
      <c r="BI92" s="599"/>
      <c r="BJ92" s="599"/>
      <c r="BK92" s="599"/>
      <c r="BL92" s="599"/>
      <c r="BM92" s="599"/>
      <c r="BN92" s="599"/>
      <c r="BO92" s="599"/>
      <c r="BP92" s="598"/>
      <c r="BQ92" s="599"/>
      <c r="BR92" s="599"/>
      <c r="BS92" s="599"/>
      <c r="BT92" s="599"/>
      <c r="BU92" s="599"/>
      <c r="BV92" s="599"/>
      <c r="BW92" s="599"/>
      <c r="BX92" s="599"/>
      <c r="BY92" s="599"/>
      <c r="BZ92" s="599"/>
      <c r="CA92" s="599"/>
      <c r="CB92" s="599"/>
      <c r="CC92" s="599">
        <v>1.3299999999999999E-2</v>
      </c>
    </row>
    <row r="93" spans="58:81" x14ac:dyDescent="0.2">
      <c r="BF93" s="597"/>
      <c r="BG93" s="598"/>
      <c r="BH93" s="599"/>
      <c r="BI93" s="599"/>
      <c r="BJ93" s="599"/>
      <c r="BK93" s="599"/>
      <c r="BL93" s="599"/>
      <c r="BM93" s="599"/>
      <c r="BN93" s="599"/>
      <c r="BO93" s="599"/>
      <c r="BP93" s="598"/>
      <c r="BQ93" s="599"/>
      <c r="BR93" s="599"/>
      <c r="BS93" s="599"/>
      <c r="BT93" s="599"/>
      <c r="BU93" s="599"/>
      <c r="BV93" s="599"/>
      <c r="BW93" s="599"/>
      <c r="BX93" s="599"/>
      <c r="BY93" s="599"/>
      <c r="BZ93" s="599"/>
      <c r="CA93" s="599"/>
      <c r="CB93" s="599"/>
      <c r="CC93" s="599">
        <v>1.17E-2</v>
      </c>
    </row>
    <row r="94" spans="58:81" x14ac:dyDescent="0.2">
      <c r="BF94" s="597"/>
      <c r="BG94" s="598"/>
      <c r="BH94" s="599"/>
      <c r="BI94" s="599"/>
      <c r="BJ94" s="599"/>
      <c r="BK94" s="599"/>
      <c r="BL94" s="599"/>
      <c r="BM94" s="599"/>
      <c r="BN94" s="599"/>
      <c r="BO94" s="599"/>
      <c r="BP94" s="598"/>
      <c r="BQ94" s="599"/>
      <c r="BR94" s="599"/>
      <c r="BS94" s="599"/>
      <c r="BT94" s="599"/>
      <c r="BU94" s="599"/>
      <c r="BV94" s="599"/>
      <c r="BW94" s="599"/>
      <c r="BX94" s="599"/>
      <c r="BY94" s="599"/>
      <c r="BZ94" s="599"/>
      <c r="CA94" s="599"/>
      <c r="CB94" s="599"/>
      <c r="CC94" s="599">
        <v>2.0199999999999999E-2</v>
      </c>
    </row>
    <row r="95" spans="58:81" x14ac:dyDescent="0.2">
      <c r="BF95" s="597"/>
      <c r="BG95" s="598"/>
      <c r="BH95" s="599"/>
      <c r="BI95" s="599"/>
      <c r="BJ95" s="599"/>
      <c r="BK95" s="599"/>
      <c r="BL95" s="599"/>
      <c r="BM95" s="599"/>
      <c r="BN95" s="599"/>
      <c r="BO95" s="599"/>
      <c r="BP95" s="598"/>
      <c r="BQ95" s="599"/>
      <c r="BR95" s="599"/>
      <c r="BS95" s="599"/>
      <c r="BT95" s="599"/>
      <c r="BU95" s="599"/>
      <c r="BV95" s="599"/>
      <c r="BW95" s="599"/>
      <c r="BX95" s="599"/>
      <c r="BY95" s="599"/>
      <c r="BZ95" s="599"/>
      <c r="CA95" s="599"/>
      <c r="CB95" s="599"/>
      <c r="CC95" s="599">
        <v>2.0199999999999999E-2</v>
      </c>
    </row>
    <row r="96" spans="58:81" x14ac:dyDescent="0.2">
      <c r="BF96" s="597"/>
      <c r="BG96" s="598"/>
      <c r="BH96" s="599"/>
      <c r="BI96" s="599"/>
      <c r="BJ96" s="599"/>
      <c r="BK96" s="599"/>
      <c r="BL96" s="599"/>
      <c r="BM96" s="599"/>
      <c r="BN96" s="599"/>
      <c r="BO96" s="599"/>
      <c r="BP96" s="598"/>
      <c r="BQ96" s="599"/>
      <c r="BR96" s="599"/>
      <c r="BS96" s="599"/>
      <c r="BT96" s="599"/>
      <c r="BU96" s="599"/>
      <c r="BV96" s="599"/>
      <c r="BW96" s="599"/>
      <c r="BX96" s="599"/>
      <c r="BY96" s="599"/>
      <c r="BZ96" s="599"/>
      <c r="CA96" s="599"/>
      <c r="CB96" s="599"/>
      <c r="CC96" s="599">
        <v>1.2699999999999993E-2</v>
      </c>
    </row>
    <row r="97" spans="58:81" x14ac:dyDescent="0.2">
      <c r="BF97" s="597"/>
      <c r="BG97" s="598"/>
      <c r="BH97" s="599"/>
      <c r="BI97" s="599"/>
      <c r="BJ97" s="599"/>
      <c r="BK97" s="599"/>
      <c r="BL97" s="599"/>
      <c r="BM97" s="599"/>
      <c r="BN97" s="599"/>
      <c r="BO97" s="599"/>
      <c r="BP97" s="598"/>
      <c r="BQ97" s="599"/>
      <c r="BR97" s="599"/>
      <c r="BS97" s="599"/>
      <c r="BT97" s="599"/>
      <c r="BU97" s="599"/>
      <c r="BV97" s="599"/>
      <c r="BW97" s="599"/>
      <c r="BX97" s="599"/>
      <c r="BY97" s="599"/>
      <c r="BZ97" s="599"/>
      <c r="CA97" s="599"/>
      <c r="CB97" s="599"/>
      <c r="CC97" s="599">
        <v>1.2699999999999993E-2</v>
      </c>
    </row>
    <row r="98" spans="58:81" x14ac:dyDescent="0.2">
      <c r="BF98" s="597"/>
      <c r="BG98" s="598"/>
      <c r="BH98" s="599"/>
      <c r="BI98" s="599"/>
      <c r="BJ98" s="599"/>
      <c r="BK98" s="599"/>
      <c r="BL98" s="599"/>
      <c r="BM98" s="599"/>
      <c r="BN98" s="599"/>
      <c r="BO98" s="599"/>
      <c r="BP98" s="598"/>
      <c r="BQ98" s="599"/>
      <c r="BR98" s="599"/>
      <c r="BS98" s="599"/>
      <c r="BT98" s="599"/>
      <c r="BU98" s="599"/>
      <c r="BV98" s="599"/>
      <c r="BW98" s="599"/>
      <c r="BX98" s="599"/>
      <c r="BY98" s="599"/>
      <c r="BZ98" s="599"/>
      <c r="CA98" s="599"/>
      <c r="CB98" s="599"/>
      <c r="CC98" s="599">
        <v>1.43E-2</v>
      </c>
    </row>
    <row r="99" spans="58:81" x14ac:dyDescent="0.2">
      <c r="BF99" s="597"/>
      <c r="BG99" s="598"/>
      <c r="BH99" s="599"/>
      <c r="BI99" s="599"/>
      <c r="BJ99" s="599"/>
      <c r="BK99" s="599"/>
      <c r="BL99" s="599"/>
      <c r="BM99" s="599"/>
      <c r="BN99" s="599"/>
      <c r="BO99" s="599"/>
      <c r="BP99" s="598"/>
      <c r="BQ99" s="599"/>
      <c r="BR99" s="599"/>
      <c r="BS99" s="599"/>
      <c r="BT99" s="599"/>
      <c r="BU99" s="599"/>
      <c r="BV99" s="599"/>
      <c r="BW99" s="599"/>
      <c r="BX99" s="599"/>
      <c r="BY99" s="599"/>
      <c r="BZ99" s="599"/>
      <c r="CA99" s="599"/>
      <c r="CB99" s="599"/>
      <c r="CC99" s="599">
        <v>1.43E-2</v>
      </c>
    </row>
    <row r="100" spans="58:81" x14ac:dyDescent="0.2">
      <c r="BF100" s="597"/>
      <c r="BG100" s="598"/>
      <c r="BH100" s="599"/>
      <c r="BI100" s="599"/>
      <c r="BJ100" s="599"/>
      <c r="BK100" s="599"/>
      <c r="BL100" s="599"/>
      <c r="BM100" s="599"/>
      <c r="BN100" s="599"/>
      <c r="BO100" s="599"/>
      <c r="BP100" s="598"/>
      <c r="BQ100" s="599"/>
      <c r="BR100" s="599"/>
      <c r="BS100" s="599"/>
      <c r="BT100" s="599"/>
      <c r="BU100" s="599"/>
      <c r="BV100" s="599"/>
      <c r="BW100" s="599"/>
      <c r="BX100" s="599"/>
      <c r="BY100" s="599"/>
      <c r="BZ100" s="599"/>
      <c r="CA100" s="599"/>
      <c r="CB100" s="599"/>
      <c r="CC100" s="599">
        <v>1.43E-2</v>
      </c>
    </row>
    <row r="101" spans="58:81" x14ac:dyDescent="0.2">
      <c r="BF101" s="597"/>
      <c r="BG101" s="598"/>
      <c r="BH101" s="599"/>
      <c r="BI101" s="599"/>
      <c r="BJ101" s="599"/>
      <c r="BK101" s="599"/>
      <c r="BL101" s="599"/>
      <c r="BM101" s="599"/>
      <c r="BN101" s="599"/>
      <c r="BO101" s="599"/>
      <c r="BP101" s="598"/>
      <c r="BQ101" s="599"/>
      <c r="BR101" s="599"/>
      <c r="BS101" s="599"/>
      <c r="BT101" s="599"/>
      <c r="BU101" s="599"/>
      <c r="BV101" s="599"/>
      <c r="BW101" s="599"/>
      <c r="BX101" s="599"/>
      <c r="BY101" s="599"/>
      <c r="BZ101" s="599"/>
      <c r="CA101" s="599"/>
      <c r="CB101" s="599"/>
      <c r="CC101" s="599">
        <v>9.7999999999999997E-3</v>
      </c>
    </row>
    <row r="102" spans="58:81" x14ac:dyDescent="0.2">
      <c r="BF102" s="597"/>
      <c r="BG102" s="598"/>
      <c r="BH102" s="599"/>
      <c r="BI102" s="599"/>
      <c r="BJ102" s="599"/>
      <c r="BK102" s="599"/>
      <c r="BL102" s="599"/>
      <c r="BM102" s="599"/>
      <c r="BN102" s="599"/>
      <c r="BO102" s="599"/>
      <c r="BP102" s="598"/>
      <c r="BQ102" s="599"/>
      <c r="BR102" s="599"/>
      <c r="BS102" s="599"/>
      <c r="BT102" s="599"/>
      <c r="BU102" s="599"/>
      <c r="BV102" s="599"/>
      <c r="BW102" s="599"/>
      <c r="BX102" s="599"/>
      <c r="BY102" s="599"/>
      <c r="BZ102" s="599"/>
      <c r="CA102" s="599"/>
      <c r="CB102" s="599"/>
      <c r="CC102" s="599">
        <v>1.9699999999999999E-2</v>
      </c>
    </row>
    <row r="103" spans="58:81" x14ac:dyDescent="0.2">
      <c r="BF103" s="597"/>
      <c r="BG103" s="598"/>
      <c r="BH103" s="599"/>
      <c r="BI103" s="599"/>
      <c r="BJ103" s="599"/>
      <c r="BK103" s="599"/>
      <c r="BL103" s="599"/>
      <c r="BM103" s="599"/>
      <c r="BN103" s="599"/>
      <c r="BO103" s="599"/>
      <c r="BP103" s="598"/>
      <c r="BQ103" s="599"/>
      <c r="BR103" s="599"/>
      <c r="BS103" s="599"/>
      <c r="BT103" s="599"/>
      <c r="BU103" s="599"/>
      <c r="BV103" s="599"/>
      <c r="BW103" s="599"/>
      <c r="BX103" s="599"/>
      <c r="BY103" s="599"/>
      <c r="BZ103" s="599"/>
      <c r="CA103" s="599"/>
      <c r="CB103" s="599"/>
      <c r="CC103" s="599">
        <v>1.9699999999999999E-2</v>
      </c>
    </row>
    <row r="104" spans="58:81" x14ac:dyDescent="0.2">
      <c r="BF104" s="597"/>
      <c r="BG104" s="598"/>
      <c r="BH104" s="599"/>
      <c r="BI104" s="599"/>
      <c r="BJ104" s="599"/>
      <c r="BK104" s="599"/>
      <c r="BL104" s="599"/>
      <c r="BM104" s="599"/>
      <c r="BN104" s="599"/>
      <c r="BO104" s="599"/>
      <c r="BP104" s="598"/>
      <c r="BQ104" s="599"/>
      <c r="BR104" s="599"/>
      <c r="BS104" s="599"/>
      <c r="BT104" s="599"/>
      <c r="BU104" s="599"/>
      <c r="BV104" s="599"/>
      <c r="BW104" s="599"/>
      <c r="BX104" s="599"/>
      <c r="BY104" s="599"/>
      <c r="BZ104" s="599"/>
      <c r="CA104" s="599"/>
      <c r="CB104" s="599"/>
      <c r="CC104" s="599">
        <v>1.47E-2</v>
      </c>
    </row>
    <row r="105" spans="58:81" x14ac:dyDescent="0.2">
      <c r="BF105" s="597"/>
      <c r="BG105" s="598"/>
      <c r="BH105" s="599"/>
      <c r="BI105" s="599"/>
      <c r="BJ105" s="599"/>
      <c r="BK105" s="599"/>
      <c r="BL105" s="599"/>
      <c r="BM105" s="599"/>
      <c r="BN105" s="599"/>
      <c r="BO105" s="599"/>
      <c r="BP105" s="598"/>
      <c r="BQ105" s="599"/>
      <c r="BR105" s="599"/>
      <c r="BS105" s="599"/>
      <c r="BT105" s="599"/>
      <c r="BU105" s="599"/>
      <c r="BV105" s="599"/>
      <c r="BW105" s="599"/>
      <c r="BX105" s="599"/>
      <c r="BY105" s="599"/>
      <c r="BZ105" s="599"/>
      <c r="CA105" s="599"/>
      <c r="CB105" s="599"/>
      <c r="CC105" s="599">
        <v>1.47E-2</v>
      </c>
    </row>
    <row r="106" spans="58:81" x14ac:dyDescent="0.2">
      <c r="BF106" s="597"/>
      <c r="BG106" s="598"/>
      <c r="BH106" s="599"/>
      <c r="BI106" s="599"/>
      <c r="BJ106" s="599"/>
      <c r="BK106" s="599"/>
      <c r="BL106" s="599"/>
      <c r="BM106" s="599"/>
      <c r="BN106" s="599"/>
      <c r="BO106" s="599"/>
      <c r="BP106" s="598"/>
      <c r="BQ106" s="599"/>
      <c r="BR106" s="599"/>
      <c r="BS106" s="599"/>
      <c r="BT106" s="599"/>
      <c r="BU106" s="599"/>
      <c r="BV106" s="599"/>
      <c r="BW106" s="599"/>
      <c r="BX106" s="599"/>
      <c r="BY106" s="599"/>
      <c r="BZ106" s="599"/>
      <c r="CA106" s="599"/>
      <c r="CB106" s="599"/>
      <c r="CC106" s="599">
        <v>1.47E-2</v>
      </c>
    </row>
    <row r="107" spans="58:81" x14ac:dyDescent="0.2">
      <c r="BF107" s="597"/>
      <c r="BG107" s="598"/>
      <c r="BH107" s="599"/>
      <c r="BI107" s="599"/>
      <c r="BJ107" s="599"/>
      <c r="BK107" s="599"/>
      <c r="BL107" s="599"/>
      <c r="BM107" s="599"/>
      <c r="BN107" s="599"/>
      <c r="BO107" s="599"/>
      <c r="BP107" s="598"/>
      <c r="BQ107" s="599"/>
      <c r="BR107" s="599"/>
      <c r="BS107" s="599"/>
      <c r="BT107" s="599"/>
      <c r="BU107" s="599"/>
      <c r="BV107" s="599"/>
      <c r="BW107" s="599"/>
      <c r="BX107" s="599"/>
      <c r="BY107" s="599"/>
      <c r="BZ107" s="599"/>
      <c r="CA107" s="599"/>
      <c r="CB107" s="599"/>
      <c r="CC107" s="599">
        <v>1.47E-2</v>
      </c>
    </row>
    <row r="108" spans="58:81" x14ac:dyDescent="0.2">
      <c r="BF108" s="597"/>
      <c r="BG108" s="598"/>
      <c r="BH108" s="599"/>
      <c r="BI108" s="599"/>
      <c r="BJ108" s="599"/>
      <c r="BK108" s="599"/>
      <c r="BL108" s="599"/>
      <c r="BM108" s="599"/>
      <c r="BN108" s="599"/>
      <c r="BO108" s="599"/>
      <c r="BP108" s="598"/>
      <c r="BQ108" s="599"/>
      <c r="BR108" s="599"/>
      <c r="BS108" s="599"/>
      <c r="BT108" s="599"/>
      <c r="BU108" s="599"/>
      <c r="BV108" s="599"/>
      <c r="BW108" s="599"/>
      <c r="BX108" s="599"/>
      <c r="BY108" s="599"/>
      <c r="BZ108" s="599"/>
      <c r="CA108" s="599"/>
      <c r="CB108" s="599"/>
      <c r="CC108" s="599">
        <v>9.7999999999999997E-3</v>
      </c>
    </row>
    <row r="109" spans="58:81" x14ac:dyDescent="0.2">
      <c r="BF109" s="597"/>
      <c r="BG109" s="598"/>
      <c r="BH109" s="599"/>
      <c r="BI109" s="599"/>
      <c r="BJ109" s="599"/>
      <c r="BK109" s="599"/>
      <c r="BL109" s="599"/>
      <c r="BM109" s="599"/>
      <c r="BN109" s="599"/>
      <c r="BO109" s="599"/>
      <c r="BP109" s="598"/>
      <c r="BQ109" s="599"/>
      <c r="BR109" s="599"/>
      <c r="BS109" s="599"/>
      <c r="BT109" s="599"/>
      <c r="BU109" s="599"/>
      <c r="BV109" s="599"/>
      <c r="BW109" s="599"/>
      <c r="BX109" s="599"/>
      <c r="BY109" s="599"/>
      <c r="BZ109" s="599"/>
      <c r="CA109" s="599"/>
      <c r="CB109" s="599"/>
      <c r="CC109" s="599">
        <v>9.7999999999999997E-3</v>
      </c>
    </row>
    <row r="110" spans="58:81" x14ac:dyDescent="0.2">
      <c r="BF110" s="597"/>
      <c r="BG110" s="598"/>
      <c r="BH110" s="599"/>
      <c r="BI110" s="599"/>
      <c r="BJ110" s="599"/>
      <c r="BK110" s="599"/>
      <c r="BL110" s="599"/>
      <c r="BM110" s="599"/>
      <c r="BN110" s="599"/>
      <c r="BO110" s="599"/>
      <c r="BP110" s="598"/>
      <c r="BQ110" s="599"/>
      <c r="BR110" s="599"/>
      <c r="BS110" s="599"/>
      <c r="BT110" s="599"/>
      <c r="BU110" s="599"/>
      <c r="BV110" s="599"/>
      <c r="BW110" s="599"/>
      <c r="BX110" s="599"/>
      <c r="BY110" s="599"/>
      <c r="BZ110" s="599"/>
      <c r="CA110" s="599"/>
      <c r="CB110" s="599"/>
      <c r="CC110" s="599">
        <v>1.47E-2</v>
      </c>
    </row>
    <row r="111" spans="58:81" x14ac:dyDescent="0.2">
      <c r="BF111" s="597"/>
      <c r="BG111" s="598"/>
      <c r="BH111" s="599"/>
      <c r="BI111" s="599"/>
      <c r="BJ111" s="599"/>
      <c r="BK111" s="599"/>
      <c r="BL111" s="599"/>
      <c r="BM111" s="599"/>
      <c r="BN111" s="599"/>
      <c r="BO111" s="599"/>
      <c r="BP111" s="598"/>
      <c r="BQ111" s="599"/>
      <c r="BR111" s="599"/>
      <c r="BS111" s="599"/>
      <c r="BT111" s="599"/>
      <c r="BU111" s="599"/>
      <c r="BV111" s="599"/>
      <c r="BW111" s="599"/>
      <c r="BX111" s="599"/>
      <c r="BY111" s="599"/>
      <c r="BZ111" s="599"/>
      <c r="CA111" s="599"/>
      <c r="CB111" s="599"/>
      <c r="CC111" s="599">
        <v>3.5000000000000001E-3</v>
      </c>
    </row>
    <row r="112" spans="58:81" x14ac:dyDescent="0.2">
      <c r="BF112" s="597"/>
      <c r="BG112" s="598"/>
      <c r="BH112" s="599"/>
      <c r="BI112" s="599"/>
      <c r="BJ112" s="599"/>
      <c r="BK112" s="599"/>
      <c r="BL112" s="599"/>
      <c r="BM112" s="599"/>
      <c r="BN112" s="599"/>
      <c r="BO112" s="599"/>
      <c r="BP112" s="598"/>
      <c r="BQ112" s="599"/>
      <c r="BR112" s="599"/>
      <c r="BS112" s="599"/>
      <c r="BT112" s="599"/>
      <c r="BU112" s="599"/>
      <c r="BV112" s="599"/>
      <c r="BW112" s="599"/>
      <c r="BX112" s="599"/>
      <c r="BY112" s="599"/>
      <c r="BZ112" s="599"/>
      <c r="CA112" s="599"/>
      <c r="CB112" s="599"/>
      <c r="CC112" s="599">
        <v>3.5000000000000001E-3</v>
      </c>
    </row>
    <row r="113" spans="58:81" x14ac:dyDescent="0.2">
      <c r="BF113" s="597"/>
      <c r="BG113" s="598"/>
      <c r="BH113" s="599"/>
      <c r="BI113" s="599"/>
      <c r="BJ113" s="599"/>
      <c r="BK113" s="599"/>
      <c r="BL113" s="599"/>
      <c r="BM113" s="599"/>
      <c r="BN113" s="599"/>
      <c r="BO113" s="599"/>
      <c r="BP113" s="598"/>
      <c r="BQ113" s="599"/>
      <c r="BR113" s="599"/>
      <c r="BS113" s="599"/>
      <c r="BT113" s="599"/>
      <c r="BU113" s="599"/>
      <c r="BV113" s="599"/>
      <c r="BW113" s="599"/>
      <c r="BX113" s="599"/>
      <c r="BY113" s="599"/>
      <c r="BZ113" s="599"/>
      <c r="CA113" s="599"/>
      <c r="CB113" s="599"/>
      <c r="CC113" s="599">
        <v>3.5999999999999999E-3</v>
      </c>
    </row>
    <row r="114" spans="58:81" x14ac:dyDescent="0.2">
      <c r="BF114" s="597"/>
      <c r="BG114" s="598"/>
      <c r="BH114" s="599"/>
      <c r="BI114" s="599"/>
      <c r="BJ114" s="599"/>
      <c r="BK114" s="599"/>
      <c r="BL114" s="599"/>
      <c r="BM114" s="599"/>
      <c r="BN114" s="599"/>
      <c r="BO114" s="599"/>
      <c r="BP114" s="598"/>
      <c r="BQ114" s="599"/>
      <c r="BR114" s="599"/>
      <c r="BS114" s="599"/>
      <c r="BT114" s="599"/>
      <c r="BU114" s="599"/>
      <c r="BV114" s="599"/>
      <c r="BW114" s="599"/>
      <c r="BX114" s="599"/>
      <c r="BY114" s="599"/>
      <c r="BZ114" s="599"/>
      <c r="CA114" s="599"/>
      <c r="CB114" s="599"/>
      <c r="CC114" s="599">
        <v>3.5999999999999999E-3</v>
      </c>
    </row>
    <row r="115" spans="58:81" x14ac:dyDescent="0.2">
      <c r="BF115" s="597"/>
      <c r="BG115" s="598"/>
      <c r="BH115" s="599"/>
      <c r="BI115" s="599"/>
      <c r="BJ115" s="599"/>
      <c r="BK115" s="599"/>
      <c r="BL115" s="599"/>
      <c r="BM115" s="599"/>
      <c r="BN115" s="599"/>
      <c r="BO115" s="599"/>
      <c r="BP115" s="598"/>
      <c r="BQ115" s="599"/>
      <c r="BR115" s="599"/>
      <c r="BS115" s="599"/>
      <c r="BT115" s="599"/>
      <c r="BU115" s="599"/>
      <c r="BV115" s="599"/>
      <c r="BW115" s="599"/>
      <c r="BX115" s="599"/>
      <c r="BY115" s="599"/>
      <c r="BZ115" s="599"/>
      <c r="CA115" s="599"/>
      <c r="CB115" s="599"/>
      <c r="CC115" s="599">
        <v>8.5000000000000006E-3</v>
      </c>
    </row>
    <row r="116" spans="58:81" x14ac:dyDescent="0.2">
      <c r="BF116" s="597"/>
      <c r="BG116" s="598"/>
      <c r="BH116" s="599"/>
      <c r="BI116" s="599"/>
      <c r="BJ116" s="599"/>
      <c r="BK116" s="599"/>
      <c r="BL116" s="599"/>
      <c r="BM116" s="599"/>
      <c r="BN116" s="599"/>
      <c r="BO116" s="599"/>
      <c r="BP116" s="598"/>
      <c r="BQ116" s="599"/>
      <c r="BR116" s="599"/>
      <c r="BS116" s="599"/>
      <c r="BT116" s="599"/>
      <c r="BU116" s="599"/>
      <c r="BV116" s="599"/>
      <c r="BW116" s="599"/>
      <c r="BX116" s="599"/>
      <c r="BY116" s="599"/>
      <c r="BZ116" s="599"/>
      <c r="CA116" s="599"/>
      <c r="CB116" s="599"/>
      <c r="CC116" s="599">
        <v>8.5000000000000006E-3</v>
      </c>
    </row>
    <row r="117" spans="58:81" x14ac:dyDescent="0.2">
      <c r="BF117" s="597"/>
      <c r="BG117" s="598"/>
      <c r="BH117" s="599"/>
      <c r="BI117" s="599"/>
      <c r="BJ117" s="599"/>
      <c r="BK117" s="599"/>
      <c r="BL117" s="599"/>
      <c r="BM117" s="599"/>
      <c r="BN117" s="599"/>
      <c r="BO117" s="599"/>
      <c r="BP117" s="598"/>
      <c r="BQ117" s="599"/>
      <c r="BR117" s="599"/>
      <c r="BS117" s="599"/>
      <c r="BT117" s="599"/>
      <c r="BU117" s="599"/>
      <c r="BV117" s="599"/>
      <c r="BW117" s="599"/>
      <c r="BX117" s="599"/>
      <c r="BY117" s="599"/>
      <c r="BZ117" s="599"/>
      <c r="CA117" s="599"/>
      <c r="CB117" s="599"/>
      <c r="CC117" s="599">
        <v>8.5000000000000006E-3</v>
      </c>
    </row>
    <row r="118" spans="58:81" x14ac:dyDescent="0.2">
      <c r="BF118" s="597"/>
      <c r="BG118" s="598"/>
      <c r="BH118" s="599"/>
      <c r="BI118" s="599"/>
      <c r="BJ118" s="599"/>
      <c r="BK118" s="599"/>
      <c r="BL118" s="599"/>
      <c r="BM118" s="599"/>
      <c r="BN118" s="599"/>
      <c r="BO118" s="599"/>
      <c r="BP118" s="598"/>
      <c r="BQ118" s="599"/>
      <c r="BR118" s="599"/>
      <c r="BS118" s="599"/>
      <c r="BT118" s="599"/>
      <c r="BU118" s="599"/>
      <c r="BV118" s="599"/>
      <c r="BW118" s="599"/>
      <c r="BX118" s="599"/>
      <c r="BY118" s="599"/>
      <c r="BZ118" s="599"/>
      <c r="CA118" s="599"/>
      <c r="CB118" s="599"/>
      <c r="CC118" s="599">
        <v>9.7000000000000003E-3</v>
      </c>
    </row>
    <row r="119" spans="58:81" x14ac:dyDescent="0.2">
      <c r="BF119" s="597"/>
      <c r="BG119" s="598"/>
      <c r="BH119" s="599"/>
      <c r="BI119" s="599"/>
      <c r="BJ119" s="599"/>
      <c r="BK119" s="599"/>
      <c r="BL119" s="599"/>
      <c r="BM119" s="599"/>
      <c r="BN119" s="599"/>
      <c r="BO119" s="599"/>
      <c r="BP119" s="598"/>
      <c r="BQ119" s="599"/>
      <c r="BR119" s="599"/>
      <c r="BS119" s="599"/>
      <c r="BT119" s="599"/>
      <c r="BU119" s="599"/>
      <c r="BV119" s="599"/>
      <c r="BW119" s="599"/>
      <c r="BX119" s="599"/>
      <c r="BY119" s="599"/>
      <c r="BZ119" s="599"/>
      <c r="CA119" s="599"/>
      <c r="CB119" s="599"/>
      <c r="CC119" s="599">
        <v>9.7000000000000003E-3</v>
      </c>
    </row>
    <row r="120" spans="58:81" x14ac:dyDescent="0.2">
      <c r="BF120" s="597"/>
      <c r="BG120" s="598"/>
      <c r="BH120" s="599"/>
      <c r="BI120" s="599"/>
      <c r="BJ120" s="599"/>
      <c r="BK120" s="599"/>
      <c r="BL120" s="599"/>
      <c r="BM120" s="599"/>
      <c r="BN120" s="599"/>
      <c r="BO120" s="599"/>
      <c r="BP120" s="598"/>
      <c r="BQ120" s="599"/>
      <c r="BR120" s="599"/>
      <c r="BS120" s="599"/>
      <c r="BT120" s="599"/>
      <c r="BU120" s="599"/>
      <c r="BV120" s="599"/>
      <c r="BW120" s="599"/>
      <c r="BX120" s="599"/>
      <c r="BY120" s="599"/>
      <c r="BZ120" s="599"/>
      <c r="CA120" s="599"/>
      <c r="CB120" s="599"/>
      <c r="CC120" s="599">
        <v>4.8999999999999998E-3</v>
      </c>
    </row>
    <row r="121" spans="58:81" x14ac:dyDescent="0.2">
      <c r="BF121" s="597"/>
      <c r="BG121" s="598"/>
      <c r="BH121" s="599"/>
      <c r="BI121" s="599"/>
      <c r="BJ121" s="599"/>
      <c r="BK121" s="599"/>
      <c r="BL121" s="599"/>
      <c r="BM121" s="599"/>
      <c r="BN121" s="599"/>
      <c r="BO121" s="599"/>
      <c r="BP121" s="598"/>
      <c r="BQ121" s="599"/>
      <c r="BR121" s="599"/>
      <c r="BS121" s="599"/>
      <c r="BT121" s="599"/>
      <c r="BU121" s="599"/>
      <c r="BV121" s="599"/>
      <c r="BW121" s="599"/>
      <c r="BX121" s="599"/>
      <c r="BY121" s="599"/>
      <c r="BZ121" s="599"/>
      <c r="CA121" s="599"/>
      <c r="CB121" s="599"/>
      <c r="CC121" s="599">
        <v>4.8999999999999998E-3</v>
      </c>
    </row>
    <row r="122" spans="58:81" x14ac:dyDescent="0.2">
      <c r="BF122" s="597"/>
      <c r="BG122" s="598"/>
      <c r="BH122" s="599"/>
      <c r="BI122" s="599"/>
      <c r="BJ122" s="599"/>
      <c r="BK122" s="599"/>
      <c r="BL122" s="599"/>
      <c r="BM122" s="599"/>
      <c r="BN122" s="599"/>
      <c r="BO122" s="599"/>
      <c r="BP122" s="598"/>
      <c r="BQ122" s="599"/>
      <c r="BR122" s="599"/>
      <c r="BS122" s="599"/>
      <c r="BT122" s="599"/>
      <c r="BU122" s="599"/>
      <c r="BV122" s="599"/>
      <c r="BW122" s="599"/>
      <c r="BX122" s="599"/>
      <c r="BY122" s="599"/>
      <c r="BZ122" s="599"/>
      <c r="CA122" s="599"/>
      <c r="CB122" s="599"/>
      <c r="CC122" s="599">
        <v>4.4000000000000003E-3</v>
      </c>
    </row>
    <row r="123" spans="58:81" x14ac:dyDescent="0.2">
      <c r="BF123" s="597"/>
      <c r="BG123" s="598"/>
      <c r="BH123" s="599"/>
      <c r="BI123" s="599"/>
      <c r="BJ123" s="599"/>
      <c r="BK123" s="599"/>
      <c r="BL123" s="599"/>
      <c r="BM123" s="599"/>
      <c r="BN123" s="599"/>
      <c r="BO123" s="599"/>
      <c r="BP123" s="598"/>
      <c r="BQ123" s="599"/>
      <c r="BR123" s="599"/>
      <c r="BS123" s="599"/>
      <c r="BT123" s="599"/>
      <c r="BU123" s="599"/>
      <c r="BV123" s="599"/>
      <c r="BW123" s="599"/>
      <c r="BX123" s="599"/>
      <c r="BY123" s="599"/>
      <c r="BZ123" s="599"/>
      <c r="CA123" s="599"/>
      <c r="CB123" s="599"/>
      <c r="CC123" s="599">
        <v>4.8999999999999998E-3</v>
      </c>
    </row>
    <row r="124" spans="58:81" x14ac:dyDescent="0.2">
      <c r="BF124" s="597"/>
      <c r="BG124" s="598"/>
      <c r="BH124" s="599"/>
      <c r="BI124" s="599"/>
      <c r="BJ124" s="599"/>
      <c r="BK124" s="599"/>
      <c r="BL124" s="599"/>
      <c r="BM124" s="599"/>
      <c r="BN124" s="599"/>
      <c r="BO124" s="599"/>
      <c r="BP124" s="598"/>
      <c r="BQ124" s="599"/>
      <c r="BR124" s="599"/>
      <c r="BS124" s="599"/>
      <c r="BT124" s="599"/>
      <c r="BU124" s="599"/>
      <c r="BV124" s="599"/>
      <c r="BW124" s="599"/>
      <c r="BX124" s="599"/>
      <c r="BY124" s="599"/>
      <c r="BZ124" s="599"/>
      <c r="CA124" s="599"/>
      <c r="CB124" s="599"/>
      <c r="CC124" s="599">
        <v>3.6400000000000002E-2</v>
      </c>
    </row>
    <row r="125" spans="58:81" x14ac:dyDescent="0.2">
      <c r="BF125" s="597"/>
      <c r="BG125" s="598"/>
      <c r="BH125" s="599"/>
      <c r="BI125" s="599"/>
      <c r="BJ125" s="599"/>
      <c r="BK125" s="599"/>
      <c r="BL125" s="599"/>
      <c r="BM125" s="599"/>
      <c r="BN125" s="599"/>
      <c r="BO125" s="599"/>
      <c r="BP125" s="598"/>
      <c r="BQ125" s="599"/>
      <c r="BR125" s="599"/>
      <c r="BS125" s="599"/>
      <c r="BT125" s="599"/>
      <c r="BU125" s="599"/>
      <c r="BV125" s="599"/>
      <c r="BW125" s="599"/>
      <c r="BX125" s="599"/>
      <c r="BY125" s="599"/>
      <c r="BZ125" s="599"/>
      <c r="CA125" s="599"/>
      <c r="CB125" s="599"/>
      <c r="CC125" s="599">
        <v>3.6400000000000002E-2</v>
      </c>
    </row>
    <row r="126" spans="58:81" x14ac:dyDescent="0.2">
      <c r="BF126" s="597"/>
      <c r="BG126" s="598"/>
      <c r="BH126" s="599"/>
      <c r="BI126" s="599"/>
      <c r="BJ126" s="599"/>
      <c r="BK126" s="599"/>
      <c r="BL126" s="599"/>
      <c r="BM126" s="599"/>
      <c r="BN126" s="599"/>
      <c r="BO126" s="599"/>
      <c r="BP126" s="598"/>
      <c r="BQ126" s="599"/>
      <c r="BR126" s="599"/>
      <c r="BS126" s="599"/>
      <c r="BT126" s="599"/>
      <c r="BU126" s="599"/>
      <c r="BV126" s="599"/>
      <c r="BW126" s="599"/>
      <c r="BX126" s="599"/>
      <c r="BY126" s="599"/>
      <c r="BZ126" s="599"/>
      <c r="CA126" s="599"/>
      <c r="CB126" s="599"/>
      <c r="CC126" s="599">
        <v>3.6400000000000002E-2</v>
      </c>
    </row>
    <row r="127" spans="58:81" x14ac:dyDescent="0.2">
      <c r="BF127" s="597"/>
      <c r="BG127" s="598"/>
      <c r="BH127" s="599"/>
      <c r="BI127" s="599"/>
      <c r="BJ127" s="599"/>
      <c r="BK127" s="599"/>
      <c r="BL127" s="599"/>
      <c r="BM127" s="599"/>
      <c r="BN127" s="599"/>
      <c r="BO127" s="599"/>
      <c r="BP127" s="598"/>
      <c r="BQ127" s="599"/>
      <c r="BR127" s="599"/>
      <c r="BS127" s="599"/>
      <c r="BT127" s="599"/>
      <c r="BU127" s="599"/>
      <c r="BV127" s="599"/>
      <c r="BW127" s="599"/>
      <c r="BX127" s="599"/>
      <c r="BY127" s="599"/>
      <c r="BZ127" s="599"/>
      <c r="CA127" s="599"/>
      <c r="CB127" s="599"/>
      <c r="CC127" s="599">
        <v>3.6400000000000002E-2</v>
      </c>
    </row>
    <row r="128" spans="58:81" x14ac:dyDescent="0.2">
      <c r="BF128" s="597"/>
      <c r="BG128" s="598"/>
      <c r="BH128" s="599"/>
      <c r="BI128" s="599"/>
      <c r="BJ128" s="599"/>
      <c r="BK128" s="599"/>
      <c r="BL128" s="599"/>
      <c r="BM128" s="599"/>
      <c r="BN128" s="599"/>
      <c r="BO128" s="599"/>
      <c r="BP128" s="598"/>
      <c r="BQ128" s="599"/>
      <c r="BR128" s="599"/>
      <c r="BS128" s="599"/>
      <c r="BT128" s="599"/>
      <c r="BU128" s="599"/>
      <c r="BV128" s="599"/>
      <c r="BW128" s="599"/>
      <c r="BX128" s="599"/>
      <c r="BY128" s="599"/>
      <c r="BZ128" s="599"/>
      <c r="CA128" s="599"/>
      <c r="CB128" s="599"/>
      <c r="CC128" s="599">
        <v>3.7000000000000002E-3</v>
      </c>
    </row>
    <row r="129" spans="58:81" x14ac:dyDescent="0.2">
      <c r="BF129" s="597"/>
      <c r="BG129" s="598"/>
      <c r="BH129" s="599"/>
      <c r="BI129" s="599"/>
      <c r="BJ129" s="599"/>
      <c r="BK129" s="599"/>
      <c r="BL129" s="599"/>
      <c r="BM129" s="599"/>
      <c r="BN129" s="599"/>
      <c r="BO129" s="599"/>
      <c r="BP129" s="598"/>
      <c r="BQ129" s="599"/>
      <c r="BR129" s="599"/>
      <c r="BS129" s="599"/>
      <c r="BT129" s="599"/>
      <c r="BU129" s="599"/>
      <c r="BV129" s="599"/>
      <c r="BW129" s="599"/>
      <c r="BX129" s="599"/>
      <c r="BY129" s="599"/>
      <c r="BZ129" s="599"/>
      <c r="CA129" s="599"/>
      <c r="CB129" s="599"/>
      <c r="CC129" s="599">
        <v>5.1000000000000004E-3</v>
      </c>
    </row>
    <row r="130" spans="58:81" x14ac:dyDescent="0.2">
      <c r="BF130" s="597"/>
      <c r="BG130" s="598"/>
      <c r="BH130" s="599"/>
      <c r="BI130" s="599"/>
      <c r="BJ130" s="599"/>
      <c r="BK130" s="599"/>
      <c r="BL130" s="599"/>
      <c r="BM130" s="599"/>
      <c r="BN130" s="599"/>
      <c r="BO130" s="599"/>
      <c r="BP130" s="598"/>
      <c r="BQ130" s="599"/>
      <c r="BR130" s="599"/>
      <c r="BS130" s="599"/>
      <c r="BT130" s="599"/>
      <c r="BU130" s="599"/>
      <c r="BV130" s="599"/>
      <c r="BW130" s="599"/>
      <c r="BX130" s="599"/>
      <c r="BY130" s="599"/>
      <c r="BZ130" s="599"/>
      <c r="CA130" s="599"/>
      <c r="CB130" s="599"/>
      <c r="CC130" s="599">
        <v>5.1000000000000004E-3</v>
      </c>
    </row>
    <row r="131" spans="58:81" x14ac:dyDescent="0.2">
      <c r="BF131" s="597"/>
      <c r="BG131" s="598"/>
      <c r="BH131" s="599"/>
      <c r="BI131" s="599"/>
      <c r="BJ131" s="599"/>
      <c r="BK131" s="599"/>
      <c r="BL131" s="599"/>
      <c r="BM131" s="599"/>
      <c r="BN131" s="599"/>
      <c r="BO131" s="599"/>
      <c r="BP131" s="598"/>
      <c r="BQ131" s="599"/>
      <c r="BR131" s="599"/>
      <c r="BS131" s="599"/>
      <c r="BT131" s="599"/>
      <c r="BU131" s="599"/>
      <c r="BV131" s="599"/>
      <c r="BW131" s="599"/>
      <c r="BX131" s="599"/>
      <c r="BY131" s="599"/>
      <c r="BZ131" s="599"/>
      <c r="CA131" s="599"/>
      <c r="CB131" s="599"/>
      <c r="CC131" s="599">
        <v>5.1000000000000004E-3</v>
      </c>
    </row>
    <row r="132" spans="58:81" x14ac:dyDescent="0.2">
      <c r="BF132" s="597"/>
      <c r="BG132" s="598"/>
      <c r="BH132" s="599"/>
      <c r="BI132" s="599"/>
      <c r="BJ132" s="599"/>
      <c r="BK132" s="599"/>
      <c r="BL132" s="599"/>
      <c r="BM132" s="599"/>
      <c r="BN132" s="599"/>
      <c r="BO132" s="599"/>
      <c r="BP132" s="598"/>
      <c r="BQ132" s="599"/>
      <c r="BR132" s="599"/>
      <c r="BS132" s="599"/>
      <c r="BT132" s="599"/>
      <c r="BU132" s="599"/>
      <c r="BV132" s="599"/>
      <c r="BW132" s="599"/>
      <c r="BX132" s="599"/>
      <c r="BY132" s="599"/>
      <c r="BZ132" s="599"/>
      <c r="CA132" s="599"/>
      <c r="CB132" s="599"/>
      <c r="CC132" s="599">
        <v>1.03E-2</v>
      </c>
    </row>
    <row r="133" spans="58:81" x14ac:dyDescent="0.2">
      <c r="BF133" s="597"/>
      <c r="BG133" s="598"/>
      <c r="BH133" s="599"/>
      <c r="BI133" s="599"/>
      <c r="BJ133" s="599"/>
      <c r="BK133" s="599"/>
      <c r="BL133" s="599"/>
      <c r="BM133" s="599"/>
      <c r="BN133" s="599"/>
      <c r="BO133" s="599"/>
      <c r="BP133" s="598"/>
      <c r="BQ133" s="599"/>
      <c r="BR133" s="599"/>
      <c r="BS133" s="599"/>
      <c r="BT133" s="599"/>
      <c r="BU133" s="599"/>
      <c r="BV133" s="599"/>
      <c r="BW133" s="599"/>
      <c r="BX133" s="599"/>
      <c r="BY133" s="599"/>
      <c r="BZ133" s="599"/>
      <c r="CA133" s="599"/>
      <c r="CB133" s="599"/>
      <c r="CC133" s="599">
        <v>1.03E-2</v>
      </c>
    </row>
    <row r="134" spans="58:81" x14ac:dyDescent="0.2">
      <c r="BF134" s="597"/>
      <c r="BG134" s="598"/>
      <c r="BH134" s="599"/>
      <c r="BI134" s="599"/>
      <c r="BJ134" s="599"/>
      <c r="BK134" s="599"/>
      <c r="BL134" s="599"/>
      <c r="BM134" s="599"/>
      <c r="BN134" s="599"/>
      <c r="BO134" s="599"/>
      <c r="BP134" s="598"/>
      <c r="BQ134" s="599"/>
      <c r="BR134" s="599"/>
      <c r="BS134" s="599"/>
      <c r="BT134" s="599"/>
      <c r="BU134" s="599"/>
      <c r="BV134" s="599"/>
      <c r="BW134" s="599"/>
      <c r="BX134" s="599"/>
      <c r="BY134" s="599"/>
      <c r="BZ134" s="599"/>
      <c r="CA134" s="599"/>
      <c r="CB134" s="599"/>
      <c r="CC134" s="599">
        <v>1.03E-2</v>
      </c>
    </row>
    <row r="135" spans="58:81" x14ac:dyDescent="0.2">
      <c r="BF135" s="597"/>
      <c r="BG135" s="598"/>
      <c r="BH135" s="599"/>
      <c r="BI135" s="599"/>
      <c r="BJ135" s="599"/>
      <c r="BK135" s="599"/>
      <c r="BL135" s="599"/>
      <c r="BM135" s="599"/>
      <c r="BN135" s="599"/>
      <c r="BO135" s="599"/>
      <c r="BP135" s="598"/>
      <c r="BQ135" s="599"/>
      <c r="BR135" s="599"/>
      <c r="BS135" s="599"/>
      <c r="BT135" s="599"/>
      <c r="BU135" s="599"/>
      <c r="BV135" s="599"/>
      <c r="BW135" s="599"/>
      <c r="BX135" s="599"/>
      <c r="BY135" s="599"/>
      <c r="BZ135" s="599"/>
      <c r="CA135" s="599"/>
      <c r="CB135" s="599"/>
      <c r="CC135" s="599">
        <v>9.9000000000000008E-3</v>
      </c>
    </row>
    <row r="136" spans="58:81" x14ac:dyDescent="0.2">
      <c r="BF136" s="597"/>
      <c r="BG136" s="598"/>
      <c r="BH136" s="599"/>
      <c r="BI136" s="599"/>
      <c r="BJ136" s="599"/>
      <c r="BK136" s="599"/>
      <c r="BL136" s="599"/>
      <c r="BM136" s="599"/>
      <c r="BN136" s="599"/>
      <c r="BO136" s="599"/>
      <c r="BP136" s="598"/>
      <c r="BQ136" s="599"/>
      <c r="BR136" s="599"/>
      <c r="BS136" s="599"/>
      <c r="BT136" s="599"/>
      <c r="BU136" s="599"/>
      <c r="BV136" s="599"/>
      <c r="BW136" s="599"/>
      <c r="BX136" s="599"/>
      <c r="BY136" s="599"/>
      <c r="BZ136" s="599"/>
      <c r="CA136" s="599"/>
      <c r="CB136" s="599"/>
      <c r="CC136" s="599">
        <v>9.9000000000000008E-3</v>
      </c>
    </row>
    <row r="137" spans="58:81" x14ac:dyDescent="0.2">
      <c r="BF137" s="597"/>
      <c r="BG137" s="598"/>
      <c r="BH137" s="599"/>
      <c r="BI137" s="599"/>
      <c r="BJ137" s="599"/>
      <c r="BK137" s="599"/>
      <c r="BL137" s="599"/>
      <c r="BM137" s="599"/>
      <c r="BN137" s="599"/>
      <c r="BO137" s="599"/>
      <c r="BP137" s="598"/>
      <c r="BQ137" s="599"/>
      <c r="BR137" s="599"/>
      <c r="BS137" s="599"/>
      <c r="BT137" s="599"/>
      <c r="BU137" s="599"/>
      <c r="BV137" s="599"/>
      <c r="BW137" s="599"/>
      <c r="BX137" s="599"/>
      <c r="BY137" s="599"/>
      <c r="BZ137" s="599"/>
      <c r="CA137" s="599"/>
      <c r="CB137" s="599"/>
      <c r="CC137" s="599">
        <v>9.9000000000000008E-3</v>
      </c>
    </row>
    <row r="138" spans="58:81" x14ac:dyDescent="0.2">
      <c r="BF138" s="597"/>
      <c r="BG138" s="598"/>
      <c r="BH138" s="599"/>
      <c r="BI138" s="599"/>
      <c r="BJ138" s="599"/>
      <c r="BK138" s="599"/>
      <c r="BL138" s="599"/>
      <c r="BM138" s="599"/>
      <c r="BN138" s="599"/>
      <c r="BO138" s="599"/>
      <c r="BP138" s="598"/>
      <c r="BQ138" s="599"/>
      <c r="BR138" s="599"/>
      <c r="BS138" s="599"/>
      <c r="BT138" s="599"/>
      <c r="BU138" s="599"/>
      <c r="BV138" s="599"/>
      <c r="BW138" s="599"/>
      <c r="BX138" s="599"/>
      <c r="BY138" s="599"/>
      <c r="BZ138" s="599"/>
      <c r="CA138" s="599"/>
      <c r="CB138" s="599"/>
      <c r="CC138" s="599">
        <v>9.9000000000000008E-3</v>
      </c>
    </row>
    <row r="139" spans="58:81" x14ac:dyDescent="0.2">
      <c r="BF139" s="597"/>
      <c r="BG139" s="598"/>
      <c r="BH139" s="599"/>
      <c r="BI139" s="599"/>
      <c r="BJ139" s="599"/>
      <c r="BK139" s="599"/>
      <c r="BL139" s="599"/>
      <c r="BM139" s="599"/>
      <c r="BN139" s="599"/>
      <c r="BO139" s="599"/>
      <c r="BP139" s="598"/>
      <c r="BQ139" s="599"/>
      <c r="BR139" s="599"/>
      <c r="BS139" s="599"/>
      <c r="BT139" s="599"/>
      <c r="BU139" s="599"/>
      <c r="BV139" s="599"/>
      <c r="BW139" s="599"/>
      <c r="BX139" s="599"/>
      <c r="BY139" s="599"/>
      <c r="BZ139" s="599"/>
      <c r="CA139" s="599"/>
      <c r="CB139" s="599"/>
      <c r="CC139" s="599">
        <v>9.9000000000000008E-3</v>
      </c>
    </row>
    <row r="140" spans="58:81" x14ac:dyDescent="0.2">
      <c r="BF140" s="597"/>
      <c r="BG140" s="598"/>
      <c r="BH140" s="599"/>
      <c r="BI140" s="599"/>
      <c r="BJ140" s="599"/>
      <c r="BK140" s="599"/>
      <c r="BL140" s="599"/>
      <c r="BM140" s="599"/>
      <c r="BN140" s="599"/>
      <c r="BO140" s="599"/>
      <c r="BP140" s="598"/>
      <c r="BQ140" s="599"/>
      <c r="BR140" s="599"/>
      <c r="BS140" s="599"/>
      <c r="BT140" s="599"/>
      <c r="BU140" s="599"/>
      <c r="BV140" s="599"/>
      <c r="BW140" s="599"/>
      <c r="BX140" s="599"/>
      <c r="BY140" s="599"/>
      <c r="BZ140" s="599"/>
      <c r="CA140" s="599"/>
      <c r="CB140" s="599"/>
      <c r="CC140" s="599">
        <v>1.4E-2</v>
      </c>
    </row>
    <row r="141" spans="58:81" x14ac:dyDescent="0.2">
      <c r="BF141" s="597"/>
      <c r="BG141" s="598"/>
      <c r="BH141" s="599"/>
      <c r="BI141" s="599"/>
      <c r="BJ141" s="599"/>
      <c r="BK141" s="599"/>
      <c r="BL141" s="599"/>
      <c r="BM141" s="599"/>
      <c r="BN141" s="599"/>
      <c r="BO141" s="599"/>
      <c r="BP141" s="598"/>
      <c r="BQ141" s="599"/>
      <c r="BR141" s="599"/>
      <c r="BS141" s="599"/>
      <c r="BT141" s="599"/>
      <c r="BU141" s="599"/>
      <c r="BV141" s="599"/>
      <c r="BW141" s="599"/>
      <c r="BX141" s="599"/>
      <c r="BY141" s="599"/>
      <c r="BZ141" s="599"/>
      <c r="CA141" s="599"/>
      <c r="CB141" s="599"/>
      <c r="CC141" s="599">
        <v>1.4E-2</v>
      </c>
    </row>
    <row r="142" spans="58:81" x14ac:dyDescent="0.2">
      <c r="BF142" s="597"/>
      <c r="BG142" s="598"/>
      <c r="BH142" s="599"/>
      <c r="BI142" s="599"/>
      <c r="BJ142" s="599"/>
      <c r="BK142" s="599"/>
      <c r="BL142" s="599"/>
      <c r="BM142" s="599"/>
      <c r="BN142" s="599"/>
      <c r="BO142" s="599"/>
      <c r="BP142" s="598"/>
      <c r="BQ142" s="599"/>
      <c r="BR142" s="599"/>
      <c r="BS142" s="599"/>
      <c r="BT142" s="599"/>
      <c r="BU142" s="599"/>
      <c r="BV142" s="599"/>
      <c r="BW142" s="599"/>
      <c r="BX142" s="599"/>
      <c r="BY142" s="599"/>
      <c r="BZ142" s="599"/>
      <c r="CA142" s="599"/>
      <c r="CB142" s="599"/>
      <c r="CC142" s="599">
        <v>1.4E-2</v>
      </c>
    </row>
    <row r="143" spans="58:81" x14ac:dyDescent="0.2">
      <c r="BF143" s="597"/>
      <c r="BG143" s="598"/>
      <c r="BH143" s="599"/>
      <c r="BI143" s="599"/>
      <c r="BJ143" s="599"/>
      <c r="BK143" s="599"/>
      <c r="BL143" s="599"/>
      <c r="BM143" s="599"/>
      <c r="BN143" s="599"/>
      <c r="BO143" s="599"/>
      <c r="BP143" s="598"/>
      <c r="BQ143" s="599"/>
      <c r="BR143" s="599"/>
      <c r="BS143" s="599"/>
      <c r="BT143" s="599"/>
      <c r="BU143" s="599"/>
      <c r="BV143" s="599"/>
      <c r="BW143" s="599"/>
      <c r="BX143" s="599"/>
      <c r="BY143" s="599"/>
      <c r="BZ143" s="599"/>
      <c r="CA143" s="599"/>
      <c r="CB143" s="599"/>
      <c r="CC143" s="599">
        <v>1.4E-2</v>
      </c>
    </row>
    <row r="144" spans="58:81" x14ac:dyDescent="0.2">
      <c r="BF144" s="597"/>
      <c r="BG144" s="598"/>
      <c r="BH144" s="599"/>
      <c r="BI144" s="599"/>
      <c r="BJ144" s="599"/>
      <c r="BK144" s="599"/>
      <c r="BL144" s="599"/>
      <c r="BM144" s="599"/>
      <c r="BN144" s="599"/>
      <c r="BO144" s="599"/>
      <c r="BP144" s="598"/>
      <c r="BQ144" s="599"/>
      <c r="BR144" s="599"/>
      <c r="BS144" s="599"/>
      <c r="BT144" s="599"/>
      <c r="BU144" s="599"/>
      <c r="BV144" s="599"/>
      <c r="BW144" s="599"/>
      <c r="BX144" s="599"/>
      <c r="BY144" s="599"/>
      <c r="BZ144" s="599"/>
      <c r="CA144" s="599"/>
      <c r="CB144" s="599"/>
      <c r="CC144" s="599">
        <v>1.4E-2</v>
      </c>
    </row>
    <row r="145" spans="58:81" x14ac:dyDescent="0.2">
      <c r="BF145" s="597"/>
      <c r="BG145" s="598"/>
      <c r="BH145" s="599"/>
      <c r="BI145" s="599"/>
      <c r="BJ145" s="599"/>
      <c r="BK145" s="599"/>
      <c r="BL145" s="599"/>
      <c r="BM145" s="599"/>
      <c r="BN145" s="599"/>
      <c r="BO145" s="599"/>
      <c r="BP145" s="598"/>
      <c r="BQ145" s="599"/>
      <c r="BR145" s="599"/>
      <c r="BS145" s="599"/>
      <c r="BT145" s="599"/>
      <c r="BU145" s="599"/>
      <c r="BV145" s="599"/>
      <c r="BW145" s="599"/>
      <c r="BX145" s="599"/>
      <c r="BY145" s="599"/>
      <c r="BZ145" s="599"/>
      <c r="CA145" s="599"/>
      <c r="CB145" s="599"/>
      <c r="CC145" s="599">
        <v>1.4E-2</v>
      </c>
    </row>
    <row r="146" spans="58:81" x14ac:dyDescent="0.2">
      <c r="BF146" s="597"/>
      <c r="BG146" s="598"/>
      <c r="BH146" s="599"/>
      <c r="BI146" s="599"/>
      <c r="BJ146" s="599"/>
      <c r="BK146" s="599"/>
      <c r="BL146" s="599"/>
      <c r="BM146" s="599"/>
      <c r="BN146" s="599"/>
      <c r="BO146" s="599"/>
      <c r="BP146" s="598"/>
      <c r="BQ146" s="599"/>
      <c r="BR146" s="599"/>
      <c r="BS146" s="599"/>
      <c r="BT146" s="599"/>
      <c r="BU146" s="599"/>
      <c r="BV146" s="599"/>
      <c r="BW146" s="599"/>
      <c r="BX146" s="599"/>
      <c r="BY146" s="599"/>
      <c r="BZ146" s="599"/>
      <c r="CA146" s="599"/>
      <c r="CB146" s="599"/>
      <c r="CC146" s="599">
        <v>1.4E-2</v>
      </c>
    </row>
    <row r="147" spans="58:81" x14ac:dyDescent="0.2">
      <c r="BF147" s="597"/>
      <c r="BG147" s="598"/>
      <c r="BH147" s="599"/>
      <c r="BI147" s="599"/>
      <c r="BJ147" s="599"/>
      <c r="BK147" s="599"/>
      <c r="BL147" s="599"/>
      <c r="BM147" s="599"/>
      <c r="BN147" s="599"/>
      <c r="BO147" s="599"/>
      <c r="BP147" s="598"/>
      <c r="BQ147" s="599"/>
      <c r="BR147" s="599"/>
      <c r="BS147" s="599"/>
      <c r="BT147" s="599"/>
      <c r="BU147" s="599"/>
      <c r="BV147" s="599"/>
      <c r="BW147" s="599"/>
      <c r="BX147" s="599"/>
      <c r="BY147" s="599"/>
      <c r="BZ147" s="599"/>
      <c r="CA147" s="599"/>
      <c r="CB147" s="599"/>
      <c r="CC147" s="599">
        <v>7.7000000000000002E-3</v>
      </c>
    </row>
    <row r="148" spans="58:81" x14ac:dyDescent="0.2">
      <c r="BF148" s="597"/>
      <c r="BG148" s="598"/>
      <c r="BH148" s="599"/>
      <c r="BI148" s="599"/>
      <c r="BJ148" s="599"/>
      <c r="BK148" s="599"/>
      <c r="BL148" s="599"/>
      <c r="BM148" s="599"/>
      <c r="BN148" s="599"/>
      <c r="BO148" s="599"/>
      <c r="BP148" s="598"/>
      <c r="BQ148" s="599"/>
      <c r="BR148" s="599"/>
      <c r="BS148" s="599"/>
      <c r="BT148" s="599"/>
      <c r="BU148" s="599"/>
      <c r="BV148" s="599"/>
      <c r="BW148" s="599"/>
      <c r="BX148" s="599"/>
      <c r="BY148" s="599"/>
      <c r="BZ148" s="599"/>
      <c r="CA148" s="599"/>
      <c r="CB148" s="599"/>
      <c r="CC148" s="599">
        <v>7.7000000000000002E-3</v>
      </c>
    </row>
    <row r="149" spans="58:81" x14ac:dyDescent="0.2">
      <c r="BF149" s="597"/>
      <c r="BG149" s="598"/>
      <c r="BH149" s="599"/>
      <c r="BI149" s="599"/>
      <c r="BJ149" s="599"/>
      <c r="BK149" s="599"/>
      <c r="BL149" s="599"/>
      <c r="BM149" s="599"/>
      <c r="BN149" s="599"/>
      <c r="BO149" s="599"/>
      <c r="BP149" s="598"/>
      <c r="BQ149" s="599"/>
      <c r="BR149" s="599"/>
      <c r="BS149" s="599"/>
      <c r="BT149" s="599"/>
      <c r="BU149" s="599"/>
      <c r="BV149" s="599"/>
      <c r="BW149" s="599"/>
      <c r="BX149" s="599"/>
      <c r="BY149" s="599"/>
      <c r="BZ149" s="599"/>
      <c r="CA149" s="599"/>
      <c r="CB149" s="599"/>
      <c r="CC149" s="599">
        <v>7.7000000000000002E-3</v>
      </c>
    </row>
    <row r="150" spans="58:81" x14ac:dyDescent="0.2">
      <c r="BF150" s="597"/>
      <c r="BG150" s="598"/>
      <c r="BH150" s="599"/>
      <c r="BI150" s="599"/>
      <c r="BJ150" s="599"/>
      <c r="BK150" s="599"/>
      <c r="BL150" s="599"/>
      <c r="BM150" s="599"/>
      <c r="BN150" s="599"/>
      <c r="BO150" s="599"/>
      <c r="BP150" s="598"/>
      <c r="BQ150" s="599"/>
      <c r="BR150" s="599"/>
      <c r="BS150" s="599"/>
      <c r="BT150" s="599"/>
      <c r="BU150" s="599"/>
      <c r="BV150" s="599"/>
      <c r="BW150" s="599"/>
      <c r="BX150" s="599"/>
      <c r="BY150" s="599"/>
      <c r="BZ150" s="599"/>
      <c r="CA150" s="599"/>
      <c r="CB150" s="599"/>
      <c r="CC150" s="599">
        <v>4.4000000000000003E-3</v>
      </c>
    </row>
    <row r="151" spans="58:81" x14ac:dyDescent="0.2">
      <c r="BF151" s="597"/>
      <c r="BG151" s="598"/>
      <c r="BH151" s="599"/>
      <c r="BI151" s="599"/>
      <c r="BJ151" s="599"/>
      <c r="BK151" s="599"/>
      <c r="BL151" s="599"/>
      <c r="BM151" s="599"/>
      <c r="BN151" s="599"/>
      <c r="BO151" s="599"/>
      <c r="BP151" s="598"/>
      <c r="BQ151" s="599"/>
      <c r="BR151" s="599"/>
      <c r="BS151" s="599"/>
      <c r="BT151" s="599"/>
      <c r="BU151" s="599"/>
      <c r="BV151" s="599"/>
      <c r="BW151" s="599"/>
      <c r="BX151" s="599"/>
      <c r="BY151" s="599"/>
      <c r="BZ151" s="599"/>
      <c r="CA151" s="599"/>
      <c r="CB151" s="599"/>
      <c r="CC151" s="599">
        <v>2.07E-2</v>
      </c>
    </row>
    <row r="152" spans="58:81" x14ac:dyDescent="0.2">
      <c r="BF152" s="597"/>
      <c r="BG152" s="598"/>
      <c r="BH152" s="599"/>
      <c r="BI152" s="599"/>
      <c r="BJ152" s="599"/>
      <c r="BK152" s="599"/>
      <c r="BL152" s="599"/>
      <c r="BM152" s="599"/>
      <c r="BN152" s="599"/>
      <c r="BO152" s="599"/>
      <c r="BP152" s="598"/>
      <c r="BQ152" s="599"/>
      <c r="BR152" s="599"/>
      <c r="BS152" s="599"/>
      <c r="BT152" s="599"/>
      <c r="BU152" s="599"/>
      <c r="BV152" s="599"/>
      <c r="BW152" s="599"/>
      <c r="BX152" s="599"/>
      <c r="BY152" s="599"/>
      <c r="BZ152" s="599"/>
      <c r="CA152" s="599"/>
      <c r="CB152" s="599"/>
      <c r="CC152" s="599">
        <v>8.6E-3</v>
      </c>
    </row>
    <row r="153" spans="58:81" x14ac:dyDescent="0.2">
      <c r="BF153" s="597"/>
      <c r="BG153" s="598"/>
      <c r="BH153" s="599"/>
      <c r="BI153" s="599"/>
      <c r="BJ153" s="599"/>
      <c r="BK153" s="599"/>
      <c r="BL153" s="599"/>
      <c r="BM153" s="599"/>
      <c r="BN153" s="599"/>
      <c r="BO153" s="599"/>
      <c r="BP153" s="598"/>
      <c r="BQ153" s="599"/>
      <c r="BR153" s="599"/>
      <c r="BS153" s="599"/>
      <c r="BT153" s="599"/>
      <c r="BU153" s="599"/>
      <c r="BV153" s="599"/>
      <c r="BW153" s="599"/>
      <c r="BX153" s="599"/>
      <c r="BY153" s="599"/>
      <c r="BZ153" s="599"/>
      <c r="CA153" s="599"/>
      <c r="CB153" s="599"/>
      <c r="CC153" s="599">
        <v>2.87E-2</v>
      </c>
    </row>
    <row r="154" spans="58:81" x14ac:dyDescent="0.2">
      <c r="BF154" s="597"/>
      <c r="BG154" s="598"/>
      <c r="BH154" s="599"/>
      <c r="BI154" s="599"/>
      <c r="BJ154" s="599"/>
      <c r="BK154" s="599"/>
      <c r="BL154" s="599"/>
      <c r="BM154" s="599"/>
      <c r="BN154" s="599"/>
      <c r="BO154" s="599"/>
      <c r="BP154" s="598"/>
      <c r="BQ154" s="599"/>
      <c r="BR154" s="599"/>
      <c r="BS154" s="599"/>
      <c r="BT154" s="599"/>
      <c r="BU154" s="599"/>
      <c r="BV154" s="599"/>
      <c r="BW154" s="599"/>
      <c r="BX154" s="599"/>
      <c r="BY154" s="599"/>
      <c r="BZ154" s="599"/>
      <c r="CA154" s="599"/>
      <c r="CB154" s="599"/>
      <c r="CC154" s="599">
        <v>4.8999999999999998E-3</v>
      </c>
    </row>
    <row r="155" spans="58:81" x14ac:dyDescent="0.2">
      <c r="BF155" s="597"/>
      <c r="BG155" s="598"/>
      <c r="BH155" s="599"/>
      <c r="BI155" s="599"/>
      <c r="BJ155" s="599"/>
      <c r="BK155" s="599"/>
      <c r="BL155" s="599"/>
      <c r="BM155" s="599"/>
      <c r="BN155" s="599"/>
      <c r="BO155" s="599"/>
      <c r="BP155" s="598"/>
      <c r="BQ155" s="599"/>
      <c r="BR155" s="599"/>
      <c r="BS155" s="599"/>
      <c r="BT155" s="599"/>
      <c r="BU155" s="599"/>
      <c r="BV155" s="599"/>
      <c r="BW155" s="599"/>
      <c r="BX155" s="599"/>
      <c r="BY155" s="599"/>
      <c r="BZ155" s="599"/>
      <c r="CA155" s="599"/>
      <c r="CB155" s="599"/>
      <c r="CC155" s="599">
        <v>4.8999999999999998E-3</v>
      </c>
    </row>
    <row r="156" spans="58:81" x14ac:dyDescent="0.2">
      <c r="BF156" s="597"/>
      <c r="BG156" s="598"/>
      <c r="BH156" s="599"/>
      <c r="BI156" s="599"/>
      <c r="BJ156" s="599"/>
      <c r="BK156" s="599"/>
      <c r="BL156" s="599"/>
      <c r="BM156" s="599"/>
      <c r="BN156" s="599"/>
      <c r="BO156" s="599"/>
      <c r="BP156" s="598"/>
      <c r="BQ156" s="599"/>
      <c r="BR156" s="599"/>
      <c r="BS156" s="599"/>
      <c r="BT156" s="599"/>
      <c r="BU156" s="599"/>
      <c r="BV156" s="599"/>
      <c r="BW156" s="599"/>
      <c r="BX156" s="599"/>
      <c r="BY156" s="599"/>
      <c r="BZ156" s="599"/>
      <c r="CA156" s="599"/>
      <c r="CB156" s="599"/>
      <c r="CC156" s="599">
        <v>4.8999999999999998E-3</v>
      </c>
    </row>
    <row r="157" spans="58:81" x14ac:dyDescent="0.2">
      <c r="BF157" s="597"/>
      <c r="BG157" s="598"/>
      <c r="BH157" s="599"/>
      <c r="BI157" s="599"/>
      <c r="BJ157" s="599"/>
      <c r="BK157" s="599"/>
      <c r="BL157" s="599"/>
      <c r="BM157" s="599"/>
      <c r="BN157" s="599"/>
      <c r="BO157" s="599"/>
      <c r="BP157" s="598"/>
      <c r="BQ157" s="599"/>
      <c r="BR157" s="599"/>
      <c r="BS157" s="599"/>
      <c r="BT157" s="599"/>
      <c r="BU157" s="599"/>
      <c r="BV157" s="599"/>
      <c r="BW157" s="599"/>
      <c r="BX157" s="599"/>
      <c r="BY157" s="599"/>
      <c r="BZ157" s="599"/>
      <c r="CA157" s="599"/>
      <c r="CB157" s="599"/>
      <c r="CC157" s="599">
        <v>3.8E-3</v>
      </c>
    </row>
    <row r="158" spans="58:81" x14ac:dyDescent="0.2">
      <c r="BF158" s="597"/>
      <c r="BG158" s="598"/>
      <c r="BH158" s="599"/>
      <c r="BI158" s="599"/>
      <c r="BJ158" s="599"/>
      <c r="BK158" s="599"/>
      <c r="BL158" s="599"/>
      <c r="BM158" s="599"/>
      <c r="BN158" s="599"/>
      <c r="BO158" s="599"/>
      <c r="BP158" s="598"/>
      <c r="BQ158" s="599"/>
      <c r="BR158" s="599"/>
      <c r="BS158" s="599"/>
      <c r="BT158" s="599"/>
      <c r="BU158" s="599"/>
      <c r="BV158" s="599"/>
      <c r="BW158" s="599"/>
      <c r="BX158" s="599"/>
      <c r="BY158" s="599"/>
      <c r="BZ158" s="599"/>
      <c r="CA158" s="599"/>
      <c r="CB158" s="599"/>
      <c r="CC158" s="599">
        <v>3.8E-3</v>
      </c>
    </row>
    <row r="159" spans="58:81" x14ac:dyDescent="0.2">
      <c r="BF159" s="597"/>
      <c r="BG159" s="598"/>
      <c r="BH159" s="599"/>
      <c r="BI159" s="599"/>
      <c r="BJ159" s="599"/>
      <c r="BK159" s="599"/>
      <c r="BL159" s="599"/>
      <c r="BM159" s="599"/>
      <c r="BN159" s="599"/>
      <c r="BO159" s="599"/>
      <c r="BP159" s="598"/>
      <c r="BQ159" s="599"/>
      <c r="BR159" s="599"/>
      <c r="BS159" s="599"/>
      <c r="BT159" s="599"/>
      <c r="BU159" s="599"/>
      <c r="BV159" s="599"/>
      <c r="BW159" s="599"/>
      <c r="BX159" s="599"/>
      <c r="BY159" s="599"/>
      <c r="BZ159" s="599"/>
      <c r="CA159" s="599"/>
      <c r="CB159" s="599"/>
      <c r="CC159" s="599">
        <v>6.0000000000000001E-3</v>
      </c>
    </row>
    <row r="160" spans="58:81" x14ac:dyDescent="0.2">
      <c r="BF160" s="597"/>
      <c r="BG160" s="598"/>
      <c r="BH160" s="599"/>
      <c r="BI160" s="599"/>
      <c r="BJ160" s="599"/>
      <c r="BK160" s="599"/>
      <c r="BL160" s="599"/>
      <c r="BM160" s="599"/>
      <c r="BN160" s="599"/>
      <c r="BO160" s="599"/>
      <c r="BP160" s="598"/>
      <c r="BQ160" s="599"/>
      <c r="BR160" s="599"/>
      <c r="BS160" s="599"/>
      <c r="BT160" s="599"/>
      <c r="BU160" s="599"/>
      <c r="BV160" s="599"/>
      <c r="BW160" s="599"/>
      <c r="BX160" s="599"/>
      <c r="BY160" s="599"/>
      <c r="BZ160" s="599"/>
      <c r="CA160" s="599"/>
      <c r="CB160" s="599"/>
      <c r="CC160" s="599">
        <v>1.7999999999999999E-2</v>
      </c>
    </row>
    <row r="161" spans="58:81" x14ac:dyDescent="0.2">
      <c r="BF161" s="597"/>
      <c r="BG161" s="598"/>
      <c r="BH161" s="599"/>
      <c r="BI161" s="599"/>
      <c r="BJ161" s="599"/>
      <c r="BK161" s="599"/>
      <c r="BL161" s="599"/>
      <c r="BM161" s="599"/>
      <c r="BN161" s="599"/>
      <c r="BO161" s="599"/>
      <c r="BP161" s="598"/>
      <c r="BQ161" s="599"/>
      <c r="BR161" s="599"/>
      <c r="BS161" s="599"/>
      <c r="BT161" s="599"/>
      <c r="BU161" s="599"/>
      <c r="BV161" s="599"/>
      <c r="BW161" s="599"/>
      <c r="BX161" s="599"/>
      <c r="BY161" s="599"/>
      <c r="BZ161" s="599"/>
      <c r="CA161" s="599"/>
      <c r="CB161" s="599"/>
      <c r="CC161" s="599">
        <v>1.03E-2</v>
      </c>
    </row>
    <row r="162" spans="58:81" x14ac:dyDescent="0.2">
      <c r="BF162" s="597"/>
      <c r="BG162" s="598"/>
      <c r="BH162" s="599"/>
      <c r="BI162" s="599"/>
      <c r="BJ162" s="599"/>
      <c r="BK162" s="599"/>
      <c r="BL162" s="599"/>
      <c r="BM162" s="599"/>
      <c r="BN162" s="599"/>
      <c r="BO162" s="599"/>
      <c r="BP162" s="598"/>
      <c r="BQ162" s="599"/>
      <c r="BR162" s="599"/>
      <c r="BS162" s="599"/>
      <c r="BT162" s="599"/>
      <c r="BU162" s="599"/>
      <c r="BV162" s="599"/>
      <c r="BW162" s="599"/>
      <c r="BX162" s="599"/>
      <c r="BY162" s="599"/>
      <c r="BZ162" s="599"/>
      <c r="CA162" s="599"/>
      <c r="CB162" s="599"/>
      <c r="CC162" s="599">
        <v>5.4999999999999997E-3</v>
      </c>
    </row>
    <row r="163" spans="58:81" x14ac:dyDescent="0.2">
      <c r="BF163" s="597"/>
      <c r="BG163" s="598"/>
      <c r="BH163" s="599"/>
      <c r="BI163" s="599"/>
      <c r="BJ163" s="599"/>
      <c r="BK163" s="599"/>
      <c r="BL163" s="599"/>
      <c r="BM163" s="599"/>
      <c r="BN163" s="599"/>
      <c r="BO163" s="599"/>
      <c r="BP163" s="598"/>
      <c r="BQ163" s="599"/>
      <c r="BR163" s="599"/>
      <c r="BS163" s="599"/>
      <c r="BT163" s="599"/>
      <c r="BU163" s="599"/>
      <c r="BV163" s="599"/>
      <c r="BW163" s="599"/>
      <c r="BX163" s="599"/>
      <c r="BY163" s="599"/>
      <c r="BZ163" s="599"/>
      <c r="CA163" s="599"/>
      <c r="CB163" s="599"/>
      <c r="CC163" s="599">
        <v>6.1000000000000004E-3</v>
      </c>
    </row>
    <row r="164" spans="58:81" x14ac:dyDescent="0.2">
      <c r="BF164" s="597"/>
      <c r="BG164" s="598"/>
      <c r="BH164" s="599"/>
      <c r="BI164" s="599"/>
      <c r="BJ164" s="599"/>
      <c r="BK164" s="599"/>
      <c r="BL164" s="599"/>
      <c r="BM164" s="599"/>
      <c r="BN164" s="599"/>
      <c r="BO164" s="599"/>
      <c r="BP164" s="598"/>
      <c r="BQ164" s="599"/>
      <c r="BR164" s="599"/>
      <c r="BS164" s="599"/>
      <c r="BT164" s="599"/>
      <c r="BU164" s="599"/>
      <c r="BV164" s="599"/>
      <c r="BW164" s="599"/>
      <c r="BX164" s="599"/>
      <c r="BY164" s="599"/>
      <c r="BZ164" s="599"/>
      <c r="CA164" s="599"/>
      <c r="CB164" s="599"/>
      <c r="CC164" s="599">
        <v>2.0999999999999999E-3</v>
      </c>
    </row>
    <row r="165" spans="58:81" x14ac:dyDescent="0.2">
      <c r="BF165" s="597"/>
      <c r="BG165" s="598"/>
      <c r="BH165" s="599"/>
      <c r="BI165" s="599"/>
      <c r="BJ165" s="599"/>
      <c r="BK165" s="599"/>
      <c r="BL165" s="599"/>
      <c r="BM165" s="599"/>
      <c r="BN165" s="599"/>
      <c r="BO165" s="599"/>
      <c r="BP165" s="598"/>
      <c r="BQ165" s="599"/>
      <c r="BR165" s="599"/>
      <c r="BS165" s="599"/>
      <c r="BT165" s="599"/>
      <c r="BU165" s="599"/>
      <c r="BV165" s="599"/>
      <c r="BW165" s="599"/>
      <c r="BX165" s="599"/>
      <c r="BY165" s="599"/>
      <c r="BZ165" s="599"/>
      <c r="CA165" s="599"/>
      <c r="CB165" s="599"/>
      <c r="CC165" s="599">
        <v>2.6499999999999999E-2</v>
      </c>
    </row>
    <row r="166" spans="58:81" x14ac:dyDescent="0.2">
      <c r="BF166" s="597"/>
      <c r="BG166" s="598"/>
      <c r="BH166" s="599"/>
      <c r="BI166" s="599"/>
      <c r="BJ166" s="599"/>
      <c r="BK166" s="599"/>
      <c r="BL166" s="599"/>
      <c r="BM166" s="599"/>
      <c r="BN166" s="599"/>
      <c r="BO166" s="599"/>
      <c r="BP166" s="598"/>
      <c r="BQ166" s="599"/>
      <c r="BR166" s="599"/>
      <c r="BS166" s="599"/>
      <c r="BT166" s="599"/>
      <c r="BU166" s="599"/>
      <c r="BV166" s="599"/>
      <c r="BW166" s="599"/>
      <c r="BX166" s="599"/>
      <c r="BY166" s="599"/>
      <c r="BZ166" s="599"/>
      <c r="CA166" s="599"/>
      <c r="CB166" s="599"/>
      <c r="CC166" s="599">
        <v>9.1999999999999998E-3</v>
      </c>
    </row>
    <row r="167" spans="58:81" x14ac:dyDescent="0.2">
      <c r="BF167" s="597"/>
      <c r="BG167" s="598"/>
      <c r="BH167" s="599"/>
      <c r="BI167" s="599"/>
      <c r="BJ167" s="599"/>
      <c r="BK167" s="599"/>
      <c r="BL167" s="599"/>
      <c r="BM167" s="599"/>
      <c r="BN167" s="599"/>
      <c r="BO167" s="599"/>
      <c r="BP167" s="598"/>
      <c r="BQ167" s="599"/>
      <c r="BR167" s="599"/>
      <c r="BS167" s="599"/>
      <c r="BT167" s="599"/>
      <c r="BU167" s="599"/>
      <c r="BV167" s="599"/>
      <c r="BW167" s="599"/>
      <c r="BX167" s="599"/>
      <c r="BY167" s="599"/>
      <c r="BZ167" s="599"/>
      <c r="CA167" s="599"/>
      <c r="CB167" s="599"/>
      <c r="CC167" s="599">
        <v>9.1999999999999998E-3</v>
      </c>
    </row>
    <row r="168" spans="58:81" x14ac:dyDescent="0.2">
      <c r="BF168" s="597"/>
      <c r="BG168" s="598"/>
      <c r="BH168" s="599"/>
      <c r="BI168" s="599"/>
      <c r="BJ168" s="599"/>
      <c r="BK168" s="599"/>
      <c r="BL168" s="599"/>
      <c r="BM168" s="599"/>
      <c r="BN168" s="599"/>
      <c r="BO168" s="599"/>
      <c r="BP168" s="598"/>
      <c r="BQ168" s="599"/>
      <c r="BR168" s="599"/>
      <c r="BS168" s="599"/>
      <c r="BT168" s="599"/>
      <c r="BU168" s="599"/>
      <c r="BV168" s="599"/>
      <c r="BW168" s="599"/>
      <c r="BX168" s="599"/>
      <c r="BY168" s="599"/>
      <c r="BZ168" s="599"/>
      <c r="CA168" s="599"/>
      <c r="CB168" s="599"/>
      <c r="CC168" s="599">
        <v>8.3000000000000001E-3</v>
      </c>
    </row>
    <row r="169" spans="58:81" x14ac:dyDescent="0.2">
      <c r="BF169" s="597"/>
      <c r="BG169" s="598"/>
      <c r="BH169" s="599"/>
      <c r="BI169" s="599"/>
      <c r="BJ169" s="599"/>
      <c r="BK169" s="599"/>
      <c r="BL169" s="599"/>
      <c r="BM169" s="599"/>
      <c r="BN169" s="599"/>
      <c r="BO169" s="599"/>
      <c r="BP169" s="598"/>
      <c r="BQ169" s="599"/>
      <c r="BR169" s="599"/>
      <c r="BS169" s="599"/>
      <c r="BT169" s="599"/>
      <c r="BU169" s="599"/>
      <c r="BV169" s="599"/>
      <c r="BW169" s="599"/>
      <c r="BX169" s="599"/>
      <c r="BY169" s="599"/>
      <c r="BZ169" s="599"/>
      <c r="CA169" s="599"/>
      <c r="CB169" s="599"/>
      <c r="CC169" s="599">
        <v>8.3000000000000001E-3</v>
      </c>
    </row>
    <row r="170" spans="58:81" x14ac:dyDescent="0.2">
      <c r="BF170" s="597"/>
      <c r="BG170" s="598"/>
      <c r="BH170" s="599"/>
      <c r="BI170" s="599"/>
      <c r="BJ170" s="599"/>
      <c r="BK170" s="599"/>
      <c r="BL170" s="599"/>
      <c r="BM170" s="599"/>
      <c r="BN170" s="599"/>
      <c r="BO170" s="599"/>
      <c r="BP170" s="598"/>
      <c r="BQ170" s="599"/>
      <c r="BR170" s="599"/>
      <c r="BS170" s="599"/>
      <c r="BT170" s="599"/>
      <c r="BU170" s="599"/>
      <c r="BV170" s="599"/>
      <c r="BW170" s="599"/>
      <c r="BX170" s="599"/>
      <c r="BY170" s="599"/>
      <c r="BZ170" s="599"/>
      <c r="CA170" s="599"/>
      <c r="CB170" s="599"/>
      <c r="CC170" s="599">
        <v>8.3000000000000001E-3</v>
      </c>
    </row>
    <row r="171" spans="58:81" x14ac:dyDescent="0.2">
      <c r="BF171" s="597"/>
      <c r="BG171" s="598"/>
      <c r="BH171" s="599"/>
      <c r="BI171" s="599"/>
      <c r="BJ171" s="599"/>
      <c r="BK171" s="599"/>
      <c r="BL171" s="599"/>
      <c r="BM171" s="599"/>
      <c r="BN171" s="599"/>
      <c r="BO171" s="599"/>
      <c r="BP171" s="598"/>
      <c r="BQ171" s="599"/>
      <c r="BR171" s="599"/>
      <c r="BS171" s="599"/>
      <c r="BT171" s="599"/>
      <c r="BU171" s="599"/>
      <c r="BV171" s="599"/>
      <c r="BW171" s="599"/>
      <c r="BX171" s="599"/>
      <c r="BY171" s="599"/>
      <c r="BZ171" s="599"/>
      <c r="CA171" s="599"/>
      <c r="CB171" s="599"/>
      <c r="CC171" s="599">
        <v>3.0000000000000001E-3</v>
      </c>
    </row>
    <row r="172" spans="58:81" x14ac:dyDescent="0.2">
      <c r="BF172" s="597"/>
      <c r="BG172" s="598"/>
      <c r="BH172" s="599"/>
      <c r="BI172" s="599"/>
      <c r="BJ172" s="599"/>
      <c r="BK172" s="599"/>
      <c r="BL172" s="599"/>
      <c r="BM172" s="599"/>
      <c r="BN172" s="599"/>
      <c r="BO172" s="599"/>
      <c r="BP172" s="598"/>
      <c r="BQ172" s="599"/>
      <c r="BR172" s="599"/>
      <c r="BS172" s="599"/>
      <c r="BT172" s="599"/>
      <c r="BU172" s="599"/>
      <c r="BV172" s="599"/>
      <c r="BW172" s="599"/>
      <c r="BX172" s="599"/>
      <c r="BY172" s="599"/>
      <c r="BZ172" s="599"/>
      <c r="CA172" s="599"/>
      <c r="CB172" s="599"/>
      <c r="CC172" s="599">
        <v>3.8E-3</v>
      </c>
    </row>
    <row r="173" spans="58:81" x14ac:dyDescent="0.2">
      <c r="BF173" s="597"/>
      <c r="BG173" s="598"/>
      <c r="BH173" s="599"/>
      <c r="BI173" s="599"/>
      <c r="BJ173" s="599"/>
      <c r="BK173" s="599"/>
      <c r="BL173" s="599"/>
      <c r="BM173" s="599"/>
      <c r="BN173" s="599"/>
      <c r="BO173" s="599"/>
      <c r="BP173" s="598"/>
      <c r="BQ173" s="599"/>
      <c r="BR173" s="599"/>
      <c r="BS173" s="599"/>
      <c r="BT173" s="599"/>
      <c r="BU173" s="599"/>
      <c r="BV173" s="599"/>
      <c r="BW173" s="599"/>
      <c r="BX173" s="599"/>
      <c r="BY173" s="599"/>
      <c r="BZ173" s="599"/>
      <c r="CA173" s="599"/>
      <c r="CB173" s="599"/>
      <c r="CC173" s="599">
        <v>3.8E-3</v>
      </c>
    </row>
    <row r="174" spans="58:81" x14ac:dyDescent="0.2">
      <c r="BF174" s="597"/>
      <c r="BG174" s="598"/>
      <c r="BH174" s="599"/>
      <c r="BI174" s="599"/>
      <c r="BJ174" s="599"/>
      <c r="BK174" s="599"/>
      <c r="BL174" s="599"/>
      <c r="BM174" s="599"/>
      <c r="BN174" s="599"/>
      <c r="BO174" s="599"/>
      <c r="BP174" s="598"/>
      <c r="BQ174" s="599"/>
      <c r="BR174" s="599"/>
      <c r="BS174" s="599"/>
      <c r="BT174" s="599"/>
      <c r="BU174" s="599"/>
      <c r="BV174" s="599"/>
      <c r="BW174" s="599"/>
      <c r="BX174" s="599"/>
      <c r="BY174" s="599"/>
      <c r="BZ174" s="599"/>
      <c r="CA174" s="599"/>
      <c r="CB174" s="599"/>
      <c r="CC174" s="599">
        <v>3.8E-3</v>
      </c>
    </row>
    <row r="175" spans="58:81" x14ac:dyDescent="0.2">
      <c r="BF175" s="597"/>
      <c r="BG175" s="598"/>
      <c r="BH175" s="599"/>
      <c r="BI175" s="599"/>
      <c r="BJ175" s="599"/>
      <c r="BK175" s="599"/>
      <c r="BL175" s="599"/>
      <c r="BM175" s="599"/>
      <c r="BN175" s="599"/>
      <c r="BO175" s="599"/>
      <c r="BP175" s="598"/>
      <c r="BQ175" s="599"/>
      <c r="BR175" s="599"/>
      <c r="BS175" s="599"/>
      <c r="BT175" s="599"/>
      <c r="BU175" s="599"/>
      <c r="BV175" s="599"/>
      <c r="BW175" s="599"/>
      <c r="BX175" s="599"/>
      <c r="BY175" s="599"/>
      <c r="BZ175" s="599"/>
      <c r="CA175" s="599"/>
      <c r="CB175" s="599"/>
      <c r="CC175" s="599">
        <v>9.2999999999999992E-3</v>
      </c>
    </row>
    <row r="176" spans="58:81" x14ac:dyDescent="0.2">
      <c r="BF176" s="597"/>
      <c r="BG176" s="598"/>
      <c r="BH176" s="599"/>
      <c r="BI176" s="599"/>
      <c r="BJ176" s="599"/>
      <c r="BK176" s="599"/>
      <c r="BL176" s="599"/>
      <c r="BM176" s="599"/>
      <c r="BN176" s="599"/>
      <c r="BO176" s="599"/>
      <c r="BP176" s="598"/>
      <c r="BQ176" s="599"/>
      <c r="BR176" s="599"/>
      <c r="BS176" s="599"/>
      <c r="BT176" s="599"/>
      <c r="BU176" s="599"/>
      <c r="BV176" s="599"/>
      <c r="BW176" s="599"/>
      <c r="BX176" s="599"/>
      <c r="BY176" s="599"/>
      <c r="BZ176" s="599"/>
      <c r="CA176" s="599"/>
      <c r="CB176" s="599"/>
      <c r="CC176" s="599">
        <v>7.7000000000000002E-3</v>
      </c>
    </row>
    <row r="177" spans="58:81" x14ac:dyDescent="0.2">
      <c r="BF177" s="597"/>
      <c r="BG177" s="598"/>
      <c r="BH177" s="599"/>
      <c r="BI177" s="599"/>
      <c r="BJ177" s="599"/>
      <c r="BK177" s="599"/>
      <c r="BL177" s="599"/>
      <c r="BM177" s="599"/>
      <c r="BN177" s="599"/>
      <c r="BO177" s="599"/>
      <c r="BP177" s="598"/>
      <c r="BQ177" s="599"/>
      <c r="BR177" s="599"/>
      <c r="BS177" s="599"/>
      <c r="BT177" s="599"/>
      <c r="BU177" s="599"/>
      <c r="BV177" s="599"/>
      <c r="BW177" s="599"/>
      <c r="BX177" s="599"/>
      <c r="BY177" s="599"/>
      <c r="BZ177" s="599"/>
      <c r="CA177" s="599"/>
      <c r="CB177" s="599"/>
      <c r="CC177" s="599">
        <v>4.8999999999999998E-3</v>
      </c>
    </row>
    <row r="178" spans="58:81" x14ac:dyDescent="0.2">
      <c r="BF178" s="597"/>
      <c r="BG178" s="598"/>
      <c r="BH178" s="599"/>
      <c r="BI178" s="599"/>
      <c r="BJ178" s="599"/>
      <c r="BK178" s="599"/>
      <c r="BL178" s="599"/>
      <c r="BM178" s="599"/>
      <c r="BN178" s="599"/>
      <c r="BO178" s="599"/>
      <c r="BP178" s="598"/>
      <c r="BQ178" s="599"/>
      <c r="BR178" s="599"/>
      <c r="BS178" s="599"/>
      <c r="BT178" s="599"/>
      <c r="BU178" s="599"/>
      <c r="BV178" s="599"/>
      <c r="BW178" s="599"/>
      <c r="BX178" s="599"/>
      <c r="BY178" s="599"/>
      <c r="BZ178" s="599"/>
      <c r="CA178" s="599"/>
      <c r="CB178" s="599"/>
      <c r="CC178" s="599">
        <v>8.9999999999999993E-3</v>
      </c>
    </row>
    <row r="179" spans="58:81" x14ac:dyDescent="0.2">
      <c r="BF179" s="597"/>
      <c r="BG179" s="598"/>
      <c r="BH179" s="599"/>
      <c r="BI179" s="599"/>
      <c r="BJ179" s="599"/>
      <c r="BK179" s="599"/>
      <c r="BL179" s="599"/>
      <c r="BM179" s="599"/>
      <c r="BN179" s="599"/>
      <c r="BO179" s="599"/>
      <c r="BP179" s="598"/>
      <c r="BQ179" s="599"/>
      <c r="BR179" s="599"/>
      <c r="BS179" s="599"/>
      <c r="BT179" s="599"/>
      <c r="BU179" s="599"/>
      <c r="BV179" s="599"/>
      <c r="BW179" s="599"/>
      <c r="BX179" s="599"/>
      <c r="BY179" s="599"/>
      <c r="BZ179" s="599"/>
      <c r="CA179" s="599"/>
      <c r="CB179" s="599"/>
      <c r="CC179" s="599">
        <v>2.6100000000000002E-2</v>
      </c>
    </row>
    <row r="180" spans="58:81" x14ac:dyDescent="0.2">
      <c r="BF180" s="597"/>
      <c r="BG180" s="598"/>
      <c r="BH180" s="599"/>
      <c r="BI180" s="599"/>
      <c r="BJ180" s="599"/>
      <c r="BK180" s="599"/>
      <c r="BL180" s="599"/>
      <c r="BM180" s="599"/>
      <c r="BN180" s="599"/>
      <c r="BO180" s="599"/>
      <c r="BP180" s="598"/>
      <c r="BQ180" s="599"/>
      <c r="BR180" s="599"/>
      <c r="BS180" s="599"/>
      <c r="BT180" s="599"/>
      <c r="BU180" s="599"/>
      <c r="BV180" s="599"/>
      <c r="BW180" s="599"/>
      <c r="BX180" s="599"/>
      <c r="BY180" s="599"/>
      <c r="BZ180" s="599"/>
      <c r="CA180" s="599"/>
      <c r="CB180" s="599"/>
      <c r="CC180" s="599">
        <v>2.6100000000000002E-2</v>
      </c>
    </row>
    <row r="181" spans="58:81" x14ac:dyDescent="0.2">
      <c r="BF181" s="597"/>
      <c r="BG181" s="598"/>
      <c r="BH181" s="599"/>
      <c r="BI181" s="599"/>
      <c r="BJ181" s="599"/>
      <c r="BK181" s="599"/>
      <c r="BL181" s="599"/>
      <c r="BM181" s="599"/>
      <c r="BN181" s="599"/>
      <c r="BO181" s="599"/>
      <c r="BP181" s="598"/>
      <c r="BQ181" s="599"/>
      <c r="BR181" s="599"/>
      <c r="BS181" s="599"/>
      <c r="BT181" s="599"/>
      <c r="BU181" s="599"/>
      <c r="BV181" s="599"/>
      <c r="BW181" s="599"/>
      <c r="BX181" s="599"/>
      <c r="BY181" s="599"/>
      <c r="BZ181" s="599"/>
      <c r="CA181" s="599"/>
      <c r="CB181" s="599"/>
      <c r="CC181" s="599">
        <v>5.5500000000000001E-2</v>
      </c>
    </row>
    <row r="182" spans="58:81" x14ac:dyDescent="0.2">
      <c r="BF182" s="597"/>
      <c r="BG182" s="598"/>
      <c r="BH182" s="599"/>
      <c r="BI182" s="599"/>
      <c r="BJ182" s="599"/>
      <c r="BK182" s="599"/>
      <c r="BL182" s="599"/>
      <c r="BM182" s="599"/>
      <c r="BN182" s="599"/>
      <c r="BO182" s="599"/>
      <c r="BP182" s="598"/>
      <c r="BQ182" s="599"/>
      <c r="BR182" s="599"/>
      <c r="BS182" s="599"/>
      <c r="BT182" s="599"/>
      <c r="BU182" s="599"/>
      <c r="BV182" s="599"/>
      <c r="BW182" s="599"/>
      <c r="BX182" s="599"/>
      <c r="BY182" s="599"/>
      <c r="BZ182" s="599"/>
      <c r="CA182" s="599"/>
      <c r="CB182" s="599"/>
      <c r="CC182" s="599">
        <v>1.9699999999999999E-2</v>
      </c>
    </row>
    <row r="183" spans="58:81" x14ac:dyDescent="0.2">
      <c r="BF183" s="597"/>
      <c r="BG183" s="598"/>
      <c r="BH183" s="599"/>
      <c r="BI183" s="599"/>
      <c r="BJ183" s="599"/>
      <c r="BK183" s="599"/>
      <c r="BL183" s="599"/>
      <c r="BM183" s="599"/>
      <c r="BN183" s="599"/>
      <c r="BO183" s="599"/>
      <c r="BP183" s="598"/>
      <c r="BQ183" s="599"/>
      <c r="BR183" s="599"/>
      <c r="BS183" s="599"/>
      <c r="BT183" s="599"/>
      <c r="BU183" s="599"/>
      <c r="BV183" s="599"/>
      <c r="BW183" s="599"/>
      <c r="BX183" s="599"/>
      <c r="BY183" s="599"/>
      <c r="BZ183" s="599"/>
      <c r="CA183" s="599"/>
      <c r="CB183" s="599"/>
      <c r="CC183" s="599">
        <v>1.9699999999999999E-2</v>
      </c>
    </row>
    <row r="184" spans="58:81" x14ac:dyDescent="0.2">
      <c r="BF184" s="597"/>
      <c r="BG184" s="598"/>
      <c r="BH184" s="599"/>
      <c r="BI184" s="599"/>
      <c r="BJ184" s="599"/>
      <c r="BK184" s="599"/>
      <c r="BL184" s="599"/>
      <c r="BM184" s="599"/>
      <c r="BN184" s="599"/>
      <c r="BO184" s="599"/>
      <c r="BP184" s="598"/>
      <c r="BQ184" s="599"/>
      <c r="BR184" s="599"/>
      <c r="BS184" s="599"/>
      <c r="BT184" s="599"/>
      <c r="BU184" s="599"/>
      <c r="BV184" s="599"/>
      <c r="BW184" s="599"/>
      <c r="BX184" s="599"/>
      <c r="BY184" s="599"/>
      <c r="BZ184" s="599"/>
      <c r="CA184" s="599"/>
      <c r="CB184" s="599"/>
      <c r="CC184" s="599">
        <v>1.7000000000000001E-2</v>
      </c>
    </row>
    <row r="185" spans="58:81" x14ac:dyDescent="0.2">
      <c r="BF185" s="597"/>
      <c r="BG185" s="598"/>
      <c r="BH185" s="599"/>
      <c r="BI185" s="599"/>
      <c r="BJ185" s="599"/>
      <c r="BK185" s="599"/>
      <c r="BL185" s="599"/>
      <c r="BM185" s="599"/>
      <c r="BN185" s="599"/>
      <c r="BO185" s="599"/>
      <c r="BP185" s="598"/>
      <c r="BQ185" s="599"/>
      <c r="BR185" s="599"/>
      <c r="BS185" s="599"/>
      <c r="BT185" s="599"/>
      <c r="BU185" s="599"/>
      <c r="BV185" s="599"/>
      <c r="BW185" s="599"/>
      <c r="BX185" s="599"/>
      <c r="BY185" s="599"/>
      <c r="BZ185" s="599"/>
      <c r="CA185" s="599"/>
      <c r="CB185" s="599"/>
      <c r="CC185" s="599">
        <v>2.7099999999999999E-2</v>
      </c>
    </row>
    <row r="186" spans="58:81" x14ac:dyDescent="0.2">
      <c r="BF186" s="597"/>
      <c r="BG186" s="598"/>
      <c r="BH186" s="599"/>
      <c r="BI186" s="599"/>
      <c r="BJ186" s="599"/>
      <c r="BK186" s="599"/>
      <c r="BL186" s="599"/>
      <c r="BM186" s="599"/>
      <c r="BN186" s="599"/>
      <c r="BO186" s="599"/>
      <c r="BP186" s="598"/>
      <c r="BQ186" s="599"/>
      <c r="BR186" s="599"/>
      <c r="BS186" s="599"/>
      <c r="BT186" s="599"/>
      <c r="BU186" s="599"/>
      <c r="BV186" s="599"/>
      <c r="BW186" s="599"/>
      <c r="BX186" s="599"/>
      <c r="BY186" s="599"/>
      <c r="BZ186" s="599"/>
      <c r="CA186" s="599"/>
      <c r="CB186" s="599"/>
      <c r="CC186" s="599">
        <v>6.0000000000000001E-3</v>
      </c>
    </row>
    <row r="187" spans="58:81" x14ac:dyDescent="0.2">
      <c r="BF187" s="597"/>
      <c r="BG187" s="598"/>
      <c r="BH187" s="599"/>
      <c r="BI187" s="599"/>
      <c r="BJ187" s="599"/>
      <c r="BK187" s="599"/>
      <c r="BL187" s="599"/>
      <c r="BM187" s="599"/>
      <c r="BN187" s="599"/>
      <c r="BO187" s="599"/>
      <c r="BP187" s="598"/>
      <c r="BQ187" s="599"/>
      <c r="BR187" s="599"/>
      <c r="BS187" s="599"/>
      <c r="BT187" s="599"/>
      <c r="BU187" s="599"/>
      <c r="BV187" s="599"/>
      <c r="BW187" s="599"/>
      <c r="BX187" s="599"/>
      <c r="BY187" s="599"/>
      <c r="BZ187" s="599"/>
      <c r="CA187" s="599"/>
      <c r="CB187" s="599"/>
      <c r="CC187" s="599">
        <v>6.0000000000000001E-3</v>
      </c>
    </row>
    <row r="188" spans="58:81" x14ac:dyDescent="0.2">
      <c r="BF188" s="597"/>
      <c r="BG188" s="598"/>
      <c r="BH188" s="599"/>
      <c r="BI188" s="599"/>
      <c r="BJ188" s="599"/>
      <c r="BK188" s="599"/>
      <c r="BL188" s="599"/>
      <c r="BM188" s="599"/>
      <c r="BN188" s="599"/>
      <c r="BO188" s="599"/>
      <c r="BP188" s="598"/>
      <c r="BQ188" s="599"/>
      <c r="BR188" s="599"/>
      <c r="BS188" s="599"/>
      <c r="BT188" s="599"/>
      <c r="BU188" s="599"/>
      <c r="BV188" s="599"/>
      <c r="BW188" s="599"/>
      <c r="BX188" s="599"/>
      <c r="BY188" s="599"/>
      <c r="BZ188" s="599"/>
      <c r="CA188" s="599"/>
      <c r="CB188" s="599"/>
      <c r="CC188" s="599">
        <v>6.0000000000000001E-3</v>
      </c>
    </row>
    <row r="189" spans="58:81" x14ac:dyDescent="0.2">
      <c r="BF189" s="597"/>
      <c r="BG189" s="598"/>
      <c r="BH189" s="599"/>
      <c r="BI189" s="599"/>
      <c r="BJ189" s="599"/>
      <c r="BK189" s="599"/>
      <c r="BL189" s="599"/>
      <c r="BM189" s="599"/>
      <c r="BN189" s="599"/>
      <c r="BO189" s="599"/>
      <c r="BP189" s="598"/>
      <c r="BQ189" s="599"/>
      <c r="BR189" s="599"/>
      <c r="BS189" s="599"/>
      <c r="BT189" s="599"/>
      <c r="BU189" s="599"/>
      <c r="BV189" s="599"/>
      <c r="BW189" s="599"/>
      <c r="BX189" s="599"/>
      <c r="BY189" s="599"/>
      <c r="BZ189" s="599"/>
      <c r="CA189" s="599"/>
      <c r="CB189" s="599"/>
      <c r="CC189" s="599">
        <v>6.0000000000000001E-3</v>
      </c>
    </row>
    <row r="190" spans="58:81" x14ac:dyDescent="0.2">
      <c r="BF190" s="597"/>
      <c r="BG190" s="598"/>
      <c r="BH190" s="599"/>
      <c r="BI190" s="599"/>
      <c r="BJ190" s="599"/>
      <c r="BK190" s="599"/>
      <c r="BL190" s="599"/>
      <c r="BM190" s="599"/>
      <c r="BN190" s="599"/>
      <c r="BO190" s="599"/>
      <c r="BP190" s="598"/>
      <c r="BQ190" s="599"/>
      <c r="BR190" s="599"/>
      <c r="BS190" s="599"/>
      <c r="BT190" s="599"/>
      <c r="BU190" s="599"/>
      <c r="BV190" s="599"/>
      <c r="BW190" s="599"/>
      <c r="BX190" s="599"/>
      <c r="BY190" s="599"/>
      <c r="BZ190" s="599"/>
      <c r="CA190" s="599"/>
      <c r="CB190" s="599"/>
      <c r="CC190" s="599">
        <v>6.0000000000000001E-3</v>
      </c>
    </row>
    <row r="191" spans="58:81" x14ac:dyDescent="0.2">
      <c r="BF191" s="597"/>
      <c r="BG191" s="598"/>
      <c r="BH191" s="599"/>
      <c r="BI191" s="599"/>
      <c r="BJ191" s="599"/>
      <c r="BK191" s="599"/>
      <c r="BL191" s="599"/>
      <c r="BM191" s="599"/>
      <c r="BN191" s="599"/>
      <c r="BO191" s="599"/>
      <c r="BP191" s="598"/>
      <c r="BQ191" s="599"/>
      <c r="BR191" s="599"/>
      <c r="BS191" s="599"/>
      <c r="BT191" s="599"/>
      <c r="BU191" s="599"/>
      <c r="BV191" s="599"/>
      <c r="BW191" s="599"/>
      <c r="BX191" s="599"/>
      <c r="BY191" s="599"/>
      <c r="BZ191" s="599"/>
      <c r="CA191" s="599"/>
      <c r="CB191" s="599"/>
      <c r="CC191" s="599">
        <v>6.0000000000000001E-3</v>
      </c>
    </row>
    <row r="192" spans="58:81" x14ac:dyDescent="0.2">
      <c r="BF192" s="597"/>
      <c r="BG192" s="598"/>
      <c r="BH192" s="599"/>
      <c r="BI192" s="599"/>
      <c r="BJ192" s="599"/>
      <c r="BK192" s="599"/>
      <c r="BL192" s="599"/>
      <c r="BM192" s="599"/>
      <c r="BN192" s="599"/>
      <c r="BO192" s="599"/>
      <c r="BP192" s="598"/>
      <c r="BQ192" s="599"/>
      <c r="BR192" s="599"/>
      <c r="BS192" s="599"/>
      <c r="BT192" s="599"/>
      <c r="BU192" s="599"/>
      <c r="BV192" s="599"/>
      <c r="BW192" s="599"/>
      <c r="BX192" s="599"/>
      <c r="BY192" s="599"/>
      <c r="BZ192" s="599"/>
      <c r="CA192" s="599"/>
      <c r="CB192" s="599"/>
      <c r="CC192" s="599">
        <v>6.0000000000000001E-3</v>
      </c>
    </row>
    <row r="193" spans="58:81" x14ac:dyDescent="0.2">
      <c r="BF193" s="597"/>
      <c r="BG193" s="598"/>
      <c r="BH193" s="599"/>
      <c r="BI193" s="599"/>
      <c r="BJ193" s="599"/>
      <c r="BK193" s="599"/>
      <c r="BL193" s="599"/>
      <c r="BM193" s="599"/>
      <c r="BN193" s="599"/>
      <c r="BO193" s="599"/>
      <c r="BP193" s="598"/>
      <c r="BQ193" s="599"/>
      <c r="BR193" s="599"/>
      <c r="BS193" s="599"/>
      <c r="BT193" s="599"/>
      <c r="BU193" s="599"/>
      <c r="BV193" s="599"/>
      <c r="BW193" s="599"/>
      <c r="BX193" s="599"/>
      <c r="BY193" s="599"/>
      <c r="BZ193" s="599"/>
      <c r="CA193" s="599"/>
      <c r="CB193" s="599"/>
      <c r="CC193" s="599">
        <v>8.5000000000000006E-3</v>
      </c>
    </row>
    <row r="194" spans="58:81" x14ac:dyDescent="0.2">
      <c r="BF194" s="597"/>
      <c r="BG194" s="598"/>
      <c r="BH194" s="599"/>
      <c r="BI194" s="599"/>
      <c r="BJ194" s="599"/>
      <c r="BK194" s="599"/>
      <c r="BL194" s="599"/>
      <c r="BM194" s="599"/>
      <c r="BN194" s="599"/>
      <c r="BO194" s="599"/>
      <c r="BP194" s="598"/>
      <c r="BQ194" s="599"/>
      <c r="BR194" s="599"/>
      <c r="BS194" s="599"/>
      <c r="BT194" s="599"/>
      <c r="BU194" s="599"/>
      <c r="BV194" s="599"/>
      <c r="BW194" s="599"/>
      <c r="BX194" s="599"/>
      <c r="BY194" s="599"/>
      <c r="BZ194" s="599"/>
      <c r="CA194" s="599"/>
      <c r="CB194" s="599"/>
      <c r="CC194" s="599">
        <v>0</v>
      </c>
    </row>
    <row r="195" spans="58:81" x14ac:dyDescent="0.2">
      <c r="BF195" s="597"/>
      <c r="BG195" s="598"/>
      <c r="BH195" s="599"/>
      <c r="BI195" s="599"/>
      <c r="BJ195" s="599"/>
      <c r="BK195" s="599"/>
      <c r="BL195" s="599"/>
      <c r="BM195" s="599"/>
      <c r="BN195" s="599"/>
      <c r="BO195" s="599"/>
      <c r="BP195" s="599"/>
      <c r="BQ195" s="599"/>
      <c r="BR195" s="599"/>
      <c r="BS195" s="599"/>
      <c r="BT195" s="599"/>
      <c r="BU195" s="599"/>
      <c r="BV195" s="599"/>
      <c r="BW195" s="599"/>
      <c r="BX195" s="599"/>
      <c r="BY195" s="599"/>
      <c r="BZ195" s="599"/>
      <c r="CA195" s="599"/>
      <c r="CB195" s="599"/>
      <c r="CC195" s="599">
        <v>0</v>
      </c>
    </row>
    <row r="196" spans="58:81" x14ac:dyDescent="0.2">
      <c r="BF196" s="597"/>
      <c r="BG196" s="598"/>
      <c r="BH196" s="599"/>
      <c r="BI196" s="599"/>
      <c r="BJ196" s="599"/>
      <c r="BK196" s="599"/>
      <c r="BL196" s="599"/>
      <c r="BM196" s="599"/>
      <c r="BN196" s="599"/>
      <c r="BO196" s="599"/>
      <c r="BP196" s="599"/>
      <c r="BQ196" s="599"/>
      <c r="BR196" s="599"/>
      <c r="BS196" s="599"/>
      <c r="BT196" s="599"/>
      <c r="BU196" s="599"/>
      <c r="BV196" s="599"/>
      <c r="BW196" s="599"/>
      <c r="BX196" s="599"/>
      <c r="BY196" s="599"/>
      <c r="BZ196" s="599"/>
      <c r="CA196" s="599"/>
      <c r="CB196" s="599"/>
      <c r="CC196" s="599">
        <v>0</v>
      </c>
    </row>
    <row r="197" spans="58:81" x14ac:dyDescent="0.2">
      <c r="BF197" s="597"/>
      <c r="BG197" s="598"/>
      <c r="BH197" s="599"/>
      <c r="BI197" s="599"/>
      <c r="BJ197" s="599"/>
      <c r="BK197" s="599"/>
      <c r="BL197" s="599"/>
      <c r="BM197" s="599"/>
      <c r="BN197" s="599"/>
      <c r="BO197" s="599"/>
      <c r="BP197" s="599"/>
      <c r="BQ197" s="599"/>
      <c r="BR197" s="599"/>
      <c r="BS197" s="599"/>
      <c r="BT197" s="599"/>
      <c r="BU197" s="599"/>
      <c r="BV197" s="599"/>
      <c r="BW197" s="599"/>
      <c r="BX197" s="599"/>
      <c r="BY197" s="599"/>
      <c r="BZ197" s="599"/>
      <c r="CA197" s="599"/>
      <c r="CB197" s="599"/>
      <c r="CC197" s="599">
        <v>0</v>
      </c>
    </row>
    <row r="198" spans="58:81" x14ac:dyDescent="0.2">
      <c r="BF198" s="597"/>
      <c r="BG198" s="598"/>
      <c r="BH198" s="599"/>
      <c r="BI198" s="599"/>
      <c r="BJ198" s="599"/>
      <c r="BK198" s="599"/>
      <c r="BL198" s="599"/>
      <c r="BM198" s="599"/>
      <c r="BN198" s="599"/>
      <c r="BO198" s="599"/>
      <c r="BP198" s="599"/>
      <c r="BQ198" s="599"/>
      <c r="BR198" s="599"/>
      <c r="BS198" s="599"/>
      <c r="BT198" s="599"/>
      <c r="BU198" s="599"/>
      <c r="BV198" s="599"/>
      <c r="BW198" s="599"/>
      <c r="BX198" s="599"/>
      <c r="BY198" s="599"/>
      <c r="BZ198" s="599"/>
      <c r="CA198" s="599"/>
      <c r="CB198" s="599"/>
      <c r="CC198" s="599">
        <v>0</v>
      </c>
    </row>
    <row r="199" spans="58:81" x14ac:dyDescent="0.2">
      <c r="BF199" s="597"/>
      <c r="BG199" s="598"/>
      <c r="BH199" s="599"/>
      <c r="BI199" s="599"/>
      <c r="BJ199" s="599"/>
      <c r="BK199" s="599"/>
      <c r="BL199" s="599"/>
      <c r="BM199" s="599"/>
      <c r="BN199" s="599"/>
      <c r="BO199" s="599"/>
      <c r="BP199" s="599"/>
      <c r="BQ199" s="599"/>
      <c r="BR199" s="599"/>
      <c r="BS199" s="599"/>
      <c r="BT199" s="599"/>
      <c r="BU199" s="599"/>
      <c r="BV199" s="599"/>
      <c r="BW199" s="599"/>
      <c r="BX199" s="599"/>
      <c r="BY199" s="599"/>
      <c r="BZ199" s="599"/>
      <c r="CA199" s="599"/>
      <c r="CB199" s="599"/>
      <c r="CC199" s="599">
        <v>0</v>
      </c>
    </row>
    <row r="200" spans="58:81" x14ac:dyDescent="0.2">
      <c r="BF200" s="597"/>
      <c r="BG200" s="598"/>
      <c r="BH200" s="599"/>
      <c r="BI200" s="599"/>
      <c r="BJ200" s="599"/>
      <c r="BK200" s="599"/>
      <c r="BL200" s="599"/>
      <c r="BM200" s="599"/>
      <c r="BN200" s="599"/>
      <c r="BO200" s="599"/>
      <c r="BP200" s="599"/>
      <c r="BQ200" s="599"/>
      <c r="BR200" s="599"/>
      <c r="BS200" s="599"/>
      <c r="BT200" s="599"/>
      <c r="BU200" s="599"/>
      <c r="BV200" s="599"/>
      <c r="BW200" s="599"/>
      <c r="BX200" s="599"/>
      <c r="BY200" s="599"/>
      <c r="BZ200" s="599"/>
      <c r="CA200" s="599"/>
      <c r="CB200" s="599"/>
      <c r="CC200" s="599">
        <v>0</v>
      </c>
    </row>
    <row r="201" spans="58:81" x14ac:dyDescent="0.2">
      <c r="BF201" s="597"/>
      <c r="BG201" s="598"/>
      <c r="BH201" s="599"/>
      <c r="BI201" s="599"/>
      <c r="BJ201" s="599"/>
      <c r="BK201" s="599"/>
      <c r="BL201" s="599"/>
      <c r="BM201" s="599"/>
      <c r="BN201" s="599"/>
      <c r="BO201" s="599"/>
      <c r="BP201" s="599"/>
      <c r="BQ201" s="599"/>
      <c r="BR201" s="599"/>
      <c r="BS201" s="599"/>
      <c r="BT201" s="599"/>
      <c r="BU201" s="599"/>
      <c r="BV201" s="599"/>
      <c r="BW201" s="599"/>
      <c r="BX201" s="599"/>
      <c r="BY201" s="599"/>
      <c r="BZ201" s="599"/>
      <c r="CA201" s="599"/>
      <c r="CB201" s="599"/>
      <c r="CC201" s="599">
        <v>0</v>
      </c>
    </row>
    <row r="202" spans="58:81" x14ac:dyDescent="0.2">
      <c r="BF202" s="597"/>
      <c r="BG202" s="598"/>
      <c r="BH202" s="599"/>
      <c r="BI202" s="599"/>
      <c r="BJ202" s="599"/>
      <c r="BK202" s="599"/>
      <c r="BL202" s="599"/>
      <c r="BM202" s="599"/>
      <c r="BN202" s="599"/>
      <c r="BO202" s="599"/>
      <c r="BP202" s="599"/>
      <c r="BQ202" s="599"/>
      <c r="BR202" s="599"/>
      <c r="BS202" s="599"/>
      <c r="BT202" s="599"/>
      <c r="BU202" s="599"/>
      <c r="BV202" s="599"/>
      <c r="BW202" s="599"/>
      <c r="BX202" s="599"/>
      <c r="BY202" s="599"/>
      <c r="BZ202" s="599"/>
      <c r="CA202" s="599"/>
      <c r="CB202" s="599"/>
      <c r="CC202" s="599">
        <v>0</v>
      </c>
    </row>
    <row r="203" spans="58:81" x14ac:dyDescent="0.2">
      <c r="BF203" s="597"/>
      <c r="BG203" s="598"/>
      <c r="BH203" s="599"/>
      <c r="BI203" s="599"/>
      <c r="BJ203" s="599"/>
      <c r="BK203" s="599"/>
      <c r="BL203" s="599"/>
      <c r="BM203" s="599"/>
      <c r="BN203" s="599"/>
      <c r="BO203" s="599"/>
      <c r="BP203" s="599"/>
      <c r="BQ203" s="599"/>
      <c r="BR203" s="599"/>
      <c r="BS203" s="599"/>
      <c r="BT203" s="599"/>
      <c r="BU203" s="599"/>
      <c r="BV203" s="599"/>
      <c r="BW203" s="599"/>
      <c r="BX203" s="599"/>
      <c r="BY203" s="599"/>
      <c r="BZ203" s="599"/>
      <c r="CA203" s="599"/>
      <c r="CB203" s="599"/>
      <c r="CC203" s="599">
        <v>0</v>
      </c>
    </row>
    <row r="204" spans="58:81" x14ac:dyDescent="0.2">
      <c r="BF204" s="597"/>
      <c r="BG204" s="598"/>
      <c r="BH204" s="599"/>
      <c r="BI204" s="599"/>
      <c r="BJ204" s="599"/>
      <c r="BK204" s="599"/>
      <c r="BL204" s="599"/>
      <c r="BM204" s="599"/>
      <c r="BN204" s="599"/>
      <c r="BO204" s="599"/>
      <c r="BP204" s="599"/>
      <c r="BQ204" s="599"/>
      <c r="BR204" s="599"/>
      <c r="BS204" s="599"/>
      <c r="BT204" s="599"/>
      <c r="BU204" s="599"/>
      <c r="BV204" s="599"/>
      <c r="BW204" s="599"/>
      <c r="BX204" s="599"/>
      <c r="BY204" s="599"/>
      <c r="BZ204" s="599"/>
      <c r="CA204" s="599"/>
      <c r="CB204" s="599"/>
      <c r="CC204" s="599">
        <v>0</v>
      </c>
    </row>
    <row r="205" spans="58:81" x14ac:dyDescent="0.2">
      <c r="BF205" s="597"/>
      <c r="BG205" s="598"/>
      <c r="BH205" s="599"/>
      <c r="BI205" s="599"/>
      <c r="BJ205" s="599"/>
      <c r="BK205" s="599"/>
      <c r="BL205" s="599"/>
      <c r="BM205" s="599"/>
      <c r="BN205" s="599"/>
      <c r="BO205" s="599"/>
      <c r="BP205" s="599"/>
      <c r="BQ205" s="599"/>
      <c r="BR205" s="599"/>
      <c r="BS205" s="599"/>
      <c r="BT205" s="599"/>
      <c r="BU205" s="599"/>
      <c r="BV205" s="599"/>
      <c r="BW205" s="599"/>
      <c r="BX205" s="599"/>
      <c r="BY205" s="599"/>
      <c r="BZ205" s="599"/>
      <c r="CA205" s="599"/>
      <c r="CB205" s="599"/>
      <c r="CC205" s="599">
        <v>0</v>
      </c>
    </row>
    <row r="206" spans="58:81" x14ac:dyDescent="0.2">
      <c r="BF206" s="597"/>
      <c r="BG206" s="598"/>
      <c r="BH206" s="599"/>
      <c r="BI206" s="599"/>
      <c r="BJ206" s="599"/>
      <c r="BK206" s="599"/>
      <c r="BL206" s="599"/>
      <c r="BM206" s="599"/>
      <c r="BN206" s="599"/>
      <c r="BO206" s="599"/>
      <c r="BP206" s="599"/>
      <c r="BQ206" s="599"/>
      <c r="BR206" s="599"/>
      <c r="BS206" s="599"/>
      <c r="BT206" s="599"/>
      <c r="BU206" s="599"/>
      <c r="BV206" s="599"/>
      <c r="BW206" s="599"/>
      <c r="BX206" s="599"/>
      <c r="BY206" s="599"/>
      <c r="BZ206" s="599"/>
      <c r="CA206" s="599"/>
      <c r="CB206" s="599"/>
      <c r="CC206" s="599">
        <v>0</v>
      </c>
    </row>
    <row r="207" spans="58:81" x14ac:dyDescent="0.2">
      <c r="BF207" s="597"/>
      <c r="BG207" s="598"/>
      <c r="BH207" s="599"/>
      <c r="BI207" s="599"/>
      <c r="BJ207" s="599"/>
      <c r="BK207" s="599"/>
      <c r="BL207" s="599"/>
      <c r="BM207" s="599"/>
      <c r="BN207" s="599"/>
      <c r="BO207" s="599"/>
      <c r="BP207" s="599"/>
      <c r="BQ207" s="599"/>
      <c r="BR207" s="599"/>
      <c r="BS207" s="599"/>
      <c r="BT207" s="599"/>
      <c r="BU207" s="599"/>
      <c r="BV207" s="599"/>
      <c r="BW207" s="599"/>
      <c r="BX207" s="599"/>
      <c r="BY207" s="599"/>
      <c r="BZ207" s="599"/>
      <c r="CA207" s="599"/>
      <c r="CB207" s="599"/>
      <c r="CC207" s="599">
        <v>0</v>
      </c>
    </row>
    <row r="208" spans="58:81" x14ac:dyDescent="0.2">
      <c r="BF208" s="597"/>
      <c r="BG208" s="598"/>
      <c r="BH208" s="599"/>
      <c r="BI208" s="599"/>
      <c r="BJ208" s="599"/>
      <c r="BK208" s="599"/>
      <c r="BL208" s="599"/>
      <c r="BM208" s="599"/>
      <c r="BN208" s="599"/>
      <c r="BO208" s="599"/>
      <c r="BP208" s="599"/>
      <c r="BQ208" s="599"/>
      <c r="BR208" s="599"/>
      <c r="BS208" s="599"/>
      <c r="BT208" s="599"/>
      <c r="BU208" s="599"/>
      <c r="BV208" s="599"/>
      <c r="BW208" s="599"/>
      <c r="BX208" s="599"/>
      <c r="BY208" s="599"/>
      <c r="BZ208" s="599"/>
      <c r="CA208" s="599"/>
      <c r="CB208" s="599"/>
      <c r="CC208" s="599">
        <v>0</v>
      </c>
    </row>
    <row r="209" spans="58:81" x14ac:dyDescent="0.2">
      <c r="BF209" s="597"/>
      <c r="BG209" s="598"/>
      <c r="BH209" s="599"/>
      <c r="BI209" s="599"/>
      <c r="BJ209" s="599"/>
      <c r="BK209" s="599"/>
      <c r="BL209" s="599"/>
      <c r="BM209" s="599"/>
      <c r="BN209" s="599"/>
      <c r="BO209" s="599"/>
      <c r="BP209" s="599"/>
      <c r="BQ209" s="599"/>
      <c r="BR209" s="599"/>
      <c r="BS209" s="599"/>
      <c r="BT209" s="599"/>
      <c r="BU209" s="599"/>
      <c r="BV209" s="599"/>
      <c r="BW209" s="599"/>
      <c r="BX209" s="599"/>
      <c r="BY209" s="599"/>
      <c r="BZ209" s="599"/>
      <c r="CA209" s="599"/>
      <c r="CB209" s="599"/>
      <c r="CC209" s="599">
        <v>0</v>
      </c>
    </row>
    <row r="210" spans="58:81" x14ac:dyDescent="0.2">
      <c r="BF210" s="597"/>
      <c r="BG210" s="598"/>
      <c r="BH210" s="599"/>
      <c r="BI210" s="599"/>
      <c r="BJ210" s="599"/>
      <c r="BK210" s="599"/>
      <c r="BL210" s="599"/>
      <c r="BM210" s="599"/>
      <c r="BN210" s="599"/>
      <c r="BO210" s="599"/>
      <c r="BP210" s="599"/>
      <c r="BQ210" s="599"/>
      <c r="BR210" s="599"/>
      <c r="BS210" s="599"/>
      <c r="BT210" s="599"/>
      <c r="BU210" s="599"/>
      <c r="BV210" s="599"/>
      <c r="BW210" s="599"/>
      <c r="BX210" s="599"/>
      <c r="BY210" s="599"/>
      <c r="BZ210" s="599"/>
      <c r="CA210" s="599"/>
      <c r="CB210" s="599"/>
      <c r="CC210" s="599">
        <v>0</v>
      </c>
    </row>
    <row r="211" spans="58:81" x14ac:dyDescent="0.2">
      <c r="BF211" s="597"/>
      <c r="BG211" s="598"/>
      <c r="BH211" s="599"/>
      <c r="BI211" s="599"/>
      <c r="BJ211" s="599"/>
      <c r="BK211" s="599"/>
      <c r="BL211" s="599"/>
      <c r="BM211" s="599"/>
      <c r="BN211" s="599"/>
      <c r="BO211" s="599"/>
      <c r="BP211" s="599"/>
      <c r="BQ211" s="599"/>
      <c r="BR211" s="599"/>
      <c r="BS211" s="599"/>
      <c r="BT211" s="599"/>
      <c r="BU211" s="599"/>
      <c r="BV211" s="599"/>
      <c r="BW211" s="599"/>
      <c r="BX211" s="599"/>
      <c r="BY211" s="599"/>
      <c r="BZ211" s="599"/>
      <c r="CA211" s="599"/>
      <c r="CB211" s="599"/>
      <c r="CC211" s="599">
        <v>0</v>
      </c>
    </row>
    <row r="212" spans="58:81" x14ac:dyDescent="0.2">
      <c r="BF212" s="597"/>
      <c r="BG212" s="598"/>
      <c r="BH212" s="599"/>
      <c r="BI212" s="599"/>
      <c r="BJ212" s="599"/>
      <c r="BK212" s="599"/>
      <c r="BL212" s="599"/>
      <c r="BM212" s="599"/>
      <c r="BN212" s="599"/>
      <c r="BO212" s="599"/>
      <c r="BP212" s="599"/>
      <c r="BQ212" s="599"/>
      <c r="BR212" s="599"/>
      <c r="BS212" s="599"/>
      <c r="BT212" s="599"/>
      <c r="BU212" s="599"/>
      <c r="BV212" s="599"/>
      <c r="BW212" s="599"/>
      <c r="BX212" s="599"/>
      <c r="BY212" s="599"/>
      <c r="BZ212" s="599"/>
      <c r="CA212" s="599"/>
      <c r="CB212" s="599"/>
      <c r="CC212" s="599">
        <v>0</v>
      </c>
    </row>
    <row r="213" spans="58:81" x14ac:dyDescent="0.2">
      <c r="BF213" s="597"/>
      <c r="BG213" s="598"/>
      <c r="BH213" s="599"/>
      <c r="BI213" s="599"/>
      <c r="BJ213" s="599"/>
      <c r="BK213" s="599"/>
      <c r="BL213" s="599"/>
      <c r="BM213" s="599"/>
      <c r="BN213" s="599"/>
      <c r="BO213" s="599"/>
      <c r="BP213" s="599"/>
      <c r="BQ213" s="599"/>
      <c r="BR213" s="599"/>
      <c r="BS213" s="599"/>
      <c r="BT213" s="599"/>
      <c r="BU213" s="599"/>
      <c r="BV213" s="599"/>
      <c r="BW213" s="599"/>
      <c r="BX213" s="599"/>
      <c r="BY213" s="599"/>
      <c r="BZ213" s="599"/>
      <c r="CA213" s="599"/>
      <c r="CB213" s="599"/>
      <c r="CC213" s="599">
        <v>0</v>
      </c>
    </row>
    <row r="214" spans="58:81" x14ac:dyDescent="0.2">
      <c r="BF214" s="597"/>
      <c r="BG214" s="598"/>
      <c r="BH214" s="599"/>
      <c r="BI214" s="599"/>
      <c r="BJ214" s="599"/>
      <c r="BK214" s="599"/>
      <c r="BL214" s="599"/>
      <c r="BM214" s="599"/>
      <c r="BN214" s="599"/>
      <c r="BO214" s="599"/>
      <c r="BP214" s="599"/>
      <c r="BQ214" s="599"/>
      <c r="BR214" s="599"/>
      <c r="BS214" s="599"/>
      <c r="BT214" s="599"/>
      <c r="BU214" s="599"/>
      <c r="BV214" s="599"/>
      <c r="BW214" s="599"/>
      <c r="BX214" s="599"/>
      <c r="BY214" s="599"/>
      <c r="BZ214" s="599"/>
      <c r="CA214" s="599"/>
      <c r="CB214" s="599"/>
      <c r="CC214" s="599">
        <v>0</v>
      </c>
    </row>
    <row r="215" spans="58:81" x14ac:dyDescent="0.2">
      <c r="BF215" s="597"/>
      <c r="BG215" s="598"/>
      <c r="BH215" s="599"/>
      <c r="BI215" s="599"/>
      <c r="BJ215" s="599"/>
      <c r="BK215" s="599"/>
      <c r="BL215" s="599"/>
      <c r="BM215" s="599"/>
      <c r="BN215" s="599"/>
      <c r="BO215" s="599"/>
      <c r="BP215" s="599"/>
      <c r="BQ215" s="599"/>
      <c r="BR215" s="599"/>
      <c r="BS215" s="599"/>
      <c r="BT215" s="599"/>
      <c r="BU215" s="599"/>
      <c r="BV215" s="599"/>
      <c r="BW215" s="599"/>
      <c r="BX215" s="599"/>
      <c r="BY215" s="599"/>
      <c r="BZ215" s="599"/>
      <c r="CA215" s="599"/>
      <c r="CB215" s="599"/>
      <c r="CC215" s="599">
        <v>0</v>
      </c>
    </row>
    <row r="216" spans="58:81" x14ac:dyDescent="0.2">
      <c r="BF216" s="597"/>
      <c r="BG216" s="598"/>
      <c r="BH216" s="599"/>
      <c r="BI216" s="599"/>
      <c r="BJ216" s="599"/>
      <c r="BK216" s="599"/>
      <c r="BL216" s="599"/>
      <c r="BM216" s="599"/>
      <c r="BN216" s="599"/>
      <c r="BO216" s="599"/>
      <c r="BP216" s="599"/>
      <c r="BQ216" s="599"/>
      <c r="BR216" s="599"/>
      <c r="BS216" s="599"/>
      <c r="BT216" s="599"/>
      <c r="BU216" s="599"/>
      <c r="BV216" s="599"/>
      <c r="BW216" s="599"/>
      <c r="BX216" s="599"/>
      <c r="BY216" s="599"/>
      <c r="BZ216" s="599"/>
      <c r="CA216" s="599"/>
      <c r="CB216" s="599"/>
      <c r="CC216" s="599">
        <v>0</v>
      </c>
    </row>
    <row r="217" spans="58:81" x14ac:dyDescent="0.2">
      <c r="BF217" s="597"/>
      <c r="BG217" s="598"/>
      <c r="BH217" s="599"/>
      <c r="BI217" s="599"/>
      <c r="BJ217" s="599"/>
      <c r="BK217" s="599"/>
      <c r="BL217" s="599"/>
      <c r="BM217" s="599"/>
      <c r="BN217" s="599"/>
      <c r="BO217" s="599"/>
      <c r="BP217" s="599"/>
      <c r="BQ217" s="599"/>
      <c r="BR217" s="599"/>
      <c r="BS217" s="599"/>
      <c r="BT217" s="599"/>
      <c r="BU217" s="599"/>
      <c r="BV217" s="599"/>
      <c r="BW217" s="599"/>
      <c r="BX217" s="599"/>
      <c r="BY217" s="599"/>
      <c r="BZ217" s="599"/>
      <c r="CA217" s="599"/>
      <c r="CB217" s="599"/>
      <c r="CC217" s="599">
        <v>0</v>
      </c>
    </row>
    <row r="218" spans="58:81" x14ac:dyDescent="0.2">
      <c r="BF218" s="597"/>
      <c r="BG218" s="598"/>
      <c r="BH218" s="599"/>
      <c r="BI218" s="599"/>
      <c r="BJ218" s="599"/>
      <c r="BK218" s="599"/>
      <c r="BL218" s="599"/>
      <c r="BM218" s="599"/>
      <c r="BN218" s="599"/>
      <c r="BO218" s="599"/>
      <c r="BP218" s="599"/>
      <c r="BQ218" s="599"/>
      <c r="BR218" s="599"/>
      <c r="BS218" s="599"/>
      <c r="BT218" s="599"/>
      <c r="BU218" s="599"/>
      <c r="BV218" s="599"/>
      <c r="BW218" s="599"/>
      <c r="BX218" s="599"/>
      <c r="BY218" s="599"/>
      <c r="BZ218" s="599"/>
      <c r="CA218" s="599"/>
      <c r="CB218" s="599"/>
      <c r="CC218" s="599">
        <v>0</v>
      </c>
    </row>
    <row r="219" spans="58:81" x14ac:dyDescent="0.2">
      <c r="BF219" s="597"/>
      <c r="BG219" s="598"/>
      <c r="BH219" s="599"/>
      <c r="BI219" s="599"/>
      <c r="BJ219" s="599"/>
      <c r="BK219" s="599"/>
      <c r="BL219" s="599"/>
      <c r="BM219" s="599"/>
      <c r="BN219" s="599"/>
      <c r="BO219" s="599"/>
      <c r="BP219" s="599"/>
      <c r="BQ219" s="599"/>
      <c r="BR219" s="599"/>
      <c r="BS219" s="599"/>
      <c r="BT219" s="599"/>
      <c r="BU219" s="599"/>
      <c r="BV219" s="599"/>
      <c r="BW219" s="599"/>
      <c r="BX219" s="599"/>
      <c r="BY219" s="599"/>
      <c r="BZ219" s="599"/>
      <c r="CA219" s="599"/>
      <c r="CB219" s="599"/>
      <c r="CC219" s="599">
        <v>0</v>
      </c>
    </row>
    <row r="220" spans="58:81" x14ac:dyDescent="0.2">
      <c r="BF220" s="597"/>
      <c r="BG220" s="598"/>
      <c r="BH220" s="599"/>
      <c r="BI220" s="599"/>
      <c r="BJ220" s="599"/>
      <c r="BK220" s="599"/>
      <c r="BL220" s="599"/>
      <c r="BM220" s="599"/>
      <c r="BN220" s="599"/>
      <c r="BO220" s="599"/>
      <c r="BP220" s="599"/>
      <c r="BQ220" s="599"/>
      <c r="BR220" s="599"/>
      <c r="BS220" s="599"/>
      <c r="BT220" s="599"/>
      <c r="BU220" s="599"/>
      <c r="BV220" s="599"/>
      <c r="BW220" s="599"/>
      <c r="BX220" s="599"/>
      <c r="BY220" s="599"/>
      <c r="BZ220" s="599"/>
      <c r="CA220" s="599"/>
      <c r="CB220" s="599"/>
      <c r="CC220" s="599">
        <v>0</v>
      </c>
    </row>
    <row r="221" spans="58:81" x14ac:dyDescent="0.2">
      <c r="BF221" s="597"/>
      <c r="BG221" s="598"/>
      <c r="BH221" s="599"/>
      <c r="BI221" s="599"/>
      <c r="BJ221" s="599"/>
      <c r="BK221" s="599"/>
      <c r="BL221" s="599"/>
      <c r="BM221" s="599"/>
      <c r="BN221" s="599"/>
      <c r="BO221" s="599"/>
      <c r="BP221" s="599"/>
      <c r="BQ221" s="599"/>
      <c r="BR221" s="599"/>
      <c r="BS221" s="599"/>
      <c r="BT221" s="599"/>
      <c r="BU221" s="599"/>
      <c r="BV221" s="599"/>
      <c r="BW221" s="599"/>
      <c r="BX221" s="599"/>
      <c r="BY221" s="599"/>
      <c r="BZ221" s="599"/>
      <c r="CA221" s="599"/>
      <c r="CB221" s="599"/>
      <c r="CC221" s="599">
        <v>0</v>
      </c>
    </row>
    <row r="222" spans="58:81" x14ac:dyDescent="0.2">
      <c r="BF222" s="597"/>
      <c r="BG222" s="598"/>
      <c r="BH222" s="599"/>
      <c r="BI222" s="599"/>
      <c r="BJ222" s="599"/>
      <c r="BK222" s="599"/>
      <c r="BL222" s="599"/>
      <c r="BM222" s="599"/>
      <c r="BN222" s="599"/>
      <c r="BO222" s="599"/>
      <c r="BP222" s="599"/>
      <c r="BQ222" s="599"/>
      <c r="BR222" s="599"/>
      <c r="BS222" s="599"/>
      <c r="BT222" s="599"/>
      <c r="BU222" s="599"/>
      <c r="BV222" s="599"/>
      <c r="BW222" s="599"/>
      <c r="BX222" s="599"/>
      <c r="BY222" s="599"/>
      <c r="BZ222" s="599"/>
      <c r="CA222" s="599"/>
      <c r="CB222" s="599"/>
      <c r="CC222" s="599">
        <v>0</v>
      </c>
    </row>
    <row r="223" spans="58:81" x14ac:dyDescent="0.2">
      <c r="BF223" s="597"/>
      <c r="BG223" s="598"/>
      <c r="BH223" s="599"/>
      <c r="BI223" s="599"/>
      <c r="BJ223" s="599"/>
      <c r="BK223" s="599"/>
      <c r="BL223" s="599"/>
      <c r="BM223" s="599"/>
      <c r="BN223" s="599"/>
      <c r="BO223" s="599"/>
      <c r="BP223" s="599"/>
      <c r="BQ223" s="599"/>
      <c r="BR223" s="599"/>
      <c r="BS223" s="599"/>
      <c r="BT223" s="599"/>
      <c r="BU223" s="599"/>
      <c r="BV223" s="599"/>
      <c r="BW223" s="599"/>
      <c r="BX223" s="599"/>
      <c r="BY223" s="599"/>
      <c r="BZ223" s="599"/>
      <c r="CA223" s="599"/>
      <c r="CB223" s="599"/>
      <c r="CC223" s="599">
        <v>0</v>
      </c>
    </row>
    <row r="224" spans="58:81" x14ac:dyDescent="0.2">
      <c r="BF224" s="597"/>
      <c r="BG224" s="598"/>
      <c r="BH224" s="599"/>
      <c r="BI224" s="599"/>
      <c r="BJ224" s="599"/>
      <c r="BK224" s="599"/>
      <c r="BL224" s="599"/>
      <c r="BM224" s="599"/>
      <c r="BN224" s="599"/>
      <c r="BO224" s="599"/>
      <c r="BP224" s="599"/>
      <c r="BQ224" s="599"/>
      <c r="BR224" s="599"/>
      <c r="BS224" s="599"/>
      <c r="BT224" s="599"/>
      <c r="BU224" s="599"/>
      <c r="BV224" s="599"/>
      <c r="BW224" s="599"/>
      <c r="BX224" s="599"/>
      <c r="BY224" s="599"/>
      <c r="BZ224" s="599"/>
      <c r="CA224" s="599"/>
      <c r="CB224" s="599"/>
      <c r="CC224" s="599">
        <v>0</v>
      </c>
    </row>
    <row r="225" spans="58:81" x14ac:dyDescent="0.2">
      <c r="BF225" s="597"/>
      <c r="BG225" s="598"/>
      <c r="BH225" s="599"/>
      <c r="BI225" s="599"/>
      <c r="BJ225" s="599"/>
      <c r="BK225" s="599"/>
      <c r="BL225" s="599"/>
      <c r="BM225" s="599"/>
      <c r="BN225" s="599"/>
      <c r="BO225" s="599"/>
      <c r="BP225" s="599"/>
      <c r="BQ225" s="599"/>
      <c r="BR225" s="599"/>
      <c r="BS225" s="599"/>
      <c r="BT225" s="599"/>
      <c r="BU225" s="599"/>
      <c r="BV225" s="599"/>
      <c r="BW225" s="599"/>
      <c r="BX225" s="599"/>
      <c r="BY225" s="599"/>
      <c r="BZ225" s="599"/>
      <c r="CA225" s="599"/>
      <c r="CB225" s="599"/>
      <c r="CC225" s="599">
        <v>0</v>
      </c>
    </row>
    <row r="226" spans="58:81" x14ac:dyDescent="0.2">
      <c r="BF226" s="597"/>
      <c r="BG226" s="598"/>
      <c r="BH226" s="599"/>
      <c r="BI226" s="599"/>
      <c r="BJ226" s="599"/>
      <c r="BK226" s="599"/>
      <c r="BL226" s="599"/>
      <c r="BM226" s="599"/>
      <c r="BN226" s="599"/>
      <c r="BO226" s="599"/>
      <c r="BP226" s="599"/>
      <c r="BQ226" s="599"/>
      <c r="BR226" s="599"/>
      <c r="BS226" s="599"/>
      <c r="BT226" s="599"/>
      <c r="BU226" s="599"/>
      <c r="BV226" s="599"/>
      <c r="BW226" s="599"/>
      <c r="BX226" s="599"/>
      <c r="BY226" s="599"/>
      <c r="BZ226" s="599"/>
      <c r="CA226" s="599"/>
      <c r="CB226" s="599"/>
      <c r="CC226" s="599">
        <v>0</v>
      </c>
    </row>
    <row r="227" spans="58:81" x14ac:dyDescent="0.2">
      <c r="BF227" s="597"/>
      <c r="BG227" s="598"/>
      <c r="BH227" s="599"/>
      <c r="BI227" s="599"/>
      <c r="BJ227" s="599"/>
      <c r="BK227" s="599"/>
      <c r="BL227" s="599"/>
      <c r="BM227" s="599"/>
      <c r="BN227" s="599"/>
      <c r="BO227" s="599"/>
      <c r="BP227" s="599"/>
      <c r="BQ227" s="599"/>
      <c r="BR227" s="599"/>
      <c r="BS227" s="599"/>
      <c r="BT227" s="599"/>
      <c r="BU227" s="599"/>
      <c r="BV227" s="599"/>
      <c r="BW227" s="599"/>
      <c r="BX227" s="599"/>
      <c r="BY227" s="599"/>
      <c r="BZ227" s="599"/>
      <c r="CA227" s="599"/>
      <c r="CB227" s="599"/>
      <c r="CC227" s="599">
        <v>0</v>
      </c>
    </row>
    <row r="228" spans="58:81" x14ac:dyDescent="0.2">
      <c r="BF228" s="597"/>
      <c r="BG228" s="598"/>
      <c r="BH228" s="599"/>
      <c r="BI228" s="599"/>
      <c r="BJ228" s="599"/>
      <c r="BK228" s="599"/>
      <c r="BL228" s="599"/>
      <c r="BM228" s="599"/>
      <c r="BN228" s="599"/>
      <c r="BO228" s="599"/>
      <c r="BP228" s="599"/>
      <c r="BQ228" s="599"/>
      <c r="BR228" s="599"/>
      <c r="BS228" s="599"/>
      <c r="BT228" s="599"/>
      <c r="BU228" s="599"/>
      <c r="BV228" s="599"/>
      <c r="BW228" s="599"/>
      <c r="BX228" s="599"/>
      <c r="BY228" s="599"/>
      <c r="BZ228" s="599"/>
      <c r="CA228" s="599"/>
      <c r="CB228" s="599"/>
      <c r="CC228" s="599">
        <v>0</v>
      </c>
    </row>
    <row r="229" spans="58:81" x14ac:dyDescent="0.2">
      <c r="BF229" s="597"/>
      <c r="BG229" s="598"/>
      <c r="BH229" s="599"/>
      <c r="BI229" s="599"/>
      <c r="BJ229" s="599"/>
      <c r="BK229" s="599"/>
      <c r="BL229" s="599"/>
      <c r="BM229" s="599"/>
      <c r="BN229" s="599"/>
      <c r="BO229" s="599"/>
      <c r="BP229" s="599"/>
      <c r="BQ229" s="599"/>
      <c r="BR229" s="599"/>
      <c r="BS229" s="599"/>
      <c r="BT229" s="599"/>
      <c r="BU229" s="599"/>
      <c r="BV229" s="599"/>
      <c r="BW229" s="599"/>
      <c r="BX229" s="599"/>
      <c r="BY229" s="599"/>
      <c r="BZ229" s="599"/>
      <c r="CA229" s="599"/>
      <c r="CB229" s="599"/>
      <c r="CC229" s="599">
        <v>0</v>
      </c>
    </row>
    <row r="230" spans="58:81" x14ac:dyDescent="0.2">
      <c r="BF230" s="597"/>
      <c r="BG230" s="598"/>
      <c r="BH230" s="599"/>
      <c r="BI230" s="599"/>
      <c r="BJ230" s="599"/>
      <c r="BK230" s="599"/>
      <c r="BL230" s="599"/>
      <c r="BM230" s="599"/>
      <c r="BN230" s="599"/>
      <c r="BO230" s="599"/>
      <c r="BP230" s="599"/>
      <c r="BQ230" s="599"/>
      <c r="BR230" s="599"/>
      <c r="BS230" s="599"/>
      <c r="BT230" s="599"/>
      <c r="BU230" s="599"/>
      <c r="BV230" s="599"/>
      <c r="BW230" s="599"/>
      <c r="BX230" s="599"/>
      <c r="BY230" s="599"/>
      <c r="BZ230" s="599"/>
      <c r="CA230" s="599"/>
      <c r="CB230" s="599"/>
      <c r="CC230" s="599">
        <v>0</v>
      </c>
    </row>
    <row r="231" spans="58:81" x14ac:dyDescent="0.2">
      <c r="BF231" s="597"/>
      <c r="BG231" s="598"/>
      <c r="BH231" s="599"/>
      <c r="BI231" s="599"/>
      <c r="BJ231" s="599"/>
      <c r="BK231" s="599"/>
      <c r="BL231" s="599"/>
      <c r="BM231" s="599"/>
      <c r="BN231" s="599"/>
      <c r="BO231" s="599"/>
      <c r="BP231" s="599"/>
      <c r="BQ231" s="599"/>
      <c r="BR231" s="599"/>
      <c r="BS231" s="599"/>
      <c r="BT231" s="599"/>
      <c r="BU231" s="599"/>
      <c r="BV231" s="599"/>
      <c r="BW231" s="599"/>
      <c r="BX231" s="599"/>
      <c r="BY231" s="599"/>
      <c r="BZ231" s="599"/>
      <c r="CA231" s="599"/>
      <c r="CB231" s="599"/>
      <c r="CC231" s="599">
        <v>0</v>
      </c>
    </row>
    <row r="232" spans="58:81" x14ac:dyDescent="0.2">
      <c r="BF232" s="597"/>
      <c r="BG232" s="598"/>
      <c r="BH232" s="599"/>
      <c r="BI232" s="599"/>
      <c r="BJ232" s="599"/>
      <c r="BK232" s="599"/>
      <c r="BL232" s="599"/>
      <c r="BM232" s="599"/>
      <c r="BN232" s="599"/>
      <c r="BO232" s="599"/>
      <c r="BP232" s="599"/>
      <c r="BQ232" s="599"/>
      <c r="BR232" s="599"/>
      <c r="BS232" s="599"/>
      <c r="BT232" s="599"/>
      <c r="BU232" s="599"/>
      <c r="BV232" s="599"/>
      <c r="BW232" s="599"/>
      <c r="BX232" s="599"/>
      <c r="BY232" s="599"/>
      <c r="BZ232" s="599"/>
      <c r="CA232" s="599"/>
      <c r="CB232" s="599"/>
      <c r="CC232" s="599">
        <v>0</v>
      </c>
    </row>
    <row r="233" spans="58:81" x14ac:dyDescent="0.2">
      <c r="BF233" s="597"/>
      <c r="BG233" s="598"/>
      <c r="BH233" s="599"/>
      <c r="BI233" s="599"/>
      <c r="BJ233" s="599"/>
      <c r="BK233" s="599"/>
      <c r="BL233" s="599"/>
      <c r="BM233" s="599"/>
      <c r="BN233" s="599"/>
      <c r="BO233" s="599"/>
      <c r="BP233" s="599"/>
      <c r="BQ233" s="599"/>
      <c r="BR233" s="599"/>
      <c r="BS233" s="599"/>
      <c r="BT233" s="599"/>
      <c r="BU233" s="599"/>
      <c r="BV233" s="599"/>
      <c r="BW233" s="599"/>
      <c r="BX233" s="599"/>
      <c r="BY233" s="599"/>
      <c r="BZ233" s="599"/>
      <c r="CA233" s="599"/>
      <c r="CB233" s="599"/>
      <c r="CC233" s="599">
        <v>0</v>
      </c>
    </row>
    <row r="234" spans="58:81" x14ac:dyDescent="0.2">
      <c r="BF234" s="597"/>
      <c r="BG234" s="598"/>
      <c r="BH234" s="599"/>
      <c r="BI234" s="599"/>
      <c r="BJ234" s="599"/>
      <c r="BK234" s="599"/>
      <c r="BL234" s="599"/>
      <c r="BM234" s="599"/>
      <c r="BN234" s="599"/>
      <c r="BO234" s="599"/>
      <c r="BP234" s="599"/>
      <c r="BQ234" s="599"/>
      <c r="BR234" s="599"/>
      <c r="BS234" s="599"/>
      <c r="BT234" s="599"/>
      <c r="BU234" s="599"/>
      <c r="BV234" s="599"/>
      <c r="BW234" s="599"/>
      <c r="BX234" s="599"/>
      <c r="BY234" s="599"/>
      <c r="BZ234" s="599"/>
      <c r="CA234" s="599"/>
      <c r="CB234" s="599"/>
      <c r="CC234" s="599">
        <v>0</v>
      </c>
    </row>
    <row r="235" spans="58:81" x14ac:dyDescent="0.2">
      <c r="BF235" s="597"/>
      <c r="BG235" s="598"/>
      <c r="BH235" s="599"/>
      <c r="BI235" s="599"/>
      <c r="BJ235" s="599"/>
      <c r="BK235" s="599"/>
      <c r="BL235" s="599"/>
      <c r="BM235" s="599"/>
      <c r="BN235" s="599"/>
      <c r="BO235" s="599"/>
      <c r="BP235" s="599"/>
      <c r="BQ235" s="599"/>
      <c r="BR235" s="599"/>
      <c r="BS235" s="599"/>
      <c r="BT235" s="599"/>
      <c r="BU235" s="599"/>
      <c r="BV235" s="599"/>
      <c r="BW235" s="599"/>
      <c r="BX235" s="599"/>
      <c r="BY235" s="599"/>
      <c r="BZ235" s="599"/>
      <c r="CA235" s="599"/>
      <c r="CB235" s="599"/>
      <c r="CC235" s="599">
        <v>0</v>
      </c>
    </row>
    <row r="236" spans="58:81" x14ac:dyDescent="0.2">
      <c r="BF236" s="597"/>
      <c r="BG236" s="598"/>
      <c r="BH236" s="599"/>
      <c r="BI236" s="599"/>
      <c r="BJ236" s="599"/>
      <c r="BK236" s="599"/>
      <c r="BL236" s="599"/>
      <c r="BM236" s="599"/>
      <c r="BN236" s="599"/>
      <c r="BO236" s="599"/>
      <c r="BP236" s="599"/>
      <c r="BQ236" s="599"/>
      <c r="BR236" s="599"/>
      <c r="BS236" s="599"/>
      <c r="BT236" s="599"/>
      <c r="BU236" s="599"/>
      <c r="BV236" s="599"/>
      <c r="BW236" s="599"/>
      <c r="BX236" s="599"/>
      <c r="BY236" s="599"/>
      <c r="BZ236" s="599"/>
      <c r="CA236" s="599"/>
      <c r="CB236" s="599"/>
      <c r="CC236" s="599">
        <v>0</v>
      </c>
    </row>
    <row r="237" spans="58:81" x14ac:dyDescent="0.2">
      <c r="BF237" s="597"/>
      <c r="BG237" s="598"/>
      <c r="BH237" s="599"/>
      <c r="BI237" s="599"/>
      <c r="BJ237" s="599"/>
      <c r="BK237" s="599"/>
      <c r="BL237" s="599"/>
      <c r="BM237" s="599"/>
      <c r="BN237" s="599"/>
      <c r="BO237" s="599"/>
      <c r="BP237" s="599"/>
      <c r="BQ237" s="599"/>
      <c r="BR237" s="599"/>
      <c r="BS237" s="599"/>
      <c r="BT237" s="599"/>
      <c r="BU237" s="599"/>
      <c r="BV237" s="599"/>
      <c r="BW237" s="599"/>
      <c r="BX237" s="599"/>
      <c r="BY237" s="599"/>
      <c r="BZ237" s="599"/>
      <c r="CA237" s="599"/>
      <c r="CB237" s="599"/>
      <c r="CC237" s="599">
        <v>0</v>
      </c>
    </row>
    <row r="238" spans="58:81" x14ac:dyDescent="0.2">
      <c r="BF238" s="597"/>
      <c r="BG238" s="598"/>
      <c r="BH238" s="599"/>
      <c r="BI238" s="599"/>
      <c r="BJ238" s="599"/>
      <c r="BK238" s="599"/>
      <c r="BL238" s="599"/>
      <c r="BM238" s="599"/>
      <c r="BN238" s="599"/>
      <c r="BO238" s="599"/>
      <c r="BP238" s="599"/>
      <c r="BQ238" s="599"/>
      <c r="BR238" s="599"/>
      <c r="BS238" s="599"/>
      <c r="BT238" s="599"/>
      <c r="BU238" s="599"/>
      <c r="BV238" s="599"/>
      <c r="BW238" s="599"/>
      <c r="BX238" s="599"/>
      <c r="BY238" s="599"/>
      <c r="BZ238" s="599"/>
      <c r="CA238" s="599"/>
      <c r="CB238" s="599"/>
      <c r="CC238" s="599">
        <v>0</v>
      </c>
    </row>
    <row r="239" spans="58:81" x14ac:dyDescent="0.2">
      <c r="BF239" s="597"/>
      <c r="BG239" s="598"/>
      <c r="BH239" s="599"/>
      <c r="BI239" s="599"/>
      <c r="BJ239" s="599"/>
      <c r="BK239" s="599"/>
      <c r="BL239" s="599"/>
      <c r="BM239" s="599"/>
      <c r="BN239" s="599"/>
      <c r="BO239" s="599"/>
      <c r="BP239" s="599"/>
      <c r="BQ239" s="599"/>
      <c r="BR239" s="599"/>
      <c r="BS239" s="599"/>
      <c r="BT239" s="599"/>
      <c r="BU239" s="599"/>
      <c r="BV239" s="599"/>
      <c r="BW239" s="599"/>
      <c r="BX239" s="599"/>
      <c r="BY239" s="599"/>
      <c r="BZ239" s="599"/>
      <c r="CA239" s="599"/>
      <c r="CB239" s="599"/>
      <c r="CC239" s="599"/>
    </row>
    <row r="240" spans="58:81" x14ac:dyDescent="0.2">
      <c r="BF240" s="597"/>
      <c r="BG240" s="621"/>
      <c r="BH240" s="599"/>
      <c r="BI240" s="599"/>
      <c r="BJ240" s="599"/>
      <c r="BK240" s="599"/>
      <c r="BL240" s="599"/>
      <c r="BM240" s="599"/>
      <c r="BN240" s="599"/>
      <c r="BO240" s="599"/>
      <c r="BP240" s="599"/>
      <c r="BQ240" s="599"/>
      <c r="BR240" s="599"/>
      <c r="BS240" s="599"/>
      <c r="BT240" s="599"/>
      <c r="BU240" s="599"/>
      <c r="BV240" s="599"/>
      <c r="BW240" s="599"/>
      <c r="BX240" s="599"/>
      <c r="BY240" s="599"/>
      <c r="BZ240" s="599"/>
      <c r="CA240" s="599"/>
      <c r="CB240" s="599"/>
      <c r="CC240" s="599"/>
    </row>
    <row r="241" spans="58:81" x14ac:dyDescent="0.2">
      <c r="BF241" s="597"/>
      <c r="BG241" s="621"/>
      <c r="BH241" s="599"/>
      <c r="BI241" s="599"/>
      <c r="BJ241" s="599"/>
      <c r="BK241" s="599"/>
      <c r="BL241" s="599"/>
      <c r="BM241" s="599"/>
      <c r="BN241" s="599"/>
      <c r="BO241" s="599"/>
      <c r="BP241" s="599"/>
      <c r="BQ241" s="599"/>
      <c r="BR241" s="599"/>
      <c r="BS241" s="599"/>
      <c r="BT241" s="599"/>
      <c r="BU241" s="599"/>
      <c r="BV241" s="599"/>
      <c r="BW241" s="599"/>
      <c r="BX241" s="599"/>
      <c r="BY241" s="599"/>
      <c r="BZ241" s="599"/>
      <c r="CA241" s="599"/>
      <c r="CB241" s="599"/>
      <c r="CC241" s="599"/>
    </row>
    <row r="242" spans="58:81" x14ac:dyDescent="0.2">
      <c r="BF242" s="597"/>
      <c r="BG242" s="621"/>
      <c r="BH242" s="599"/>
      <c r="BI242" s="599"/>
      <c r="BJ242" s="599"/>
      <c r="BK242" s="599"/>
      <c r="BL242" s="599"/>
      <c r="BM242" s="599"/>
      <c r="BN242" s="599"/>
      <c r="BO242" s="599"/>
      <c r="BP242" s="599"/>
      <c r="BQ242" s="599"/>
      <c r="BR242" s="599"/>
      <c r="BS242" s="599"/>
      <c r="BT242" s="599"/>
      <c r="BU242" s="599"/>
      <c r="BV242" s="599"/>
      <c r="BW242" s="599"/>
      <c r="BX242" s="599"/>
      <c r="BY242" s="599"/>
      <c r="BZ242" s="599"/>
      <c r="CA242" s="599"/>
      <c r="CB242" s="599"/>
      <c r="CC242" s="599"/>
    </row>
    <row r="243" spans="58:81" x14ac:dyDescent="0.2">
      <c r="BF243" s="597"/>
      <c r="BG243" s="621"/>
      <c r="BH243" s="599"/>
      <c r="BI243" s="599"/>
      <c r="BJ243" s="599"/>
      <c r="BK243" s="599"/>
      <c r="BL243" s="599"/>
      <c r="BM243" s="599"/>
      <c r="BN243" s="599"/>
      <c r="BO243" s="599"/>
      <c r="BP243" s="599"/>
      <c r="BQ243" s="599"/>
      <c r="BR243" s="599"/>
      <c r="BS243" s="599"/>
      <c r="BT243" s="599"/>
      <c r="BU243" s="599"/>
      <c r="BV243" s="599"/>
      <c r="BW243" s="599"/>
      <c r="BX243" s="599"/>
      <c r="BY243" s="599"/>
      <c r="BZ243" s="599"/>
      <c r="CA243" s="599"/>
      <c r="CB243" s="599"/>
      <c r="CC243" s="599"/>
    </row>
    <row r="244" spans="58:81" x14ac:dyDescent="0.2">
      <c r="BF244" s="597"/>
      <c r="BG244" s="621"/>
      <c r="BH244" s="599"/>
      <c r="BI244" s="599"/>
      <c r="BJ244" s="599"/>
      <c r="BK244" s="599"/>
      <c r="BL244" s="599"/>
      <c r="BM244" s="599"/>
      <c r="BN244" s="599"/>
      <c r="BO244" s="599"/>
      <c r="BP244" s="599"/>
      <c r="BQ244" s="599"/>
      <c r="BR244" s="599"/>
      <c r="BS244" s="599"/>
      <c r="BT244" s="599"/>
      <c r="BU244" s="599"/>
      <c r="BV244" s="599"/>
      <c r="BW244" s="599"/>
      <c r="BX244" s="599"/>
      <c r="BY244" s="599"/>
      <c r="BZ244" s="599"/>
      <c r="CA244" s="599"/>
      <c r="CB244" s="599"/>
      <c r="CC244" s="599"/>
    </row>
    <row r="245" spans="58:81" x14ac:dyDescent="0.2">
      <c r="BF245" s="597"/>
      <c r="BG245" s="621"/>
      <c r="BH245" s="599"/>
      <c r="BI245" s="599"/>
      <c r="BJ245" s="599"/>
      <c r="BK245" s="599"/>
      <c r="BL245" s="599"/>
      <c r="BM245" s="599"/>
      <c r="BN245" s="599"/>
      <c r="BO245" s="599"/>
      <c r="BP245" s="599"/>
      <c r="BQ245" s="599"/>
      <c r="BR245" s="599"/>
      <c r="BS245" s="599"/>
      <c r="BT245" s="599"/>
      <c r="BU245" s="599"/>
      <c r="BV245" s="599"/>
      <c r="BW245" s="599"/>
      <c r="BX245" s="599"/>
      <c r="BY245" s="599"/>
      <c r="BZ245" s="599"/>
      <c r="CA245" s="599"/>
      <c r="CB245" s="599"/>
      <c r="CC245" s="599"/>
    </row>
    <row r="246" spans="58:81" x14ac:dyDescent="0.2">
      <c r="BF246" s="597"/>
      <c r="BG246" s="621"/>
      <c r="BH246" s="599"/>
      <c r="BI246" s="599"/>
      <c r="BJ246" s="599"/>
      <c r="BK246" s="599"/>
      <c r="BL246" s="599"/>
      <c r="BM246" s="599"/>
      <c r="BN246" s="599"/>
      <c r="BO246" s="599"/>
      <c r="BP246" s="599"/>
      <c r="BQ246" s="599"/>
      <c r="BR246" s="599"/>
      <c r="BS246" s="599"/>
      <c r="BT246" s="599"/>
      <c r="BU246" s="599"/>
      <c r="BV246" s="599"/>
      <c r="BW246" s="599"/>
      <c r="BX246" s="599"/>
      <c r="BY246" s="599"/>
      <c r="BZ246" s="599"/>
      <c r="CA246" s="599"/>
      <c r="CB246" s="599"/>
      <c r="CC246" s="599"/>
    </row>
    <row r="247" spans="58:81" x14ac:dyDescent="0.2">
      <c r="BF247" s="597"/>
      <c r="BG247" s="621"/>
      <c r="BH247" s="599"/>
      <c r="BI247" s="599"/>
      <c r="BJ247" s="599"/>
      <c r="BK247" s="599"/>
      <c r="BL247" s="599"/>
      <c r="BM247" s="599"/>
      <c r="BN247" s="599"/>
      <c r="BO247" s="599"/>
      <c r="BP247" s="599"/>
      <c r="BQ247" s="599"/>
      <c r="BR247" s="599"/>
      <c r="BS247" s="599"/>
      <c r="BT247" s="599"/>
      <c r="BU247" s="599"/>
      <c r="BV247" s="599"/>
      <c r="BW247" s="599"/>
      <c r="BX247" s="599"/>
      <c r="BY247" s="599"/>
      <c r="BZ247" s="599"/>
      <c r="CA247" s="599"/>
      <c r="CB247" s="599"/>
      <c r="CC247" s="599"/>
    </row>
    <row r="248" spans="58:81" x14ac:dyDescent="0.2">
      <c r="BF248" s="597"/>
      <c r="BG248" s="621"/>
      <c r="BH248" s="599"/>
      <c r="BI248" s="599"/>
      <c r="BJ248" s="599"/>
      <c r="BK248" s="599"/>
      <c r="BL248" s="599"/>
      <c r="BM248" s="599"/>
      <c r="BN248" s="599"/>
      <c r="BO248" s="599"/>
      <c r="BP248" s="599"/>
      <c r="BQ248" s="599"/>
      <c r="BR248" s="599"/>
      <c r="BS248" s="599"/>
      <c r="BT248" s="599"/>
      <c r="BU248" s="599"/>
      <c r="BV248" s="599"/>
      <c r="BW248" s="599"/>
      <c r="BX248" s="599"/>
      <c r="BY248" s="599"/>
      <c r="BZ248" s="599"/>
      <c r="CA248" s="599"/>
      <c r="CB248" s="599"/>
      <c r="CC248" s="599"/>
    </row>
    <row r="249" spans="58:81" x14ac:dyDescent="0.2">
      <c r="BF249" s="597"/>
      <c r="BG249" s="621"/>
      <c r="BH249" s="599"/>
      <c r="BI249" s="599"/>
      <c r="BJ249" s="599"/>
      <c r="BK249" s="599"/>
      <c r="BL249" s="599"/>
      <c r="BM249" s="599"/>
      <c r="BN249" s="599"/>
      <c r="BO249" s="599"/>
      <c r="BP249" s="599"/>
      <c r="BQ249" s="599"/>
      <c r="BR249" s="599"/>
      <c r="BS249" s="599"/>
      <c r="BT249" s="599"/>
      <c r="BU249" s="599"/>
      <c r="BV249" s="599"/>
      <c r="BW249" s="599"/>
      <c r="BX249" s="599"/>
      <c r="BY249" s="599"/>
      <c r="BZ249" s="599"/>
      <c r="CA249" s="599"/>
      <c r="CB249" s="599"/>
      <c r="CC249" s="599"/>
    </row>
    <row r="250" spans="58:81" x14ac:dyDescent="0.2">
      <c r="BF250" s="597"/>
      <c r="BG250" s="621"/>
      <c r="BH250" s="599"/>
      <c r="BI250" s="599"/>
      <c r="BJ250" s="599"/>
      <c r="BK250" s="599"/>
      <c r="BL250" s="599"/>
      <c r="BM250" s="599"/>
      <c r="BN250" s="599"/>
      <c r="BO250" s="599"/>
      <c r="BP250" s="599"/>
      <c r="BQ250" s="599"/>
      <c r="BR250" s="599"/>
      <c r="BS250" s="599"/>
      <c r="BT250" s="599"/>
      <c r="BU250" s="599"/>
      <c r="BV250" s="599"/>
      <c r="BW250" s="599"/>
      <c r="BX250" s="599"/>
      <c r="BY250" s="599"/>
      <c r="BZ250" s="599"/>
      <c r="CA250" s="599"/>
      <c r="CB250" s="599"/>
      <c r="CC250" s="599"/>
    </row>
    <row r="251" spans="58:81" x14ac:dyDescent="0.2">
      <c r="BF251" s="597"/>
      <c r="BG251" s="621"/>
      <c r="BH251" s="599"/>
      <c r="BI251" s="599"/>
      <c r="BJ251" s="599"/>
      <c r="BK251" s="599"/>
      <c r="BL251" s="599"/>
      <c r="BM251" s="599"/>
      <c r="BN251" s="599"/>
      <c r="BO251" s="599"/>
      <c r="BP251" s="599"/>
      <c r="BQ251" s="599"/>
      <c r="BR251" s="599"/>
      <c r="BS251" s="599"/>
      <c r="BT251" s="599"/>
      <c r="BU251" s="599"/>
      <c r="BV251" s="599"/>
      <c r="BW251" s="599"/>
      <c r="BX251" s="599"/>
      <c r="BY251" s="599"/>
      <c r="BZ251" s="599"/>
      <c r="CA251" s="599"/>
      <c r="CB251" s="599"/>
      <c r="CC251" s="599"/>
    </row>
    <row r="252" spans="58:81" x14ac:dyDescent="0.2">
      <c r="BF252" s="597"/>
      <c r="BG252" s="621"/>
      <c r="BH252" s="599"/>
      <c r="BI252" s="599"/>
      <c r="BJ252" s="599"/>
      <c r="BK252" s="599"/>
      <c r="BL252" s="599"/>
      <c r="BM252" s="599"/>
      <c r="BN252" s="599"/>
      <c r="BO252" s="599"/>
      <c r="BP252" s="599"/>
      <c r="BQ252" s="599"/>
      <c r="BR252" s="599"/>
      <c r="BS252" s="599"/>
      <c r="BT252" s="599"/>
      <c r="BU252" s="599"/>
      <c r="BV252" s="599"/>
      <c r="BW252" s="599"/>
      <c r="BX252" s="599"/>
      <c r="BY252" s="599"/>
      <c r="BZ252" s="599"/>
      <c r="CA252" s="599"/>
      <c r="CB252" s="599"/>
      <c r="CC252" s="599"/>
    </row>
    <row r="253" spans="58:81" x14ac:dyDescent="0.2">
      <c r="BF253" s="597"/>
      <c r="BG253" s="621"/>
      <c r="BH253" s="599"/>
      <c r="BI253" s="599"/>
      <c r="BJ253" s="599"/>
      <c r="BK253" s="599"/>
      <c r="BL253" s="599"/>
      <c r="BM253" s="599"/>
      <c r="BN253" s="599"/>
      <c r="BO253" s="599"/>
      <c r="BP253" s="599"/>
      <c r="BQ253" s="599"/>
      <c r="BR253" s="599"/>
      <c r="BS253" s="599"/>
      <c r="BT253" s="599"/>
      <c r="BU253" s="599"/>
      <c r="BV253" s="599"/>
      <c r="BW253" s="599"/>
      <c r="BX253" s="599"/>
      <c r="BY253" s="599"/>
      <c r="BZ253" s="599"/>
      <c r="CA253" s="599"/>
      <c r="CB253" s="599"/>
      <c r="CC253" s="599"/>
    </row>
    <row r="254" spans="58:81" x14ac:dyDescent="0.2">
      <c r="BF254" s="597"/>
      <c r="BG254" s="621"/>
      <c r="BH254" s="599"/>
      <c r="BI254" s="599"/>
      <c r="BJ254" s="599"/>
      <c r="BK254" s="599"/>
      <c r="BL254" s="599"/>
      <c r="BM254" s="599"/>
      <c r="BN254" s="599"/>
      <c r="BO254" s="599"/>
      <c r="BP254" s="599"/>
      <c r="BQ254" s="599"/>
      <c r="BR254" s="599"/>
      <c r="BS254" s="599"/>
      <c r="BT254" s="599"/>
      <c r="BU254" s="599"/>
      <c r="BV254" s="599"/>
      <c r="BW254" s="599"/>
      <c r="BX254" s="599"/>
      <c r="BY254" s="599"/>
      <c r="BZ254" s="599"/>
      <c r="CA254" s="599"/>
      <c r="CB254" s="599"/>
      <c r="CC254" s="599"/>
    </row>
    <row r="255" spans="58:81" x14ac:dyDescent="0.2">
      <c r="BF255" s="597"/>
      <c r="BG255" s="621"/>
      <c r="BH255" s="599"/>
      <c r="BI255" s="599"/>
      <c r="BJ255" s="599"/>
      <c r="BK255" s="599"/>
      <c r="BL255" s="599"/>
      <c r="BM255" s="599"/>
      <c r="BN255" s="599"/>
      <c r="BO255" s="599"/>
      <c r="BP255" s="599"/>
      <c r="BQ255" s="599"/>
      <c r="BR255" s="599"/>
      <c r="BS255" s="599"/>
      <c r="BT255" s="599"/>
      <c r="BU255" s="599"/>
      <c r="BV255" s="599"/>
      <c r="BW255" s="599"/>
      <c r="BX255" s="599"/>
      <c r="BY255" s="599"/>
      <c r="BZ255" s="599"/>
      <c r="CA255" s="599"/>
      <c r="CB255" s="599"/>
      <c r="CC255" s="599"/>
    </row>
    <row r="256" spans="58:81" x14ac:dyDescent="0.2">
      <c r="BF256" s="597"/>
      <c r="BG256" s="621"/>
      <c r="BH256" s="599"/>
      <c r="BI256" s="599"/>
      <c r="BJ256" s="599"/>
      <c r="BK256" s="599"/>
      <c r="BL256" s="599"/>
      <c r="BM256" s="599"/>
      <c r="BN256" s="599"/>
      <c r="BO256" s="599"/>
      <c r="BP256" s="599"/>
      <c r="BQ256" s="599"/>
      <c r="BR256" s="599"/>
      <c r="BS256" s="599"/>
      <c r="BT256" s="599"/>
      <c r="BU256" s="599"/>
      <c r="BV256" s="599"/>
      <c r="BW256" s="599"/>
      <c r="BX256" s="599"/>
      <c r="BY256" s="599"/>
      <c r="BZ256" s="599"/>
      <c r="CA256" s="599"/>
      <c r="CB256" s="599"/>
      <c r="CC256" s="599"/>
    </row>
    <row r="257" spans="58:81" x14ac:dyDescent="0.2">
      <c r="BF257" s="597"/>
      <c r="BG257" s="621"/>
      <c r="BH257" s="599"/>
      <c r="BI257" s="599"/>
      <c r="BJ257" s="599"/>
      <c r="BK257" s="599"/>
      <c r="BL257" s="599"/>
      <c r="BM257" s="599"/>
      <c r="BN257" s="599"/>
      <c r="BO257" s="599"/>
      <c r="BP257" s="599"/>
      <c r="BQ257" s="599"/>
      <c r="BR257" s="599"/>
      <c r="BS257" s="599"/>
      <c r="BT257" s="599"/>
      <c r="BU257" s="599"/>
      <c r="BV257" s="599"/>
      <c r="BW257" s="599"/>
      <c r="BX257" s="599"/>
      <c r="BY257" s="599"/>
      <c r="BZ257" s="599"/>
      <c r="CA257" s="599"/>
      <c r="CB257" s="599"/>
      <c r="CC257" s="599"/>
    </row>
    <row r="258" spans="58:81" x14ac:dyDescent="0.2">
      <c r="BF258" s="597"/>
      <c r="BG258" s="621"/>
      <c r="BH258" s="599"/>
      <c r="BI258" s="599"/>
      <c r="BJ258" s="599"/>
      <c r="BK258" s="599"/>
      <c r="BL258" s="599"/>
      <c r="BM258" s="599"/>
      <c r="BN258" s="599"/>
      <c r="BO258" s="599"/>
      <c r="BP258" s="599"/>
      <c r="BQ258" s="599"/>
      <c r="BR258" s="599"/>
      <c r="BS258" s="599"/>
      <c r="BT258" s="599"/>
      <c r="BU258" s="599"/>
      <c r="BV258" s="599"/>
      <c r="BW258" s="599"/>
      <c r="BX258" s="599"/>
      <c r="BY258" s="599"/>
      <c r="BZ258" s="599"/>
      <c r="CA258" s="599"/>
      <c r="CB258" s="599"/>
      <c r="CC258" s="599"/>
    </row>
    <row r="259" spans="58:81" x14ac:dyDescent="0.2">
      <c r="BF259" s="597"/>
      <c r="BG259" s="621"/>
      <c r="BH259" s="599"/>
      <c r="BI259" s="599"/>
      <c r="BJ259" s="599"/>
      <c r="BK259" s="599"/>
      <c r="BL259" s="599"/>
      <c r="BM259" s="599"/>
      <c r="BN259" s="599"/>
      <c r="BO259" s="599"/>
      <c r="BP259" s="599"/>
      <c r="BQ259" s="599"/>
      <c r="BR259" s="599"/>
      <c r="BS259" s="599"/>
      <c r="BT259" s="599"/>
      <c r="BU259" s="599"/>
      <c r="BV259" s="599"/>
      <c r="BW259" s="599"/>
      <c r="BX259" s="599"/>
      <c r="BY259" s="599"/>
      <c r="BZ259" s="599"/>
      <c r="CA259" s="599"/>
      <c r="CB259" s="599"/>
      <c r="CC259" s="599"/>
    </row>
    <row r="260" spans="58:81" x14ac:dyDescent="0.2">
      <c r="BF260" s="597"/>
      <c r="BG260" s="621"/>
      <c r="BH260" s="599"/>
      <c r="BI260" s="599"/>
      <c r="BJ260" s="599"/>
      <c r="BK260" s="599"/>
      <c r="BL260" s="599"/>
      <c r="BM260" s="599"/>
      <c r="BN260" s="599"/>
      <c r="BO260" s="599"/>
      <c r="BP260" s="599"/>
      <c r="BQ260" s="599"/>
      <c r="BR260" s="599"/>
      <c r="BS260" s="599"/>
      <c r="BT260" s="599"/>
      <c r="BU260" s="599"/>
      <c r="BV260" s="599"/>
      <c r="BW260" s="599"/>
      <c r="BX260" s="599"/>
      <c r="BY260" s="599"/>
      <c r="BZ260" s="599"/>
      <c r="CA260" s="599"/>
      <c r="CB260" s="599"/>
      <c r="CC260" s="599"/>
    </row>
    <row r="261" spans="58:81" x14ac:dyDescent="0.2">
      <c r="BF261" s="597"/>
      <c r="BG261" s="621"/>
      <c r="BH261" s="599"/>
      <c r="BI261" s="599"/>
      <c r="BJ261" s="599"/>
      <c r="BK261" s="599"/>
      <c r="BL261" s="599"/>
      <c r="BM261" s="599"/>
      <c r="BN261" s="599"/>
      <c r="BO261" s="599"/>
      <c r="BP261" s="599"/>
      <c r="BQ261" s="599"/>
      <c r="BR261" s="599"/>
      <c r="BS261" s="599"/>
      <c r="BT261" s="599"/>
      <c r="BU261" s="599"/>
      <c r="BV261" s="599"/>
      <c r="BW261" s="599"/>
      <c r="BX261" s="599"/>
      <c r="BY261" s="599"/>
      <c r="BZ261" s="599"/>
      <c r="CA261" s="599"/>
      <c r="CB261" s="599"/>
      <c r="CC261" s="599"/>
    </row>
    <row r="262" spans="58:81" x14ac:dyDescent="0.2">
      <c r="BF262" s="597"/>
      <c r="BG262" s="621"/>
      <c r="BH262" s="599"/>
      <c r="BI262" s="599"/>
      <c r="BJ262" s="599"/>
      <c r="BK262" s="599"/>
      <c r="BL262" s="599"/>
      <c r="BM262" s="599"/>
      <c r="BN262" s="599"/>
      <c r="BO262" s="599"/>
      <c r="BP262" s="599"/>
      <c r="BQ262" s="599"/>
      <c r="BR262" s="599"/>
      <c r="BS262" s="599"/>
      <c r="BT262" s="599"/>
      <c r="BU262" s="599"/>
      <c r="BV262" s="599"/>
      <c r="BW262" s="599"/>
      <c r="BX262" s="599"/>
      <c r="BY262" s="599"/>
      <c r="BZ262" s="599"/>
      <c r="CA262" s="599"/>
      <c r="CB262" s="599"/>
      <c r="CC262" s="599"/>
    </row>
    <row r="263" spans="58:81" x14ac:dyDescent="0.2">
      <c r="BF263" s="597"/>
      <c r="BG263" s="621"/>
      <c r="BH263" s="599"/>
      <c r="BI263" s="599"/>
      <c r="BJ263" s="599"/>
      <c r="BK263" s="599"/>
      <c r="BL263" s="599"/>
      <c r="BM263" s="599"/>
      <c r="BN263" s="599"/>
      <c r="BO263" s="599"/>
      <c r="BP263" s="599"/>
      <c r="BQ263" s="599"/>
      <c r="BR263" s="599"/>
      <c r="BS263" s="599"/>
      <c r="BT263" s="599"/>
      <c r="BU263" s="599"/>
      <c r="BV263" s="599"/>
      <c r="BW263" s="599"/>
      <c r="BX263" s="599"/>
      <c r="BY263" s="599"/>
      <c r="BZ263" s="599"/>
      <c r="CA263" s="599"/>
      <c r="CB263" s="599"/>
      <c r="CC263" s="599"/>
    </row>
    <row r="264" spans="58:81" x14ac:dyDescent="0.2">
      <c r="BF264" s="597"/>
      <c r="BG264" s="621"/>
      <c r="BH264" s="599"/>
      <c r="BI264" s="599"/>
      <c r="BJ264" s="599"/>
      <c r="BK264" s="599"/>
      <c r="BL264" s="599"/>
      <c r="BM264" s="599"/>
      <c r="BN264" s="599"/>
      <c r="BO264" s="599"/>
      <c r="BP264" s="599"/>
      <c r="BQ264" s="599"/>
      <c r="BR264" s="599"/>
      <c r="BS264" s="599"/>
      <c r="BT264" s="599"/>
      <c r="BU264" s="599"/>
      <c r="BV264" s="599"/>
      <c r="BW264" s="599"/>
      <c r="BX264" s="599"/>
      <c r="BY264" s="599"/>
      <c r="BZ264" s="599"/>
      <c r="CA264" s="599"/>
      <c r="CB264" s="599"/>
      <c r="CC264" s="599"/>
    </row>
    <row r="265" spans="58:81" x14ac:dyDescent="0.2">
      <c r="BF265" s="597"/>
      <c r="BG265" s="621"/>
      <c r="BH265" s="599"/>
      <c r="BI265" s="599"/>
      <c r="BJ265" s="599"/>
      <c r="BK265" s="599"/>
      <c r="BL265" s="599"/>
      <c r="BM265" s="599"/>
      <c r="BN265" s="599"/>
      <c r="BO265" s="599"/>
      <c r="BP265" s="599"/>
      <c r="BQ265" s="599"/>
      <c r="BR265" s="599"/>
      <c r="BS265" s="599"/>
      <c r="BT265" s="599"/>
      <c r="BU265" s="599"/>
      <c r="BV265" s="599"/>
      <c r="BW265" s="599"/>
      <c r="BX265" s="599"/>
      <c r="BY265" s="599"/>
      <c r="BZ265" s="599"/>
      <c r="CA265" s="599"/>
      <c r="CB265" s="599"/>
      <c r="CC265" s="599"/>
    </row>
    <row r="266" spans="58:81" x14ac:dyDescent="0.2">
      <c r="BF266" s="597"/>
      <c r="BG266" s="621"/>
      <c r="BH266" s="599"/>
      <c r="BI266" s="599"/>
      <c r="BJ266" s="599"/>
      <c r="BK266" s="599"/>
      <c r="BL266" s="599"/>
      <c r="BM266" s="599"/>
      <c r="BN266" s="599"/>
      <c r="BO266" s="599"/>
      <c r="BP266" s="599"/>
      <c r="BQ266" s="599"/>
      <c r="BR266" s="599"/>
      <c r="BS266" s="599"/>
      <c r="BT266" s="599"/>
      <c r="BU266" s="599"/>
      <c r="BV266" s="599"/>
      <c r="BW266" s="599"/>
      <c r="BX266" s="599"/>
      <c r="BY266" s="599"/>
      <c r="BZ266" s="599"/>
      <c r="CA266" s="599"/>
      <c r="CB266" s="599"/>
      <c r="CC266" s="599"/>
    </row>
    <row r="267" spans="58:81" x14ac:dyDescent="0.2">
      <c r="BF267" s="597"/>
      <c r="BG267" s="621"/>
      <c r="BH267" s="599"/>
      <c r="BI267" s="599"/>
      <c r="BJ267" s="599"/>
      <c r="BK267" s="599"/>
      <c r="BL267" s="599"/>
      <c r="BM267" s="599"/>
      <c r="BN267" s="599"/>
      <c r="BO267" s="599"/>
      <c r="BP267" s="599"/>
      <c r="BQ267" s="599"/>
      <c r="BR267" s="599"/>
      <c r="BS267" s="599"/>
      <c r="BT267" s="599"/>
      <c r="BU267" s="599"/>
      <c r="BV267" s="599"/>
      <c r="BW267" s="599"/>
      <c r="BX267" s="599"/>
      <c r="BY267" s="599"/>
      <c r="BZ267" s="599"/>
      <c r="CA267" s="599"/>
      <c r="CB267" s="599"/>
      <c r="CC267" s="599"/>
    </row>
    <row r="268" spans="58:81" x14ac:dyDescent="0.2">
      <c r="BF268" s="597"/>
      <c r="BG268" s="621"/>
      <c r="BH268" s="599"/>
      <c r="BI268" s="599"/>
      <c r="BJ268" s="599"/>
      <c r="BK268" s="599"/>
      <c r="BL268" s="599"/>
      <c r="BM268" s="599"/>
      <c r="BN268" s="599"/>
      <c r="BO268" s="599"/>
      <c r="BP268" s="599"/>
      <c r="BQ268" s="599"/>
      <c r="BR268" s="599"/>
      <c r="BS268" s="599"/>
      <c r="BT268" s="599"/>
      <c r="BU268" s="599"/>
      <c r="BV268" s="599"/>
      <c r="BW268" s="599"/>
      <c r="BX268" s="599"/>
      <c r="BY268" s="599"/>
      <c r="BZ268" s="599"/>
      <c r="CA268" s="599"/>
      <c r="CB268" s="599"/>
      <c r="CC268" s="599"/>
    </row>
    <row r="269" spans="58:81" x14ac:dyDescent="0.2">
      <c r="BF269" s="597"/>
      <c r="BG269" s="621"/>
      <c r="BH269" s="599"/>
      <c r="BI269" s="599"/>
      <c r="BJ269" s="599"/>
      <c r="BK269" s="599"/>
      <c r="BL269" s="599"/>
      <c r="BM269" s="599"/>
      <c r="BN269" s="599"/>
      <c r="BO269" s="599"/>
      <c r="BP269" s="599"/>
      <c r="BQ269" s="599"/>
      <c r="BR269" s="599"/>
      <c r="BS269" s="599"/>
      <c r="BT269" s="599"/>
      <c r="BU269" s="599"/>
      <c r="BV269" s="599"/>
      <c r="BW269" s="599"/>
      <c r="BX269" s="599"/>
      <c r="BY269" s="599"/>
      <c r="BZ269" s="599"/>
      <c r="CA269" s="599"/>
      <c r="CB269" s="599"/>
      <c r="CC269" s="599"/>
    </row>
    <row r="270" spans="58:81" x14ac:dyDescent="0.2">
      <c r="BF270" s="597"/>
      <c r="BG270" s="621"/>
      <c r="BH270" s="599"/>
      <c r="BI270" s="599"/>
      <c r="BJ270" s="599"/>
      <c r="BK270" s="599"/>
      <c r="BL270" s="599"/>
      <c r="BM270" s="599"/>
      <c r="BN270" s="599"/>
      <c r="BO270" s="599"/>
      <c r="BP270" s="599"/>
      <c r="BQ270" s="599"/>
      <c r="BR270" s="599"/>
      <c r="BS270" s="599"/>
      <c r="BT270" s="599"/>
      <c r="BU270" s="599"/>
      <c r="BV270" s="599"/>
      <c r="BW270" s="599"/>
      <c r="BX270" s="599"/>
      <c r="BY270" s="599"/>
      <c r="BZ270" s="599"/>
      <c r="CA270" s="599"/>
      <c r="CB270" s="599"/>
      <c r="CC270" s="599"/>
    </row>
    <row r="271" spans="58:81" x14ac:dyDescent="0.2">
      <c r="BF271" s="597"/>
      <c r="BG271" s="621"/>
      <c r="BH271" s="599"/>
      <c r="BI271" s="599"/>
      <c r="BJ271" s="599"/>
      <c r="BK271" s="599"/>
      <c r="BL271" s="599"/>
      <c r="BM271" s="599"/>
      <c r="BN271" s="599"/>
      <c r="BO271" s="599"/>
      <c r="BP271" s="599"/>
      <c r="BQ271" s="599"/>
      <c r="BR271" s="599"/>
      <c r="BS271" s="599"/>
      <c r="BT271" s="599"/>
      <c r="BU271" s="599"/>
      <c r="BV271" s="599"/>
      <c r="BW271" s="599"/>
      <c r="BX271" s="599"/>
      <c r="BY271" s="599"/>
      <c r="BZ271" s="599"/>
      <c r="CA271" s="599"/>
      <c r="CB271" s="599"/>
      <c r="CC271" s="599"/>
    </row>
    <row r="272" spans="58:81" x14ac:dyDescent="0.2">
      <c r="BF272" s="597"/>
      <c r="BG272" s="621"/>
      <c r="BH272" s="599"/>
      <c r="BI272" s="599"/>
      <c r="BJ272" s="599"/>
      <c r="BK272" s="599"/>
      <c r="BL272" s="599"/>
      <c r="BM272" s="599"/>
      <c r="BN272" s="599"/>
      <c r="BO272" s="599"/>
      <c r="BP272" s="599"/>
      <c r="BQ272" s="599"/>
      <c r="BR272" s="599"/>
      <c r="BS272" s="599"/>
      <c r="BT272" s="599"/>
      <c r="BU272" s="599"/>
      <c r="BV272" s="599"/>
      <c r="BW272" s="599"/>
      <c r="BX272" s="599"/>
      <c r="BY272" s="599"/>
      <c r="BZ272" s="599"/>
      <c r="CA272" s="599"/>
      <c r="CB272" s="599"/>
      <c r="CC272" s="599"/>
    </row>
    <row r="273" spans="58:81" x14ac:dyDescent="0.2">
      <c r="BF273" s="597"/>
      <c r="BG273" s="621"/>
      <c r="BH273" s="599"/>
      <c r="BI273" s="599"/>
      <c r="BJ273" s="599"/>
      <c r="BK273" s="599"/>
      <c r="BL273" s="599"/>
      <c r="BM273" s="599"/>
      <c r="BN273" s="599"/>
      <c r="BO273" s="599"/>
      <c r="BP273" s="599"/>
      <c r="BQ273" s="599"/>
      <c r="BR273" s="599"/>
      <c r="BS273" s="599"/>
      <c r="BT273" s="599"/>
      <c r="BU273" s="599"/>
      <c r="BV273" s="599"/>
      <c r="BW273" s="599"/>
      <c r="BX273" s="599"/>
      <c r="BY273" s="599"/>
      <c r="BZ273" s="599"/>
      <c r="CA273" s="599"/>
      <c r="CB273" s="599"/>
      <c r="CC273" s="599"/>
    </row>
    <row r="274" spans="58:81" x14ac:dyDescent="0.2">
      <c r="BF274" s="597"/>
      <c r="BG274" s="621"/>
      <c r="BH274" s="599"/>
      <c r="BI274" s="599"/>
      <c r="BJ274" s="599"/>
      <c r="BK274" s="599"/>
      <c r="BL274" s="599"/>
      <c r="BM274" s="599"/>
      <c r="BN274" s="599"/>
      <c r="BO274" s="599"/>
      <c r="BP274" s="599"/>
      <c r="BQ274" s="599"/>
      <c r="BR274" s="599"/>
      <c r="BS274" s="599"/>
      <c r="BT274" s="599"/>
      <c r="BU274" s="599"/>
      <c r="BV274" s="599"/>
      <c r="BW274" s="599"/>
      <c r="BX274" s="599"/>
      <c r="BY274" s="599"/>
      <c r="BZ274" s="599"/>
      <c r="CA274" s="599"/>
      <c r="CB274" s="599"/>
      <c r="CC274" s="599"/>
    </row>
    <row r="275" spans="58:81" x14ac:dyDescent="0.2">
      <c r="BF275" s="597"/>
      <c r="BG275" s="621"/>
      <c r="BH275" s="599"/>
      <c r="BI275" s="599"/>
      <c r="BJ275" s="599"/>
      <c r="BK275" s="599"/>
      <c r="BL275" s="599"/>
      <c r="BM275" s="599"/>
      <c r="BN275" s="599"/>
      <c r="BO275" s="599"/>
      <c r="BP275" s="599"/>
      <c r="BQ275" s="599"/>
      <c r="BR275" s="599"/>
      <c r="BS275" s="599"/>
      <c r="BT275" s="599"/>
      <c r="BU275" s="599"/>
      <c r="BV275" s="599"/>
      <c r="BW275" s="599"/>
      <c r="BX275" s="599"/>
      <c r="BY275" s="599"/>
      <c r="BZ275" s="599"/>
      <c r="CA275" s="599"/>
      <c r="CB275" s="599"/>
      <c r="CC275" s="599"/>
    </row>
    <row r="276" spans="58:81" x14ac:dyDescent="0.2">
      <c r="BF276" s="597"/>
      <c r="BG276" s="621"/>
      <c r="BH276" s="599"/>
      <c r="BI276" s="599"/>
      <c r="BJ276" s="599"/>
      <c r="BK276" s="599"/>
      <c r="BL276" s="599"/>
      <c r="BM276" s="599"/>
      <c r="BN276" s="599"/>
      <c r="BO276" s="599"/>
      <c r="BP276" s="599"/>
      <c r="BQ276" s="599"/>
      <c r="BR276" s="599"/>
      <c r="BS276" s="599"/>
      <c r="BT276" s="599"/>
      <c r="BU276" s="599"/>
      <c r="BV276" s="599"/>
      <c r="BW276" s="599"/>
      <c r="BX276" s="599"/>
      <c r="BY276" s="599"/>
      <c r="BZ276" s="599"/>
      <c r="CA276" s="599"/>
      <c r="CB276" s="599"/>
      <c r="CC276" s="599"/>
    </row>
    <row r="277" spans="58:81" x14ac:dyDescent="0.2">
      <c r="BF277" s="597"/>
      <c r="BG277" s="621"/>
      <c r="BH277" s="599"/>
      <c r="BI277" s="599"/>
      <c r="BJ277" s="599"/>
      <c r="BK277" s="599"/>
      <c r="BL277" s="599"/>
      <c r="BM277" s="599"/>
      <c r="BN277" s="599"/>
      <c r="BO277" s="599"/>
      <c r="BP277" s="599"/>
      <c r="BQ277" s="599"/>
      <c r="BR277" s="599"/>
      <c r="BS277" s="599"/>
      <c r="BT277" s="599"/>
      <c r="BU277" s="599"/>
      <c r="BV277" s="599"/>
      <c r="BW277" s="599"/>
      <c r="BX277" s="599"/>
      <c r="BY277" s="599"/>
      <c r="BZ277" s="599"/>
      <c r="CA277" s="599"/>
      <c r="CB277" s="599"/>
      <c r="CC277" s="599"/>
    </row>
    <row r="278" spans="58:81" x14ac:dyDescent="0.2">
      <c r="BF278" s="597"/>
      <c r="BG278" s="621"/>
      <c r="BH278" s="599"/>
      <c r="BI278" s="599"/>
      <c r="BJ278" s="599"/>
      <c r="BK278" s="599"/>
      <c r="BL278" s="599"/>
      <c r="BM278" s="599"/>
      <c r="BN278" s="599"/>
      <c r="BO278" s="599"/>
      <c r="BP278" s="599"/>
      <c r="BQ278" s="599"/>
      <c r="BR278" s="599"/>
      <c r="BS278" s="599"/>
      <c r="BT278" s="599"/>
      <c r="BU278" s="599"/>
      <c r="BV278" s="599"/>
      <c r="BW278" s="599"/>
      <c r="BX278" s="599"/>
      <c r="BY278" s="599"/>
      <c r="BZ278" s="599"/>
      <c r="CA278" s="599"/>
      <c r="CB278" s="599"/>
      <c r="CC278" s="599"/>
    </row>
    <row r="279" spans="58:81" x14ac:dyDescent="0.2">
      <c r="BF279" s="597"/>
      <c r="BG279" s="621"/>
      <c r="BH279" s="599"/>
      <c r="BI279" s="599"/>
      <c r="BJ279" s="599"/>
      <c r="BK279" s="599"/>
      <c r="BL279" s="599"/>
      <c r="BM279" s="599"/>
      <c r="BN279" s="599"/>
      <c r="BO279" s="599"/>
      <c r="BP279" s="599"/>
      <c r="BQ279" s="599"/>
      <c r="BR279" s="599"/>
      <c r="BS279" s="599"/>
      <c r="BT279" s="599"/>
      <c r="BU279" s="599"/>
      <c r="BV279" s="599"/>
      <c r="BW279" s="599"/>
      <c r="BX279" s="599"/>
      <c r="BY279" s="599"/>
      <c r="BZ279" s="599"/>
      <c r="CA279" s="599"/>
      <c r="CB279" s="599"/>
      <c r="CC279" s="599"/>
    </row>
    <row r="280" spans="58:81" x14ac:dyDescent="0.2">
      <c r="BF280" s="597"/>
      <c r="BG280" s="621"/>
      <c r="BH280" s="599"/>
      <c r="BI280" s="599"/>
      <c r="BJ280" s="599"/>
      <c r="BK280" s="599"/>
      <c r="BL280" s="599"/>
      <c r="BM280" s="599"/>
      <c r="BN280" s="599"/>
      <c r="BO280" s="599"/>
      <c r="BP280" s="599"/>
      <c r="BQ280" s="599"/>
      <c r="BR280" s="599"/>
      <c r="BS280" s="599"/>
      <c r="BT280" s="599"/>
      <c r="BU280" s="599"/>
      <c r="BV280" s="599"/>
      <c r="BW280" s="599"/>
      <c r="BX280" s="599"/>
      <c r="BY280" s="599"/>
      <c r="BZ280" s="599"/>
      <c r="CA280" s="599"/>
      <c r="CB280" s="599"/>
      <c r="CC280" s="599"/>
    </row>
    <row r="281" spans="58:81" x14ac:dyDescent="0.2">
      <c r="BF281" s="597"/>
      <c r="BG281" s="621"/>
      <c r="BH281" s="599"/>
      <c r="BI281" s="599"/>
      <c r="BJ281" s="599"/>
      <c r="BK281" s="599"/>
      <c r="BL281" s="599"/>
      <c r="BM281" s="599"/>
      <c r="BN281" s="599"/>
      <c r="BO281" s="599"/>
      <c r="BP281" s="599"/>
      <c r="BQ281" s="599"/>
      <c r="BR281" s="599"/>
      <c r="BS281" s="599"/>
      <c r="BT281" s="599"/>
      <c r="BU281" s="599"/>
      <c r="BV281" s="599"/>
      <c r="BW281" s="599"/>
      <c r="BX281" s="599"/>
      <c r="BY281" s="599"/>
      <c r="BZ281" s="599"/>
      <c r="CA281" s="599"/>
      <c r="CB281" s="599"/>
      <c r="CC281" s="599"/>
    </row>
    <row r="282" spans="58:81" x14ac:dyDescent="0.2">
      <c r="BF282" s="597"/>
      <c r="BG282" s="621"/>
      <c r="BH282" s="599"/>
      <c r="BI282" s="599"/>
      <c r="BJ282" s="599"/>
      <c r="BK282" s="599"/>
      <c r="BL282" s="599"/>
      <c r="BM282" s="599"/>
      <c r="BN282" s="599"/>
      <c r="BO282" s="599"/>
      <c r="BP282" s="599"/>
      <c r="BQ282" s="599"/>
      <c r="BR282" s="599"/>
      <c r="BS282" s="599"/>
      <c r="BT282" s="599"/>
      <c r="BU282" s="599"/>
      <c r="BV282" s="599"/>
      <c r="BW282" s="599"/>
      <c r="BX282" s="599"/>
      <c r="BY282" s="599"/>
      <c r="BZ282" s="599"/>
      <c r="CA282" s="599"/>
      <c r="CB282" s="599"/>
      <c r="CC282" s="599"/>
    </row>
    <row r="283" spans="58:81" x14ac:dyDescent="0.2">
      <c r="BF283" s="597"/>
      <c r="BG283" s="621"/>
      <c r="BH283" s="599"/>
      <c r="BI283" s="599"/>
      <c r="BJ283" s="599"/>
      <c r="BK283" s="599"/>
      <c r="BL283" s="599"/>
      <c r="BM283" s="599"/>
      <c r="BN283" s="599"/>
      <c r="BO283" s="599"/>
      <c r="BP283" s="599"/>
      <c r="BQ283" s="599"/>
      <c r="BR283" s="599"/>
      <c r="BS283" s="599"/>
      <c r="BT283" s="599"/>
      <c r="BU283" s="599"/>
      <c r="BV283" s="599"/>
      <c r="BW283" s="599"/>
      <c r="BX283" s="599"/>
      <c r="BY283" s="599"/>
      <c r="BZ283" s="599"/>
      <c r="CA283" s="599"/>
      <c r="CB283" s="599"/>
      <c r="CC283" s="599"/>
    </row>
    <row r="284" spans="58:81" x14ac:dyDescent="0.2">
      <c r="BF284" s="597"/>
      <c r="BG284" s="621"/>
      <c r="BH284" s="599"/>
      <c r="BI284" s="599"/>
      <c r="BJ284" s="599"/>
      <c r="BK284" s="599"/>
      <c r="BL284" s="599"/>
      <c r="BM284" s="599"/>
      <c r="BN284" s="599"/>
      <c r="BO284" s="599"/>
      <c r="BP284" s="599"/>
      <c r="BQ284" s="599"/>
      <c r="BR284" s="599"/>
      <c r="BS284" s="599"/>
      <c r="BT284" s="599"/>
      <c r="BU284" s="599"/>
      <c r="BV284" s="599"/>
      <c r="BW284" s="599"/>
      <c r="BX284" s="599"/>
      <c r="BY284" s="599"/>
      <c r="BZ284" s="599"/>
      <c r="CA284" s="599"/>
      <c r="CB284" s="599"/>
      <c r="CC284" s="599"/>
    </row>
    <row r="285" spans="58:81" x14ac:dyDescent="0.2">
      <c r="BF285" s="597"/>
      <c r="BG285" s="621"/>
      <c r="BH285" s="599"/>
      <c r="BI285" s="599"/>
      <c r="BJ285" s="599"/>
      <c r="BK285" s="599"/>
      <c r="BL285" s="599"/>
      <c r="BM285" s="599"/>
      <c r="BN285" s="599"/>
      <c r="BO285" s="599"/>
      <c r="BP285" s="599"/>
      <c r="BQ285" s="599"/>
      <c r="BR285" s="599"/>
      <c r="BS285" s="599"/>
      <c r="BT285" s="599"/>
      <c r="BU285" s="599"/>
      <c r="BV285" s="599"/>
      <c r="BW285" s="599"/>
      <c r="BX285" s="599"/>
      <c r="BY285" s="599"/>
      <c r="BZ285" s="599"/>
      <c r="CA285" s="599"/>
      <c r="CB285" s="599"/>
      <c r="CC285" s="599"/>
    </row>
    <row r="286" spans="58:81" x14ac:dyDescent="0.2">
      <c r="BF286" s="597"/>
      <c r="BG286" s="621"/>
      <c r="BH286" s="599"/>
      <c r="BI286" s="599"/>
      <c r="BJ286" s="599"/>
      <c r="BK286" s="599"/>
      <c r="BL286" s="599"/>
      <c r="BM286" s="599"/>
      <c r="BN286" s="599"/>
      <c r="BO286" s="599"/>
      <c r="BP286" s="599"/>
      <c r="BQ286" s="599"/>
      <c r="BR286" s="599"/>
      <c r="BS286" s="599"/>
      <c r="BT286" s="599"/>
      <c r="BU286" s="599"/>
      <c r="BV286" s="599"/>
      <c r="BW286" s="599"/>
      <c r="BX286" s="599"/>
      <c r="BY286" s="599"/>
      <c r="BZ286" s="599"/>
      <c r="CA286" s="599"/>
      <c r="CB286" s="599"/>
      <c r="CC286" s="599"/>
    </row>
    <row r="287" spans="58:81" x14ac:dyDescent="0.2">
      <c r="BF287" s="597"/>
      <c r="BG287" s="621"/>
      <c r="BH287" s="599"/>
      <c r="BI287" s="599"/>
      <c r="BJ287" s="599"/>
      <c r="BK287" s="599"/>
      <c r="BL287" s="599"/>
      <c r="BM287" s="599"/>
      <c r="BN287" s="599"/>
      <c r="BO287" s="599"/>
      <c r="BP287" s="599"/>
      <c r="BQ287" s="599"/>
      <c r="BR287" s="599"/>
      <c r="BS287" s="599"/>
      <c r="BT287" s="599"/>
      <c r="BU287" s="599"/>
      <c r="BV287" s="599"/>
      <c r="BW287" s="599"/>
      <c r="BX287" s="599"/>
      <c r="BY287" s="599"/>
      <c r="BZ287" s="599"/>
      <c r="CA287" s="599"/>
      <c r="CB287" s="599"/>
      <c r="CC287" s="599"/>
    </row>
    <row r="288" spans="58:81" x14ac:dyDescent="0.2">
      <c r="BF288" s="597"/>
      <c r="BG288" s="621"/>
      <c r="BH288" s="599"/>
      <c r="BI288" s="599"/>
      <c r="BJ288" s="599"/>
      <c r="BK288" s="599"/>
      <c r="BL288" s="599"/>
      <c r="BM288" s="599"/>
      <c r="BN288" s="599"/>
      <c r="BO288" s="599"/>
      <c r="BP288" s="599"/>
      <c r="BQ288" s="599"/>
      <c r="BR288" s="599"/>
      <c r="BS288" s="599"/>
      <c r="BT288" s="599"/>
      <c r="BU288" s="599"/>
      <c r="BV288" s="599"/>
      <c r="BW288" s="599"/>
      <c r="BX288" s="599"/>
      <c r="BY288" s="599"/>
      <c r="BZ288" s="599"/>
      <c r="CA288" s="599"/>
      <c r="CB288" s="599"/>
      <c r="CC288" s="599"/>
    </row>
    <row r="289" spans="58:81" x14ac:dyDescent="0.2">
      <c r="BF289" s="597"/>
      <c r="BG289" s="621"/>
      <c r="BH289" s="599"/>
      <c r="BI289" s="599"/>
      <c r="BJ289" s="599"/>
      <c r="BK289" s="599"/>
      <c r="BL289" s="599"/>
      <c r="BM289" s="599"/>
      <c r="BN289" s="599"/>
      <c r="BO289" s="599"/>
      <c r="BP289" s="599"/>
      <c r="BQ289" s="599"/>
      <c r="BR289" s="599"/>
      <c r="BS289" s="599"/>
      <c r="BT289" s="599"/>
      <c r="BU289" s="599"/>
      <c r="BV289" s="599"/>
      <c r="BW289" s="599"/>
      <c r="BX289" s="599"/>
      <c r="BY289" s="599"/>
      <c r="BZ289" s="599"/>
      <c r="CA289" s="599"/>
      <c r="CB289" s="599"/>
      <c r="CC289" s="599"/>
    </row>
    <row r="290" spans="58:81" x14ac:dyDescent="0.2">
      <c r="BF290" s="597"/>
      <c r="BG290" s="621"/>
      <c r="BH290" s="599"/>
      <c r="BI290" s="599"/>
      <c r="BJ290" s="599"/>
      <c r="BK290" s="599"/>
      <c r="BL290" s="599"/>
      <c r="BM290" s="599"/>
      <c r="BN290" s="599"/>
      <c r="BO290" s="599"/>
      <c r="BP290" s="599"/>
      <c r="BQ290" s="599"/>
      <c r="BR290" s="599"/>
      <c r="BS290" s="599"/>
      <c r="BT290" s="599"/>
      <c r="BU290" s="599"/>
      <c r="BV290" s="599"/>
      <c r="BW290" s="599"/>
      <c r="BX290" s="599"/>
      <c r="BY290" s="599"/>
      <c r="BZ290" s="599"/>
      <c r="CA290" s="599"/>
      <c r="CB290" s="599"/>
      <c r="CC290" s="599"/>
    </row>
    <row r="291" spans="58:81" x14ac:dyDescent="0.2">
      <c r="BF291" s="597"/>
      <c r="BG291" s="621"/>
      <c r="BH291" s="599"/>
      <c r="BI291" s="599"/>
      <c r="BJ291" s="599"/>
      <c r="BK291" s="599"/>
      <c r="BL291" s="599"/>
      <c r="BM291" s="599"/>
      <c r="BN291" s="599"/>
      <c r="BO291" s="599"/>
      <c r="BP291" s="599"/>
      <c r="BQ291" s="599"/>
      <c r="BR291" s="599"/>
      <c r="BS291" s="599"/>
      <c r="BT291" s="599"/>
      <c r="BU291" s="599"/>
      <c r="BV291" s="599"/>
      <c r="BW291" s="599"/>
      <c r="BX291" s="599"/>
      <c r="BY291" s="599"/>
      <c r="BZ291" s="599"/>
      <c r="CA291" s="599"/>
      <c r="CB291" s="599"/>
      <c r="CC291" s="599"/>
    </row>
    <row r="292" spans="58:81" x14ac:dyDescent="0.2">
      <c r="BF292" s="597"/>
      <c r="BG292" s="621"/>
      <c r="BH292" s="599"/>
      <c r="BI292" s="599"/>
      <c r="BJ292" s="599"/>
      <c r="BK292" s="599"/>
      <c r="BL292" s="599"/>
      <c r="BM292" s="599"/>
      <c r="BN292" s="599"/>
      <c r="BO292" s="599"/>
      <c r="BP292" s="599"/>
      <c r="BQ292" s="599"/>
      <c r="BR292" s="599"/>
      <c r="BS292" s="599"/>
      <c r="BT292" s="599"/>
      <c r="BU292" s="599"/>
      <c r="BV292" s="599"/>
      <c r="BW292" s="599"/>
      <c r="BX292" s="599"/>
      <c r="BY292" s="599"/>
      <c r="BZ292" s="599"/>
      <c r="CA292" s="599"/>
      <c r="CB292" s="599"/>
      <c r="CC292" s="599"/>
    </row>
    <row r="293" spans="58:81" x14ac:dyDescent="0.2">
      <c r="BF293" s="597"/>
      <c r="BG293" s="621"/>
      <c r="BH293" s="599"/>
      <c r="BI293" s="599"/>
      <c r="BJ293" s="599"/>
      <c r="BK293" s="599"/>
      <c r="BL293" s="599"/>
      <c r="BM293" s="599"/>
      <c r="BN293" s="599"/>
      <c r="BO293" s="599"/>
      <c r="BP293" s="599"/>
      <c r="BQ293" s="599"/>
      <c r="BR293" s="599"/>
      <c r="BS293" s="599"/>
      <c r="BT293" s="599"/>
      <c r="BU293" s="599"/>
      <c r="BV293" s="599"/>
      <c r="BW293" s="599"/>
      <c r="BX293" s="599"/>
      <c r="BY293" s="599"/>
      <c r="BZ293" s="599"/>
      <c r="CA293" s="599"/>
      <c r="CB293" s="599"/>
      <c r="CC293" s="599"/>
    </row>
    <row r="294" spans="58:81" x14ac:dyDescent="0.2">
      <c r="BF294" s="597"/>
      <c r="BG294" s="621"/>
      <c r="BH294" s="599"/>
      <c r="BI294" s="599"/>
      <c r="BJ294" s="599"/>
      <c r="BK294" s="599"/>
      <c r="BL294" s="599"/>
      <c r="BM294" s="599"/>
      <c r="BN294" s="599"/>
      <c r="BO294" s="599"/>
      <c r="BP294" s="599"/>
      <c r="BQ294" s="599"/>
      <c r="BR294" s="599"/>
      <c r="BS294" s="599"/>
      <c r="BT294" s="599"/>
      <c r="BU294" s="599"/>
      <c r="BV294" s="599"/>
      <c r="BW294" s="599"/>
      <c r="BX294" s="599"/>
      <c r="BY294" s="599"/>
      <c r="BZ294" s="599"/>
      <c r="CA294" s="599"/>
      <c r="CB294" s="599"/>
      <c r="CC294" s="599"/>
    </row>
    <row r="295" spans="58:81" x14ac:dyDescent="0.2">
      <c r="BF295" s="597"/>
      <c r="BG295" s="621"/>
      <c r="BH295" s="599"/>
      <c r="BI295" s="599"/>
      <c r="BJ295" s="599"/>
      <c r="BK295" s="599"/>
      <c r="BL295" s="599"/>
      <c r="BM295" s="599"/>
      <c r="BN295" s="599"/>
      <c r="BO295" s="599"/>
      <c r="BP295" s="599"/>
      <c r="BQ295" s="599"/>
      <c r="BR295" s="599"/>
      <c r="BS295" s="599"/>
      <c r="BT295" s="599"/>
      <c r="BU295" s="599"/>
      <c r="BV295" s="599"/>
      <c r="BW295" s="599"/>
      <c r="BX295" s="599"/>
      <c r="BY295" s="599"/>
      <c r="BZ295" s="599"/>
      <c r="CA295" s="599"/>
      <c r="CB295" s="599"/>
      <c r="CC295" s="599"/>
    </row>
    <row r="296" spans="58:81" x14ac:dyDescent="0.2">
      <c r="BF296" s="597"/>
      <c r="BG296" s="621"/>
      <c r="BH296" s="599"/>
      <c r="BI296" s="599"/>
      <c r="BJ296" s="599"/>
      <c r="BK296" s="599"/>
      <c r="BL296" s="599"/>
      <c r="BM296" s="599"/>
      <c r="BN296" s="599"/>
      <c r="BO296" s="599"/>
      <c r="BP296" s="599"/>
      <c r="BQ296" s="599"/>
      <c r="BR296" s="599"/>
      <c r="BS296" s="599"/>
      <c r="BT296" s="599"/>
      <c r="BU296" s="599"/>
      <c r="BV296" s="599"/>
      <c r="BW296" s="599"/>
      <c r="BX296" s="599"/>
      <c r="BY296" s="599"/>
      <c r="BZ296" s="599"/>
      <c r="CA296" s="599"/>
      <c r="CB296" s="599"/>
      <c r="CC296" s="599"/>
    </row>
    <row r="297" spans="58:81" x14ac:dyDescent="0.2">
      <c r="BF297" s="597"/>
      <c r="BG297" s="621"/>
      <c r="BH297" s="599"/>
      <c r="BI297" s="599"/>
      <c r="BJ297" s="599"/>
      <c r="BK297" s="599"/>
      <c r="BL297" s="599"/>
      <c r="BM297" s="599"/>
      <c r="BN297" s="599"/>
      <c r="BO297" s="599"/>
      <c r="BP297" s="599"/>
      <c r="BQ297" s="599"/>
      <c r="BR297" s="599"/>
      <c r="BS297" s="599"/>
      <c r="BT297" s="599"/>
      <c r="BU297" s="599"/>
      <c r="BV297" s="599"/>
      <c r="BW297" s="599"/>
      <c r="BX297" s="599"/>
      <c r="BY297" s="599"/>
      <c r="BZ297" s="599"/>
      <c r="CA297" s="599"/>
      <c r="CB297" s="599"/>
      <c r="CC297" s="599"/>
    </row>
    <row r="298" spans="58:81" x14ac:dyDescent="0.2">
      <c r="BF298" s="597"/>
      <c r="BG298" s="621"/>
      <c r="BH298" s="599"/>
      <c r="BI298" s="599"/>
      <c r="BJ298" s="599"/>
      <c r="BK298" s="599"/>
      <c r="BL298" s="599"/>
      <c r="BM298" s="599"/>
      <c r="BN298" s="599"/>
      <c r="BO298" s="599"/>
      <c r="BP298" s="599"/>
      <c r="BQ298" s="599"/>
      <c r="BR298" s="599"/>
      <c r="BS298" s="599"/>
      <c r="BT298" s="599"/>
      <c r="BU298" s="599"/>
      <c r="BV298" s="599"/>
      <c r="BW298" s="599"/>
      <c r="BX298" s="599"/>
      <c r="BY298" s="599"/>
      <c r="BZ298" s="599"/>
      <c r="CA298" s="599"/>
      <c r="CB298" s="599"/>
      <c r="CC298" s="599"/>
    </row>
    <row r="299" spans="58:81" x14ac:dyDescent="0.2">
      <c r="BF299" s="597"/>
      <c r="BG299" s="621"/>
      <c r="BH299" s="599"/>
      <c r="BI299" s="599"/>
      <c r="BJ299" s="599"/>
      <c r="BK299" s="599"/>
      <c r="BL299" s="599"/>
      <c r="BM299" s="599"/>
      <c r="BN299" s="599"/>
      <c r="BO299" s="599"/>
      <c r="BP299" s="599"/>
      <c r="BQ299" s="599"/>
      <c r="BR299" s="599"/>
      <c r="BS299" s="599"/>
      <c r="BT299" s="599"/>
      <c r="BU299" s="599"/>
      <c r="BV299" s="599"/>
      <c r="BW299" s="599"/>
      <c r="BX299" s="599"/>
      <c r="BY299" s="599"/>
      <c r="BZ299" s="599"/>
      <c r="CA299" s="599"/>
      <c r="CB299" s="599"/>
      <c r="CC299" s="599"/>
    </row>
    <row r="300" spans="58:81" x14ac:dyDescent="0.2">
      <c r="BF300" s="597"/>
      <c r="BG300" s="621"/>
      <c r="BH300" s="599"/>
      <c r="BI300" s="599"/>
      <c r="BJ300" s="599"/>
      <c r="BK300" s="599"/>
      <c r="BL300" s="599"/>
      <c r="BM300" s="599"/>
      <c r="BN300" s="599"/>
      <c r="BO300" s="599"/>
      <c r="BP300" s="599"/>
      <c r="BQ300" s="599"/>
      <c r="BR300" s="599"/>
      <c r="BS300" s="599"/>
      <c r="BT300" s="599"/>
      <c r="BU300" s="599"/>
      <c r="BV300" s="599"/>
      <c r="BW300" s="599"/>
      <c r="BX300" s="599"/>
      <c r="BY300" s="599"/>
      <c r="BZ300" s="599"/>
      <c r="CA300" s="599"/>
      <c r="CB300" s="599"/>
      <c r="CC300" s="599"/>
    </row>
    <row r="301" spans="58:81" x14ac:dyDescent="0.2">
      <c r="BF301" s="597"/>
      <c r="BG301" s="621"/>
      <c r="BH301" s="599"/>
      <c r="BI301" s="599"/>
      <c r="BJ301" s="599"/>
      <c r="BK301" s="599"/>
      <c r="BL301" s="599"/>
      <c r="BM301" s="599"/>
      <c r="BN301" s="599"/>
      <c r="BO301" s="599"/>
      <c r="BP301" s="599"/>
      <c r="BQ301" s="599"/>
      <c r="BR301" s="599"/>
      <c r="BS301" s="599"/>
      <c r="BT301" s="599"/>
      <c r="BU301" s="599"/>
      <c r="BV301" s="599"/>
      <c r="BW301" s="599"/>
      <c r="BX301" s="599"/>
      <c r="BY301" s="599"/>
      <c r="BZ301" s="599"/>
      <c r="CA301" s="599"/>
      <c r="CB301" s="599"/>
      <c r="CC301" s="599"/>
    </row>
    <row r="302" spans="58:81" x14ac:dyDescent="0.2">
      <c r="BF302" s="597"/>
      <c r="BG302" s="621"/>
      <c r="BH302" s="599"/>
      <c r="BI302" s="599"/>
      <c r="BJ302" s="599"/>
      <c r="BK302" s="599"/>
      <c r="BL302" s="599"/>
      <c r="BM302" s="599"/>
      <c r="BN302" s="599"/>
      <c r="BO302" s="599"/>
      <c r="BP302" s="599"/>
      <c r="BQ302" s="599"/>
      <c r="BR302" s="599"/>
      <c r="BS302" s="599"/>
      <c r="BT302" s="599"/>
      <c r="BU302" s="599"/>
      <c r="BV302" s="599"/>
      <c r="BW302" s="599"/>
      <c r="BX302" s="599"/>
      <c r="BY302" s="599"/>
      <c r="BZ302" s="599"/>
      <c r="CA302" s="599"/>
      <c r="CB302" s="599"/>
      <c r="CC302" s="599"/>
    </row>
    <row r="303" spans="58:81" x14ac:dyDescent="0.2">
      <c r="BF303" s="597"/>
      <c r="BG303" s="621"/>
      <c r="BH303" s="599"/>
      <c r="BI303" s="599"/>
      <c r="BJ303" s="599"/>
      <c r="BK303" s="599"/>
      <c r="BL303" s="599"/>
      <c r="BM303" s="599"/>
      <c r="BN303" s="599"/>
      <c r="BO303" s="599"/>
      <c r="BP303" s="599"/>
      <c r="BQ303" s="599"/>
      <c r="BR303" s="599"/>
      <c r="BS303" s="599"/>
      <c r="BT303" s="599"/>
      <c r="BU303" s="599"/>
      <c r="BV303" s="599"/>
      <c r="BW303" s="599"/>
      <c r="BX303" s="599"/>
      <c r="BY303" s="599"/>
      <c r="BZ303" s="599"/>
      <c r="CA303" s="599"/>
      <c r="CB303" s="599"/>
      <c r="CC303" s="599"/>
    </row>
    <row r="304" spans="58:81" x14ac:dyDescent="0.2">
      <c r="BF304" s="597"/>
      <c r="BG304" s="621"/>
      <c r="BH304" s="599"/>
      <c r="BI304" s="599"/>
      <c r="BJ304" s="599"/>
      <c r="BK304" s="599"/>
      <c r="BL304" s="599"/>
      <c r="BM304" s="599"/>
      <c r="BN304" s="599"/>
      <c r="BO304" s="599"/>
      <c r="BP304" s="599"/>
      <c r="BQ304" s="599"/>
      <c r="BR304" s="599"/>
      <c r="BS304" s="599"/>
      <c r="BT304" s="599"/>
      <c r="BU304" s="599"/>
      <c r="BV304" s="599"/>
      <c r="BW304" s="599"/>
      <c r="BX304" s="599"/>
      <c r="BY304" s="599"/>
      <c r="BZ304" s="599"/>
      <c r="CA304" s="599"/>
      <c r="CB304" s="599"/>
      <c r="CC304" s="599"/>
    </row>
    <row r="305" spans="58:81" x14ac:dyDescent="0.2">
      <c r="BF305" s="597"/>
      <c r="BG305" s="621"/>
      <c r="BH305" s="599"/>
      <c r="BI305" s="599"/>
      <c r="BJ305" s="599"/>
      <c r="BK305" s="599"/>
      <c r="BL305" s="599"/>
      <c r="BM305" s="599"/>
      <c r="BN305" s="599"/>
      <c r="BO305" s="599"/>
      <c r="BP305" s="599"/>
      <c r="BQ305" s="599"/>
      <c r="BR305" s="599"/>
      <c r="BS305" s="599"/>
      <c r="BT305" s="599"/>
      <c r="BU305" s="599"/>
      <c r="BV305" s="599"/>
      <c r="BW305" s="599"/>
      <c r="BX305" s="599"/>
      <c r="BY305" s="599"/>
      <c r="BZ305" s="599"/>
      <c r="CA305" s="599"/>
      <c r="CB305" s="599"/>
      <c r="CC305" s="599"/>
    </row>
    <row r="306" spans="58:81" x14ac:dyDescent="0.2">
      <c r="BF306" s="597"/>
      <c r="BG306" s="621"/>
      <c r="BH306" s="599"/>
      <c r="BI306" s="599"/>
      <c r="BJ306" s="599"/>
      <c r="BK306" s="599"/>
      <c r="BL306" s="599"/>
      <c r="BM306" s="599"/>
      <c r="BN306" s="599"/>
      <c r="BO306" s="599"/>
      <c r="BP306" s="599"/>
      <c r="BQ306" s="599"/>
      <c r="BR306" s="599"/>
      <c r="BS306" s="599"/>
      <c r="BT306" s="599"/>
      <c r="BU306" s="599"/>
      <c r="BV306" s="599"/>
      <c r="BW306" s="599"/>
      <c r="BX306" s="599"/>
      <c r="BY306" s="599"/>
      <c r="BZ306" s="599"/>
      <c r="CA306" s="599"/>
      <c r="CB306" s="599"/>
      <c r="CC306" s="599"/>
    </row>
    <row r="307" spans="58:81" x14ac:dyDescent="0.2">
      <c r="BF307" s="597"/>
      <c r="BG307" s="621"/>
      <c r="BH307" s="599"/>
      <c r="BI307" s="599"/>
      <c r="BJ307" s="599"/>
      <c r="BK307" s="599"/>
      <c r="BL307" s="599"/>
      <c r="BM307" s="599"/>
      <c r="BN307" s="599"/>
      <c r="BO307" s="599"/>
      <c r="BP307" s="599"/>
      <c r="BQ307" s="599"/>
      <c r="BR307" s="599"/>
      <c r="BS307" s="599"/>
      <c r="BT307" s="599"/>
      <c r="BU307" s="599"/>
      <c r="BV307" s="599"/>
      <c r="BW307" s="599"/>
      <c r="BX307" s="599"/>
      <c r="BY307" s="599"/>
      <c r="BZ307" s="599"/>
      <c r="CA307" s="599"/>
      <c r="CB307" s="599"/>
      <c r="CC307" s="599"/>
    </row>
    <row r="308" spans="58:81" x14ac:dyDescent="0.2">
      <c r="BF308" s="597"/>
      <c r="BG308" s="621"/>
      <c r="BH308" s="599"/>
      <c r="BI308" s="599"/>
      <c r="BJ308" s="599"/>
      <c r="BK308" s="599"/>
      <c r="BL308" s="599"/>
      <c r="BM308" s="599"/>
      <c r="BN308" s="599"/>
      <c r="BO308" s="599"/>
      <c r="BP308" s="599"/>
      <c r="BQ308" s="599"/>
      <c r="BR308" s="599"/>
      <c r="BS308" s="599"/>
      <c r="BT308" s="599"/>
      <c r="BU308" s="599"/>
      <c r="BV308" s="599"/>
      <c r="BW308" s="599"/>
      <c r="BX308" s="599"/>
      <c r="BY308" s="599"/>
      <c r="BZ308" s="599"/>
      <c r="CA308" s="599"/>
      <c r="CB308" s="599"/>
      <c r="CC308" s="599"/>
    </row>
    <row r="309" spans="58:81" x14ac:dyDescent="0.2">
      <c r="BF309" s="597"/>
      <c r="BG309" s="621"/>
      <c r="BH309" s="599"/>
      <c r="BI309" s="599"/>
      <c r="BJ309" s="599"/>
      <c r="BK309" s="599"/>
      <c r="BL309" s="599"/>
      <c r="BM309" s="599"/>
      <c r="BN309" s="599"/>
      <c r="BO309" s="599"/>
      <c r="BP309" s="599"/>
      <c r="BQ309" s="599"/>
      <c r="BR309" s="599"/>
      <c r="BS309" s="599"/>
      <c r="BT309" s="599"/>
      <c r="BU309" s="599"/>
      <c r="BV309" s="599"/>
      <c r="BW309" s="599"/>
      <c r="BX309" s="599"/>
      <c r="BY309" s="599"/>
      <c r="BZ309" s="599"/>
      <c r="CA309" s="599"/>
      <c r="CB309" s="599"/>
      <c r="CC309" s="599"/>
    </row>
    <row r="310" spans="58:81" x14ac:dyDescent="0.2">
      <c r="BF310" s="597"/>
      <c r="BG310" s="621"/>
      <c r="BH310" s="599"/>
      <c r="BI310" s="599"/>
      <c r="BJ310" s="599"/>
      <c r="BK310" s="599"/>
      <c r="BL310" s="599"/>
      <c r="BM310" s="599"/>
      <c r="BN310" s="599"/>
      <c r="BO310" s="599"/>
      <c r="BP310" s="599"/>
      <c r="BQ310" s="599"/>
      <c r="BR310" s="599"/>
      <c r="BS310" s="599"/>
      <c r="BT310" s="599"/>
      <c r="BU310" s="599"/>
      <c r="BV310" s="599"/>
      <c r="BW310" s="599"/>
      <c r="BX310" s="599"/>
      <c r="BY310" s="599"/>
      <c r="BZ310" s="599"/>
      <c r="CA310" s="599"/>
      <c r="CB310" s="599"/>
      <c r="CC310" s="599"/>
    </row>
    <row r="311" spans="58:81" x14ac:dyDescent="0.2">
      <c r="BF311" s="597"/>
      <c r="BG311" s="621"/>
      <c r="BH311" s="599"/>
      <c r="BI311" s="599"/>
      <c r="BJ311" s="599"/>
      <c r="BK311" s="599"/>
      <c r="BL311" s="599"/>
      <c r="BM311" s="599"/>
      <c r="BN311" s="599"/>
      <c r="BO311" s="599"/>
      <c r="BP311" s="599"/>
      <c r="BQ311" s="599"/>
      <c r="BR311" s="599"/>
      <c r="BS311" s="599"/>
      <c r="BT311" s="599"/>
      <c r="BU311" s="599"/>
      <c r="BV311" s="599"/>
      <c r="BW311" s="599"/>
      <c r="BX311" s="599"/>
      <c r="BY311" s="599"/>
      <c r="BZ311" s="599"/>
      <c r="CA311" s="599"/>
      <c r="CB311" s="599"/>
      <c r="CC311" s="599"/>
    </row>
    <row r="312" spans="58:81" x14ac:dyDescent="0.2">
      <c r="BF312" s="597"/>
      <c r="BG312" s="621"/>
      <c r="BH312" s="599"/>
      <c r="BI312" s="599"/>
      <c r="BJ312" s="599"/>
      <c r="BK312" s="599"/>
      <c r="BL312" s="599"/>
      <c r="BM312" s="599"/>
      <c r="BN312" s="599"/>
      <c r="BO312" s="599"/>
      <c r="BP312" s="599"/>
      <c r="BQ312" s="599"/>
      <c r="BR312" s="599"/>
      <c r="BS312" s="599"/>
      <c r="BT312" s="599"/>
      <c r="BU312" s="599"/>
      <c r="BV312" s="599"/>
      <c r="BW312" s="599"/>
      <c r="BX312" s="599"/>
      <c r="BY312" s="599"/>
      <c r="BZ312" s="599"/>
      <c r="CA312" s="599"/>
      <c r="CB312" s="599"/>
      <c r="CC312" s="599"/>
    </row>
    <row r="313" spans="58:81" x14ac:dyDescent="0.2">
      <c r="BF313" s="597"/>
      <c r="BG313" s="621"/>
      <c r="BH313" s="599"/>
      <c r="BI313" s="599"/>
      <c r="BJ313" s="599"/>
      <c r="BK313" s="599"/>
      <c r="BL313" s="599"/>
      <c r="BM313" s="599"/>
      <c r="BN313" s="599"/>
      <c r="BO313" s="599"/>
      <c r="BP313" s="599"/>
      <c r="BQ313" s="599"/>
      <c r="BR313" s="599"/>
      <c r="BS313" s="599"/>
      <c r="BT313" s="599"/>
      <c r="BU313" s="599"/>
      <c r="BV313" s="599"/>
      <c r="BW313" s="599"/>
      <c r="BX313" s="599"/>
      <c r="BY313" s="599"/>
      <c r="BZ313" s="599"/>
      <c r="CA313" s="599"/>
      <c r="CB313" s="599"/>
      <c r="CC313" s="599"/>
    </row>
    <row r="314" spans="58:81" x14ac:dyDescent="0.2">
      <c r="BF314" s="597"/>
      <c r="BG314" s="621"/>
      <c r="BH314" s="599"/>
      <c r="BI314" s="599"/>
      <c r="BJ314" s="599"/>
      <c r="BK314" s="599"/>
      <c r="BL314" s="599"/>
      <c r="BM314" s="599"/>
      <c r="BN314" s="599"/>
      <c r="BO314" s="599"/>
      <c r="BP314" s="599"/>
      <c r="BQ314" s="599"/>
      <c r="BR314" s="599"/>
      <c r="BS314" s="599"/>
      <c r="BT314" s="599"/>
      <c r="BU314" s="599"/>
      <c r="BV314" s="599"/>
      <c r="BW314" s="599"/>
      <c r="BX314" s="599"/>
      <c r="BY314" s="599"/>
      <c r="BZ314" s="599"/>
      <c r="CA314" s="599"/>
      <c r="CB314" s="599"/>
      <c r="CC314" s="599"/>
    </row>
    <row r="315" spans="58:81" x14ac:dyDescent="0.2">
      <c r="BF315" s="597"/>
      <c r="BG315" s="621"/>
      <c r="BH315" s="599"/>
      <c r="BI315" s="599"/>
      <c r="BJ315" s="599"/>
      <c r="BK315" s="599"/>
      <c r="BL315" s="599"/>
      <c r="BM315" s="599"/>
      <c r="BN315" s="599"/>
      <c r="BO315" s="599"/>
      <c r="BP315" s="599"/>
      <c r="BQ315" s="599"/>
      <c r="BR315" s="599"/>
      <c r="BS315" s="599"/>
      <c r="BT315" s="599"/>
      <c r="BU315" s="599"/>
      <c r="BV315" s="599"/>
      <c r="BW315" s="599"/>
      <c r="BX315" s="599"/>
      <c r="BY315" s="599"/>
      <c r="BZ315" s="599"/>
      <c r="CA315" s="599"/>
      <c r="CB315" s="599"/>
      <c r="CC315" s="599"/>
    </row>
    <row r="316" spans="58:81" x14ac:dyDescent="0.2">
      <c r="BF316" s="597"/>
      <c r="BG316" s="621"/>
      <c r="BH316" s="599"/>
      <c r="BI316" s="599"/>
      <c r="BJ316" s="599"/>
      <c r="BK316" s="599"/>
      <c r="BL316" s="599"/>
      <c r="BM316" s="599"/>
      <c r="BN316" s="599"/>
      <c r="BO316" s="599"/>
      <c r="BP316" s="599"/>
      <c r="BQ316" s="599"/>
      <c r="BR316" s="599"/>
      <c r="BS316" s="599"/>
      <c r="BT316" s="599"/>
      <c r="BU316" s="599"/>
      <c r="BV316" s="599"/>
      <c r="BW316" s="599"/>
      <c r="BX316" s="599"/>
      <c r="BY316" s="599"/>
      <c r="BZ316" s="599"/>
      <c r="CA316" s="599"/>
      <c r="CB316" s="599"/>
      <c r="CC316" s="599"/>
    </row>
    <row r="317" spans="58:81" x14ac:dyDescent="0.2">
      <c r="BF317" s="597"/>
      <c r="BG317" s="621"/>
      <c r="BH317" s="599"/>
      <c r="BI317" s="599"/>
      <c r="BJ317" s="599"/>
      <c r="BK317" s="599"/>
      <c r="BL317" s="599"/>
      <c r="BM317" s="599"/>
      <c r="BN317" s="599"/>
      <c r="BO317" s="599"/>
      <c r="BP317" s="599"/>
      <c r="BQ317" s="599"/>
      <c r="BR317" s="599"/>
      <c r="BS317" s="599"/>
      <c r="BT317" s="599"/>
      <c r="BU317" s="599"/>
      <c r="BV317" s="599"/>
      <c r="BW317" s="599"/>
      <c r="BX317" s="599"/>
      <c r="BY317" s="599"/>
      <c r="BZ317" s="599"/>
      <c r="CA317" s="599"/>
      <c r="CB317" s="599"/>
      <c r="CC317" s="599"/>
    </row>
    <row r="318" spans="58:81" x14ac:dyDescent="0.2">
      <c r="BF318" s="597"/>
      <c r="BG318" s="621"/>
      <c r="BH318" s="599"/>
      <c r="BI318" s="599"/>
      <c r="BJ318" s="599"/>
      <c r="BK318" s="599"/>
      <c r="BL318" s="599"/>
      <c r="BM318" s="599"/>
      <c r="BN318" s="599"/>
      <c r="BO318" s="599"/>
      <c r="BP318" s="599"/>
      <c r="BQ318" s="599"/>
      <c r="BR318" s="599"/>
      <c r="BS318" s="599"/>
      <c r="BT318" s="599"/>
      <c r="BU318" s="599"/>
      <c r="BV318" s="599"/>
      <c r="BW318" s="599"/>
      <c r="BX318" s="599"/>
      <c r="BY318" s="599"/>
      <c r="BZ318" s="599"/>
      <c r="CA318" s="599"/>
      <c r="CB318" s="599"/>
      <c r="CC318" s="599"/>
    </row>
    <row r="319" spans="58:81" x14ac:dyDescent="0.2">
      <c r="BF319" s="597"/>
      <c r="BG319" s="621"/>
      <c r="BH319" s="599"/>
      <c r="BI319" s="599"/>
      <c r="BJ319" s="599"/>
      <c r="BK319" s="599"/>
      <c r="BL319" s="599"/>
      <c r="BM319" s="599"/>
      <c r="BN319" s="599"/>
      <c r="BO319" s="599"/>
      <c r="BP319" s="599"/>
      <c r="BQ319" s="599"/>
      <c r="BR319" s="599"/>
      <c r="BS319" s="599"/>
      <c r="BT319" s="599"/>
      <c r="BU319" s="599"/>
      <c r="BV319" s="599"/>
      <c r="BW319" s="599"/>
      <c r="BX319" s="599"/>
      <c r="BY319" s="599"/>
      <c r="BZ319" s="599"/>
      <c r="CA319" s="599"/>
      <c r="CB319" s="599"/>
      <c r="CC319" s="599"/>
    </row>
    <row r="320" spans="58:81" x14ac:dyDescent="0.2">
      <c r="BF320" s="597"/>
      <c r="BG320" s="621"/>
      <c r="BH320" s="599"/>
      <c r="BI320" s="599"/>
      <c r="BJ320" s="599"/>
      <c r="BK320" s="599"/>
      <c r="BL320" s="599"/>
      <c r="BM320" s="599"/>
      <c r="BN320" s="599"/>
      <c r="BO320" s="599"/>
      <c r="BP320" s="599"/>
      <c r="BQ320" s="599"/>
      <c r="BR320" s="599"/>
      <c r="BS320" s="599"/>
      <c r="BT320" s="599"/>
      <c r="BU320" s="599"/>
      <c r="BV320" s="599"/>
      <c r="BW320" s="599"/>
      <c r="BX320" s="599"/>
      <c r="BY320" s="599"/>
      <c r="BZ320" s="599"/>
      <c r="CA320" s="599"/>
      <c r="CB320" s="599"/>
      <c r="CC320" s="599"/>
    </row>
    <row r="321" spans="58:81" x14ac:dyDescent="0.2">
      <c r="BF321" s="597"/>
      <c r="BG321" s="621"/>
      <c r="BH321" s="599"/>
      <c r="BI321" s="599"/>
      <c r="BJ321" s="599"/>
      <c r="BK321" s="599"/>
      <c r="BL321" s="599"/>
      <c r="BM321" s="599"/>
      <c r="BN321" s="599"/>
      <c r="BO321" s="599"/>
      <c r="BP321" s="599"/>
      <c r="BQ321" s="599"/>
      <c r="BR321" s="599"/>
      <c r="BS321" s="599"/>
      <c r="BT321" s="599"/>
      <c r="BU321" s="599"/>
      <c r="BV321" s="599"/>
      <c r="BW321" s="599"/>
      <c r="BX321" s="599"/>
      <c r="BY321" s="599"/>
      <c r="BZ321" s="599"/>
      <c r="CA321" s="599"/>
      <c r="CB321" s="599"/>
      <c r="CC321" s="599"/>
    </row>
    <row r="322" spans="58:81" x14ac:dyDescent="0.2">
      <c r="BF322" s="597"/>
      <c r="BG322" s="621"/>
      <c r="BH322" s="599"/>
      <c r="BI322" s="599"/>
      <c r="BJ322" s="599"/>
      <c r="BK322" s="599"/>
      <c r="BL322" s="599"/>
      <c r="BM322" s="599"/>
      <c r="BN322" s="599"/>
      <c r="BO322" s="599"/>
      <c r="BP322" s="599"/>
      <c r="BQ322" s="599"/>
      <c r="BR322" s="599"/>
      <c r="BS322" s="599"/>
      <c r="BT322" s="599"/>
      <c r="BU322" s="599"/>
      <c r="BV322" s="599"/>
      <c r="BW322" s="599"/>
      <c r="BX322" s="599"/>
      <c r="BY322" s="599"/>
      <c r="BZ322" s="599"/>
      <c r="CA322" s="599"/>
      <c r="CB322" s="599"/>
      <c r="CC322" s="599"/>
    </row>
    <row r="323" spans="58:81" x14ac:dyDescent="0.2">
      <c r="BF323" s="597"/>
      <c r="BG323" s="621"/>
      <c r="BH323" s="599"/>
      <c r="BI323" s="599"/>
      <c r="BJ323" s="599"/>
      <c r="BK323" s="599"/>
      <c r="BL323" s="599"/>
      <c r="BM323" s="599"/>
      <c r="BN323" s="599"/>
      <c r="BO323" s="599"/>
      <c r="BP323" s="599"/>
      <c r="BQ323" s="599"/>
      <c r="BR323" s="599"/>
      <c r="BS323" s="599"/>
      <c r="BT323" s="599"/>
      <c r="BU323" s="599"/>
      <c r="BV323" s="599"/>
      <c r="BW323" s="599"/>
      <c r="BX323" s="599"/>
      <c r="BY323" s="599"/>
      <c r="BZ323" s="599"/>
      <c r="CA323" s="599"/>
      <c r="CB323" s="599"/>
      <c r="CC323" s="599"/>
    </row>
    <row r="324" spans="58:81" x14ac:dyDescent="0.2">
      <c r="BF324" s="597"/>
      <c r="BG324" s="621"/>
      <c r="BH324" s="599"/>
      <c r="BI324" s="599"/>
      <c r="BJ324" s="599"/>
      <c r="BK324" s="599"/>
      <c r="BL324" s="599"/>
      <c r="BM324" s="599"/>
      <c r="BN324" s="599"/>
      <c r="BO324" s="599"/>
      <c r="BP324" s="599"/>
      <c r="BQ324" s="599"/>
      <c r="BR324" s="599"/>
      <c r="BS324" s="599"/>
      <c r="BT324" s="599"/>
      <c r="BU324" s="599"/>
      <c r="BV324" s="599"/>
      <c r="BW324" s="599"/>
      <c r="BX324" s="599"/>
      <c r="BY324" s="599"/>
      <c r="BZ324" s="599"/>
      <c r="CA324" s="599"/>
      <c r="CB324" s="599"/>
      <c r="CC324" s="599"/>
    </row>
    <row r="325" spans="58:81" x14ac:dyDescent="0.2">
      <c r="BF325" s="597"/>
      <c r="BG325" s="621"/>
      <c r="BH325" s="599"/>
      <c r="BI325" s="599"/>
      <c r="BJ325" s="599"/>
      <c r="BK325" s="599"/>
      <c r="BL325" s="599"/>
      <c r="BM325" s="599"/>
      <c r="BN325" s="599"/>
      <c r="BO325" s="599"/>
      <c r="BP325" s="599"/>
      <c r="BQ325" s="599"/>
      <c r="BR325" s="599"/>
      <c r="BS325" s="599"/>
      <c r="BT325" s="599"/>
      <c r="BU325" s="599"/>
      <c r="BV325" s="599"/>
      <c r="BW325" s="599"/>
      <c r="BX325" s="599"/>
      <c r="BY325" s="599"/>
      <c r="BZ325" s="599"/>
      <c r="CA325" s="599"/>
      <c r="CB325" s="599"/>
      <c r="CC325" s="599"/>
    </row>
    <row r="326" spans="58:81" x14ac:dyDescent="0.2">
      <c r="BF326" s="597"/>
      <c r="BG326" s="621"/>
      <c r="BH326" s="599"/>
      <c r="BI326" s="599"/>
      <c r="BJ326" s="599"/>
      <c r="BK326" s="599"/>
      <c r="BL326" s="599"/>
      <c r="BM326" s="599"/>
      <c r="BN326" s="599"/>
      <c r="BO326" s="599"/>
      <c r="BP326" s="599"/>
      <c r="BQ326" s="599"/>
      <c r="BR326" s="599"/>
      <c r="BS326" s="599"/>
      <c r="BT326" s="599"/>
      <c r="BU326" s="599"/>
      <c r="BV326" s="599"/>
      <c r="BW326" s="599"/>
      <c r="BX326" s="599"/>
      <c r="BY326" s="599"/>
      <c r="BZ326" s="599"/>
      <c r="CA326" s="599"/>
      <c r="CB326" s="599"/>
      <c r="CC326" s="599"/>
    </row>
    <row r="327" spans="58:81" x14ac:dyDescent="0.2">
      <c r="BF327" s="597"/>
      <c r="BG327" s="621"/>
      <c r="BH327" s="599"/>
      <c r="BI327" s="599"/>
      <c r="BJ327" s="599"/>
      <c r="BK327" s="599"/>
      <c r="BL327" s="599"/>
      <c r="BM327" s="599"/>
      <c r="BN327" s="599"/>
      <c r="BO327" s="599"/>
      <c r="BP327" s="599"/>
      <c r="BQ327" s="599"/>
      <c r="BR327" s="599"/>
      <c r="BS327" s="599"/>
      <c r="BT327" s="599"/>
      <c r="BU327" s="599"/>
      <c r="BV327" s="599"/>
      <c r="BW327" s="599"/>
      <c r="BX327" s="599"/>
      <c r="BY327" s="599"/>
      <c r="BZ327" s="599"/>
      <c r="CA327" s="599"/>
      <c r="CB327" s="599"/>
      <c r="CC327" s="599"/>
    </row>
    <row r="328" spans="58:81" x14ac:dyDescent="0.2">
      <c r="BF328" s="597"/>
      <c r="BG328" s="621"/>
      <c r="BH328" s="599"/>
      <c r="BI328" s="599"/>
      <c r="BJ328" s="599"/>
      <c r="BK328" s="599"/>
      <c r="BL328" s="599"/>
      <c r="BM328" s="599"/>
      <c r="BN328" s="599"/>
      <c r="BO328" s="599"/>
      <c r="BP328" s="599"/>
      <c r="BQ328" s="599"/>
      <c r="BR328" s="599"/>
      <c r="BS328" s="599"/>
      <c r="BT328" s="599"/>
      <c r="BU328" s="599"/>
      <c r="BV328" s="599"/>
      <c r="BW328" s="599"/>
      <c r="BX328" s="599"/>
      <c r="BY328" s="599"/>
      <c r="BZ328" s="599"/>
      <c r="CA328" s="599"/>
      <c r="CB328" s="599"/>
      <c r="CC328" s="599"/>
    </row>
    <row r="329" spans="58:81" x14ac:dyDescent="0.2">
      <c r="BF329" s="597"/>
      <c r="BG329" s="621"/>
      <c r="BH329" s="599"/>
      <c r="BI329" s="599"/>
      <c r="BJ329" s="599"/>
      <c r="BK329" s="599"/>
      <c r="BL329" s="599"/>
      <c r="BM329" s="599"/>
      <c r="BN329" s="599"/>
      <c r="BO329" s="599"/>
      <c r="BP329" s="599"/>
      <c r="BQ329" s="599"/>
      <c r="BR329" s="599"/>
      <c r="BS329" s="599"/>
      <c r="BT329" s="599"/>
      <c r="BU329" s="599"/>
      <c r="BV329" s="599"/>
      <c r="BW329" s="599"/>
      <c r="BX329" s="599"/>
      <c r="BY329" s="599"/>
      <c r="BZ329" s="599"/>
      <c r="CA329" s="599"/>
      <c r="CB329" s="599"/>
      <c r="CC329" s="599"/>
    </row>
    <row r="330" spans="58:81" x14ac:dyDescent="0.2">
      <c r="BF330" s="597"/>
      <c r="BG330" s="621"/>
      <c r="BH330" s="599"/>
      <c r="BI330" s="599"/>
      <c r="BJ330" s="599"/>
      <c r="BK330" s="599"/>
      <c r="BL330" s="599"/>
      <c r="BM330" s="599"/>
      <c r="BN330" s="599"/>
      <c r="BO330" s="599"/>
      <c r="BP330" s="599"/>
      <c r="BQ330" s="599"/>
      <c r="BR330" s="599"/>
      <c r="BS330" s="599"/>
      <c r="BT330" s="599"/>
      <c r="BU330" s="599"/>
      <c r="BV330" s="599"/>
      <c r="BW330" s="599"/>
      <c r="BX330" s="599"/>
      <c r="BY330" s="599"/>
      <c r="BZ330" s="599"/>
      <c r="CA330" s="599"/>
      <c r="CB330" s="599"/>
      <c r="CC330" s="599"/>
    </row>
    <row r="331" spans="58:81" x14ac:dyDescent="0.2">
      <c r="BF331" s="597"/>
      <c r="BG331" s="621"/>
      <c r="BH331" s="599"/>
      <c r="BI331" s="599"/>
      <c r="BJ331" s="599"/>
      <c r="BK331" s="599"/>
      <c r="BL331" s="599"/>
      <c r="BM331" s="599"/>
      <c r="BN331" s="599"/>
      <c r="BO331" s="599"/>
      <c r="BP331" s="599"/>
      <c r="BQ331" s="599"/>
      <c r="BR331" s="599"/>
      <c r="BS331" s="599"/>
      <c r="BT331" s="599"/>
      <c r="BU331" s="599"/>
      <c r="BV331" s="599"/>
      <c r="BW331" s="599"/>
      <c r="BX331" s="599"/>
      <c r="BY331" s="599"/>
      <c r="BZ331" s="599"/>
      <c r="CA331" s="599"/>
      <c r="CB331" s="599"/>
      <c r="CC331" s="599"/>
    </row>
    <row r="332" spans="58:81" x14ac:dyDescent="0.2">
      <c r="BF332" s="597"/>
      <c r="BG332" s="621"/>
      <c r="BH332" s="599"/>
      <c r="BI332" s="599"/>
      <c r="BJ332" s="599"/>
      <c r="BK332" s="599"/>
      <c r="BL332" s="599"/>
      <c r="BM332" s="599"/>
      <c r="BN332" s="599"/>
      <c r="BO332" s="599"/>
      <c r="BP332" s="599"/>
      <c r="BQ332" s="599"/>
      <c r="BR332" s="599"/>
      <c r="BS332" s="599"/>
      <c r="BT332" s="599"/>
      <c r="BU332" s="599"/>
      <c r="BV332" s="599"/>
      <c r="BW332" s="599"/>
      <c r="BX332" s="599"/>
      <c r="BY332" s="599"/>
      <c r="BZ332" s="599"/>
      <c r="CA332" s="599"/>
      <c r="CB332" s="599"/>
      <c r="CC332" s="599"/>
    </row>
    <row r="333" spans="58:81" x14ac:dyDescent="0.2">
      <c r="BF333" s="597"/>
      <c r="BG333" s="621"/>
      <c r="BH333" s="599"/>
      <c r="BI333" s="599"/>
      <c r="BJ333" s="599"/>
      <c r="BK333" s="599"/>
      <c r="BL333" s="599"/>
      <c r="BM333" s="599"/>
      <c r="BN333" s="599"/>
      <c r="BO333" s="599"/>
      <c r="BP333" s="599"/>
      <c r="BQ333" s="599"/>
      <c r="BR333" s="599"/>
      <c r="BS333" s="599"/>
      <c r="BT333" s="599"/>
      <c r="BU333" s="599"/>
      <c r="BV333" s="599"/>
      <c r="BW333" s="599"/>
      <c r="BX333" s="599"/>
      <c r="BY333" s="599"/>
      <c r="BZ333" s="599"/>
      <c r="CA333" s="599"/>
      <c r="CB333" s="599"/>
      <c r="CC333" s="599"/>
    </row>
    <row r="334" spans="58:81" x14ac:dyDescent="0.2">
      <c r="BF334" s="597"/>
      <c r="BG334" s="621"/>
      <c r="BH334" s="599"/>
      <c r="BI334" s="599"/>
      <c r="BJ334" s="599"/>
      <c r="BK334" s="599"/>
      <c r="BL334" s="599"/>
      <c r="BM334" s="599"/>
      <c r="BN334" s="599"/>
      <c r="BO334" s="599"/>
      <c r="BP334" s="599"/>
      <c r="BQ334" s="599"/>
      <c r="BR334" s="599"/>
      <c r="BS334" s="599"/>
      <c r="BT334" s="599"/>
      <c r="BU334" s="599"/>
      <c r="BV334" s="599"/>
      <c r="BW334" s="599"/>
      <c r="BX334" s="599"/>
      <c r="BY334" s="599"/>
      <c r="BZ334" s="599"/>
      <c r="CA334" s="599"/>
      <c r="CB334" s="599"/>
      <c r="CC334" s="599"/>
    </row>
    <row r="335" spans="58:81" x14ac:dyDescent="0.2">
      <c r="BF335" s="597"/>
      <c r="BG335" s="621"/>
      <c r="BH335" s="599"/>
      <c r="BI335" s="599"/>
      <c r="BJ335" s="599"/>
      <c r="BK335" s="599"/>
      <c r="BL335" s="599"/>
      <c r="BM335" s="599"/>
      <c r="BN335" s="599"/>
      <c r="BO335" s="599"/>
      <c r="BP335" s="599"/>
      <c r="BQ335" s="599"/>
      <c r="BR335" s="599"/>
      <c r="BS335" s="599"/>
      <c r="BT335" s="599"/>
      <c r="BU335" s="599"/>
      <c r="BV335" s="599"/>
      <c r="BW335" s="599"/>
      <c r="BX335" s="599"/>
      <c r="BY335" s="599"/>
      <c r="BZ335" s="599"/>
      <c r="CA335" s="599"/>
      <c r="CB335" s="599"/>
      <c r="CC335" s="599"/>
    </row>
    <row r="336" spans="58:81" x14ac:dyDescent="0.2">
      <c r="BF336" s="597"/>
      <c r="BG336" s="621"/>
      <c r="BH336" s="599"/>
      <c r="BI336" s="599"/>
      <c r="BJ336" s="599"/>
      <c r="BK336" s="599"/>
      <c r="BL336" s="599"/>
      <c r="BM336" s="599"/>
      <c r="BN336" s="599"/>
      <c r="BO336" s="599"/>
      <c r="BP336" s="599"/>
      <c r="BQ336" s="599"/>
      <c r="BR336" s="599"/>
      <c r="BS336" s="599"/>
      <c r="BT336" s="599"/>
      <c r="BU336" s="599"/>
      <c r="BV336" s="599"/>
      <c r="BW336" s="599"/>
      <c r="BX336" s="599"/>
      <c r="BY336" s="599"/>
      <c r="BZ336" s="599"/>
      <c r="CA336" s="599"/>
      <c r="CB336" s="599"/>
      <c r="CC336" s="599"/>
    </row>
    <row r="337" spans="58:81" x14ac:dyDescent="0.2">
      <c r="BF337" s="597"/>
      <c r="BG337" s="621"/>
      <c r="BH337" s="599"/>
      <c r="BI337" s="599"/>
      <c r="BJ337" s="599"/>
      <c r="BK337" s="599"/>
      <c r="BL337" s="599"/>
      <c r="BM337" s="599"/>
      <c r="BN337" s="599"/>
      <c r="BO337" s="599"/>
      <c r="BP337" s="599"/>
      <c r="BQ337" s="599"/>
      <c r="BR337" s="599"/>
      <c r="BS337" s="599"/>
      <c r="BT337" s="599"/>
      <c r="BU337" s="599"/>
      <c r="BV337" s="599"/>
      <c r="BW337" s="599"/>
      <c r="BX337" s="599"/>
      <c r="BY337" s="599"/>
      <c r="BZ337" s="599"/>
      <c r="CA337" s="599"/>
      <c r="CB337" s="599"/>
      <c r="CC337" s="599"/>
    </row>
    <row r="338" spans="58:81" x14ac:dyDescent="0.2">
      <c r="BF338" s="597"/>
      <c r="BG338" s="621"/>
      <c r="BH338" s="599"/>
      <c r="BI338" s="599"/>
      <c r="BJ338" s="599"/>
      <c r="BK338" s="599"/>
      <c r="BL338" s="599"/>
      <c r="BM338" s="599"/>
      <c r="BN338" s="599"/>
      <c r="BO338" s="599"/>
      <c r="BP338" s="599"/>
      <c r="BQ338" s="599"/>
      <c r="BR338" s="599"/>
      <c r="BS338" s="599"/>
      <c r="BT338" s="599"/>
      <c r="BU338" s="599"/>
      <c r="BV338" s="599"/>
      <c r="BW338" s="599"/>
      <c r="BX338" s="599"/>
      <c r="BY338" s="599"/>
      <c r="BZ338" s="599"/>
      <c r="CA338" s="599"/>
      <c r="CB338" s="599"/>
      <c r="CC338" s="599"/>
    </row>
    <row r="339" spans="58:81" x14ac:dyDescent="0.2">
      <c r="BF339" s="597"/>
      <c r="BG339" s="621"/>
      <c r="BH339" s="599"/>
      <c r="BI339" s="599"/>
      <c r="BJ339" s="599"/>
      <c r="BK339" s="599"/>
      <c r="BL339" s="599"/>
      <c r="BM339" s="599"/>
      <c r="BN339" s="599"/>
      <c r="BO339" s="599"/>
      <c r="BP339" s="599"/>
      <c r="BQ339" s="599"/>
      <c r="BR339" s="599"/>
      <c r="BS339" s="599"/>
      <c r="BT339" s="599"/>
      <c r="BU339" s="599"/>
      <c r="BV339" s="599"/>
      <c r="BW339" s="599"/>
      <c r="BX339" s="599"/>
      <c r="BY339" s="599"/>
      <c r="BZ339" s="599"/>
      <c r="CA339" s="599"/>
      <c r="CB339" s="599"/>
      <c r="CC339" s="599"/>
    </row>
    <row r="340" spans="58:81" x14ac:dyDescent="0.2">
      <c r="BF340" s="597"/>
      <c r="BG340" s="621"/>
      <c r="BH340" s="599"/>
      <c r="BI340" s="599"/>
      <c r="BJ340" s="599"/>
      <c r="BK340" s="599"/>
      <c r="BL340" s="599"/>
      <c r="BM340" s="599"/>
      <c r="BN340" s="599"/>
      <c r="BO340" s="599"/>
      <c r="BP340" s="599"/>
      <c r="BQ340" s="599"/>
      <c r="BR340" s="599"/>
      <c r="BS340" s="599"/>
      <c r="BT340" s="599"/>
      <c r="BU340" s="599"/>
      <c r="BV340" s="599"/>
      <c r="BW340" s="599"/>
      <c r="BX340" s="599"/>
      <c r="BY340" s="599"/>
      <c r="BZ340" s="599"/>
      <c r="CA340" s="599"/>
      <c r="CB340" s="599"/>
      <c r="CC340" s="599"/>
    </row>
    <row r="341" spans="58:81" x14ac:dyDescent="0.2">
      <c r="BF341" s="597"/>
      <c r="BG341" s="621"/>
      <c r="BH341" s="599"/>
      <c r="BI341" s="599"/>
      <c r="BJ341" s="599"/>
      <c r="BK341" s="599"/>
      <c r="BL341" s="599"/>
      <c r="BM341" s="599"/>
      <c r="BN341" s="599"/>
      <c r="BO341" s="599"/>
      <c r="BP341" s="599"/>
      <c r="BQ341" s="599"/>
      <c r="BR341" s="599"/>
      <c r="BS341" s="599"/>
      <c r="BT341" s="599"/>
      <c r="BU341" s="599"/>
      <c r="BV341" s="599"/>
      <c r="BW341" s="599"/>
      <c r="BX341" s="599"/>
      <c r="BY341" s="599"/>
      <c r="BZ341" s="599"/>
      <c r="CA341" s="599"/>
      <c r="CB341" s="599"/>
      <c r="CC341" s="599"/>
    </row>
    <row r="342" spans="58:81" x14ac:dyDescent="0.2">
      <c r="BF342" s="597"/>
      <c r="BG342" s="621"/>
      <c r="BH342" s="599"/>
      <c r="BI342" s="599"/>
      <c r="BJ342" s="599"/>
      <c r="BK342" s="599"/>
      <c r="BL342" s="599"/>
      <c r="BM342" s="599"/>
      <c r="BN342" s="599"/>
      <c r="BO342" s="599"/>
      <c r="BP342" s="599"/>
      <c r="BQ342" s="599"/>
      <c r="BR342" s="599"/>
      <c r="BS342" s="599"/>
      <c r="BT342" s="599"/>
      <c r="BU342" s="599"/>
      <c r="BV342" s="599"/>
      <c r="BW342" s="599"/>
      <c r="BX342" s="599"/>
      <c r="BY342" s="599"/>
      <c r="BZ342" s="599"/>
      <c r="CA342" s="599"/>
      <c r="CB342" s="599"/>
      <c r="CC342" s="599"/>
    </row>
    <row r="343" spans="58:81" x14ac:dyDescent="0.2">
      <c r="BF343" s="597"/>
      <c r="BG343" s="621"/>
      <c r="BH343" s="599"/>
      <c r="BI343" s="599"/>
      <c r="BJ343" s="599"/>
      <c r="BK343" s="599"/>
      <c r="BL343" s="599"/>
      <c r="BM343" s="599"/>
      <c r="BN343" s="599"/>
      <c r="BO343" s="599"/>
      <c r="BP343" s="599"/>
      <c r="BQ343" s="599"/>
      <c r="BR343" s="599"/>
      <c r="BS343" s="599"/>
      <c r="BT343" s="599"/>
      <c r="BU343" s="599"/>
      <c r="BV343" s="599"/>
      <c r="BW343" s="599"/>
      <c r="BX343" s="599"/>
      <c r="BY343" s="599"/>
      <c r="BZ343" s="599"/>
      <c r="CA343" s="599"/>
      <c r="CB343" s="599"/>
      <c r="CC343" s="599"/>
    </row>
    <row r="344" spans="58:81" x14ac:dyDescent="0.2">
      <c r="BF344" s="597"/>
      <c r="BG344" s="621"/>
      <c r="BH344" s="599"/>
      <c r="BI344" s="599"/>
      <c r="BJ344" s="599"/>
      <c r="BK344" s="599"/>
      <c r="BL344" s="599"/>
      <c r="BM344" s="599"/>
      <c r="BN344" s="599"/>
      <c r="BO344" s="599"/>
      <c r="BP344" s="599"/>
      <c r="BQ344" s="599"/>
      <c r="BR344" s="599"/>
      <c r="BS344" s="599"/>
      <c r="BT344" s="599"/>
      <c r="BU344" s="599"/>
      <c r="BV344" s="599"/>
      <c r="BW344" s="599"/>
      <c r="BX344" s="599"/>
      <c r="BY344" s="599"/>
      <c r="BZ344" s="599"/>
      <c r="CA344" s="599"/>
      <c r="CB344" s="599"/>
      <c r="CC344" s="599"/>
    </row>
    <row r="345" spans="58:81" x14ac:dyDescent="0.2">
      <c r="BF345" s="597"/>
      <c r="BG345" s="621"/>
      <c r="BH345" s="599"/>
      <c r="BI345" s="599"/>
      <c r="BJ345" s="599"/>
      <c r="BK345" s="599"/>
      <c r="BL345" s="599"/>
      <c r="BM345" s="599"/>
      <c r="BN345" s="599"/>
      <c r="BO345" s="599"/>
      <c r="BP345" s="599"/>
      <c r="BQ345" s="599"/>
      <c r="BR345" s="599"/>
      <c r="BS345" s="599"/>
      <c r="BT345" s="599"/>
      <c r="BU345" s="599"/>
      <c r="BV345" s="599"/>
      <c r="BW345" s="599"/>
      <c r="BX345" s="599"/>
      <c r="BY345" s="599"/>
      <c r="BZ345" s="599"/>
      <c r="CA345" s="599"/>
      <c r="CB345" s="599"/>
      <c r="CC345" s="599"/>
    </row>
    <row r="346" spans="58:81" x14ac:dyDescent="0.2">
      <c r="BF346" s="597"/>
      <c r="BG346" s="621"/>
      <c r="BH346" s="599"/>
      <c r="BI346" s="599"/>
      <c r="BJ346" s="599"/>
      <c r="BK346" s="599"/>
      <c r="BL346" s="599"/>
      <c r="BM346" s="599"/>
      <c r="BN346" s="599"/>
      <c r="BO346" s="599"/>
      <c r="BP346" s="599"/>
      <c r="BQ346" s="599"/>
      <c r="BR346" s="599"/>
      <c r="BS346" s="599"/>
      <c r="BT346" s="599"/>
      <c r="BU346" s="599"/>
      <c r="BV346" s="599"/>
      <c r="BW346" s="599"/>
      <c r="BX346" s="599"/>
      <c r="BY346" s="599"/>
      <c r="BZ346" s="599"/>
      <c r="CA346" s="599"/>
      <c r="CB346" s="599"/>
      <c r="CC346" s="599"/>
    </row>
    <row r="347" spans="58:81" x14ac:dyDescent="0.2">
      <c r="BF347" s="597"/>
      <c r="BG347" s="621"/>
      <c r="BH347" s="599"/>
      <c r="BI347" s="599"/>
      <c r="BJ347" s="599"/>
      <c r="BK347" s="599"/>
      <c r="BL347" s="599"/>
      <c r="BM347" s="599"/>
      <c r="BN347" s="599"/>
      <c r="BO347" s="599"/>
      <c r="BP347" s="599"/>
      <c r="BQ347" s="599"/>
      <c r="BR347" s="599"/>
      <c r="BS347" s="599"/>
      <c r="BT347" s="599"/>
      <c r="BU347" s="599"/>
      <c r="BV347" s="599"/>
      <c r="BW347" s="599"/>
      <c r="BX347" s="599"/>
      <c r="BY347" s="599"/>
      <c r="BZ347" s="599"/>
      <c r="CA347" s="599"/>
      <c r="CB347" s="599"/>
      <c r="CC347" s="599"/>
    </row>
    <row r="348" spans="58:81" x14ac:dyDescent="0.2">
      <c r="BF348" s="597"/>
      <c r="BG348" s="621"/>
      <c r="BH348" s="599"/>
      <c r="BI348" s="599"/>
      <c r="BJ348" s="599"/>
      <c r="BK348" s="599"/>
      <c r="BL348" s="599"/>
      <c r="BM348" s="599"/>
      <c r="BN348" s="599"/>
      <c r="BO348" s="599"/>
      <c r="BP348" s="599"/>
      <c r="BQ348" s="599"/>
      <c r="BR348" s="599"/>
      <c r="BS348" s="599"/>
      <c r="BT348" s="599"/>
      <c r="BU348" s="599"/>
      <c r="BV348" s="599"/>
      <c r="BW348" s="599"/>
      <c r="BX348" s="599"/>
      <c r="BY348" s="599"/>
      <c r="BZ348" s="599"/>
      <c r="CA348" s="599"/>
      <c r="CB348" s="599"/>
      <c r="CC348" s="599"/>
    </row>
    <row r="349" spans="58:81" x14ac:dyDescent="0.2">
      <c r="BF349" s="597"/>
      <c r="BG349" s="621"/>
      <c r="BH349" s="599"/>
      <c r="BI349" s="599"/>
      <c r="BJ349" s="599"/>
      <c r="BK349" s="599"/>
      <c r="BL349" s="599"/>
      <c r="BM349" s="599"/>
      <c r="BN349" s="599"/>
      <c r="BO349" s="599"/>
      <c r="BP349" s="599"/>
      <c r="BQ349" s="599"/>
      <c r="BR349" s="599"/>
      <c r="BS349" s="599"/>
      <c r="BT349" s="599"/>
      <c r="BU349" s="599"/>
      <c r="BV349" s="599"/>
      <c r="BW349" s="599"/>
      <c r="BX349" s="599"/>
      <c r="BY349" s="599"/>
      <c r="BZ349" s="599"/>
      <c r="CA349" s="599"/>
      <c r="CB349" s="599"/>
      <c r="CC349" s="599"/>
    </row>
    <row r="350" spans="58:81" x14ac:dyDescent="0.2">
      <c r="BF350" s="597"/>
      <c r="BG350" s="621"/>
      <c r="BH350" s="599"/>
      <c r="BI350" s="599"/>
      <c r="BJ350" s="599"/>
      <c r="BK350" s="599"/>
      <c r="BL350" s="599"/>
      <c r="BM350" s="599"/>
      <c r="BN350" s="599"/>
      <c r="BO350" s="599"/>
      <c r="BP350" s="599"/>
      <c r="BQ350" s="599"/>
      <c r="BR350" s="599"/>
      <c r="BS350" s="599"/>
      <c r="BT350" s="599"/>
      <c r="BU350" s="599"/>
      <c r="BV350" s="599"/>
      <c r="BW350" s="599"/>
      <c r="BX350" s="599"/>
      <c r="BY350" s="599"/>
      <c r="BZ350" s="599"/>
      <c r="CA350" s="599"/>
      <c r="CB350" s="599"/>
      <c r="CC350" s="599"/>
    </row>
    <row r="351" spans="58:81" x14ac:dyDescent="0.2">
      <c r="BF351" s="597"/>
      <c r="BG351" s="621"/>
      <c r="BH351" s="599"/>
      <c r="BI351" s="599"/>
      <c r="BJ351" s="599"/>
      <c r="BK351" s="599"/>
      <c r="BL351" s="599"/>
      <c r="BM351" s="599"/>
      <c r="BN351" s="599"/>
      <c r="BO351" s="599"/>
      <c r="BP351" s="599"/>
      <c r="BQ351" s="599"/>
      <c r="BR351" s="599"/>
      <c r="BS351" s="599"/>
      <c r="BT351" s="599"/>
      <c r="BU351" s="599"/>
      <c r="BV351" s="599"/>
      <c r="BW351" s="599"/>
      <c r="BX351" s="599"/>
      <c r="BY351" s="599"/>
      <c r="BZ351" s="599"/>
      <c r="CA351" s="599"/>
      <c r="CB351" s="599"/>
      <c r="CC351" s="599"/>
    </row>
    <row r="352" spans="58:81" x14ac:dyDescent="0.2">
      <c r="BF352" s="597"/>
      <c r="BG352" s="621"/>
      <c r="BH352" s="599"/>
      <c r="BI352" s="599"/>
      <c r="BJ352" s="599"/>
      <c r="BK352" s="599"/>
      <c r="BL352" s="599"/>
      <c r="BM352" s="599"/>
      <c r="BN352" s="599"/>
      <c r="BO352" s="599"/>
      <c r="BP352" s="599"/>
      <c r="BQ352" s="599"/>
      <c r="BR352" s="599"/>
      <c r="BS352" s="599"/>
      <c r="BT352" s="599"/>
      <c r="BU352" s="599"/>
      <c r="BV352" s="599"/>
      <c r="BW352" s="599"/>
      <c r="BX352" s="599"/>
      <c r="BY352" s="599"/>
      <c r="BZ352" s="599"/>
      <c r="CA352" s="599"/>
      <c r="CB352" s="599"/>
      <c r="CC352" s="599"/>
    </row>
    <row r="353" spans="58:81" x14ac:dyDescent="0.2">
      <c r="BF353" s="597"/>
      <c r="BG353" s="621"/>
      <c r="BH353" s="599"/>
      <c r="BI353" s="599"/>
      <c r="BJ353" s="599"/>
      <c r="BK353" s="599"/>
      <c r="BL353" s="599"/>
      <c r="BM353" s="599"/>
      <c r="BN353" s="599"/>
      <c r="BO353" s="599"/>
      <c r="BP353" s="599"/>
      <c r="BQ353" s="599"/>
      <c r="BR353" s="599"/>
      <c r="BS353" s="599"/>
      <c r="BT353" s="599"/>
      <c r="BU353" s="599"/>
      <c r="BV353" s="599"/>
      <c r="BW353" s="599"/>
      <c r="BX353" s="599"/>
      <c r="BY353" s="599"/>
      <c r="BZ353" s="599"/>
      <c r="CA353" s="599"/>
      <c r="CB353" s="599"/>
      <c r="CC353" s="599"/>
    </row>
    <row r="354" spans="58:81" x14ac:dyDescent="0.2">
      <c r="BF354" s="597"/>
      <c r="BG354" s="621"/>
      <c r="BH354" s="599"/>
      <c r="BI354" s="599"/>
      <c r="BJ354" s="599"/>
      <c r="BK354" s="599"/>
      <c r="BL354" s="599"/>
      <c r="BM354" s="599"/>
      <c r="BN354" s="599"/>
      <c r="BO354" s="599"/>
      <c r="BP354" s="599"/>
      <c r="BQ354" s="599"/>
      <c r="BR354" s="599"/>
      <c r="BS354" s="599"/>
      <c r="BT354" s="599"/>
      <c r="BU354" s="599"/>
      <c r="BV354" s="599"/>
      <c r="BW354" s="599"/>
      <c r="BX354" s="599"/>
      <c r="BY354" s="599"/>
      <c r="BZ354" s="599"/>
      <c r="CA354" s="599"/>
      <c r="CB354" s="599"/>
      <c r="CC354" s="599"/>
    </row>
    <row r="355" spans="58:81" x14ac:dyDescent="0.2">
      <c r="BF355" s="597"/>
      <c r="BG355" s="621"/>
      <c r="BH355" s="599"/>
      <c r="BI355" s="599"/>
      <c r="BJ355" s="599"/>
      <c r="BK355" s="599"/>
      <c r="BL355" s="599"/>
      <c r="BM355" s="599"/>
      <c r="BN355" s="599"/>
      <c r="BO355" s="599"/>
      <c r="BP355" s="599"/>
      <c r="BQ355" s="599"/>
      <c r="BR355" s="599"/>
      <c r="BS355" s="599"/>
      <c r="BT355" s="599"/>
      <c r="BU355" s="599"/>
      <c r="BV355" s="599"/>
      <c r="BW355" s="599"/>
      <c r="BX355" s="599"/>
      <c r="BY355" s="599"/>
      <c r="BZ355" s="599"/>
      <c r="CA355" s="599"/>
      <c r="CB355" s="599"/>
      <c r="CC355" s="599"/>
    </row>
    <row r="356" spans="58:81" x14ac:dyDescent="0.2">
      <c r="BF356" s="597"/>
      <c r="BG356" s="621"/>
      <c r="BH356" s="599"/>
      <c r="BI356" s="599"/>
      <c r="BJ356" s="599"/>
      <c r="BK356" s="599"/>
      <c r="BL356" s="599"/>
      <c r="BM356" s="599"/>
      <c r="BN356" s="599"/>
      <c r="BO356" s="599"/>
      <c r="BP356" s="599"/>
      <c r="BQ356" s="599"/>
      <c r="BR356" s="599"/>
      <c r="BS356" s="599"/>
      <c r="BT356" s="599"/>
      <c r="BU356" s="599"/>
      <c r="BV356" s="599"/>
      <c r="BW356" s="599"/>
      <c r="BX356" s="599"/>
      <c r="BY356" s="599"/>
      <c r="BZ356" s="599"/>
      <c r="CA356" s="599"/>
      <c r="CB356" s="599"/>
      <c r="CC356" s="599"/>
    </row>
    <row r="357" spans="58:81" x14ac:dyDescent="0.2">
      <c r="BF357" s="597"/>
      <c r="BG357" s="621"/>
      <c r="BH357" s="599"/>
      <c r="BI357" s="599"/>
      <c r="BJ357" s="599"/>
      <c r="BK357" s="599"/>
      <c r="BL357" s="599"/>
      <c r="BM357" s="599"/>
      <c r="BN357" s="599"/>
      <c r="BO357" s="599"/>
      <c r="BP357" s="599"/>
      <c r="BQ357" s="599"/>
      <c r="BR357" s="599"/>
      <c r="BS357" s="599"/>
      <c r="BT357" s="599"/>
      <c r="BU357" s="599"/>
      <c r="BV357" s="599"/>
      <c r="BW357" s="599"/>
      <c r="BX357" s="599"/>
      <c r="BY357" s="599"/>
      <c r="BZ357" s="599"/>
      <c r="CA357" s="599"/>
      <c r="CB357" s="599"/>
      <c r="CC357" s="599"/>
    </row>
    <row r="358" spans="58:81" x14ac:dyDescent="0.2">
      <c r="BF358" s="597"/>
      <c r="BG358" s="621"/>
      <c r="BH358" s="599"/>
      <c r="BI358" s="599"/>
      <c r="BJ358" s="599"/>
      <c r="BK358" s="599"/>
      <c r="BL358" s="599"/>
      <c r="BM358" s="599"/>
      <c r="BN358" s="599"/>
      <c r="BO358" s="599"/>
      <c r="BP358" s="599"/>
      <c r="BQ358" s="599"/>
      <c r="BR358" s="599"/>
      <c r="BS358" s="599"/>
      <c r="BT358" s="599"/>
      <c r="BU358" s="599"/>
      <c r="BV358" s="599"/>
      <c r="BW358" s="599"/>
      <c r="BX358" s="599"/>
      <c r="BY358" s="599"/>
      <c r="BZ358" s="599"/>
      <c r="CA358" s="599"/>
      <c r="CB358" s="599"/>
      <c r="CC358" s="599"/>
    </row>
    <row r="359" spans="58:81" x14ac:dyDescent="0.2">
      <c r="BF359" s="597"/>
      <c r="BG359" s="621"/>
      <c r="BH359" s="599"/>
      <c r="BI359" s="599"/>
      <c r="BJ359" s="599"/>
      <c r="BK359" s="599"/>
      <c r="BL359" s="599"/>
      <c r="BM359" s="599"/>
      <c r="BN359" s="599"/>
      <c r="BO359" s="599"/>
      <c r="BP359" s="599"/>
      <c r="BQ359" s="599"/>
      <c r="BR359" s="599"/>
      <c r="BS359" s="599"/>
      <c r="BT359" s="599"/>
      <c r="BU359" s="599"/>
      <c r="BV359" s="599"/>
      <c r="BW359" s="599"/>
      <c r="BX359" s="599"/>
      <c r="BY359" s="599"/>
      <c r="BZ359" s="599"/>
      <c r="CA359" s="599"/>
      <c r="CB359" s="599"/>
      <c r="CC359" s="599"/>
    </row>
    <row r="360" spans="58:81" x14ac:dyDescent="0.2">
      <c r="BF360" s="597"/>
      <c r="BG360" s="621"/>
      <c r="BH360" s="599"/>
      <c r="BI360" s="599"/>
      <c r="BJ360" s="599"/>
      <c r="BK360" s="599"/>
      <c r="BL360" s="599"/>
      <c r="BM360" s="599"/>
      <c r="BN360" s="599"/>
      <c r="BO360" s="599"/>
      <c r="BP360" s="599"/>
      <c r="BQ360" s="599"/>
      <c r="BR360" s="599"/>
      <c r="BS360" s="599"/>
      <c r="BT360" s="599"/>
      <c r="BU360" s="599"/>
      <c r="BV360" s="599"/>
      <c r="BW360" s="599"/>
      <c r="BX360" s="599"/>
      <c r="BY360" s="599"/>
      <c r="BZ360" s="599"/>
      <c r="CA360" s="599"/>
      <c r="CB360" s="599"/>
      <c r="CC360" s="599"/>
    </row>
    <row r="361" spans="58:81" x14ac:dyDescent="0.2">
      <c r="BF361" s="597"/>
      <c r="BG361" s="621"/>
      <c r="BH361" s="599"/>
      <c r="BI361" s="599"/>
      <c r="BJ361" s="599"/>
      <c r="BK361" s="599"/>
      <c r="BL361" s="599"/>
      <c r="BM361" s="599"/>
      <c r="BN361" s="599"/>
      <c r="BO361" s="599"/>
      <c r="BP361" s="599"/>
      <c r="BQ361" s="599"/>
      <c r="BR361" s="599"/>
      <c r="BS361" s="599"/>
      <c r="BT361" s="599"/>
      <c r="BU361" s="599"/>
      <c r="BV361" s="599"/>
      <c r="BW361" s="599"/>
      <c r="BX361" s="599"/>
      <c r="BY361" s="599"/>
      <c r="BZ361" s="599"/>
      <c r="CA361" s="599"/>
      <c r="CB361" s="599"/>
      <c r="CC361" s="599"/>
    </row>
    <row r="362" spans="58:81" x14ac:dyDescent="0.2">
      <c r="BF362" s="597"/>
      <c r="BG362" s="621"/>
      <c r="BH362" s="599"/>
      <c r="BI362" s="599"/>
      <c r="BJ362" s="599"/>
      <c r="BK362" s="599"/>
      <c r="BL362" s="599"/>
      <c r="BM362" s="599"/>
      <c r="BN362" s="599"/>
      <c r="BO362" s="599"/>
      <c r="BP362" s="599"/>
      <c r="BQ362" s="599"/>
      <c r="BR362" s="599"/>
      <c r="BS362" s="599"/>
      <c r="BT362" s="599"/>
      <c r="BU362" s="599"/>
      <c r="BV362" s="599"/>
      <c r="BW362" s="599"/>
      <c r="BX362" s="599"/>
      <c r="BY362" s="599"/>
      <c r="BZ362" s="599"/>
      <c r="CA362" s="599"/>
      <c r="CB362" s="599"/>
      <c r="CC362" s="599"/>
    </row>
    <row r="363" spans="58:81" x14ac:dyDescent="0.2">
      <c r="BF363" s="597"/>
      <c r="BG363" s="621"/>
      <c r="BH363" s="599"/>
      <c r="BI363" s="599"/>
      <c r="BJ363" s="599"/>
      <c r="BK363" s="599"/>
      <c r="BL363" s="599"/>
      <c r="BM363" s="599"/>
      <c r="BN363" s="599"/>
      <c r="BO363" s="599"/>
      <c r="BP363" s="599"/>
      <c r="BQ363" s="599"/>
      <c r="BR363" s="599"/>
      <c r="BS363" s="599"/>
      <c r="BT363" s="599"/>
      <c r="BU363" s="599"/>
      <c r="BV363" s="599"/>
      <c r="BW363" s="599"/>
      <c r="BX363" s="599"/>
      <c r="BY363" s="599"/>
      <c r="BZ363" s="599"/>
      <c r="CA363" s="599"/>
      <c r="CB363" s="599"/>
      <c r="CC363" s="599"/>
    </row>
    <row r="364" spans="58:81" x14ac:dyDescent="0.2">
      <c r="BF364" s="597"/>
      <c r="BG364" s="621"/>
      <c r="BH364" s="599"/>
      <c r="BI364" s="599"/>
      <c r="BJ364" s="599"/>
      <c r="BK364" s="599"/>
      <c r="BL364" s="599"/>
      <c r="BM364" s="599"/>
      <c r="BN364" s="599"/>
      <c r="BO364" s="599"/>
      <c r="BP364" s="599"/>
      <c r="BQ364" s="599"/>
      <c r="BR364" s="599"/>
      <c r="BS364" s="599"/>
      <c r="BT364" s="599"/>
      <c r="BU364" s="599"/>
      <c r="BV364" s="599"/>
      <c r="BW364" s="599"/>
      <c r="BX364" s="599"/>
      <c r="BY364" s="599"/>
      <c r="BZ364" s="599"/>
      <c r="CA364" s="599"/>
      <c r="CB364" s="599"/>
      <c r="CC364" s="599"/>
    </row>
    <row r="365" spans="58:81" x14ac:dyDescent="0.2">
      <c r="BF365" s="597"/>
      <c r="BG365" s="621"/>
      <c r="BH365" s="599"/>
      <c r="BI365" s="599"/>
      <c r="BJ365" s="599"/>
      <c r="BK365" s="599"/>
      <c r="BL365" s="599"/>
      <c r="BM365" s="599"/>
      <c r="BN365" s="599"/>
      <c r="BO365" s="599"/>
      <c r="BP365" s="599"/>
      <c r="BQ365" s="599"/>
      <c r="BR365" s="599"/>
      <c r="BS365" s="599"/>
      <c r="BT365" s="599"/>
      <c r="BU365" s="599"/>
      <c r="BV365" s="599"/>
      <c r="BW365" s="599"/>
      <c r="BX365" s="599"/>
      <c r="BY365" s="599"/>
      <c r="BZ365" s="599"/>
      <c r="CA365" s="599"/>
      <c r="CB365" s="599"/>
      <c r="CC365" s="599"/>
    </row>
    <row r="366" spans="58:81" x14ac:dyDescent="0.2">
      <c r="BF366" s="597"/>
      <c r="BG366" s="621"/>
      <c r="BH366" s="599"/>
      <c r="BI366" s="599"/>
      <c r="BJ366" s="599"/>
      <c r="BK366" s="599"/>
      <c r="BL366" s="599"/>
      <c r="BM366" s="599"/>
      <c r="BN366" s="599"/>
      <c r="BO366" s="599"/>
      <c r="BP366" s="599"/>
      <c r="BQ366" s="599"/>
      <c r="BR366" s="599"/>
      <c r="BS366" s="599"/>
      <c r="BT366" s="599"/>
      <c r="BU366" s="599"/>
      <c r="BV366" s="599"/>
      <c r="BW366" s="599"/>
      <c r="BX366" s="599"/>
      <c r="BY366" s="599"/>
      <c r="BZ366" s="599"/>
      <c r="CA366" s="599"/>
      <c r="CB366" s="599"/>
      <c r="CC366" s="599"/>
    </row>
    <row r="367" spans="58:81" x14ac:dyDescent="0.2">
      <c r="BF367" s="597"/>
      <c r="BG367" s="621"/>
      <c r="BH367" s="599"/>
      <c r="BI367" s="599"/>
      <c r="BJ367" s="599"/>
      <c r="BK367" s="599"/>
      <c r="BL367" s="599"/>
      <c r="BM367" s="599"/>
      <c r="BN367" s="599"/>
      <c r="BO367" s="599"/>
      <c r="BP367" s="599"/>
      <c r="BQ367" s="599"/>
      <c r="BR367" s="599"/>
      <c r="BS367" s="599"/>
      <c r="BT367" s="599"/>
      <c r="BU367" s="599"/>
      <c r="BV367" s="599"/>
      <c r="BW367" s="599"/>
      <c r="BX367" s="599"/>
      <c r="BY367" s="599"/>
      <c r="BZ367" s="599"/>
      <c r="CA367" s="599"/>
      <c r="CB367" s="599"/>
      <c r="CC367" s="599"/>
    </row>
    <row r="368" spans="58:81" x14ac:dyDescent="0.2">
      <c r="BF368" s="597"/>
      <c r="BG368" s="621"/>
      <c r="BH368" s="599"/>
      <c r="BI368" s="599"/>
      <c r="BJ368" s="599"/>
      <c r="BK368" s="599"/>
      <c r="BL368" s="599"/>
      <c r="BM368" s="599"/>
      <c r="BN368" s="599"/>
      <c r="BO368" s="599"/>
      <c r="BP368" s="599"/>
      <c r="BQ368" s="599"/>
      <c r="BR368" s="599"/>
      <c r="BS368" s="599"/>
      <c r="BT368" s="599"/>
      <c r="BU368" s="599"/>
      <c r="BV368" s="599"/>
      <c r="BW368" s="599"/>
      <c r="BX368" s="599"/>
      <c r="BY368" s="599"/>
      <c r="BZ368" s="599"/>
      <c r="CA368" s="599"/>
      <c r="CB368" s="599"/>
      <c r="CC368" s="599"/>
    </row>
    <row r="369" spans="58:81" x14ac:dyDescent="0.2">
      <c r="BF369" s="597"/>
      <c r="BG369" s="621"/>
      <c r="BH369" s="599"/>
      <c r="BI369" s="599"/>
      <c r="BJ369" s="599"/>
      <c r="BK369" s="599"/>
      <c r="BL369" s="599"/>
      <c r="BM369" s="599"/>
      <c r="BN369" s="599"/>
      <c r="BO369" s="599"/>
      <c r="BP369" s="599"/>
      <c r="BQ369" s="599"/>
      <c r="BR369" s="599"/>
      <c r="BS369" s="599"/>
      <c r="BT369" s="599"/>
      <c r="BU369" s="599"/>
      <c r="BV369" s="599"/>
      <c r="BW369" s="599"/>
      <c r="BX369" s="599"/>
      <c r="BY369" s="599"/>
      <c r="BZ369" s="599"/>
      <c r="CA369" s="599"/>
      <c r="CB369" s="599"/>
      <c r="CC369" s="599"/>
    </row>
    <row r="370" spans="58:81" x14ac:dyDescent="0.2">
      <c r="BF370" s="597"/>
      <c r="BG370" s="621"/>
      <c r="BH370" s="599"/>
      <c r="BI370" s="599"/>
      <c r="BJ370" s="599"/>
      <c r="BK370" s="599"/>
      <c r="BL370" s="599"/>
      <c r="BM370" s="599"/>
      <c r="BN370" s="599"/>
      <c r="BO370" s="599"/>
      <c r="BP370" s="599"/>
      <c r="BQ370" s="599"/>
      <c r="BR370" s="599"/>
      <c r="BS370" s="599"/>
      <c r="BT370" s="599"/>
      <c r="BU370" s="599"/>
      <c r="BV370" s="599"/>
      <c r="BW370" s="599"/>
      <c r="BX370" s="599"/>
      <c r="BY370" s="599"/>
      <c r="BZ370" s="599"/>
      <c r="CA370" s="599"/>
      <c r="CB370" s="599"/>
      <c r="CC370" s="599"/>
    </row>
    <row r="371" spans="58:81" x14ac:dyDescent="0.2">
      <c r="BF371" s="597"/>
      <c r="BG371" s="621"/>
      <c r="BH371" s="599"/>
      <c r="BI371" s="599"/>
      <c r="BJ371" s="599"/>
      <c r="BK371" s="599"/>
      <c r="BL371" s="599"/>
      <c r="BM371" s="599"/>
      <c r="BN371" s="599"/>
      <c r="BO371" s="599"/>
      <c r="BP371" s="599"/>
      <c r="BQ371" s="599"/>
      <c r="BR371" s="599"/>
      <c r="BS371" s="599"/>
      <c r="BT371" s="599"/>
      <c r="BU371" s="599"/>
      <c r="BV371" s="599"/>
      <c r="BW371" s="599"/>
      <c r="BX371" s="599"/>
      <c r="BY371" s="599"/>
      <c r="BZ371" s="599"/>
      <c r="CA371" s="599"/>
      <c r="CB371" s="599"/>
      <c r="CC371" s="599"/>
    </row>
    <row r="372" spans="58:81" x14ac:dyDescent="0.2">
      <c r="BF372" s="597"/>
      <c r="BG372" s="621"/>
      <c r="BH372" s="599"/>
      <c r="BI372" s="599"/>
      <c r="BJ372" s="599"/>
      <c r="BK372" s="599"/>
      <c r="BL372" s="599"/>
      <c r="BM372" s="599"/>
      <c r="BN372" s="599"/>
      <c r="BO372" s="599"/>
      <c r="BP372" s="599"/>
      <c r="BQ372" s="599"/>
      <c r="BR372" s="599"/>
      <c r="BS372" s="599"/>
      <c r="BT372" s="599"/>
      <c r="BU372" s="599"/>
      <c r="BV372" s="599"/>
      <c r="BW372" s="599"/>
      <c r="BX372" s="599"/>
      <c r="BY372" s="599"/>
      <c r="BZ372" s="599"/>
      <c r="CA372" s="599"/>
      <c r="CB372" s="599"/>
      <c r="CC372" s="599"/>
    </row>
    <row r="373" spans="58:81" x14ac:dyDescent="0.2">
      <c r="BF373" s="597"/>
      <c r="BG373" s="621"/>
      <c r="BH373" s="599"/>
      <c r="BI373" s="599"/>
      <c r="BJ373" s="599"/>
      <c r="BK373" s="599"/>
      <c r="BL373" s="599"/>
      <c r="BM373" s="599"/>
      <c r="BN373" s="599"/>
      <c r="BO373" s="599"/>
      <c r="BP373" s="599"/>
      <c r="BQ373" s="599"/>
      <c r="BR373" s="599"/>
      <c r="BS373" s="599"/>
      <c r="BT373" s="599"/>
      <c r="BU373" s="599"/>
      <c r="BV373" s="599"/>
      <c r="BW373" s="599"/>
      <c r="BX373" s="599"/>
      <c r="BY373" s="599"/>
      <c r="BZ373" s="599"/>
      <c r="CA373" s="599"/>
      <c r="CB373" s="599"/>
      <c r="CC373" s="599"/>
    </row>
    <row r="374" spans="58:81" x14ac:dyDescent="0.2">
      <c r="BF374" s="597"/>
      <c r="BG374" s="621"/>
      <c r="BH374" s="599"/>
      <c r="BI374" s="599"/>
      <c r="BJ374" s="599"/>
      <c r="BK374" s="599"/>
      <c r="BL374" s="599"/>
      <c r="BM374" s="599"/>
      <c r="BN374" s="599"/>
      <c r="BO374" s="599"/>
      <c r="BP374" s="599"/>
      <c r="BQ374" s="599"/>
      <c r="BR374" s="599"/>
      <c r="BS374" s="599"/>
      <c r="BT374" s="599"/>
      <c r="BU374" s="599"/>
      <c r="BV374" s="599"/>
      <c r="BW374" s="599"/>
      <c r="BX374" s="599"/>
      <c r="BY374" s="599"/>
      <c r="BZ374" s="599"/>
      <c r="CA374" s="599"/>
      <c r="CB374" s="599"/>
      <c r="CC374" s="599"/>
    </row>
    <row r="375" spans="58:81" x14ac:dyDescent="0.2">
      <c r="BF375" s="597"/>
      <c r="BG375" s="621"/>
      <c r="BH375" s="599"/>
      <c r="BI375" s="599"/>
      <c r="BJ375" s="599"/>
      <c r="BK375" s="599"/>
      <c r="BL375" s="599"/>
      <c r="BM375" s="599"/>
      <c r="BN375" s="599"/>
      <c r="BO375" s="599"/>
      <c r="BP375" s="599"/>
      <c r="BQ375" s="599"/>
      <c r="BR375" s="599"/>
      <c r="BS375" s="599"/>
      <c r="BT375" s="599"/>
      <c r="BU375" s="599"/>
      <c r="BV375" s="599"/>
      <c r="BW375" s="599"/>
      <c r="BX375" s="599"/>
      <c r="BY375" s="599"/>
      <c r="BZ375" s="599"/>
      <c r="CA375" s="599"/>
      <c r="CB375" s="599"/>
      <c r="CC375" s="599"/>
    </row>
    <row r="376" spans="58:81" x14ac:dyDescent="0.2">
      <c r="BF376" s="597"/>
      <c r="BG376" s="621"/>
      <c r="BH376" s="599"/>
      <c r="BI376" s="599"/>
      <c r="BJ376" s="599"/>
      <c r="BK376" s="599"/>
      <c r="BL376" s="599"/>
      <c r="BM376" s="599"/>
      <c r="BN376" s="599"/>
      <c r="BO376" s="599"/>
      <c r="BP376" s="599"/>
      <c r="BQ376" s="599"/>
      <c r="BR376" s="599"/>
      <c r="BS376" s="599"/>
      <c r="BT376" s="599"/>
      <c r="BU376" s="599"/>
      <c r="BV376" s="599"/>
      <c r="BW376" s="599"/>
      <c r="BX376" s="599"/>
      <c r="BY376" s="599"/>
      <c r="BZ376" s="599"/>
      <c r="CA376" s="599"/>
      <c r="CB376" s="599"/>
      <c r="CC376" s="599"/>
    </row>
    <row r="377" spans="58:81" x14ac:dyDescent="0.2">
      <c r="BF377" s="597"/>
      <c r="BG377" s="621"/>
      <c r="BH377" s="599"/>
      <c r="BI377" s="599"/>
      <c r="BJ377" s="599"/>
      <c r="BK377" s="599"/>
      <c r="BL377" s="599"/>
      <c r="BM377" s="599"/>
      <c r="BN377" s="599"/>
      <c r="BO377" s="599"/>
      <c r="BP377" s="599"/>
      <c r="BQ377" s="599"/>
      <c r="BR377" s="599"/>
      <c r="BS377" s="599"/>
      <c r="BT377" s="599"/>
      <c r="BU377" s="599"/>
      <c r="BV377" s="599"/>
      <c r="BW377" s="599"/>
      <c r="BX377" s="599"/>
      <c r="BY377" s="599"/>
      <c r="BZ377" s="599"/>
      <c r="CA377" s="599"/>
      <c r="CB377" s="599"/>
      <c r="CC377" s="599"/>
    </row>
    <row r="378" spans="58:81" x14ac:dyDescent="0.2">
      <c r="BF378" s="597"/>
      <c r="BG378" s="621"/>
      <c r="BH378" s="599"/>
      <c r="BI378" s="599"/>
      <c r="BJ378" s="599"/>
      <c r="BK378" s="599"/>
      <c r="BL378" s="599"/>
      <c r="BM378" s="599"/>
      <c r="BN378" s="599"/>
      <c r="BO378" s="599"/>
      <c r="BP378" s="599"/>
      <c r="BQ378" s="599"/>
      <c r="BR378" s="599"/>
      <c r="BS378" s="599"/>
      <c r="BT378" s="599"/>
      <c r="BU378" s="599"/>
      <c r="BV378" s="599"/>
      <c r="BW378" s="599"/>
      <c r="BX378" s="599"/>
      <c r="BY378" s="599"/>
      <c r="BZ378" s="599"/>
      <c r="CA378" s="599"/>
      <c r="CB378" s="599"/>
      <c r="CC378" s="599"/>
    </row>
    <row r="379" spans="58:81" x14ac:dyDescent="0.2">
      <c r="BF379" s="597"/>
      <c r="BG379" s="621"/>
      <c r="BH379" s="599"/>
      <c r="BI379" s="599"/>
      <c r="BJ379" s="599"/>
      <c r="BK379" s="599"/>
      <c r="BL379" s="599"/>
      <c r="BM379" s="599"/>
      <c r="BN379" s="599"/>
      <c r="BO379" s="599"/>
      <c r="BP379" s="599"/>
      <c r="BQ379" s="599"/>
      <c r="BR379" s="599"/>
      <c r="BS379" s="599"/>
      <c r="BT379" s="599"/>
      <c r="BU379" s="599"/>
      <c r="BV379" s="599"/>
      <c r="BW379" s="599"/>
      <c r="BX379" s="599"/>
      <c r="BY379" s="599"/>
      <c r="BZ379" s="599"/>
      <c r="CA379" s="599"/>
      <c r="CB379" s="599"/>
      <c r="CC379" s="599"/>
    </row>
    <row r="380" spans="58:81" x14ac:dyDescent="0.2">
      <c r="BF380" s="597"/>
      <c r="BG380" s="621"/>
      <c r="BH380" s="599"/>
      <c r="BI380" s="599"/>
      <c r="BJ380" s="599"/>
      <c r="BK380" s="599"/>
      <c r="BL380" s="599"/>
      <c r="BM380" s="599"/>
      <c r="BN380" s="599"/>
      <c r="BO380" s="599"/>
      <c r="BP380" s="599"/>
      <c r="BQ380" s="599"/>
      <c r="BR380" s="599"/>
      <c r="BS380" s="599"/>
      <c r="BT380" s="599"/>
      <c r="BU380" s="599"/>
      <c r="BV380" s="599"/>
      <c r="BW380" s="599"/>
      <c r="BX380" s="599"/>
      <c r="BY380" s="599"/>
      <c r="BZ380" s="599"/>
      <c r="CA380" s="599"/>
      <c r="CB380" s="599"/>
      <c r="CC380" s="599"/>
    </row>
    <row r="381" spans="58:81" x14ac:dyDescent="0.2">
      <c r="BF381" s="597"/>
      <c r="BG381" s="621"/>
      <c r="BH381" s="599"/>
      <c r="BI381" s="599"/>
      <c r="BJ381" s="599"/>
      <c r="BK381" s="599"/>
      <c r="BL381" s="599"/>
      <c r="BM381" s="599"/>
      <c r="BN381" s="599"/>
      <c r="BO381" s="599"/>
      <c r="BP381" s="599"/>
      <c r="BQ381" s="599"/>
      <c r="BR381" s="599"/>
      <c r="BS381" s="599"/>
      <c r="BT381" s="599"/>
      <c r="BU381" s="599"/>
      <c r="BV381" s="599"/>
      <c r="BW381" s="599"/>
      <c r="BX381" s="599"/>
      <c r="BY381" s="599"/>
      <c r="BZ381" s="599"/>
      <c r="CA381" s="599"/>
      <c r="CB381" s="599"/>
      <c r="CC381" s="599"/>
    </row>
    <row r="382" spans="58:81" x14ac:dyDescent="0.2">
      <c r="BF382" s="597"/>
      <c r="BG382" s="621"/>
      <c r="BH382" s="599"/>
      <c r="BI382" s="599"/>
      <c r="BJ382" s="599"/>
      <c r="BK382" s="599"/>
      <c r="BL382" s="599"/>
      <c r="BM382" s="599"/>
      <c r="BN382" s="599"/>
      <c r="BO382" s="599"/>
      <c r="BP382" s="599"/>
      <c r="BQ382" s="599"/>
      <c r="BR382" s="599"/>
      <c r="BS382" s="599"/>
      <c r="BT382" s="599"/>
      <c r="BU382" s="599"/>
      <c r="BV382" s="599"/>
      <c r="BW382" s="599"/>
      <c r="BX382" s="599"/>
      <c r="BY382" s="599"/>
      <c r="BZ382" s="599"/>
      <c r="CA382" s="599"/>
      <c r="CB382" s="599"/>
      <c r="CC382" s="599"/>
    </row>
    <row r="383" spans="58:81" x14ac:dyDescent="0.2">
      <c r="BF383" s="597"/>
      <c r="BG383" s="621"/>
      <c r="BH383" s="599"/>
      <c r="BI383" s="599"/>
      <c r="BJ383" s="599"/>
      <c r="BK383" s="599"/>
      <c r="BL383" s="599"/>
      <c r="BM383" s="599"/>
      <c r="BN383" s="599"/>
      <c r="BO383" s="599"/>
      <c r="BP383" s="599"/>
      <c r="BQ383" s="599"/>
      <c r="BR383" s="599"/>
      <c r="BS383" s="599"/>
      <c r="BT383" s="599"/>
      <c r="BU383" s="599"/>
      <c r="BV383" s="599"/>
      <c r="BW383" s="599"/>
      <c r="BX383" s="599"/>
      <c r="BY383" s="599"/>
      <c r="BZ383" s="599"/>
      <c r="CA383" s="599"/>
      <c r="CB383" s="599"/>
      <c r="CC383" s="599"/>
    </row>
    <row r="384" spans="58:81" x14ac:dyDescent="0.2">
      <c r="BF384" s="597"/>
      <c r="BG384" s="621"/>
      <c r="BH384" s="599"/>
      <c r="BI384" s="599"/>
      <c r="BJ384" s="599"/>
      <c r="BK384" s="599"/>
      <c r="BL384" s="599"/>
      <c r="BM384" s="599"/>
      <c r="BN384" s="599"/>
      <c r="BO384" s="599"/>
      <c r="BP384" s="599"/>
      <c r="BQ384" s="599"/>
      <c r="BR384" s="599"/>
      <c r="BS384" s="599"/>
      <c r="BT384" s="599"/>
      <c r="BU384" s="599"/>
      <c r="BV384" s="599"/>
      <c r="BW384" s="599"/>
      <c r="BX384" s="599"/>
      <c r="BY384" s="599"/>
      <c r="BZ384" s="599"/>
      <c r="CA384" s="599"/>
      <c r="CB384" s="599"/>
      <c r="CC384" s="599"/>
    </row>
    <row r="385" spans="58:81" x14ac:dyDescent="0.2">
      <c r="BF385" s="597"/>
      <c r="BG385" s="621"/>
      <c r="BH385" s="599"/>
      <c r="BI385" s="599"/>
      <c r="BJ385" s="599"/>
      <c r="BK385" s="599"/>
      <c r="BL385" s="599"/>
      <c r="BM385" s="599"/>
      <c r="BN385" s="599"/>
      <c r="BO385" s="599"/>
      <c r="BP385" s="599"/>
      <c r="BQ385" s="599"/>
      <c r="BR385" s="599"/>
      <c r="BS385" s="599"/>
      <c r="BT385" s="599"/>
      <c r="BU385" s="599"/>
      <c r="BV385" s="599"/>
      <c r="BW385" s="599"/>
      <c r="BX385" s="599"/>
      <c r="BY385" s="599"/>
      <c r="BZ385" s="599"/>
      <c r="CA385" s="599"/>
      <c r="CB385" s="599"/>
      <c r="CC385" s="599"/>
    </row>
    <row r="386" spans="58:81" x14ac:dyDescent="0.2">
      <c r="BF386" s="597"/>
      <c r="BG386" s="621"/>
      <c r="BH386" s="599"/>
      <c r="BI386" s="599"/>
      <c r="BJ386" s="599"/>
      <c r="BK386" s="599"/>
      <c r="BL386" s="599"/>
      <c r="BM386" s="599"/>
      <c r="BN386" s="599"/>
      <c r="BO386" s="599"/>
      <c r="BP386" s="599"/>
      <c r="BQ386" s="599"/>
      <c r="BR386" s="599"/>
      <c r="BS386" s="599"/>
      <c r="BT386" s="599"/>
      <c r="BU386" s="599"/>
      <c r="BV386" s="599"/>
      <c r="BW386" s="599"/>
      <c r="BX386" s="599"/>
      <c r="BY386" s="599"/>
      <c r="BZ386" s="599"/>
      <c r="CA386" s="599"/>
      <c r="CB386" s="599"/>
      <c r="CC386" s="599"/>
    </row>
    <row r="387" spans="58:81" x14ac:dyDescent="0.2">
      <c r="BF387" s="597"/>
      <c r="BG387" s="621"/>
      <c r="BH387" s="599"/>
      <c r="BI387" s="599"/>
      <c r="BJ387" s="599"/>
      <c r="BK387" s="599"/>
      <c r="BL387" s="599"/>
      <c r="BM387" s="599"/>
      <c r="BN387" s="599"/>
      <c r="BO387" s="599"/>
      <c r="BP387" s="599"/>
      <c r="BQ387" s="599"/>
      <c r="BR387" s="599"/>
      <c r="BS387" s="599"/>
      <c r="BT387" s="599"/>
      <c r="BU387" s="599"/>
      <c r="BV387" s="599"/>
      <c r="BW387" s="599"/>
      <c r="BX387" s="599"/>
      <c r="BY387" s="599"/>
      <c r="BZ387" s="599"/>
      <c r="CA387" s="599"/>
      <c r="CB387" s="599"/>
      <c r="CC387" s="599"/>
    </row>
    <row r="388" spans="58:81" x14ac:dyDescent="0.2">
      <c r="BF388" s="597"/>
      <c r="BG388" s="621"/>
      <c r="BH388" s="599"/>
      <c r="BI388" s="599"/>
      <c r="BJ388" s="599"/>
      <c r="BK388" s="599"/>
      <c r="BL388" s="599"/>
      <c r="BM388" s="599"/>
      <c r="BN388" s="599"/>
      <c r="BO388" s="599"/>
      <c r="BP388" s="599"/>
      <c r="BQ388" s="599"/>
      <c r="BR388" s="599"/>
      <c r="BS388" s="599"/>
      <c r="BT388" s="599"/>
      <c r="BU388" s="599"/>
      <c r="BV388" s="599"/>
      <c r="BW388" s="599"/>
      <c r="BX388" s="599"/>
      <c r="BY388" s="599"/>
      <c r="BZ388" s="599"/>
      <c r="CA388" s="599"/>
      <c r="CB388" s="599"/>
      <c r="CC388" s="599"/>
    </row>
    <row r="389" spans="58:81" x14ac:dyDescent="0.2">
      <c r="BF389" s="597"/>
      <c r="BG389" s="621"/>
      <c r="BH389" s="599"/>
      <c r="BI389" s="599"/>
      <c r="BJ389" s="599"/>
      <c r="BK389" s="599"/>
      <c r="BL389" s="599"/>
      <c r="BM389" s="599"/>
      <c r="BN389" s="599"/>
      <c r="BO389" s="599"/>
      <c r="BP389" s="599"/>
      <c r="BQ389" s="599"/>
      <c r="BR389" s="599"/>
      <c r="BS389" s="599"/>
      <c r="BT389" s="599"/>
      <c r="BU389" s="599"/>
      <c r="BV389" s="599"/>
      <c r="BW389" s="599"/>
      <c r="BX389" s="599"/>
      <c r="BY389" s="599"/>
      <c r="BZ389" s="599"/>
      <c r="CA389" s="599"/>
      <c r="CB389" s="599"/>
      <c r="CC389" s="599"/>
    </row>
    <row r="390" spans="58:81" x14ac:dyDescent="0.2">
      <c r="BF390" s="597"/>
      <c r="BG390" s="621"/>
      <c r="BH390" s="599"/>
      <c r="BI390" s="599"/>
      <c r="BJ390" s="599"/>
      <c r="BK390" s="599"/>
      <c r="BL390" s="599"/>
      <c r="BM390" s="599"/>
      <c r="BN390" s="599"/>
      <c r="BO390" s="599"/>
      <c r="BP390" s="599"/>
      <c r="BQ390" s="599"/>
      <c r="BR390" s="599"/>
      <c r="BS390" s="599"/>
      <c r="BT390" s="599"/>
      <c r="BU390" s="599"/>
      <c r="BV390" s="599"/>
      <c r="BW390" s="599"/>
      <c r="BX390" s="599"/>
      <c r="BY390" s="599"/>
      <c r="BZ390" s="599"/>
      <c r="CA390" s="599"/>
      <c r="CB390" s="599"/>
      <c r="CC390" s="599"/>
    </row>
    <row r="391" spans="58:81" x14ac:dyDescent="0.2">
      <c r="BF391" s="597"/>
      <c r="BG391" s="621"/>
      <c r="BH391" s="599"/>
      <c r="BI391" s="599"/>
      <c r="BJ391" s="599"/>
      <c r="BK391" s="599"/>
      <c r="BL391" s="599"/>
      <c r="BM391" s="599"/>
      <c r="BN391" s="599"/>
      <c r="BO391" s="599"/>
      <c r="BP391" s="599"/>
      <c r="BQ391" s="599"/>
      <c r="BR391" s="599"/>
      <c r="BS391" s="599"/>
      <c r="BT391" s="599"/>
      <c r="BU391" s="599"/>
      <c r="BV391" s="599"/>
      <c r="BW391" s="599"/>
      <c r="BX391" s="599"/>
      <c r="BY391" s="599"/>
      <c r="BZ391" s="599"/>
      <c r="CA391" s="599"/>
      <c r="CB391" s="599"/>
      <c r="CC391" s="599"/>
    </row>
    <row r="392" spans="58:81" x14ac:dyDescent="0.2">
      <c r="BF392" s="597"/>
      <c r="BG392" s="621"/>
      <c r="BH392" s="599"/>
      <c r="BI392" s="599"/>
      <c r="BJ392" s="599"/>
      <c r="BK392" s="599"/>
      <c r="BL392" s="599"/>
      <c r="BM392" s="599"/>
      <c r="BN392" s="599"/>
      <c r="BO392" s="599"/>
      <c r="BP392" s="599"/>
      <c r="BQ392" s="599"/>
      <c r="BR392" s="599"/>
      <c r="BS392" s="599"/>
      <c r="BT392" s="599"/>
      <c r="BU392" s="599"/>
      <c r="BV392" s="599"/>
      <c r="BW392" s="599"/>
      <c r="BX392" s="599"/>
      <c r="BY392" s="599"/>
      <c r="BZ392" s="599"/>
      <c r="CA392" s="599"/>
      <c r="CB392" s="599"/>
      <c r="CC392" s="599"/>
    </row>
    <row r="393" spans="58:81" x14ac:dyDescent="0.2">
      <c r="BF393" s="597"/>
      <c r="BG393" s="621"/>
      <c r="BH393" s="599"/>
      <c r="BI393" s="599"/>
      <c r="BJ393" s="599"/>
      <c r="BK393" s="599"/>
      <c r="BL393" s="599"/>
      <c r="BM393" s="599"/>
      <c r="BN393" s="599"/>
      <c r="BO393" s="599"/>
      <c r="BP393" s="599"/>
      <c r="BQ393" s="599"/>
      <c r="BR393" s="599"/>
      <c r="BS393" s="599"/>
      <c r="BT393" s="599"/>
      <c r="BU393" s="599"/>
      <c r="BV393" s="599"/>
      <c r="BW393" s="599"/>
      <c r="BX393" s="599"/>
      <c r="BY393" s="599"/>
      <c r="BZ393" s="599"/>
      <c r="CA393" s="599"/>
      <c r="CB393" s="599"/>
      <c r="CC393" s="599"/>
    </row>
    <row r="394" spans="58:81" x14ac:dyDescent="0.2">
      <c r="BF394" s="597"/>
      <c r="BG394" s="621"/>
      <c r="BH394" s="599"/>
      <c r="BI394" s="599"/>
      <c r="BJ394" s="599"/>
      <c r="BK394" s="599"/>
      <c r="BL394" s="599"/>
      <c r="BM394" s="599"/>
      <c r="BN394" s="599"/>
      <c r="BO394" s="599"/>
      <c r="BP394" s="599"/>
      <c r="BQ394" s="599"/>
      <c r="BR394" s="599"/>
      <c r="BS394" s="599"/>
      <c r="BT394" s="599"/>
      <c r="BU394" s="599"/>
      <c r="BV394" s="599"/>
      <c r="BW394" s="599"/>
      <c r="BX394" s="599"/>
      <c r="BY394" s="599"/>
      <c r="BZ394" s="599"/>
      <c r="CA394" s="599"/>
      <c r="CB394" s="599"/>
      <c r="CC394" s="599"/>
    </row>
    <row r="395" spans="58:81" x14ac:dyDescent="0.2">
      <c r="BF395" s="597"/>
      <c r="BG395" s="621"/>
      <c r="BH395" s="599"/>
      <c r="BI395" s="599"/>
      <c r="BJ395" s="599"/>
      <c r="BK395" s="599"/>
      <c r="BL395" s="599"/>
      <c r="BM395" s="599"/>
      <c r="BN395" s="599"/>
      <c r="BO395" s="599"/>
      <c r="BP395" s="599"/>
      <c r="BQ395" s="599"/>
      <c r="BR395" s="599"/>
      <c r="BS395" s="599"/>
      <c r="BT395" s="599"/>
      <c r="BU395" s="599"/>
      <c r="BV395" s="599"/>
      <c r="BW395" s="599"/>
      <c r="BX395" s="599"/>
      <c r="BY395" s="599"/>
      <c r="BZ395" s="599"/>
      <c r="CA395" s="599"/>
      <c r="CB395" s="599"/>
      <c r="CC395" s="599"/>
    </row>
    <row r="396" spans="58:81" x14ac:dyDescent="0.2">
      <c r="BF396" s="597"/>
      <c r="BG396" s="621"/>
      <c r="BH396" s="599"/>
      <c r="BI396" s="599"/>
      <c r="BJ396" s="599"/>
      <c r="BK396" s="599"/>
      <c r="BL396" s="599"/>
      <c r="BM396" s="599"/>
      <c r="BN396" s="599"/>
      <c r="BO396" s="599"/>
      <c r="BP396" s="599"/>
      <c r="BQ396" s="599"/>
      <c r="BR396" s="599"/>
      <c r="BS396" s="599"/>
      <c r="BT396" s="599"/>
      <c r="BU396" s="599"/>
      <c r="BV396" s="599"/>
      <c r="BW396" s="599"/>
      <c r="BX396" s="599"/>
      <c r="BY396" s="599"/>
      <c r="BZ396" s="599"/>
      <c r="CA396" s="599"/>
      <c r="CB396" s="599"/>
      <c r="CC396" s="599"/>
    </row>
    <row r="397" spans="58:81" x14ac:dyDescent="0.2">
      <c r="BF397" s="597"/>
      <c r="BG397" s="621"/>
      <c r="BH397" s="599"/>
      <c r="BI397" s="599"/>
      <c r="BJ397" s="599"/>
      <c r="BK397" s="599"/>
      <c r="BL397" s="599"/>
      <c r="BM397" s="599"/>
      <c r="BN397" s="599"/>
      <c r="BO397" s="599"/>
      <c r="BP397" s="599"/>
      <c r="BQ397" s="599"/>
      <c r="BR397" s="599"/>
      <c r="BS397" s="599"/>
      <c r="BT397" s="599"/>
      <c r="BU397" s="599"/>
      <c r="BV397" s="599"/>
      <c r="BW397" s="599"/>
      <c r="BX397" s="599"/>
      <c r="BY397" s="599"/>
      <c r="BZ397" s="599"/>
      <c r="CA397" s="599"/>
      <c r="CB397" s="599"/>
      <c r="CC397" s="599"/>
    </row>
    <row r="398" spans="58:81" x14ac:dyDescent="0.2">
      <c r="BF398" s="597"/>
      <c r="BG398" s="621"/>
      <c r="BH398" s="599"/>
      <c r="BI398" s="599"/>
      <c r="BJ398" s="599"/>
      <c r="BK398" s="599"/>
      <c r="BL398" s="599"/>
      <c r="BM398" s="599"/>
      <c r="BN398" s="599"/>
      <c r="BO398" s="599"/>
      <c r="BP398" s="599"/>
      <c r="BQ398" s="599"/>
      <c r="BR398" s="599"/>
      <c r="BS398" s="599"/>
      <c r="BT398" s="599"/>
      <c r="BU398" s="599"/>
      <c r="BV398" s="599"/>
      <c r="BW398" s="599"/>
      <c r="BX398" s="599"/>
      <c r="BY398" s="599"/>
      <c r="BZ398" s="599"/>
      <c r="CA398" s="599"/>
      <c r="CB398" s="599"/>
      <c r="CC398" s="599"/>
    </row>
    <row r="399" spans="58:81" x14ac:dyDescent="0.2">
      <c r="BF399" s="597"/>
      <c r="BG399" s="621"/>
      <c r="BH399" s="599"/>
      <c r="BI399" s="599"/>
      <c r="BJ399" s="599"/>
      <c r="BK399" s="599"/>
      <c r="BL399" s="599"/>
      <c r="BM399" s="599"/>
      <c r="BN399" s="599"/>
      <c r="BO399" s="599"/>
      <c r="BP399" s="599"/>
      <c r="BQ399" s="599"/>
      <c r="BR399" s="599"/>
      <c r="BS399" s="599"/>
      <c r="BT399" s="599"/>
      <c r="BU399" s="599"/>
      <c r="BV399" s="599"/>
      <c r="BW399" s="599"/>
      <c r="BX399" s="599"/>
      <c r="BY399" s="599"/>
      <c r="BZ399" s="599"/>
      <c r="CA399" s="599"/>
      <c r="CB399" s="599"/>
      <c r="CC399" s="599"/>
    </row>
    <row r="400" spans="58:81" x14ac:dyDescent="0.2">
      <c r="BF400" s="597"/>
      <c r="BG400" s="621"/>
      <c r="BH400" s="599"/>
      <c r="BI400" s="599"/>
      <c r="BJ400" s="599"/>
      <c r="BK400" s="599"/>
      <c r="BL400" s="599"/>
      <c r="BM400" s="599"/>
      <c r="BN400" s="599"/>
      <c r="BO400" s="599"/>
      <c r="BP400" s="599"/>
      <c r="BQ400" s="599"/>
      <c r="BR400" s="599"/>
      <c r="BS400" s="599"/>
      <c r="BT400" s="599"/>
      <c r="BU400" s="599"/>
      <c r="BV400" s="599"/>
      <c r="BW400" s="599"/>
      <c r="BX400" s="599"/>
      <c r="BY400" s="599"/>
      <c r="BZ400" s="599"/>
      <c r="CA400" s="599"/>
      <c r="CB400" s="599"/>
      <c r="CC400" s="599"/>
    </row>
    <row r="401" spans="58:81" x14ac:dyDescent="0.2">
      <c r="BF401" s="597"/>
      <c r="BG401" s="621"/>
      <c r="BH401" s="599"/>
      <c r="BI401" s="599"/>
      <c r="BJ401" s="599"/>
      <c r="BK401" s="599"/>
      <c r="BL401" s="599"/>
      <c r="BM401" s="599"/>
      <c r="BN401" s="599"/>
      <c r="BO401" s="599"/>
      <c r="BP401" s="599"/>
      <c r="BQ401" s="599"/>
      <c r="BR401" s="599"/>
      <c r="BS401" s="599"/>
      <c r="BT401" s="599"/>
      <c r="BU401" s="599"/>
      <c r="BV401" s="599"/>
      <c r="BW401" s="599"/>
      <c r="BX401" s="599"/>
      <c r="BY401" s="599"/>
      <c r="BZ401" s="599"/>
      <c r="CA401" s="599"/>
      <c r="CB401" s="599"/>
      <c r="CC401" s="599"/>
    </row>
    <row r="402" spans="58:81" x14ac:dyDescent="0.2">
      <c r="BF402" s="597"/>
      <c r="BG402" s="621"/>
      <c r="BH402" s="599"/>
      <c r="BI402" s="599"/>
      <c r="BJ402" s="599"/>
      <c r="BK402" s="599"/>
      <c r="BL402" s="599"/>
      <c r="BM402" s="599"/>
      <c r="BN402" s="599"/>
      <c r="BO402" s="599"/>
      <c r="BP402" s="599"/>
      <c r="BQ402" s="599"/>
      <c r="BR402" s="599"/>
      <c r="BS402" s="599"/>
      <c r="BT402" s="599"/>
      <c r="BU402" s="599"/>
      <c r="BV402" s="599"/>
      <c r="BW402" s="599"/>
      <c r="BX402" s="599"/>
      <c r="BY402" s="599"/>
      <c r="BZ402" s="599"/>
      <c r="CA402" s="599"/>
      <c r="CB402" s="599"/>
      <c r="CC402" s="599"/>
    </row>
  </sheetData>
  <mergeCells count="1">
    <mergeCell ref="D15:E15"/>
  </mergeCells>
  <dataValidations count="1">
    <dataValidation type="list" allowBlank="1" showInputMessage="1" showErrorMessage="1" sqref="D15:E15" xr:uid="{00000000-0002-0000-0800-000000000000}">
      <formula1>$CW$2:$CW$38</formula1>
    </dataValidation>
  </dataValidations>
  <pageMargins left="0.7" right="0.7" top="0.75" bottom="0.75" header="0.3" footer="0.3"/>
  <pageSetup orientation="portrait" horizontalDpi="3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iconSet" priority="1" id="{F1FD6C1B-1981-48E9-80B6-46EF86527397}">
            <x14:iconSet showValue="0" custom="1">
              <x14:cfvo type="percent">
                <xm:f>0</xm:f>
              </x14:cfvo>
              <x14:cfvo type="num">
                <xm:f>0</xm:f>
              </x14:cfvo>
              <x14:cfvo type="num">
                <xm:f>1</xm:f>
              </x14:cfvo>
              <x14:cfIcon iconSet="3TrafficLights1" iconId="0"/>
              <x14:cfIcon iconSet="5Quarters" iconId="0"/>
              <x14:cfIcon iconSet="3Symbols2" iconId="2"/>
            </x14:iconSet>
          </x14:cfRule>
          <xm:sqref>C20:C100</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tabColor rgb="FFFFC000"/>
    <pageSetUpPr autoPageBreaks="0"/>
  </sheetPr>
  <dimension ref="B1:BE1000"/>
  <sheetViews>
    <sheetView showGridLines="0" workbookViewId="0">
      <selection activeCell="N32" sqref="N32"/>
    </sheetView>
  </sheetViews>
  <sheetFormatPr defaultRowHeight="11.25" x14ac:dyDescent="0.2"/>
  <cols>
    <col min="1" max="1" width="1.1640625" style="369" customWidth="1"/>
    <col min="2" max="2" width="9.33203125" style="369"/>
    <col min="3" max="5" width="10.1640625" style="371" customWidth="1"/>
    <col min="6" max="6" width="1.1640625" style="369" customWidth="1"/>
    <col min="7" max="7" width="9.83203125" style="369" customWidth="1"/>
    <col min="8" max="9" width="11.33203125" style="369" customWidth="1"/>
    <col min="10" max="10" width="10.1640625" style="369" customWidth="1"/>
    <col min="11" max="11" width="47.83203125" style="369" customWidth="1"/>
    <col min="12" max="12" width="1.1640625" style="369" customWidth="1"/>
    <col min="13" max="18" width="17.5" style="369" customWidth="1"/>
    <col min="19" max="51" width="9.33203125" style="369"/>
    <col min="52" max="57" width="17.83203125" style="369" customWidth="1"/>
    <col min="58" max="58" width="9.33203125" style="369"/>
    <col min="59" max="60" width="12.5" style="369" customWidth="1"/>
    <col min="61" max="16384" width="9.33203125" style="369"/>
  </cols>
  <sheetData>
    <row r="1" spans="2:57" ht="12" x14ac:dyDescent="0.2">
      <c r="M1"/>
      <c r="N1"/>
      <c r="O1"/>
      <c r="P1"/>
      <c r="Q1"/>
      <c r="R1"/>
    </row>
    <row r="2" spans="2:57" ht="12.75" x14ac:dyDescent="0.2">
      <c r="M2" s="443" t="s">
        <v>383</v>
      </c>
      <c r="N2" s="444"/>
      <c r="O2" s="444"/>
      <c r="P2" s="444"/>
      <c r="Q2" s="444"/>
      <c r="R2" s="445"/>
      <c r="AZ2" s="443" t="s">
        <v>383</v>
      </c>
      <c r="BA2" s="444"/>
      <c r="BB2" s="444"/>
      <c r="BC2" s="444"/>
      <c r="BD2" s="444"/>
      <c r="BE2" s="445"/>
    </row>
    <row r="3" spans="2:57" x14ac:dyDescent="0.2">
      <c r="M3" s="439"/>
      <c r="N3" s="440"/>
      <c r="O3" s="440"/>
      <c r="P3" s="440"/>
      <c r="Q3" s="440"/>
      <c r="R3" s="441"/>
      <c r="AZ3" s="439"/>
      <c r="BA3" s="440"/>
      <c r="BB3" s="440"/>
      <c r="BC3" s="440"/>
      <c r="BD3" s="440"/>
      <c r="BE3" s="441"/>
    </row>
    <row r="4" spans="2:57" ht="12.75" x14ac:dyDescent="0.2">
      <c r="M4" s="446"/>
      <c r="N4" s="442"/>
      <c r="O4" s="442"/>
      <c r="P4" s="468" t="s">
        <v>442</v>
      </c>
      <c r="Q4" s="447" t="s">
        <v>53</v>
      </c>
      <c r="R4" s="448" t="s">
        <v>371</v>
      </c>
      <c r="AZ4" s="446"/>
      <c r="BA4" s="442"/>
      <c r="BB4" s="442"/>
      <c r="BC4" s="468" t="s">
        <v>442</v>
      </c>
      <c r="BD4" s="447" t="s">
        <v>53</v>
      </c>
      <c r="BE4" s="448" t="s">
        <v>371</v>
      </c>
    </row>
    <row r="5" spans="2:57" ht="15" x14ac:dyDescent="0.25">
      <c r="B5" s="640" t="s">
        <v>606</v>
      </c>
      <c r="G5" s="640" t="s">
        <v>377</v>
      </c>
      <c r="H5" s="372"/>
      <c r="I5" s="372"/>
      <c r="M5" s="449" t="s">
        <v>372</v>
      </c>
      <c r="N5" s="450"/>
      <c r="O5" s="450"/>
      <c r="P5" s="469" t="s">
        <v>375</v>
      </c>
      <c r="Q5" s="451" t="s">
        <v>381</v>
      </c>
      <c r="R5" s="452" t="s">
        <v>382</v>
      </c>
      <c r="AZ5" s="449" t="s">
        <v>372</v>
      </c>
      <c r="BA5" s="450"/>
      <c r="BB5" s="450"/>
      <c r="BC5" s="469" t="s">
        <v>375</v>
      </c>
      <c r="BD5" s="451" t="s">
        <v>381</v>
      </c>
      <c r="BE5" s="452" t="s">
        <v>382</v>
      </c>
    </row>
    <row r="6" spans="2:57" ht="15" customHeight="1" x14ac:dyDescent="0.2">
      <c r="B6" s="672" t="s">
        <v>376</v>
      </c>
      <c r="C6" s="673" t="s">
        <v>34</v>
      </c>
      <c r="D6" s="673" t="s">
        <v>163</v>
      </c>
      <c r="E6" s="674" t="s">
        <v>324</v>
      </c>
      <c r="F6" s="675"/>
      <c r="G6" s="676" t="s">
        <v>34</v>
      </c>
      <c r="H6" s="673" t="s">
        <v>163</v>
      </c>
      <c r="I6" s="673" t="s">
        <v>324</v>
      </c>
      <c r="J6" s="677" t="s">
        <v>368</v>
      </c>
      <c r="K6" s="678" t="s">
        <v>370</v>
      </c>
      <c r="M6" s="388" t="s">
        <v>440</v>
      </c>
      <c r="N6" s="389"/>
      <c r="O6" s="389"/>
      <c r="P6" s="393">
        <f>SUM($N$15:$N$20)</f>
        <v>30</v>
      </c>
      <c r="Q6" s="394">
        <f>Q$21</f>
        <v>2.4527274999999999</v>
      </c>
      <c r="R6" s="395">
        <f>R$22</f>
        <v>4.9054599999999997</v>
      </c>
    </row>
    <row r="7" spans="2:57" ht="15" customHeight="1" x14ac:dyDescent="0.2">
      <c r="B7" s="379"/>
      <c r="C7" s="380" t="s">
        <v>588</v>
      </c>
      <c r="D7" s="380" t="s">
        <v>118</v>
      </c>
      <c r="E7" s="381" t="s">
        <v>356</v>
      </c>
      <c r="G7" s="679" t="s">
        <v>588</v>
      </c>
      <c r="H7" s="680" t="s">
        <v>118</v>
      </c>
      <c r="I7" s="680" t="s">
        <v>356</v>
      </c>
      <c r="J7" s="681" t="s">
        <v>375</v>
      </c>
      <c r="K7" s="682"/>
      <c r="M7" s="390"/>
      <c r="N7" s="391"/>
      <c r="O7" s="391"/>
      <c r="P7" s="391"/>
      <c r="Q7" s="391"/>
      <c r="R7" s="392"/>
      <c r="AF7" s="369" t="s">
        <v>344</v>
      </c>
      <c r="AG7" s="369" t="s">
        <v>345</v>
      </c>
      <c r="AH7" s="369" t="s">
        <v>346</v>
      </c>
      <c r="AI7" s="369" t="s">
        <v>347</v>
      </c>
    </row>
    <row r="8" spans="2:57" ht="12" x14ac:dyDescent="0.2">
      <c r="B8" s="624" t="s">
        <v>344</v>
      </c>
      <c r="C8" s="396">
        <v>12</v>
      </c>
      <c r="D8" s="402">
        <v>0.143236</v>
      </c>
      <c r="E8" s="625">
        <v>318.303</v>
      </c>
      <c r="G8" s="403">
        <v>12</v>
      </c>
      <c r="H8" s="373">
        <v>0.143236</v>
      </c>
      <c r="I8" s="374">
        <v>318.303</v>
      </c>
      <c r="J8" s="407">
        <v>6</v>
      </c>
      <c r="K8" s="408" t="s">
        <v>440</v>
      </c>
      <c r="M8" s="385" t="s">
        <v>373</v>
      </c>
      <c r="N8" s="386"/>
      <c r="O8" s="386"/>
      <c r="P8" s="386"/>
      <c r="Q8" s="386">
        <f>SUM(Q$6:Q7)</f>
        <v>2.4527274999999999</v>
      </c>
      <c r="R8" s="387"/>
      <c r="AF8" s="369" t="s">
        <v>584</v>
      </c>
    </row>
    <row r="9" spans="2:57" ht="12" x14ac:dyDescent="0.2">
      <c r="B9" s="626" t="s">
        <v>345</v>
      </c>
      <c r="C9" s="627">
        <v>14</v>
      </c>
      <c r="D9" s="628">
        <v>0.172537</v>
      </c>
      <c r="E9" s="629">
        <v>383.41500000000002</v>
      </c>
      <c r="G9" s="404">
        <v>12</v>
      </c>
      <c r="H9" s="375">
        <v>0.143236</v>
      </c>
      <c r="I9" s="376">
        <v>318.303</v>
      </c>
      <c r="J9" s="409">
        <v>6</v>
      </c>
      <c r="K9" s="410" t="s">
        <v>440</v>
      </c>
      <c r="M9" s="382" t="s">
        <v>374</v>
      </c>
      <c r="N9" s="383"/>
      <c r="O9" s="383"/>
      <c r="P9" s="383"/>
      <c r="Q9" s="383"/>
      <c r="R9" s="384">
        <f>SUM(R$6:R7)</f>
        <v>4.9054599999999997</v>
      </c>
      <c r="AG9" s="369" t="s">
        <v>585</v>
      </c>
    </row>
    <row r="10" spans="2:57" ht="12" x14ac:dyDescent="0.2">
      <c r="B10" s="626" t="s">
        <v>346</v>
      </c>
      <c r="C10" s="627">
        <v>16</v>
      </c>
      <c r="D10" s="628">
        <v>0.20111100000000001</v>
      </c>
      <c r="E10" s="629">
        <v>446.91399999999999</v>
      </c>
      <c r="G10" s="404">
        <v>16</v>
      </c>
      <c r="H10" s="375">
        <v>0.20111100000000001</v>
      </c>
      <c r="I10" s="376">
        <v>446.91399999999999</v>
      </c>
      <c r="J10" s="409">
        <v>6</v>
      </c>
      <c r="K10" s="410" t="s">
        <v>440</v>
      </c>
      <c r="M10"/>
      <c r="N10"/>
      <c r="O10"/>
      <c r="P10"/>
      <c r="Q10"/>
      <c r="R10"/>
      <c r="AH10" s="369" t="s">
        <v>586</v>
      </c>
    </row>
    <row r="11" spans="2:57" ht="12" x14ac:dyDescent="0.2">
      <c r="B11" s="626" t="s">
        <v>347</v>
      </c>
      <c r="C11" s="627">
        <v>18</v>
      </c>
      <c r="D11" s="628">
        <v>0.22876299999999999</v>
      </c>
      <c r="E11" s="629">
        <v>508.36200000000002</v>
      </c>
      <c r="G11" s="404">
        <v>18</v>
      </c>
      <c r="H11" s="375">
        <v>0.22876299999999999</v>
      </c>
      <c r="I11" s="376">
        <v>508.36200000000002</v>
      </c>
      <c r="J11" s="409">
        <v>6</v>
      </c>
      <c r="K11" s="410" t="s">
        <v>440</v>
      </c>
      <c r="M11"/>
      <c r="N11"/>
      <c r="O11"/>
      <c r="P11"/>
      <c r="Q11"/>
      <c r="R11"/>
      <c r="AI11" s="369" t="s">
        <v>587</v>
      </c>
    </row>
    <row r="12" spans="2:57" x14ac:dyDescent="0.2">
      <c r="B12" s="626" t="s">
        <v>348</v>
      </c>
      <c r="C12" s="627">
        <v>20</v>
      </c>
      <c r="D12" s="628">
        <v>0.25625999999999999</v>
      </c>
      <c r="E12" s="629">
        <v>569.46699999999998</v>
      </c>
      <c r="G12" s="404">
        <v>18</v>
      </c>
      <c r="H12" s="375">
        <v>0.22876299999999999</v>
      </c>
      <c r="I12" s="376">
        <v>508.36200000000002</v>
      </c>
      <c r="J12" s="409">
        <v>6</v>
      </c>
      <c r="K12" s="410" t="s">
        <v>440</v>
      </c>
      <c r="M12" s="370" t="s">
        <v>441</v>
      </c>
    </row>
    <row r="13" spans="2:57" x14ac:dyDescent="0.2">
      <c r="B13" s="626"/>
      <c r="C13" s="627"/>
      <c r="D13" s="628"/>
      <c r="E13" s="629"/>
      <c r="G13" s="404"/>
      <c r="H13" s="375"/>
      <c r="I13" s="376"/>
      <c r="J13" s="409"/>
      <c r="K13" s="410"/>
      <c r="M13" s="453" t="s">
        <v>34</v>
      </c>
      <c r="N13" s="454" t="s">
        <v>442</v>
      </c>
      <c r="O13" s="455" t="s">
        <v>53</v>
      </c>
      <c r="P13" s="456" t="s">
        <v>371</v>
      </c>
      <c r="Q13" s="457" t="s">
        <v>369</v>
      </c>
      <c r="R13" s="458" t="s">
        <v>443</v>
      </c>
    </row>
    <row r="14" spans="2:57" x14ac:dyDescent="0.2">
      <c r="B14" s="626"/>
      <c r="C14" s="627"/>
      <c r="D14" s="628"/>
      <c r="E14" s="629"/>
      <c r="G14" s="404"/>
      <c r="H14" s="375"/>
      <c r="I14" s="376"/>
      <c r="J14" s="409"/>
      <c r="K14" s="410"/>
      <c r="M14" s="459" t="s">
        <v>378</v>
      </c>
      <c r="N14" s="451" t="s">
        <v>375</v>
      </c>
      <c r="O14" s="451" t="s">
        <v>379</v>
      </c>
      <c r="P14" s="451" t="s">
        <v>380</v>
      </c>
      <c r="Q14" s="451" t="s">
        <v>381</v>
      </c>
      <c r="R14" s="452" t="s">
        <v>382</v>
      </c>
    </row>
    <row r="15" spans="2:57" ht="12" x14ac:dyDescent="0.2">
      <c r="B15" s="626"/>
      <c r="C15" s="627"/>
      <c r="D15" s="628"/>
      <c r="E15" s="629"/>
      <c r="G15" s="404"/>
      <c r="H15" s="375"/>
      <c r="I15" s="376"/>
      <c r="J15" s="409"/>
      <c r="K15" s="410"/>
      <c r="M15" s="434">
        <v>14</v>
      </c>
      <c r="N15" s="435">
        <v>6</v>
      </c>
      <c r="O15" s="435">
        <v>1.5531699999999999</v>
      </c>
      <c r="P15" s="435">
        <v>3.1063399999999999</v>
      </c>
      <c r="Q15" s="435">
        <f>$O15*$N15/24</f>
        <v>0.38829249999999998</v>
      </c>
      <c r="R15" s="436">
        <f>$P15*$N15/24</f>
        <v>0.77658499999999997</v>
      </c>
    </row>
    <row r="16" spans="2:57" ht="12" x14ac:dyDescent="0.2">
      <c r="B16" s="626"/>
      <c r="C16" s="627"/>
      <c r="D16" s="628"/>
      <c r="E16" s="629"/>
      <c r="G16" s="404"/>
      <c r="H16" s="375"/>
      <c r="I16" s="376"/>
      <c r="J16" s="409"/>
      <c r="K16" s="410"/>
      <c r="M16" s="437">
        <v>16</v>
      </c>
      <c r="N16" s="488">
        <v>6</v>
      </c>
      <c r="O16" s="488">
        <v>1.79416</v>
      </c>
      <c r="P16" s="488">
        <v>3.58832</v>
      </c>
      <c r="Q16" s="488">
        <f>$O16*$N16/24</f>
        <v>0.44853999999999999</v>
      </c>
      <c r="R16" s="438">
        <f>$P16*$N16/24</f>
        <v>0.89707999999999999</v>
      </c>
      <c r="U16" s="413"/>
    </row>
    <row r="17" spans="2:57" ht="12" x14ac:dyDescent="0.2">
      <c r="B17" s="626"/>
      <c r="E17" s="630"/>
      <c r="G17" s="404"/>
      <c r="H17" s="375"/>
      <c r="I17" s="376"/>
      <c r="J17" s="409"/>
      <c r="K17" s="410"/>
      <c r="M17" s="437">
        <v>18</v>
      </c>
      <c r="N17" s="488">
        <v>6</v>
      </c>
      <c r="O17" s="488">
        <v>1.99726</v>
      </c>
      <c r="P17" s="488">
        <v>3.9945200000000001</v>
      </c>
      <c r="Q17" s="488">
        <f>$O17*$N17/24</f>
        <v>0.49931500000000001</v>
      </c>
      <c r="R17" s="438">
        <f>$P17*$N17/24</f>
        <v>0.99863000000000002</v>
      </c>
      <c r="AZ17" s="370" t="s">
        <v>367</v>
      </c>
    </row>
    <row r="18" spans="2:57" ht="12" x14ac:dyDescent="0.2">
      <c r="B18" s="626"/>
      <c r="E18" s="630"/>
      <c r="G18" s="404"/>
      <c r="H18" s="375"/>
      <c r="I18" s="376"/>
      <c r="J18" s="409"/>
      <c r="K18" s="410"/>
      <c r="M18" s="437">
        <v>20</v>
      </c>
      <c r="N18" s="488">
        <v>6</v>
      </c>
      <c r="O18" s="488">
        <v>2.1704300000000001</v>
      </c>
      <c r="P18" s="488">
        <v>4.3408699999999998</v>
      </c>
      <c r="Q18" s="488">
        <f>$O18*$N18/24</f>
        <v>0.54260750000000002</v>
      </c>
      <c r="R18" s="438">
        <f>$P18*$N18/24</f>
        <v>1.0852174999999999</v>
      </c>
      <c r="AZ18" s="453" t="s">
        <v>34</v>
      </c>
      <c r="BA18" s="454" t="s">
        <v>442</v>
      </c>
      <c r="BB18" s="455" t="s">
        <v>53</v>
      </c>
      <c r="BC18" s="456" t="s">
        <v>371</v>
      </c>
      <c r="BD18" s="457" t="s">
        <v>369</v>
      </c>
      <c r="BE18" s="458" t="s">
        <v>443</v>
      </c>
    </row>
    <row r="19" spans="2:57" ht="12" x14ac:dyDescent="0.2">
      <c r="B19" s="626"/>
      <c r="E19" s="630"/>
      <c r="G19" s="404"/>
      <c r="H19" s="375"/>
      <c r="I19" s="376"/>
      <c r="J19" s="409"/>
      <c r="K19" s="410"/>
      <c r="M19" s="437">
        <v>22</v>
      </c>
      <c r="N19" s="488">
        <v>6</v>
      </c>
      <c r="O19" s="488">
        <v>2.29589</v>
      </c>
      <c r="P19" s="488">
        <v>4.5917899999999996</v>
      </c>
      <c r="Q19" s="488">
        <f>$O19*$N19/24</f>
        <v>0.5739725</v>
      </c>
      <c r="R19" s="438">
        <f>$P19*$N19/24</f>
        <v>1.1479474999999999</v>
      </c>
      <c r="AZ19" s="459" t="s">
        <v>378</v>
      </c>
      <c r="BA19" s="451" t="s">
        <v>375</v>
      </c>
      <c r="BB19" s="451" t="s">
        <v>379</v>
      </c>
      <c r="BC19" s="451" t="s">
        <v>380</v>
      </c>
      <c r="BD19" s="451" t="s">
        <v>381</v>
      </c>
      <c r="BE19" s="452" t="s">
        <v>382</v>
      </c>
    </row>
    <row r="20" spans="2:57" ht="12" x14ac:dyDescent="0.2">
      <c r="B20" s="626"/>
      <c r="E20" s="630"/>
      <c r="G20" s="404"/>
      <c r="H20" s="375"/>
      <c r="I20" s="376"/>
      <c r="J20" s="409"/>
      <c r="K20" s="410"/>
      <c r="M20" s="431"/>
      <c r="N20" s="432"/>
      <c r="O20" s="432"/>
      <c r="P20" s="432"/>
      <c r="Q20" s="432"/>
      <c r="R20" s="433"/>
    </row>
    <row r="21" spans="2:57" ht="12" x14ac:dyDescent="0.2">
      <c r="B21" s="626"/>
      <c r="E21" s="630"/>
      <c r="G21" s="404"/>
      <c r="H21" s="375"/>
      <c r="I21" s="376"/>
      <c r="J21" s="409"/>
      <c r="K21" s="410"/>
      <c r="M21" s="460" t="s">
        <v>373</v>
      </c>
      <c r="N21" s="461"/>
      <c r="O21" s="461"/>
      <c r="P21" s="461"/>
      <c r="Q21" s="462">
        <f>SUM(Q$15:Q20)</f>
        <v>2.4527274999999999</v>
      </c>
      <c r="R21" s="463"/>
    </row>
    <row r="22" spans="2:57" ht="12" x14ac:dyDescent="0.2">
      <c r="B22" s="626"/>
      <c r="E22" s="630"/>
      <c r="G22" s="404"/>
      <c r="H22" s="375"/>
      <c r="I22" s="376"/>
      <c r="J22" s="409"/>
      <c r="K22" s="410"/>
      <c r="M22" s="464" t="s">
        <v>374</v>
      </c>
      <c r="N22" s="465"/>
      <c r="O22" s="465"/>
      <c r="P22" s="465"/>
      <c r="Q22" s="466"/>
      <c r="R22" s="467">
        <f>SUM(R$15:R20)</f>
        <v>4.9054599999999997</v>
      </c>
    </row>
    <row r="23" spans="2:57" ht="12" x14ac:dyDescent="0.2">
      <c r="B23" s="626"/>
      <c r="E23" s="630"/>
      <c r="G23" s="404"/>
      <c r="H23" s="375"/>
      <c r="I23" s="376"/>
      <c r="J23" s="409"/>
      <c r="K23" s="410"/>
      <c r="M23"/>
      <c r="N23"/>
      <c r="O23"/>
      <c r="P23"/>
      <c r="Q23"/>
      <c r="R23"/>
    </row>
    <row r="24" spans="2:57" ht="12" x14ac:dyDescent="0.2">
      <c r="B24" s="626"/>
      <c r="E24" s="630"/>
      <c r="G24" s="404"/>
      <c r="H24" s="375"/>
      <c r="I24" s="376"/>
      <c r="J24" s="409"/>
      <c r="K24" s="410"/>
      <c r="M24"/>
      <c r="N24"/>
      <c r="O24"/>
      <c r="P24"/>
      <c r="Q24"/>
      <c r="R24"/>
    </row>
    <row r="25" spans="2:57" ht="12" x14ac:dyDescent="0.2">
      <c r="B25" s="626"/>
      <c r="E25" s="630"/>
      <c r="G25" s="404"/>
      <c r="H25" s="375"/>
      <c r="I25" s="376"/>
      <c r="J25" s="409"/>
      <c r="K25" s="410"/>
      <c r="M25"/>
      <c r="N25"/>
      <c r="O25"/>
      <c r="P25"/>
      <c r="Q25"/>
      <c r="R25"/>
    </row>
    <row r="26" spans="2:57" ht="12" x14ac:dyDescent="0.2">
      <c r="B26" s="626"/>
      <c r="E26" s="630"/>
      <c r="G26" s="404"/>
      <c r="H26" s="375"/>
      <c r="I26" s="376"/>
      <c r="J26" s="409"/>
      <c r="K26" s="410"/>
      <c r="M26"/>
      <c r="N26"/>
      <c r="O26"/>
      <c r="P26"/>
      <c r="Q26"/>
      <c r="R26"/>
    </row>
    <row r="27" spans="2:57" ht="12" x14ac:dyDescent="0.2">
      <c r="B27" s="626"/>
      <c r="E27" s="630"/>
      <c r="G27" s="404"/>
      <c r="H27" s="375"/>
      <c r="I27" s="376"/>
      <c r="J27" s="409"/>
      <c r="K27" s="410"/>
      <c r="M27"/>
      <c r="N27"/>
      <c r="O27"/>
      <c r="P27"/>
      <c r="Q27"/>
      <c r="R27"/>
    </row>
    <row r="28" spans="2:57" ht="12" x14ac:dyDescent="0.2">
      <c r="B28" s="626"/>
      <c r="E28" s="630"/>
      <c r="G28" s="404"/>
      <c r="H28" s="375"/>
      <c r="I28" s="376"/>
      <c r="J28" s="409"/>
      <c r="K28" s="410"/>
      <c r="M28"/>
      <c r="N28"/>
      <c r="O28"/>
      <c r="P28"/>
      <c r="Q28"/>
      <c r="R28"/>
    </row>
    <row r="29" spans="2:57" ht="12" x14ac:dyDescent="0.2">
      <c r="B29" s="626"/>
      <c r="E29" s="630"/>
      <c r="G29" s="404"/>
      <c r="H29" s="375"/>
      <c r="I29" s="376"/>
      <c r="J29" s="409"/>
      <c r="K29" s="410"/>
      <c r="M29"/>
      <c r="N29"/>
      <c r="O29"/>
      <c r="P29"/>
      <c r="Q29"/>
      <c r="R29"/>
    </row>
    <row r="30" spans="2:57" ht="12" x14ac:dyDescent="0.2">
      <c r="B30" s="626"/>
      <c r="E30" s="630"/>
      <c r="G30" s="404"/>
      <c r="H30" s="375"/>
      <c r="I30" s="376"/>
      <c r="J30" s="409"/>
      <c r="K30" s="410"/>
      <c r="M30"/>
      <c r="N30"/>
      <c r="O30"/>
      <c r="P30"/>
      <c r="Q30"/>
      <c r="R30"/>
      <c r="AZ30" s="460" t="s">
        <v>373</v>
      </c>
      <c r="BA30" s="461"/>
      <c r="BB30" s="461"/>
      <c r="BC30" s="461"/>
      <c r="BD30" s="462"/>
      <c r="BE30" s="463"/>
    </row>
    <row r="31" spans="2:57" ht="12" x14ac:dyDescent="0.2">
      <c r="B31" s="626"/>
      <c r="E31" s="630"/>
      <c r="G31" s="404"/>
      <c r="H31" s="375"/>
      <c r="I31" s="376"/>
      <c r="J31" s="409"/>
      <c r="K31" s="410"/>
      <c r="M31"/>
      <c r="N31"/>
      <c r="O31"/>
      <c r="P31"/>
      <c r="Q31"/>
      <c r="R31"/>
      <c r="AZ31" s="464" t="s">
        <v>374</v>
      </c>
      <c r="BA31" s="465"/>
      <c r="BB31" s="465"/>
      <c r="BC31" s="465"/>
      <c r="BD31" s="466"/>
      <c r="BE31" s="467"/>
    </row>
    <row r="32" spans="2:57" ht="12" x14ac:dyDescent="0.2">
      <c r="B32" s="626"/>
      <c r="E32" s="630"/>
      <c r="G32" s="404"/>
      <c r="H32" s="375"/>
      <c r="I32" s="376"/>
      <c r="J32" s="409"/>
      <c r="K32" s="410"/>
      <c r="M32"/>
      <c r="N32"/>
      <c r="O32"/>
      <c r="P32"/>
      <c r="Q32"/>
      <c r="R32"/>
    </row>
    <row r="33" spans="2:18" ht="12" x14ac:dyDescent="0.2">
      <c r="B33" s="626"/>
      <c r="E33" s="630"/>
      <c r="G33" s="404"/>
      <c r="H33" s="375"/>
      <c r="I33" s="376"/>
      <c r="J33" s="409"/>
      <c r="K33" s="410"/>
      <c r="M33"/>
      <c r="N33"/>
      <c r="O33"/>
      <c r="P33"/>
      <c r="Q33"/>
      <c r="R33"/>
    </row>
    <row r="34" spans="2:18" ht="12" x14ac:dyDescent="0.2">
      <c r="B34" s="626"/>
      <c r="E34" s="630"/>
      <c r="G34" s="404"/>
      <c r="H34" s="375"/>
      <c r="I34" s="376"/>
      <c r="J34" s="409"/>
      <c r="K34" s="410"/>
      <c r="M34"/>
      <c r="N34"/>
      <c r="O34"/>
      <c r="P34"/>
      <c r="Q34"/>
      <c r="R34"/>
    </row>
    <row r="35" spans="2:18" ht="12" x14ac:dyDescent="0.2">
      <c r="B35" s="626"/>
      <c r="E35" s="630"/>
      <c r="G35" s="404"/>
      <c r="H35" s="375"/>
      <c r="I35" s="376"/>
      <c r="J35" s="409"/>
      <c r="K35" s="410"/>
      <c r="M35"/>
      <c r="N35"/>
      <c r="O35"/>
      <c r="P35"/>
      <c r="Q35"/>
      <c r="R35"/>
    </row>
    <row r="36" spans="2:18" ht="12" x14ac:dyDescent="0.2">
      <c r="B36" s="626"/>
      <c r="E36" s="630"/>
      <c r="G36" s="405"/>
      <c r="H36" s="375"/>
      <c r="I36" s="376"/>
      <c r="J36" s="409"/>
      <c r="K36" s="410"/>
      <c r="M36"/>
      <c r="N36"/>
      <c r="O36"/>
      <c r="P36"/>
      <c r="Q36"/>
      <c r="R36"/>
    </row>
    <row r="37" spans="2:18" ht="12" x14ac:dyDescent="0.2">
      <c r="B37" s="626"/>
      <c r="E37" s="630"/>
      <c r="G37" s="405"/>
      <c r="H37" s="375"/>
      <c r="I37" s="376"/>
      <c r="J37" s="409"/>
      <c r="K37" s="410"/>
      <c r="M37"/>
      <c r="N37"/>
      <c r="O37"/>
      <c r="P37"/>
      <c r="Q37"/>
      <c r="R37"/>
    </row>
    <row r="38" spans="2:18" ht="12" x14ac:dyDescent="0.2">
      <c r="B38" s="626"/>
      <c r="E38" s="630"/>
      <c r="G38" s="405"/>
      <c r="H38" s="375"/>
      <c r="I38" s="376"/>
      <c r="J38" s="409"/>
      <c r="K38" s="410"/>
      <c r="M38"/>
      <c r="N38"/>
      <c r="O38"/>
      <c r="P38"/>
      <c r="Q38"/>
      <c r="R38"/>
    </row>
    <row r="39" spans="2:18" ht="12" x14ac:dyDescent="0.2">
      <c r="B39" s="626"/>
      <c r="E39" s="630"/>
      <c r="G39" s="405"/>
      <c r="H39" s="375"/>
      <c r="I39" s="376"/>
      <c r="J39" s="409"/>
      <c r="K39" s="410"/>
      <c r="M39"/>
      <c r="N39"/>
      <c r="O39"/>
      <c r="P39"/>
      <c r="Q39"/>
      <c r="R39"/>
    </row>
    <row r="40" spans="2:18" ht="12" x14ac:dyDescent="0.2">
      <c r="B40" s="631"/>
      <c r="C40" s="632"/>
      <c r="D40" s="632"/>
      <c r="E40" s="633"/>
      <c r="G40" s="406"/>
      <c r="H40" s="377"/>
      <c r="I40" s="378"/>
      <c r="J40" s="411"/>
      <c r="K40" s="412"/>
      <c r="M40"/>
      <c r="N40"/>
      <c r="O40"/>
      <c r="P40"/>
      <c r="Q40"/>
      <c r="R40"/>
    </row>
    <row r="41" spans="2:18" ht="12" x14ac:dyDescent="0.2">
      <c r="M41"/>
      <c r="N41"/>
      <c r="O41"/>
      <c r="P41"/>
      <c r="Q41"/>
      <c r="R41"/>
    </row>
    <row r="42" spans="2:18" ht="12" x14ac:dyDescent="0.2">
      <c r="M42"/>
      <c r="N42"/>
      <c r="O42"/>
      <c r="P42"/>
      <c r="Q42"/>
      <c r="R42"/>
    </row>
    <row r="43" spans="2:18" ht="12" x14ac:dyDescent="0.2">
      <c r="M43"/>
      <c r="N43"/>
      <c r="O43"/>
      <c r="P43"/>
      <c r="Q43"/>
      <c r="R43"/>
    </row>
    <row r="44" spans="2:18" ht="12" x14ac:dyDescent="0.2">
      <c r="M44"/>
      <c r="N44"/>
      <c r="O44"/>
      <c r="P44"/>
      <c r="Q44"/>
      <c r="R44"/>
    </row>
    <row r="45" spans="2:18" ht="12" x14ac:dyDescent="0.2">
      <c r="M45"/>
      <c r="N45"/>
      <c r="O45"/>
      <c r="P45"/>
      <c r="Q45"/>
      <c r="R45"/>
    </row>
    <row r="46" spans="2:18" ht="12" x14ac:dyDescent="0.2">
      <c r="M46"/>
      <c r="N46"/>
      <c r="O46"/>
      <c r="P46"/>
      <c r="Q46"/>
      <c r="R46"/>
    </row>
    <row r="47" spans="2:18" ht="12" x14ac:dyDescent="0.2">
      <c r="M47"/>
      <c r="N47"/>
      <c r="O47"/>
      <c r="P47"/>
      <c r="Q47"/>
      <c r="R47"/>
    </row>
    <row r="48" spans="2:18" ht="12" x14ac:dyDescent="0.2">
      <c r="M48"/>
      <c r="N48"/>
      <c r="O48"/>
      <c r="P48"/>
      <c r="Q48"/>
      <c r="R48"/>
    </row>
    <row r="49" spans="13:18" ht="12" x14ac:dyDescent="0.2">
      <c r="M49"/>
      <c r="N49"/>
      <c r="O49"/>
      <c r="P49"/>
      <c r="Q49"/>
      <c r="R49"/>
    </row>
    <row r="50" spans="13:18" ht="12" x14ac:dyDescent="0.2">
      <c r="M50"/>
      <c r="N50"/>
      <c r="O50"/>
      <c r="P50"/>
      <c r="Q50"/>
      <c r="R50"/>
    </row>
    <row r="51" spans="13:18" ht="12" x14ac:dyDescent="0.2">
      <c r="M51"/>
      <c r="N51"/>
      <c r="O51"/>
      <c r="P51"/>
      <c r="Q51"/>
      <c r="R51"/>
    </row>
    <row r="52" spans="13:18" ht="12" x14ac:dyDescent="0.2">
      <c r="M52"/>
      <c r="N52"/>
      <c r="O52"/>
      <c r="P52"/>
      <c r="Q52"/>
      <c r="R52"/>
    </row>
    <row r="53" spans="13:18" ht="12" x14ac:dyDescent="0.2">
      <c r="M53"/>
      <c r="N53"/>
      <c r="O53"/>
      <c r="P53"/>
      <c r="Q53"/>
      <c r="R53"/>
    </row>
    <row r="54" spans="13:18" ht="12" x14ac:dyDescent="0.2">
      <c r="M54"/>
      <c r="N54"/>
      <c r="O54"/>
      <c r="P54"/>
      <c r="Q54"/>
      <c r="R54"/>
    </row>
    <row r="55" spans="13:18" ht="12" x14ac:dyDescent="0.2">
      <c r="M55"/>
      <c r="N55"/>
      <c r="O55"/>
      <c r="P55"/>
      <c r="Q55"/>
      <c r="R55"/>
    </row>
    <row r="56" spans="13:18" ht="12" x14ac:dyDescent="0.2">
      <c r="M56"/>
      <c r="N56"/>
      <c r="O56"/>
      <c r="P56"/>
      <c r="Q56"/>
      <c r="R56"/>
    </row>
    <row r="57" spans="13:18" ht="12" x14ac:dyDescent="0.2">
      <c r="M57"/>
      <c r="N57"/>
      <c r="O57"/>
      <c r="P57"/>
      <c r="Q57"/>
      <c r="R57"/>
    </row>
    <row r="58" spans="13:18" ht="12" x14ac:dyDescent="0.2">
      <c r="M58"/>
      <c r="N58"/>
      <c r="O58"/>
      <c r="P58"/>
      <c r="Q58"/>
      <c r="R58"/>
    </row>
    <row r="59" spans="13:18" ht="12" x14ac:dyDescent="0.2">
      <c r="M59"/>
      <c r="N59"/>
      <c r="O59"/>
      <c r="P59"/>
      <c r="Q59"/>
      <c r="R59"/>
    </row>
    <row r="60" spans="13:18" ht="12" x14ac:dyDescent="0.2">
      <c r="M60"/>
      <c r="N60"/>
      <c r="O60"/>
      <c r="P60"/>
      <c r="Q60"/>
      <c r="R60"/>
    </row>
    <row r="61" spans="13:18" ht="12" x14ac:dyDescent="0.2">
      <c r="M61"/>
      <c r="N61"/>
      <c r="O61"/>
      <c r="P61"/>
      <c r="Q61"/>
      <c r="R61"/>
    </row>
    <row r="62" spans="13:18" ht="12" x14ac:dyDescent="0.2">
      <c r="M62"/>
      <c r="N62"/>
      <c r="O62"/>
      <c r="P62"/>
      <c r="Q62"/>
      <c r="R62"/>
    </row>
    <row r="63" spans="13:18" ht="12" x14ac:dyDescent="0.2">
      <c r="M63"/>
      <c r="N63"/>
      <c r="O63"/>
      <c r="P63"/>
      <c r="Q63"/>
      <c r="R63"/>
    </row>
    <row r="64" spans="13:18" ht="12" x14ac:dyDescent="0.2">
      <c r="M64"/>
      <c r="N64"/>
      <c r="O64"/>
      <c r="P64"/>
      <c r="Q64"/>
      <c r="R64"/>
    </row>
    <row r="65" spans="13:18" ht="12" x14ac:dyDescent="0.2">
      <c r="M65"/>
      <c r="N65"/>
      <c r="O65"/>
      <c r="P65"/>
      <c r="Q65"/>
      <c r="R65"/>
    </row>
    <row r="66" spans="13:18" ht="12" x14ac:dyDescent="0.2">
      <c r="M66"/>
      <c r="N66"/>
      <c r="O66"/>
      <c r="P66"/>
      <c r="Q66"/>
      <c r="R66"/>
    </row>
    <row r="67" spans="13:18" ht="12" x14ac:dyDescent="0.2">
      <c r="M67"/>
      <c r="N67"/>
      <c r="O67"/>
      <c r="P67"/>
      <c r="Q67"/>
      <c r="R67"/>
    </row>
    <row r="68" spans="13:18" ht="12" x14ac:dyDescent="0.2">
      <c r="M68"/>
      <c r="N68"/>
      <c r="O68"/>
      <c r="P68"/>
      <c r="Q68"/>
      <c r="R68"/>
    </row>
    <row r="69" spans="13:18" ht="12" x14ac:dyDescent="0.2">
      <c r="M69"/>
      <c r="N69"/>
      <c r="O69"/>
      <c r="P69"/>
      <c r="Q69"/>
      <c r="R69"/>
    </row>
    <row r="70" spans="13:18" ht="12" x14ac:dyDescent="0.2">
      <c r="M70"/>
      <c r="N70"/>
      <c r="O70"/>
      <c r="P70"/>
      <c r="Q70"/>
      <c r="R70"/>
    </row>
    <row r="71" spans="13:18" ht="12" x14ac:dyDescent="0.2">
      <c r="M71"/>
      <c r="N71"/>
      <c r="O71"/>
      <c r="P71"/>
      <c r="Q71"/>
      <c r="R71"/>
    </row>
    <row r="72" spans="13:18" ht="12" x14ac:dyDescent="0.2">
      <c r="M72"/>
      <c r="N72"/>
      <c r="O72"/>
      <c r="P72"/>
      <c r="Q72"/>
      <c r="R72"/>
    </row>
    <row r="73" spans="13:18" ht="12" x14ac:dyDescent="0.2">
      <c r="M73"/>
      <c r="N73"/>
      <c r="O73"/>
      <c r="P73"/>
      <c r="Q73"/>
      <c r="R73"/>
    </row>
    <row r="74" spans="13:18" ht="12" x14ac:dyDescent="0.2">
      <c r="M74"/>
      <c r="N74"/>
      <c r="O74"/>
      <c r="P74"/>
      <c r="Q74"/>
      <c r="R74"/>
    </row>
    <row r="75" spans="13:18" ht="12" x14ac:dyDescent="0.2">
      <c r="M75"/>
      <c r="N75"/>
      <c r="O75"/>
      <c r="P75"/>
      <c r="Q75"/>
      <c r="R75"/>
    </row>
    <row r="76" spans="13:18" ht="12" x14ac:dyDescent="0.2">
      <c r="M76"/>
      <c r="N76"/>
      <c r="O76"/>
      <c r="P76"/>
      <c r="Q76"/>
      <c r="R76"/>
    </row>
    <row r="77" spans="13:18" ht="12" x14ac:dyDescent="0.2">
      <c r="M77"/>
      <c r="N77"/>
      <c r="O77"/>
      <c r="P77"/>
      <c r="Q77"/>
      <c r="R77"/>
    </row>
    <row r="78" spans="13:18" ht="12" x14ac:dyDescent="0.2">
      <c r="M78"/>
      <c r="N78"/>
      <c r="O78"/>
      <c r="P78"/>
      <c r="Q78"/>
      <c r="R78"/>
    </row>
    <row r="79" spans="13:18" ht="12" x14ac:dyDescent="0.2">
      <c r="M79"/>
      <c r="N79"/>
      <c r="O79"/>
      <c r="P79"/>
      <c r="Q79"/>
      <c r="R79"/>
    </row>
    <row r="80" spans="13:18" ht="12" x14ac:dyDescent="0.2">
      <c r="M80"/>
      <c r="N80"/>
      <c r="O80"/>
      <c r="P80"/>
      <c r="Q80"/>
      <c r="R80"/>
    </row>
    <row r="81" spans="13:18" ht="12" x14ac:dyDescent="0.2">
      <c r="M81"/>
      <c r="N81"/>
      <c r="O81"/>
      <c r="P81"/>
      <c r="Q81"/>
      <c r="R81"/>
    </row>
    <row r="82" spans="13:18" ht="12" x14ac:dyDescent="0.2">
      <c r="M82"/>
      <c r="N82"/>
      <c r="O82"/>
      <c r="P82"/>
      <c r="Q82"/>
      <c r="R82"/>
    </row>
    <row r="83" spans="13:18" ht="12" x14ac:dyDescent="0.2">
      <c r="M83"/>
      <c r="N83"/>
      <c r="O83"/>
      <c r="P83"/>
      <c r="Q83"/>
      <c r="R83"/>
    </row>
    <row r="84" spans="13:18" ht="12" x14ac:dyDescent="0.2">
      <c r="M84"/>
      <c r="N84"/>
      <c r="O84"/>
      <c r="P84"/>
      <c r="Q84"/>
      <c r="R84"/>
    </row>
    <row r="85" spans="13:18" ht="12" x14ac:dyDescent="0.2">
      <c r="M85"/>
      <c r="N85"/>
      <c r="O85"/>
      <c r="P85"/>
      <c r="Q85"/>
      <c r="R85"/>
    </row>
    <row r="86" spans="13:18" ht="12" x14ac:dyDescent="0.2">
      <c r="M86"/>
      <c r="N86"/>
      <c r="O86"/>
      <c r="P86"/>
      <c r="Q86"/>
      <c r="R86"/>
    </row>
    <row r="87" spans="13:18" ht="12" x14ac:dyDescent="0.2">
      <c r="M87"/>
      <c r="N87"/>
      <c r="O87"/>
      <c r="P87"/>
      <c r="Q87"/>
      <c r="R87"/>
    </row>
    <row r="88" spans="13:18" ht="12" x14ac:dyDescent="0.2">
      <c r="M88"/>
      <c r="N88"/>
      <c r="O88"/>
      <c r="P88"/>
      <c r="Q88"/>
      <c r="R88"/>
    </row>
    <row r="89" spans="13:18" ht="12" x14ac:dyDescent="0.2">
      <c r="M89"/>
      <c r="N89"/>
      <c r="O89"/>
      <c r="P89"/>
      <c r="Q89"/>
      <c r="R89"/>
    </row>
    <row r="90" spans="13:18" ht="12" x14ac:dyDescent="0.2">
      <c r="M90"/>
      <c r="N90"/>
      <c r="O90"/>
      <c r="P90"/>
      <c r="Q90"/>
      <c r="R90"/>
    </row>
    <row r="91" spans="13:18" ht="12" x14ac:dyDescent="0.2">
      <c r="M91"/>
      <c r="N91"/>
      <c r="O91"/>
      <c r="P91"/>
      <c r="Q91"/>
      <c r="R91"/>
    </row>
    <row r="92" spans="13:18" ht="12" x14ac:dyDescent="0.2">
      <c r="M92"/>
      <c r="N92"/>
      <c r="O92"/>
      <c r="P92"/>
      <c r="Q92"/>
      <c r="R92"/>
    </row>
    <row r="93" spans="13:18" ht="12" x14ac:dyDescent="0.2">
      <c r="M93"/>
      <c r="N93"/>
      <c r="O93"/>
      <c r="P93"/>
      <c r="Q93"/>
      <c r="R93"/>
    </row>
    <row r="94" spans="13:18" ht="12" x14ac:dyDescent="0.2">
      <c r="M94"/>
      <c r="N94"/>
      <c r="O94"/>
      <c r="P94"/>
      <c r="Q94"/>
      <c r="R94"/>
    </row>
    <row r="95" spans="13:18" ht="12" x14ac:dyDescent="0.2">
      <c r="M95"/>
      <c r="N95"/>
      <c r="O95"/>
      <c r="P95"/>
      <c r="Q95"/>
      <c r="R95"/>
    </row>
    <row r="96" spans="13:18" ht="12" x14ac:dyDescent="0.2">
      <c r="M96"/>
      <c r="N96"/>
      <c r="O96"/>
      <c r="P96"/>
      <c r="Q96"/>
      <c r="R96"/>
    </row>
    <row r="97" spans="13:18" ht="12" x14ac:dyDescent="0.2">
      <c r="M97"/>
      <c r="N97"/>
      <c r="O97"/>
      <c r="P97"/>
      <c r="Q97"/>
      <c r="R97"/>
    </row>
    <row r="98" spans="13:18" ht="12" x14ac:dyDescent="0.2">
      <c r="M98"/>
      <c r="N98"/>
      <c r="O98"/>
      <c r="P98"/>
      <c r="Q98"/>
      <c r="R98"/>
    </row>
    <row r="99" spans="13:18" ht="12" x14ac:dyDescent="0.2">
      <c r="M99"/>
      <c r="N99"/>
      <c r="O99"/>
      <c r="P99"/>
      <c r="Q99"/>
      <c r="R99"/>
    </row>
    <row r="100" spans="13:18" ht="12" x14ac:dyDescent="0.2">
      <c r="M100"/>
      <c r="N100"/>
      <c r="O100"/>
      <c r="P100"/>
      <c r="Q100"/>
      <c r="R100"/>
    </row>
    <row r="101" spans="13:18" ht="12" x14ac:dyDescent="0.2">
      <c r="M101"/>
      <c r="N101"/>
      <c r="O101"/>
      <c r="P101"/>
      <c r="Q101"/>
      <c r="R101"/>
    </row>
    <row r="102" spans="13:18" ht="12" x14ac:dyDescent="0.2">
      <c r="M102"/>
      <c r="N102"/>
      <c r="O102"/>
      <c r="P102"/>
      <c r="Q102"/>
      <c r="R102"/>
    </row>
    <row r="103" spans="13:18" ht="12" x14ac:dyDescent="0.2">
      <c r="M103"/>
      <c r="N103"/>
      <c r="O103"/>
      <c r="P103"/>
      <c r="Q103"/>
      <c r="R103"/>
    </row>
    <row r="104" spans="13:18" ht="12" x14ac:dyDescent="0.2">
      <c r="M104"/>
      <c r="N104"/>
      <c r="O104"/>
      <c r="P104"/>
      <c r="Q104"/>
      <c r="R104"/>
    </row>
    <row r="105" spans="13:18" ht="12" x14ac:dyDescent="0.2">
      <c r="M105"/>
      <c r="N105"/>
      <c r="O105"/>
      <c r="P105"/>
      <c r="Q105"/>
      <c r="R105"/>
    </row>
    <row r="106" spans="13:18" ht="12" x14ac:dyDescent="0.2">
      <c r="M106"/>
      <c r="N106"/>
      <c r="O106"/>
      <c r="P106"/>
      <c r="Q106"/>
      <c r="R106"/>
    </row>
    <row r="107" spans="13:18" ht="12" x14ac:dyDescent="0.2">
      <c r="M107"/>
      <c r="N107"/>
      <c r="O107"/>
      <c r="P107"/>
      <c r="Q107"/>
      <c r="R107"/>
    </row>
    <row r="108" spans="13:18" ht="12" x14ac:dyDescent="0.2">
      <c r="M108"/>
      <c r="N108"/>
      <c r="O108"/>
      <c r="P108"/>
      <c r="Q108"/>
      <c r="R108"/>
    </row>
    <row r="109" spans="13:18" ht="12" x14ac:dyDescent="0.2">
      <c r="M109"/>
      <c r="N109"/>
      <c r="O109"/>
      <c r="P109"/>
      <c r="Q109"/>
      <c r="R109"/>
    </row>
    <row r="110" spans="13:18" ht="12" x14ac:dyDescent="0.2">
      <c r="M110"/>
      <c r="N110"/>
      <c r="O110"/>
      <c r="P110"/>
      <c r="Q110"/>
      <c r="R110"/>
    </row>
    <row r="111" spans="13:18" ht="12" x14ac:dyDescent="0.2">
      <c r="M111"/>
      <c r="N111"/>
      <c r="O111"/>
      <c r="P111"/>
      <c r="Q111"/>
      <c r="R111"/>
    </row>
    <row r="112" spans="13:18" ht="12" x14ac:dyDescent="0.2">
      <c r="M112"/>
      <c r="N112"/>
      <c r="O112"/>
      <c r="P112"/>
      <c r="Q112"/>
      <c r="R112"/>
    </row>
    <row r="113" spans="13:18" ht="12" x14ac:dyDescent="0.2">
      <c r="M113"/>
      <c r="N113"/>
      <c r="O113"/>
      <c r="P113"/>
      <c r="Q113"/>
      <c r="R113"/>
    </row>
    <row r="114" spans="13:18" ht="12" x14ac:dyDescent="0.2">
      <c r="M114"/>
      <c r="N114"/>
      <c r="O114"/>
      <c r="P114"/>
      <c r="Q114"/>
      <c r="R114"/>
    </row>
    <row r="115" spans="13:18" ht="12" x14ac:dyDescent="0.2">
      <c r="M115"/>
      <c r="N115"/>
      <c r="O115"/>
      <c r="P115"/>
      <c r="Q115"/>
      <c r="R115"/>
    </row>
    <row r="116" spans="13:18" ht="12" x14ac:dyDescent="0.2">
      <c r="M116"/>
      <c r="N116"/>
      <c r="O116"/>
      <c r="P116"/>
      <c r="Q116"/>
      <c r="R116"/>
    </row>
    <row r="117" spans="13:18" ht="12" x14ac:dyDescent="0.2">
      <c r="M117"/>
      <c r="N117"/>
      <c r="O117"/>
      <c r="P117"/>
      <c r="Q117"/>
      <c r="R117"/>
    </row>
    <row r="118" spans="13:18" ht="12" x14ac:dyDescent="0.2">
      <c r="M118"/>
      <c r="N118"/>
      <c r="O118"/>
      <c r="P118"/>
      <c r="Q118"/>
      <c r="R118"/>
    </row>
    <row r="119" spans="13:18" ht="12" x14ac:dyDescent="0.2">
      <c r="M119"/>
      <c r="N119"/>
      <c r="O119"/>
      <c r="P119"/>
      <c r="Q119"/>
      <c r="R119"/>
    </row>
    <row r="120" spans="13:18" ht="12" x14ac:dyDescent="0.2">
      <c r="M120"/>
      <c r="N120"/>
      <c r="O120"/>
      <c r="P120"/>
      <c r="Q120"/>
      <c r="R120"/>
    </row>
    <row r="121" spans="13:18" ht="12" x14ac:dyDescent="0.2">
      <c r="M121"/>
      <c r="N121"/>
      <c r="O121"/>
      <c r="P121"/>
      <c r="Q121"/>
      <c r="R121"/>
    </row>
    <row r="122" spans="13:18" ht="12" x14ac:dyDescent="0.2">
      <c r="M122"/>
      <c r="N122"/>
      <c r="O122"/>
      <c r="P122"/>
      <c r="Q122"/>
      <c r="R122"/>
    </row>
    <row r="123" spans="13:18" ht="12" x14ac:dyDescent="0.2">
      <c r="M123"/>
      <c r="N123"/>
      <c r="O123"/>
      <c r="P123"/>
      <c r="Q123"/>
      <c r="R123"/>
    </row>
    <row r="124" spans="13:18" ht="12" x14ac:dyDescent="0.2">
      <c r="M124"/>
      <c r="N124"/>
      <c r="O124"/>
      <c r="P124"/>
      <c r="Q124"/>
      <c r="R124"/>
    </row>
    <row r="125" spans="13:18" ht="12" x14ac:dyDescent="0.2">
      <c r="M125"/>
      <c r="N125"/>
      <c r="O125"/>
      <c r="P125"/>
      <c r="Q125"/>
      <c r="R125"/>
    </row>
    <row r="126" spans="13:18" ht="12" x14ac:dyDescent="0.2">
      <c r="M126"/>
      <c r="N126"/>
      <c r="O126"/>
      <c r="P126"/>
      <c r="Q126"/>
      <c r="R126"/>
    </row>
    <row r="127" spans="13:18" ht="12" x14ac:dyDescent="0.2">
      <c r="M127"/>
      <c r="N127"/>
      <c r="O127"/>
      <c r="P127"/>
      <c r="Q127"/>
      <c r="R127"/>
    </row>
    <row r="128" spans="13:18" ht="12" x14ac:dyDescent="0.2">
      <c r="M128"/>
      <c r="N128"/>
      <c r="O128"/>
      <c r="P128"/>
      <c r="Q128"/>
      <c r="R128"/>
    </row>
    <row r="129" spans="13:18" ht="12" x14ac:dyDescent="0.2">
      <c r="M129"/>
      <c r="N129"/>
      <c r="O129"/>
      <c r="P129"/>
      <c r="Q129"/>
      <c r="R129"/>
    </row>
    <row r="130" spans="13:18" ht="12" x14ac:dyDescent="0.2">
      <c r="M130"/>
      <c r="N130"/>
      <c r="O130"/>
      <c r="P130"/>
      <c r="Q130"/>
      <c r="R130"/>
    </row>
    <row r="131" spans="13:18" ht="12" x14ac:dyDescent="0.2">
      <c r="M131"/>
      <c r="N131"/>
      <c r="O131"/>
      <c r="P131"/>
      <c r="Q131"/>
      <c r="R131"/>
    </row>
    <row r="132" spans="13:18" ht="12" x14ac:dyDescent="0.2">
      <c r="M132"/>
      <c r="N132"/>
      <c r="O132"/>
      <c r="P132"/>
      <c r="Q132"/>
      <c r="R132"/>
    </row>
    <row r="133" spans="13:18" ht="12" x14ac:dyDescent="0.2">
      <c r="M133"/>
      <c r="N133"/>
      <c r="O133"/>
      <c r="P133"/>
      <c r="Q133"/>
      <c r="R133"/>
    </row>
    <row r="134" spans="13:18" ht="12" x14ac:dyDescent="0.2">
      <c r="M134"/>
      <c r="N134"/>
      <c r="O134"/>
      <c r="P134"/>
      <c r="Q134"/>
      <c r="R134"/>
    </row>
    <row r="135" spans="13:18" ht="12" x14ac:dyDescent="0.2">
      <c r="M135"/>
      <c r="N135"/>
      <c r="O135"/>
      <c r="P135"/>
      <c r="Q135"/>
      <c r="R135"/>
    </row>
    <row r="136" spans="13:18" ht="12" x14ac:dyDescent="0.2">
      <c r="M136"/>
      <c r="N136"/>
      <c r="O136"/>
      <c r="P136"/>
      <c r="Q136"/>
      <c r="R136"/>
    </row>
    <row r="137" spans="13:18" ht="12" x14ac:dyDescent="0.2">
      <c r="M137"/>
      <c r="N137"/>
      <c r="O137"/>
      <c r="P137"/>
      <c r="Q137"/>
      <c r="R137"/>
    </row>
    <row r="138" spans="13:18" ht="12" x14ac:dyDescent="0.2">
      <c r="M138"/>
      <c r="N138"/>
      <c r="O138"/>
      <c r="P138"/>
      <c r="Q138"/>
      <c r="R138"/>
    </row>
    <row r="139" spans="13:18" ht="12" x14ac:dyDescent="0.2">
      <c r="M139"/>
      <c r="N139"/>
      <c r="O139"/>
      <c r="P139"/>
      <c r="Q139"/>
      <c r="R139"/>
    </row>
    <row r="140" spans="13:18" ht="12" x14ac:dyDescent="0.2">
      <c r="M140"/>
      <c r="N140"/>
      <c r="O140"/>
      <c r="P140"/>
      <c r="Q140"/>
      <c r="R140"/>
    </row>
    <row r="141" spans="13:18" ht="12" x14ac:dyDescent="0.2">
      <c r="M141"/>
      <c r="N141"/>
      <c r="O141"/>
      <c r="P141"/>
      <c r="Q141"/>
      <c r="R141"/>
    </row>
    <row r="142" spans="13:18" ht="12" x14ac:dyDescent="0.2">
      <c r="M142"/>
      <c r="N142"/>
      <c r="O142"/>
      <c r="P142"/>
      <c r="Q142"/>
      <c r="R142"/>
    </row>
    <row r="143" spans="13:18" ht="12" x14ac:dyDescent="0.2">
      <c r="M143"/>
      <c r="N143"/>
      <c r="O143"/>
      <c r="P143"/>
      <c r="Q143"/>
      <c r="R143"/>
    </row>
    <row r="144" spans="13:18" ht="12" x14ac:dyDescent="0.2">
      <c r="M144"/>
      <c r="N144"/>
      <c r="O144"/>
      <c r="P144"/>
      <c r="Q144"/>
      <c r="R144"/>
    </row>
    <row r="145" spans="13:18" ht="12" x14ac:dyDescent="0.2">
      <c r="M145"/>
      <c r="N145"/>
      <c r="O145"/>
      <c r="P145"/>
      <c r="Q145"/>
      <c r="R145"/>
    </row>
    <row r="146" spans="13:18" ht="12" x14ac:dyDescent="0.2">
      <c r="M146"/>
      <c r="N146"/>
      <c r="O146"/>
      <c r="P146"/>
      <c r="Q146"/>
      <c r="R146"/>
    </row>
    <row r="147" spans="13:18" ht="12" x14ac:dyDescent="0.2">
      <c r="M147"/>
      <c r="N147"/>
      <c r="O147"/>
      <c r="P147"/>
      <c r="Q147"/>
      <c r="R147"/>
    </row>
    <row r="148" spans="13:18" ht="12" x14ac:dyDescent="0.2">
      <c r="M148"/>
      <c r="N148"/>
      <c r="O148"/>
      <c r="P148"/>
      <c r="Q148"/>
      <c r="R148"/>
    </row>
    <row r="149" spans="13:18" ht="12" x14ac:dyDescent="0.2">
      <c r="M149"/>
      <c r="N149"/>
      <c r="O149"/>
      <c r="P149"/>
      <c r="Q149"/>
      <c r="R149"/>
    </row>
    <row r="150" spans="13:18" ht="12" x14ac:dyDescent="0.2">
      <c r="M150"/>
      <c r="N150"/>
      <c r="O150"/>
      <c r="P150"/>
      <c r="Q150"/>
      <c r="R150"/>
    </row>
    <row r="151" spans="13:18" ht="12" x14ac:dyDescent="0.2">
      <c r="M151"/>
      <c r="N151"/>
      <c r="O151"/>
      <c r="P151"/>
      <c r="Q151"/>
      <c r="R151"/>
    </row>
    <row r="152" spans="13:18" ht="12" x14ac:dyDescent="0.2">
      <c r="M152"/>
      <c r="N152"/>
      <c r="O152"/>
      <c r="P152"/>
      <c r="Q152"/>
      <c r="R152"/>
    </row>
    <row r="153" spans="13:18" ht="12" x14ac:dyDescent="0.2">
      <c r="M153"/>
      <c r="N153"/>
      <c r="O153"/>
      <c r="P153"/>
      <c r="Q153"/>
      <c r="R153"/>
    </row>
    <row r="154" spans="13:18" ht="12" x14ac:dyDescent="0.2">
      <c r="M154"/>
      <c r="N154"/>
      <c r="O154"/>
      <c r="P154"/>
      <c r="Q154"/>
      <c r="R154"/>
    </row>
    <row r="155" spans="13:18" ht="12" x14ac:dyDescent="0.2">
      <c r="M155"/>
      <c r="N155"/>
      <c r="O155"/>
      <c r="P155"/>
      <c r="Q155"/>
      <c r="R155"/>
    </row>
    <row r="156" spans="13:18" ht="12" x14ac:dyDescent="0.2">
      <c r="M156"/>
      <c r="N156"/>
      <c r="O156"/>
      <c r="P156"/>
      <c r="Q156"/>
      <c r="R156"/>
    </row>
    <row r="157" spans="13:18" ht="12" x14ac:dyDescent="0.2">
      <c r="M157"/>
      <c r="N157"/>
      <c r="O157"/>
      <c r="P157"/>
      <c r="Q157"/>
      <c r="R157"/>
    </row>
    <row r="158" spans="13:18" ht="12" x14ac:dyDescent="0.2">
      <c r="M158"/>
      <c r="N158"/>
      <c r="O158"/>
      <c r="P158"/>
      <c r="Q158"/>
      <c r="R158"/>
    </row>
    <row r="159" spans="13:18" ht="12" x14ac:dyDescent="0.2">
      <c r="M159"/>
      <c r="N159"/>
      <c r="O159"/>
      <c r="P159"/>
      <c r="Q159"/>
      <c r="R159"/>
    </row>
    <row r="160" spans="13:18" ht="12" x14ac:dyDescent="0.2">
      <c r="M160"/>
      <c r="N160"/>
      <c r="O160"/>
      <c r="P160"/>
      <c r="Q160"/>
      <c r="R160"/>
    </row>
    <row r="161" spans="13:18" ht="12" x14ac:dyDescent="0.2">
      <c r="M161"/>
      <c r="N161"/>
      <c r="O161"/>
      <c r="P161"/>
      <c r="Q161"/>
      <c r="R161"/>
    </row>
    <row r="162" spans="13:18" ht="12" x14ac:dyDescent="0.2">
      <c r="M162"/>
      <c r="N162"/>
      <c r="O162"/>
      <c r="P162"/>
      <c r="Q162"/>
      <c r="R162"/>
    </row>
    <row r="163" spans="13:18" ht="12" x14ac:dyDescent="0.2">
      <c r="M163"/>
      <c r="N163"/>
      <c r="O163"/>
      <c r="P163"/>
      <c r="Q163"/>
      <c r="R163"/>
    </row>
    <row r="164" spans="13:18" ht="12" x14ac:dyDescent="0.2">
      <c r="M164"/>
      <c r="N164"/>
      <c r="O164"/>
      <c r="P164"/>
      <c r="Q164"/>
      <c r="R164"/>
    </row>
    <row r="165" spans="13:18" ht="12" x14ac:dyDescent="0.2">
      <c r="M165"/>
      <c r="N165"/>
      <c r="O165"/>
      <c r="P165"/>
      <c r="Q165"/>
      <c r="R165"/>
    </row>
    <row r="166" spans="13:18" ht="12" x14ac:dyDescent="0.2">
      <c r="M166"/>
      <c r="N166"/>
      <c r="O166"/>
      <c r="P166"/>
      <c r="Q166"/>
      <c r="R166"/>
    </row>
    <row r="167" spans="13:18" ht="12" x14ac:dyDescent="0.2">
      <c r="M167"/>
      <c r="N167"/>
      <c r="O167"/>
      <c r="P167"/>
      <c r="Q167"/>
      <c r="R167"/>
    </row>
    <row r="168" spans="13:18" ht="12" x14ac:dyDescent="0.2">
      <c r="M168"/>
      <c r="N168"/>
      <c r="O168"/>
      <c r="P168"/>
      <c r="Q168"/>
      <c r="R168"/>
    </row>
    <row r="169" spans="13:18" ht="12" x14ac:dyDescent="0.2">
      <c r="M169"/>
      <c r="N169"/>
      <c r="O169"/>
      <c r="P169"/>
      <c r="Q169"/>
      <c r="R169"/>
    </row>
    <row r="170" spans="13:18" ht="12" x14ac:dyDescent="0.2">
      <c r="M170"/>
      <c r="N170"/>
      <c r="O170"/>
      <c r="P170"/>
      <c r="Q170"/>
      <c r="R170"/>
    </row>
    <row r="171" spans="13:18" ht="12" x14ac:dyDescent="0.2">
      <c r="M171"/>
      <c r="N171"/>
      <c r="O171"/>
      <c r="P171"/>
      <c r="Q171"/>
      <c r="R171"/>
    </row>
    <row r="172" spans="13:18" ht="12" x14ac:dyDescent="0.2">
      <c r="M172"/>
      <c r="N172"/>
      <c r="O172"/>
      <c r="P172"/>
      <c r="Q172"/>
      <c r="R172"/>
    </row>
    <row r="173" spans="13:18" ht="12" x14ac:dyDescent="0.2">
      <c r="M173"/>
      <c r="N173"/>
      <c r="O173"/>
      <c r="P173"/>
      <c r="Q173"/>
      <c r="R173"/>
    </row>
    <row r="174" spans="13:18" ht="12" x14ac:dyDescent="0.2">
      <c r="M174"/>
      <c r="N174"/>
      <c r="O174"/>
      <c r="P174"/>
      <c r="Q174"/>
      <c r="R174"/>
    </row>
    <row r="175" spans="13:18" ht="12" x14ac:dyDescent="0.2">
      <c r="M175"/>
      <c r="N175"/>
      <c r="O175"/>
      <c r="P175"/>
      <c r="Q175"/>
      <c r="R175"/>
    </row>
    <row r="176" spans="13:18" ht="12" x14ac:dyDescent="0.2">
      <c r="M176"/>
      <c r="N176"/>
      <c r="O176"/>
      <c r="P176"/>
      <c r="Q176"/>
      <c r="R176"/>
    </row>
    <row r="177" spans="13:18" ht="12" x14ac:dyDescent="0.2">
      <c r="M177"/>
      <c r="N177"/>
      <c r="O177"/>
      <c r="P177"/>
      <c r="Q177"/>
      <c r="R177"/>
    </row>
    <row r="178" spans="13:18" ht="12" x14ac:dyDescent="0.2">
      <c r="M178"/>
      <c r="N178"/>
      <c r="O178"/>
      <c r="P178"/>
      <c r="Q178"/>
      <c r="R178"/>
    </row>
    <row r="179" spans="13:18" ht="12" x14ac:dyDescent="0.2">
      <c r="M179"/>
      <c r="N179"/>
      <c r="O179"/>
      <c r="P179"/>
      <c r="Q179"/>
      <c r="R179"/>
    </row>
    <row r="180" spans="13:18" ht="12" x14ac:dyDescent="0.2">
      <c r="M180"/>
      <c r="N180"/>
      <c r="O180"/>
      <c r="P180"/>
      <c r="Q180"/>
      <c r="R180"/>
    </row>
    <row r="181" spans="13:18" ht="12" x14ac:dyDescent="0.2">
      <c r="M181"/>
      <c r="N181"/>
      <c r="O181"/>
      <c r="P181"/>
      <c r="Q181"/>
      <c r="R181"/>
    </row>
    <row r="182" spans="13:18" ht="12" x14ac:dyDescent="0.2">
      <c r="M182"/>
      <c r="N182"/>
      <c r="O182"/>
      <c r="P182"/>
      <c r="Q182"/>
      <c r="R182"/>
    </row>
    <row r="183" spans="13:18" ht="12" x14ac:dyDescent="0.2">
      <c r="M183"/>
      <c r="N183"/>
      <c r="O183"/>
      <c r="P183"/>
      <c r="Q183"/>
      <c r="R183"/>
    </row>
    <row r="184" spans="13:18" ht="12" x14ac:dyDescent="0.2">
      <c r="M184"/>
      <c r="N184"/>
      <c r="O184"/>
      <c r="P184"/>
      <c r="Q184"/>
      <c r="R184"/>
    </row>
    <row r="185" spans="13:18" ht="12" x14ac:dyDescent="0.2">
      <c r="M185"/>
      <c r="N185"/>
      <c r="O185"/>
      <c r="P185"/>
      <c r="Q185"/>
      <c r="R185"/>
    </row>
    <row r="186" spans="13:18" ht="12" x14ac:dyDescent="0.2">
      <c r="M186"/>
      <c r="N186"/>
      <c r="O186"/>
      <c r="P186"/>
      <c r="Q186"/>
      <c r="R186"/>
    </row>
    <row r="187" spans="13:18" ht="12" x14ac:dyDescent="0.2">
      <c r="M187"/>
      <c r="N187"/>
      <c r="O187"/>
      <c r="P187"/>
      <c r="Q187"/>
      <c r="R187"/>
    </row>
    <row r="188" spans="13:18" ht="12" x14ac:dyDescent="0.2">
      <c r="M188"/>
      <c r="N188"/>
      <c r="O188"/>
      <c r="P188"/>
      <c r="Q188"/>
      <c r="R188"/>
    </row>
    <row r="189" spans="13:18" ht="12" x14ac:dyDescent="0.2">
      <c r="M189"/>
      <c r="N189"/>
      <c r="O189"/>
      <c r="P189"/>
      <c r="Q189"/>
      <c r="R189"/>
    </row>
    <row r="190" spans="13:18" ht="12" x14ac:dyDescent="0.2">
      <c r="M190"/>
      <c r="N190"/>
      <c r="O190"/>
      <c r="P190"/>
      <c r="Q190"/>
      <c r="R190"/>
    </row>
    <row r="191" spans="13:18" ht="12" x14ac:dyDescent="0.2">
      <c r="M191"/>
      <c r="N191"/>
      <c r="O191"/>
      <c r="P191"/>
      <c r="Q191"/>
      <c r="R191"/>
    </row>
    <row r="192" spans="13:18" ht="12" x14ac:dyDescent="0.2">
      <c r="M192"/>
      <c r="N192"/>
      <c r="O192"/>
      <c r="P192"/>
      <c r="Q192"/>
      <c r="R192"/>
    </row>
    <row r="193" spans="13:18" ht="12" x14ac:dyDescent="0.2">
      <c r="M193"/>
      <c r="N193"/>
      <c r="O193"/>
      <c r="P193"/>
      <c r="Q193"/>
      <c r="R193"/>
    </row>
    <row r="194" spans="13:18" ht="12" x14ac:dyDescent="0.2">
      <c r="M194"/>
      <c r="N194"/>
      <c r="O194"/>
      <c r="P194"/>
      <c r="Q194"/>
      <c r="R194"/>
    </row>
    <row r="195" spans="13:18" ht="12" x14ac:dyDescent="0.2">
      <c r="M195"/>
      <c r="N195"/>
      <c r="O195"/>
      <c r="P195"/>
      <c r="Q195"/>
      <c r="R195"/>
    </row>
    <row r="196" spans="13:18" ht="12" x14ac:dyDescent="0.2">
      <c r="M196"/>
      <c r="N196"/>
      <c r="O196"/>
      <c r="P196"/>
      <c r="Q196"/>
      <c r="R196"/>
    </row>
    <row r="197" spans="13:18" ht="12" x14ac:dyDescent="0.2">
      <c r="M197"/>
      <c r="N197"/>
      <c r="O197"/>
      <c r="P197"/>
      <c r="Q197"/>
      <c r="R197"/>
    </row>
    <row r="198" spans="13:18" ht="12" x14ac:dyDescent="0.2">
      <c r="M198"/>
      <c r="N198"/>
      <c r="O198"/>
      <c r="P198"/>
      <c r="Q198"/>
      <c r="R198"/>
    </row>
    <row r="199" spans="13:18" ht="12" x14ac:dyDescent="0.2">
      <c r="M199"/>
      <c r="N199"/>
      <c r="O199"/>
      <c r="P199"/>
      <c r="Q199"/>
      <c r="R199"/>
    </row>
    <row r="200" spans="13:18" ht="12" x14ac:dyDescent="0.2">
      <c r="M200"/>
      <c r="N200"/>
      <c r="O200"/>
      <c r="P200"/>
      <c r="Q200"/>
      <c r="R200"/>
    </row>
    <row r="201" spans="13:18" ht="12" x14ac:dyDescent="0.2">
      <c r="M201"/>
      <c r="N201"/>
      <c r="O201"/>
      <c r="P201"/>
      <c r="Q201"/>
      <c r="R201"/>
    </row>
    <row r="202" spans="13:18" ht="12" x14ac:dyDescent="0.2">
      <c r="M202"/>
      <c r="N202"/>
      <c r="O202"/>
      <c r="P202"/>
      <c r="Q202"/>
      <c r="R202"/>
    </row>
    <row r="203" spans="13:18" ht="12" x14ac:dyDescent="0.2">
      <c r="M203"/>
      <c r="N203"/>
      <c r="O203"/>
      <c r="P203"/>
      <c r="Q203"/>
      <c r="R203"/>
    </row>
    <row r="204" spans="13:18" ht="12" x14ac:dyDescent="0.2">
      <c r="M204"/>
      <c r="N204"/>
      <c r="O204"/>
      <c r="P204"/>
      <c r="Q204"/>
      <c r="R204"/>
    </row>
    <row r="205" spans="13:18" ht="12" x14ac:dyDescent="0.2">
      <c r="M205"/>
      <c r="N205"/>
      <c r="O205"/>
      <c r="P205"/>
      <c r="Q205"/>
      <c r="R205"/>
    </row>
    <row r="206" spans="13:18" ht="12" x14ac:dyDescent="0.2">
      <c r="M206"/>
      <c r="N206"/>
      <c r="O206"/>
      <c r="P206"/>
      <c r="Q206"/>
      <c r="R206"/>
    </row>
    <row r="207" spans="13:18" ht="12" x14ac:dyDescent="0.2">
      <c r="M207"/>
      <c r="N207"/>
      <c r="O207"/>
      <c r="P207"/>
      <c r="Q207"/>
      <c r="R207"/>
    </row>
    <row r="208" spans="13:18" ht="12" x14ac:dyDescent="0.2">
      <c r="M208"/>
      <c r="N208"/>
      <c r="O208"/>
      <c r="P208"/>
      <c r="Q208"/>
      <c r="R208"/>
    </row>
    <row r="209" spans="13:18" ht="12" x14ac:dyDescent="0.2">
      <c r="M209"/>
      <c r="N209"/>
      <c r="O209"/>
      <c r="P209"/>
      <c r="Q209"/>
      <c r="R209"/>
    </row>
    <row r="210" spans="13:18" ht="12" x14ac:dyDescent="0.2">
      <c r="M210"/>
      <c r="N210"/>
      <c r="O210"/>
      <c r="P210"/>
      <c r="Q210"/>
      <c r="R210"/>
    </row>
    <row r="211" spans="13:18" ht="12" x14ac:dyDescent="0.2">
      <c r="M211"/>
      <c r="N211"/>
      <c r="O211"/>
      <c r="P211"/>
      <c r="Q211"/>
      <c r="R211"/>
    </row>
    <row r="212" spans="13:18" ht="12" x14ac:dyDescent="0.2">
      <c r="M212"/>
      <c r="N212"/>
      <c r="O212"/>
      <c r="P212"/>
      <c r="Q212"/>
      <c r="R212"/>
    </row>
    <row r="213" spans="13:18" ht="12" x14ac:dyDescent="0.2">
      <c r="M213"/>
      <c r="N213"/>
      <c r="O213"/>
      <c r="P213"/>
      <c r="Q213"/>
      <c r="R213"/>
    </row>
    <row r="214" spans="13:18" ht="12" x14ac:dyDescent="0.2">
      <c r="M214"/>
      <c r="N214"/>
      <c r="O214"/>
      <c r="P214"/>
      <c r="Q214"/>
      <c r="R214"/>
    </row>
    <row r="215" spans="13:18" ht="12" x14ac:dyDescent="0.2">
      <c r="M215"/>
      <c r="N215"/>
      <c r="O215"/>
      <c r="P215"/>
      <c r="Q215"/>
      <c r="R215"/>
    </row>
    <row r="216" spans="13:18" ht="12" x14ac:dyDescent="0.2">
      <c r="M216"/>
      <c r="N216"/>
      <c r="O216"/>
      <c r="P216"/>
      <c r="Q216"/>
      <c r="R216"/>
    </row>
    <row r="217" spans="13:18" ht="12" x14ac:dyDescent="0.2">
      <c r="M217"/>
      <c r="N217"/>
      <c r="O217"/>
      <c r="P217"/>
      <c r="Q217"/>
      <c r="R217"/>
    </row>
    <row r="218" spans="13:18" ht="12" x14ac:dyDescent="0.2">
      <c r="M218"/>
      <c r="N218"/>
      <c r="O218"/>
      <c r="P218"/>
      <c r="Q218"/>
      <c r="R218"/>
    </row>
    <row r="219" spans="13:18" ht="12" x14ac:dyDescent="0.2">
      <c r="M219"/>
      <c r="N219"/>
      <c r="O219"/>
      <c r="P219"/>
      <c r="Q219"/>
      <c r="R219"/>
    </row>
    <row r="220" spans="13:18" ht="12" x14ac:dyDescent="0.2">
      <c r="M220"/>
      <c r="N220"/>
      <c r="O220"/>
      <c r="P220"/>
      <c r="Q220"/>
      <c r="R220"/>
    </row>
    <row r="221" spans="13:18" ht="12" x14ac:dyDescent="0.2">
      <c r="M221"/>
      <c r="N221"/>
      <c r="O221"/>
      <c r="P221"/>
      <c r="Q221"/>
      <c r="R221"/>
    </row>
    <row r="222" spans="13:18" ht="12" x14ac:dyDescent="0.2">
      <c r="M222"/>
      <c r="N222"/>
      <c r="O222"/>
      <c r="P222"/>
      <c r="Q222"/>
      <c r="R222"/>
    </row>
    <row r="223" spans="13:18" ht="12" x14ac:dyDescent="0.2">
      <c r="M223"/>
      <c r="N223"/>
      <c r="O223"/>
      <c r="P223"/>
      <c r="Q223"/>
      <c r="R223"/>
    </row>
    <row r="224" spans="13:18" ht="12" x14ac:dyDescent="0.2">
      <c r="M224"/>
      <c r="N224"/>
      <c r="O224"/>
      <c r="P224"/>
      <c r="Q224"/>
      <c r="R224"/>
    </row>
    <row r="225" spans="13:18" ht="12" x14ac:dyDescent="0.2">
      <c r="M225"/>
      <c r="N225"/>
      <c r="O225"/>
      <c r="P225"/>
      <c r="Q225"/>
      <c r="R225"/>
    </row>
    <row r="226" spans="13:18" ht="12" x14ac:dyDescent="0.2">
      <c r="M226"/>
      <c r="N226"/>
      <c r="O226"/>
      <c r="P226"/>
      <c r="Q226"/>
      <c r="R226"/>
    </row>
    <row r="227" spans="13:18" ht="12" x14ac:dyDescent="0.2">
      <c r="M227"/>
      <c r="N227"/>
      <c r="O227"/>
      <c r="P227"/>
      <c r="Q227"/>
      <c r="R227"/>
    </row>
    <row r="228" spans="13:18" ht="12" x14ac:dyDescent="0.2">
      <c r="M228"/>
      <c r="N228"/>
      <c r="O228"/>
      <c r="P228"/>
      <c r="Q228"/>
      <c r="R228"/>
    </row>
    <row r="229" spans="13:18" ht="12" x14ac:dyDescent="0.2">
      <c r="M229"/>
      <c r="N229"/>
      <c r="O229"/>
      <c r="P229"/>
      <c r="Q229"/>
      <c r="R229"/>
    </row>
    <row r="230" spans="13:18" ht="12" x14ac:dyDescent="0.2">
      <c r="M230"/>
      <c r="N230"/>
      <c r="O230"/>
      <c r="P230"/>
      <c r="Q230"/>
      <c r="R230"/>
    </row>
    <row r="231" spans="13:18" ht="12" x14ac:dyDescent="0.2">
      <c r="M231"/>
      <c r="N231"/>
      <c r="O231"/>
      <c r="P231"/>
      <c r="Q231"/>
      <c r="R231"/>
    </row>
    <row r="232" spans="13:18" ht="12" x14ac:dyDescent="0.2">
      <c r="M232"/>
      <c r="N232"/>
      <c r="O232"/>
      <c r="P232"/>
      <c r="Q232"/>
      <c r="R232"/>
    </row>
    <row r="233" spans="13:18" ht="12" x14ac:dyDescent="0.2">
      <c r="M233"/>
      <c r="N233"/>
      <c r="O233"/>
      <c r="P233"/>
      <c r="Q233"/>
      <c r="R233"/>
    </row>
    <row r="234" spans="13:18" ht="12" x14ac:dyDescent="0.2">
      <c r="M234"/>
      <c r="N234"/>
      <c r="O234"/>
      <c r="P234"/>
      <c r="Q234"/>
      <c r="R234"/>
    </row>
    <row r="235" spans="13:18" ht="12" x14ac:dyDescent="0.2">
      <c r="M235"/>
      <c r="N235"/>
      <c r="O235"/>
      <c r="P235"/>
      <c r="Q235"/>
      <c r="R235"/>
    </row>
    <row r="236" spans="13:18" ht="12" x14ac:dyDescent="0.2">
      <c r="M236"/>
      <c r="N236"/>
      <c r="O236"/>
      <c r="P236"/>
      <c r="Q236"/>
      <c r="R236"/>
    </row>
    <row r="237" spans="13:18" ht="12" x14ac:dyDescent="0.2">
      <c r="M237"/>
      <c r="N237"/>
      <c r="O237"/>
      <c r="P237"/>
      <c r="Q237"/>
      <c r="R237"/>
    </row>
    <row r="238" spans="13:18" ht="12" x14ac:dyDescent="0.2">
      <c r="M238"/>
      <c r="N238"/>
      <c r="O238"/>
      <c r="P238"/>
      <c r="Q238"/>
      <c r="R238"/>
    </row>
    <row r="239" spans="13:18" ht="12" x14ac:dyDescent="0.2">
      <c r="M239"/>
      <c r="N239"/>
      <c r="O239"/>
      <c r="P239"/>
      <c r="Q239"/>
      <c r="R239"/>
    </row>
    <row r="240" spans="13:18" ht="12" x14ac:dyDescent="0.2">
      <c r="M240"/>
      <c r="N240"/>
      <c r="O240"/>
      <c r="P240"/>
      <c r="Q240"/>
      <c r="R240"/>
    </row>
    <row r="241" spans="13:18" ht="12" x14ac:dyDescent="0.2">
      <c r="M241"/>
      <c r="N241"/>
      <c r="O241"/>
      <c r="P241"/>
      <c r="Q241"/>
      <c r="R241"/>
    </row>
    <row r="242" spans="13:18" ht="12" x14ac:dyDescent="0.2">
      <c r="M242"/>
      <c r="N242"/>
      <c r="O242"/>
      <c r="P242"/>
      <c r="Q242"/>
      <c r="R242"/>
    </row>
    <row r="243" spans="13:18" ht="12" x14ac:dyDescent="0.2">
      <c r="M243"/>
      <c r="N243"/>
      <c r="O243"/>
      <c r="P243"/>
      <c r="Q243"/>
      <c r="R243"/>
    </row>
    <row r="244" spans="13:18" ht="12" x14ac:dyDescent="0.2">
      <c r="M244"/>
      <c r="N244"/>
      <c r="O244"/>
      <c r="P244"/>
      <c r="Q244"/>
      <c r="R244"/>
    </row>
    <row r="245" spans="13:18" ht="12" x14ac:dyDescent="0.2">
      <c r="M245"/>
      <c r="N245"/>
      <c r="O245"/>
      <c r="P245"/>
      <c r="Q245"/>
      <c r="R245"/>
    </row>
    <row r="246" spans="13:18" ht="12" x14ac:dyDescent="0.2">
      <c r="M246"/>
      <c r="N246"/>
      <c r="O246"/>
      <c r="P246"/>
      <c r="Q246"/>
      <c r="R246"/>
    </row>
    <row r="247" spans="13:18" ht="12" x14ac:dyDescent="0.2">
      <c r="M247"/>
      <c r="N247"/>
      <c r="O247"/>
      <c r="P247"/>
      <c r="Q247"/>
      <c r="R247"/>
    </row>
    <row r="248" spans="13:18" ht="12" x14ac:dyDescent="0.2">
      <c r="M248"/>
      <c r="N248"/>
      <c r="O248"/>
      <c r="P248"/>
      <c r="Q248"/>
      <c r="R248"/>
    </row>
    <row r="249" spans="13:18" ht="12" x14ac:dyDescent="0.2">
      <c r="M249"/>
      <c r="N249"/>
      <c r="O249"/>
      <c r="P249"/>
      <c r="Q249"/>
      <c r="R249"/>
    </row>
    <row r="250" spans="13:18" ht="12" x14ac:dyDescent="0.2">
      <c r="M250"/>
      <c r="N250"/>
      <c r="O250"/>
      <c r="P250"/>
      <c r="Q250"/>
      <c r="R250"/>
    </row>
    <row r="251" spans="13:18" ht="12" x14ac:dyDescent="0.2">
      <c r="M251"/>
      <c r="N251"/>
      <c r="O251"/>
      <c r="P251"/>
      <c r="Q251"/>
      <c r="R251"/>
    </row>
    <row r="252" spans="13:18" ht="12" x14ac:dyDescent="0.2">
      <c r="M252"/>
      <c r="N252"/>
      <c r="O252"/>
      <c r="P252"/>
      <c r="Q252"/>
      <c r="R252"/>
    </row>
    <row r="253" spans="13:18" ht="12" x14ac:dyDescent="0.2">
      <c r="M253"/>
      <c r="N253"/>
      <c r="O253"/>
      <c r="P253"/>
      <c r="Q253"/>
      <c r="R253"/>
    </row>
    <row r="254" spans="13:18" ht="12" x14ac:dyDescent="0.2">
      <c r="M254"/>
      <c r="N254"/>
      <c r="O254"/>
      <c r="P254"/>
      <c r="Q254"/>
      <c r="R254"/>
    </row>
    <row r="255" spans="13:18" ht="12" x14ac:dyDescent="0.2">
      <c r="M255"/>
      <c r="N255"/>
      <c r="O255"/>
      <c r="P255"/>
      <c r="Q255"/>
      <c r="R255"/>
    </row>
    <row r="256" spans="13:18" ht="12" x14ac:dyDescent="0.2">
      <c r="M256"/>
      <c r="N256"/>
      <c r="O256"/>
      <c r="P256"/>
      <c r="Q256"/>
      <c r="R256"/>
    </row>
    <row r="257" spans="13:18" ht="12" x14ac:dyDescent="0.2">
      <c r="M257"/>
      <c r="N257"/>
      <c r="O257"/>
      <c r="P257"/>
      <c r="Q257"/>
      <c r="R257"/>
    </row>
    <row r="258" spans="13:18" ht="12" x14ac:dyDescent="0.2">
      <c r="M258"/>
      <c r="N258"/>
      <c r="O258"/>
      <c r="P258"/>
      <c r="Q258"/>
      <c r="R258"/>
    </row>
    <row r="259" spans="13:18" ht="12" x14ac:dyDescent="0.2">
      <c r="M259"/>
      <c r="N259"/>
      <c r="O259"/>
      <c r="P259"/>
      <c r="Q259"/>
      <c r="R259"/>
    </row>
    <row r="260" spans="13:18" ht="12" x14ac:dyDescent="0.2">
      <c r="M260"/>
      <c r="N260"/>
      <c r="O260"/>
      <c r="P260"/>
      <c r="Q260"/>
      <c r="R260"/>
    </row>
    <row r="261" spans="13:18" ht="12" x14ac:dyDescent="0.2">
      <c r="M261"/>
      <c r="N261"/>
      <c r="O261"/>
      <c r="P261"/>
      <c r="Q261"/>
      <c r="R261"/>
    </row>
    <row r="262" spans="13:18" ht="12" x14ac:dyDescent="0.2">
      <c r="M262"/>
      <c r="N262"/>
      <c r="O262"/>
      <c r="P262"/>
      <c r="Q262"/>
      <c r="R262"/>
    </row>
    <row r="263" spans="13:18" ht="12" x14ac:dyDescent="0.2">
      <c r="M263"/>
      <c r="N263"/>
      <c r="O263"/>
      <c r="P263"/>
      <c r="Q263"/>
      <c r="R263"/>
    </row>
    <row r="264" spans="13:18" ht="12" x14ac:dyDescent="0.2">
      <c r="M264"/>
      <c r="N264"/>
      <c r="O264"/>
      <c r="P264"/>
      <c r="Q264"/>
      <c r="R264"/>
    </row>
    <row r="265" spans="13:18" ht="12" x14ac:dyDescent="0.2">
      <c r="M265"/>
      <c r="N265"/>
      <c r="O265"/>
      <c r="P265"/>
      <c r="Q265"/>
      <c r="R265"/>
    </row>
    <row r="266" spans="13:18" ht="12" x14ac:dyDescent="0.2">
      <c r="M266"/>
      <c r="N266"/>
      <c r="O266"/>
      <c r="P266"/>
      <c r="Q266"/>
      <c r="R266"/>
    </row>
    <row r="267" spans="13:18" ht="12" x14ac:dyDescent="0.2">
      <c r="M267"/>
      <c r="N267"/>
      <c r="O267"/>
      <c r="P267"/>
      <c r="Q267"/>
      <c r="R267"/>
    </row>
    <row r="268" spans="13:18" ht="12" x14ac:dyDescent="0.2">
      <c r="M268"/>
      <c r="N268"/>
      <c r="O268"/>
      <c r="P268"/>
      <c r="Q268"/>
      <c r="R268"/>
    </row>
    <row r="269" spans="13:18" ht="12" x14ac:dyDescent="0.2">
      <c r="M269"/>
      <c r="N269"/>
      <c r="O269"/>
      <c r="P269"/>
      <c r="Q269"/>
      <c r="R269"/>
    </row>
    <row r="270" spans="13:18" ht="12" x14ac:dyDescent="0.2">
      <c r="M270"/>
      <c r="N270"/>
      <c r="O270"/>
      <c r="P270"/>
      <c r="Q270"/>
      <c r="R270"/>
    </row>
    <row r="271" spans="13:18" ht="12" x14ac:dyDescent="0.2">
      <c r="M271"/>
      <c r="N271"/>
      <c r="O271"/>
      <c r="P271"/>
      <c r="Q271"/>
      <c r="R271"/>
    </row>
    <row r="272" spans="13:18" ht="12" x14ac:dyDescent="0.2">
      <c r="M272"/>
      <c r="N272"/>
      <c r="O272"/>
      <c r="P272"/>
      <c r="Q272"/>
      <c r="R272"/>
    </row>
    <row r="273" spans="13:18" ht="12" x14ac:dyDescent="0.2">
      <c r="M273"/>
      <c r="N273"/>
      <c r="O273"/>
      <c r="P273"/>
      <c r="Q273"/>
      <c r="R273"/>
    </row>
    <row r="274" spans="13:18" ht="12" x14ac:dyDescent="0.2">
      <c r="M274"/>
      <c r="N274"/>
      <c r="O274"/>
      <c r="P274"/>
      <c r="Q274"/>
      <c r="R274"/>
    </row>
    <row r="275" spans="13:18" ht="12" x14ac:dyDescent="0.2">
      <c r="M275"/>
      <c r="N275"/>
      <c r="O275"/>
      <c r="P275"/>
      <c r="Q275"/>
      <c r="R275"/>
    </row>
    <row r="276" spans="13:18" ht="12" x14ac:dyDescent="0.2">
      <c r="M276"/>
      <c r="N276"/>
      <c r="O276"/>
      <c r="P276"/>
      <c r="Q276"/>
      <c r="R276"/>
    </row>
    <row r="277" spans="13:18" ht="12" x14ac:dyDescent="0.2">
      <c r="M277"/>
      <c r="N277"/>
      <c r="O277"/>
      <c r="P277"/>
      <c r="Q277"/>
      <c r="R277"/>
    </row>
    <row r="278" spans="13:18" ht="12" x14ac:dyDescent="0.2">
      <c r="M278"/>
      <c r="N278"/>
      <c r="O278"/>
      <c r="P278"/>
      <c r="Q278"/>
      <c r="R278"/>
    </row>
    <row r="279" spans="13:18" ht="12" x14ac:dyDescent="0.2">
      <c r="M279"/>
      <c r="N279"/>
      <c r="O279"/>
      <c r="P279"/>
      <c r="Q279"/>
      <c r="R279"/>
    </row>
    <row r="280" spans="13:18" ht="12" x14ac:dyDescent="0.2">
      <c r="M280"/>
      <c r="N280"/>
      <c r="O280"/>
      <c r="P280"/>
      <c r="Q280"/>
      <c r="R280"/>
    </row>
    <row r="281" spans="13:18" ht="12" x14ac:dyDescent="0.2">
      <c r="M281"/>
      <c r="N281"/>
      <c r="O281"/>
      <c r="P281"/>
      <c r="Q281"/>
      <c r="R281"/>
    </row>
    <row r="282" spans="13:18" ht="12" x14ac:dyDescent="0.2">
      <c r="M282"/>
      <c r="N282"/>
      <c r="O282"/>
      <c r="P282"/>
      <c r="Q282"/>
      <c r="R282"/>
    </row>
    <row r="283" spans="13:18" ht="12" x14ac:dyDescent="0.2">
      <c r="M283"/>
      <c r="N283"/>
      <c r="O283"/>
      <c r="P283"/>
      <c r="Q283"/>
      <c r="R283"/>
    </row>
    <row r="284" spans="13:18" ht="12" x14ac:dyDescent="0.2">
      <c r="M284"/>
      <c r="N284"/>
      <c r="O284"/>
      <c r="P284"/>
      <c r="Q284"/>
      <c r="R284"/>
    </row>
    <row r="285" spans="13:18" ht="12" x14ac:dyDescent="0.2">
      <c r="M285"/>
      <c r="N285"/>
      <c r="O285"/>
      <c r="P285"/>
      <c r="Q285"/>
      <c r="R285"/>
    </row>
    <row r="286" spans="13:18" ht="12" x14ac:dyDescent="0.2">
      <c r="M286"/>
      <c r="N286"/>
      <c r="O286"/>
      <c r="P286"/>
      <c r="Q286"/>
      <c r="R286"/>
    </row>
    <row r="287" spans="13:18" ht="12" x14ac:dyDescent="0.2">
      <c r="M287"/>
      <c r="N287"/>
      <c r="O287"/>
      <c r="P287"/>
      <c r="Q287"/>
      <c r="R287"/>
    </row>
    <row r="288" spans="13:18" ht="12" x14ac:dyDescent="0.2">
      <c r="M288"/>
      <c r="N288"/>
      <c r="O288"/>
      <c r="P288"/>
      <c r="Q288"/>
      <c r="R288"/>
    </row>
    <row r="289" spans="13:18" ht="12" x14ac:dyDescent="0.2">
      <c r="M289"/>
      <c r="N289"/>
      <c r="O289"/>
      <c r="P289"/>
      <c r="Q289"/>
      <c r="R289"/>
    </row>
    <row r="290" spans="13:18" ht="12" x14ac:dyDescent="0.2">
      <c r="M290"/>
      <c r="N290"/>
      <c r="O290"/>
      <c r="P290"/>
      <c r="Q290"/>
      <c r="R290"/>
    </row>
    <row r="291" spans="13:18" ht="12" x14ac:dyDescent="0.2">
      <c r="M291"/>
      <c r="N291"/>
      <c r="O291"/>
      <c r="P291"/>
      <c r="Q291"/>
      <c r="R291"/>
    </row>
    <row r="292" spans="13:18" ht="12" x14ac:dyDescent="0.2">
      <c r="M292"/>
      <c r="N292"/>
      <c r="O292"/>
      <c r="P292"/>
      <c r="Q292"/>
      <c r="R292"/>
    </row>
    <row r="293" spans="13:18" ht="12" x14ac:dyDescent="0.2">
      <c r="M293"/>
      <c r="N293"/>
      <c r="O293"/>
      <c r="P293"/>
      <c r="Q293"/>
      <c r="R293"/>
    </row>
    <row r="294" spans="13:18" ht="12" x14ac:dyDescent="0.2">
      <c r="M294"/>
      <c r="N294"/>
      <c r="O294"/>
      <c r="P294"/>
      <c r="Q294"/>
      <c r="R294"/>
    </row>
    <row r="295" spans="13:18" ht="12" x14ac:dyDescent="0.2">
      <c r="M295"/>
      <c r="N295"/>
      <c r="O295"/>
      <c r="P295"/>
      <c r="Q295"/>
      <c r="R295"/>
    </row>
    <row r="296" spans="13:18" ht="12" x14ac:dyDescent="0.2">
      <c r="M296"/>
      <c r="N296"/>
      <c r="O296"/>
      <c r="P296"/>
      <c r="Q296"/>
      <c r="R296"/>
    </row>
    <row r="297" spans="13:18" ht="12" x14ac:dyDescent="0.2">
      <c r="M297"/>
      <c r="N297"/>
      <c r="O297"/>
      <c r="P297"/>
      <c r="Q297"/>
      <c r="R297"/>
    </row>
    <row r="298" spans="13:18" ht="12" x14ac:dyDescent="0.2">
      <c r="M298"/>
      <c r="N298"/>
      <c r="O298"/>
      <c r="P298"/>
      <c r="Q298"/>
      <c r="R298"/>
    </row>
    <row r="299" spans="13:18" ht="12" x14ac:dyDescent="0.2">
      <c r="M299"/>
      <c r="N299"/>
      <c r="O299"/>
      <c r="P299"/>
      <c r="Q299"/>
      <c r="R299"/>
    </row>
    <row r="300" spans="13:18" ht="12" x14ac:dyDescent="0.2">
      <c r="M300"/>
      <c r="N300"/>
      <c r="O300"/>
      <c r="P300"/>
      <c r="Q300"/>
      <c r="R300"/>
    </row>
    <row r="301" spans="13:18" ht="12" x14ac:dyDescent="0.2">
      <c r="M301"/>
      <c r="N301"/>
      <c r="O301"/>
      <c r="P301"/>
      <c r="Q301"/>
      <c r="R301"/>
    </row>
    <row r="302" spans="13:18" ht="12" x14ac:dyDescent="0.2">
      <c r="M302"/>
      <c r="N302"/>
      <c r="O302"/>
      <c r="P302"/>
      <c r="Q302"/>
      <c r="R302"/>
    </row>
    <row r="303" spans="13:18" ht="12" x14ac:dyDescent="0.2">
      <c r="M303"/>
      <c r="N303"/>
      <c r="O303"/>
      <c r="P303"/>
      <c r="Q303"/>
      <c r="R303"/>
    </row>
    <row r="304" spans="13:18" ht="12" x14ac:dyDescent="0.2">
      <c r="M304"/>
      <c r="N304"/>
      <c r="O304"/>
      <c r="P304"/>
      <c r="Q304"/>
      <c r="R304"/>
    </row>
    <row r="305" spans="13:18" ht="12" x14ac:dyDescent="0.2">
      <c r="M305"/>
      <c r="N305"/>
      <c r="O305"/>
      <c r="P305"/>
      <c r="Q305"/>
      <c r="R305"/>
    </row>
    <row r="306" spans="13:18" ht="12" x14ac:dyDescent="0.2">
      <c r="M306"/>
      <c r="N306"/>
      <c r="O306"/>
      <c r="P306"/>
      <c r="Q306"/>
      <c r="R306"/>
    </row>
    <row r="307" spans="13:18" ht="12" x14ac:dyDescent="0.2">
      <c r="M307"/>
      <c r="N307"/>
      <c r="O307"/>
      <c r="P307"/>
      <c r="Q307"/>
      <c r="R307"/>
    </row>
    <row r="308" spans="13:18" ht="12" x14ac:dyDescent="0.2">
      <c r="M308"/>
      <c r="N308"/>
      <c r="O308"/>
      <c r="P308"/>
      <c r="Q308"/>
      <c r="R308"/>
    </row>
    <row r="309" spans="13:18" ht="12" x14ac:dyDescent="0.2">
      <c r="M309"/>
      <c r="N309"/>
      <c r="O309"/>
      <c r="P309"/>
      <c r="Q309"/>
      <c r="R309"/>
    </row>
    <row r="310" spans="13:18" ht="12" x14ac:dyDescent="0.2">
      <c r="M310"/>
      <c r="N310"/>
      <c r="O310"/>
      <c r="P310"/>
      <c r="Q310"/>
      <c r="R310"/>
    </row>
    <row r="311" spans="13:18" ht="12" x14ac:dyDescent="0.2">
      <c r="M311"/>
      <c r="N311"/>
      <c r="O311"/>
      <c r="P311"/>
      <c r="Q311"/>
      <c r="R311"/>
    </row>
    <row r="312" spans="13:18" ht="12" x14ac:dyDescent="0.2">
      <c r="M312"/>
      <c r="N312"/>
      <c r="O312"/>
      <c r="P312"/>
      <c r="Q312"/>
      <c r="R312"/>
    </row>
    <row r="313" spans="13:18" ht="12" x14ac:dyDescent="0.2">
      <c r="M313"/>
      <c r="N313"/>
      <c r="O313"/>
      <c r="P313"/>
      <c r="Q313"/>
      <c r="R313"/>
    </row>
    <row r="314" spans="13:18" ht="12" x14ac:dyDescent="0.2">
      <c r="M314"/>
      <c r="N314"/>
      <c r="O314"/>
      <c r="P314"/>
      <c r="Q314"/>
      <c r="R314"/>
    </row>
    <row r="315" spans="13:18" ht="12" x14ac:dyDescent="0.2">
      <c r="M315"/>
      <c r="N315"/>
      <c r="O315"/>
      <c r="P315"/>
      <c r="Q315"/>
      <c r="R315"/>
    </row>
    <row r="316" spans="13:18" ht="12" x14ac:dyDescent="0.2">
      <c r="M316"/>
      <c r="N316"/>
      <c r="O316"/>
      <c r="P316"/>
      <c r="Q316"/>
      <c r="R316"/>
    </row>
    <row r="317" spans="13:18" ht="12" x14ac:dyDescent="0.2">
      <c r="M317"/>
      <c r="N317"/>
      <c r="O317"/>
      <c r="P317"/>
      <c r="Q317"/>
      <c r="R317"/>
    </row>
    <row r="318" spans="13:18" ht="12" x14ac:dyDescent="0.2">
      <c r="M318"/>
      <c r="N318"/>
      <c r="O318"/>
      <c r="P318"/>
      <c r="Q318"/>
      <c r="R318"/>
    </row>
    <row r="319" spans="13:18" ht="12" x14ac:dyDescent="0.2">
      <c r="M319"/>
      <c r="N319"/>
      <c r="O319"/>
      <c r="P319"/>
      <c r="Q319"/>
      <c r="R319"/>
    </row>
    <row r="320" spans="13:18" ht="12" x14ac:dyDescent="0.2">
      <c r="M320"/>
      <c r="N320"/>
      <c r="O320"/>
      <c r="P320"/>
      <c r="Q320"/>
      <c r="R320"/>
    </row>
    <row r="321" spans="13:18" ht="12" x14ac:dyDescent="0.2">
      <c r="M321"/>
      <c r="N321"/>
      <c r="O321"/>
      <c r="P321"/>
      <c r="Q321"/>
      <c r="R321"/>
    </row>
    <row r="322" spans="13:18" ht="12" x14ac:dyDescent="0.2">
      <c r="M322"/>
      <c r="N322"/>
      <c r="O322"/>
      <c r="P322"/>
      <c r="Q322"/>
      <c r="R322"/>
    </row>
    <row r="323" spans="13:18" ht="12" x14ac:dyDescent="0.2">
      <c r="M323"/>
      <c r="N323"/>
      <c r="O323"/>
      <c r="P323"/>
      <c r="Q323"/>
      <c r="R323"/>
    </row>
    <row r="324" spans="13:18" ht="12" x14ac:dyDescent="0.2">
      <c r="M324"/>
      <c r="N324"/>
      <c r="O324"/>
      <c r="P324"/>
      <c r="Q324"/>
      <c r="R324"/>
    </row>
    <row r="325" spans="13:18" ht="12" x14ac:dyDescent="0.2">
      <c r="M325"/>
      <c r="N325"/>
      <c r="O325"/>
      <c r="P325"/>
      <c r="Q325"/>
      <c r="R325"/>
    </row>
    <row r="326" spans="13:18" ht="12" x14ac:dyDescent="0.2">
      <c r="M326"/>
      <c r="N326"/>
      <c r="O326"/>
      <c r="P326"/>
      <c r="Q326"/>
      <c r="R326"/>
    </row>
    <row r="327" spans="13:18" ht="12" x14ac:dyDescent="0.2">
      <c r="M327"/>
      <c r="N327"/>
      <c r="O327"/>
      <c r="P327"/>
      <c r="Q327"/>
      <c r="R327"/>
    </row>
    <row r="328" spans="13:18" ht="12" x14ac:dyDescent="0.2">
      <c r="M328"/>
      <c r="N328"/>
      <c r="O328"/>
      <c r="P328"/>
      <c r="Q328"/>
      <c r="R328"/>
    </row>
    <row r="329" spans="13:18" ht="12" x14ac:dyDescent="0.2">
      <c r="M329"/>
      <c r="N329"/>
      <c r="O329"/>
      <c r="P329"/>
      <c r="Q329"/>
      <c r="R329"/>
    </row>
    <row r="330" spans="13:18" ht="12" x14ac:dyDescent="0.2">
      <c r="M330"/>
      <c r="N330"/>
      <c r="O330"/>
      <c r="P330"/>
      <c r="Q330"/>
      <c r="R330"/>
    </row>
    <row r="331" spans="13:18" ht="12" x14ac:dyDescent="0.2">
      <c r="M331"/>
      <c r="N331"/>
      <c r="O331"/>
      <c r="P331"/>
      <c r="Q331"/>
      <c r="R331"/>
    </row>
    <row r="332" spans="13:18" ht="12" x14ac:dyDescent="0.2">
      <c r="M332"/>
      <c r="N332"/>
      <c r="O332"/>
      <c r="P332"/>
      <c r="Q332"/>
      <c r="R332"/>
    </row>
    <row r="333" spans="13:18" ht="12" x14ac:dyDescent="0.2">
      <c r="M333"/>
      <c r="N333"/>
      <c r="O333"/>
      <c r="P333"/>
      <c r="Q333"/>
      <c r="R333"/>
    </row>
    <row r="334" spans="13:18" ht="12" x14ac:dyDescent="0.2">
      <c r="M334"/>
      <c r="N334"/>
      <c r="O334"/>
      <c r="P334"/>
      <c r="Q334"/>
      <c r="R334"/>
    </row>
    <row r="335" spans="13:18" ht="12" x14ac:dyDescent="0.2">
      <c r="M335"/>
      <c r="N335"/>
      <c r="O335"/>
      <c r="P335"/>
      <c r="Q335"/>
      <c r="R335"/>
    </row>
    <row r="336" spans="13:18" ht="12" x14ac:dyDescent="0.2">
      <c r="M336"/>
      <c r="N336"/>
      <c r="O336"/>
      <c r="P336"/>
      <c r="Q336"/>
      <c r="R336"/>
    </row>
    <row r="337" spans="13:18" ht="12" x14ac:dyDescent="0.2">
      <c r="M337"/>
      <c r="N337"/>
      <c r="O337"/>
      <c r="P337"/>
      <c r="Q337"/>
      <c r="R337"/>
    </row>
    <row r="338" spans="13:18" ht="12" x14ac:dyDescent="0.2">
      <c r="M338"/>
      <c r="N338"/>
      <c r="O338"/>
      <c r="P338"/>
      <c r="Q338"/>
      <c r="R338"/>
    </row>
    <row r="339" spans="13:18" ht="12" x14ac:dyDescent="0.2">
      <c r="M339"/>
      <c r="N339"/>
      <c r="O339"/>
      <c r="P339"/>
      <c r="Q339"/>
      <c r="R339"/>
    </row>
    <row r="340" spans="13:18" ht="12" x14ac:dyDescent="0.2">
      <c r="M340"/>
      <c r="N340"/>
      <c r="O340"/>
      <c r="P340"/>
      <c r="Q340"/>
      <c r="R340"/>
    </row>
    <row r="341" spans="13:18" ht="12" x14ac:dyDescent="0.2">
      <c r="M341"/>
      <c r="N341"/>
      <c r="O341"/>
      <c r="P341"/>
      <c r="Q341"/>
      <c r="R341"/>
    </row>
    <row r="342" spans="13:18" ht="12" x14ac:dyDescent="0.2">
      <c r="M342"/>
      <c r="N342"/>
      <c r="O342"/>
      <c r="P342"/>
      <c r="Q342"/>
      <c r="R342"/>
    </row>
    <row r="343" spans="13:18" ht="12" x14ac:dyDescent="0.2">
      <c r="M343"/>
      <c r="N343"/>
      <c r="O343"/>
      <c r="P343"/>
      <c r="Q343"/>
      <c r="R343"/>
    </row>
    <row r="344" spans="13:18" ht="12" x14ac:dyDescent="0.2">
      <c r="M344"/>
      <c r="N344"/>
      <c r="O344"/>
      <c r="P344"/>
      <c r="Q344"/>
      <c r="R344"/>
    </row>
    <row r="345" spans="13:18" ht="12" x14ac:dyDescent="0.2">
      <c r="M345"/>
      <c r="N345"/>
      <c r="O345"/>
      <c r="P345"/>
      <c r="Q345"/>
      <c r="R345"/>
    </row>
    <row r="346" spans="13:18" ht="12" x14ac:dyDescent="0.2">
      <c r="M346"/>
      <c r="N346"/>
      <c r="O346"/>
      <c r="P346"/>
      <c r="Q346"/>
      <c r="R346"/>
    </row>
    <row r="347" spans="13:18" ht="12" x14ac:dyDescent="0.2">
      <c r="M347"/>
      <c r="N347"/>
      <c r="O347"/>
      <c r="P347"/>
      <c r="Q347"/>
      <c r="R347"/>
    </row>
    <row r="348" spans="13:18" ht="12" x14ac:dyDescent="0.2">
      <c r="M348"/>
      <c r="N348"/>
      <c r="O348"/>
      <c r="P348"/>
      <c r="Q348"/>
      <c r="R348"/>
    </row>
    <row r="349" spans="13:18" ht="12" x14ac:dyDescent="0.2">
      <c r="M349"/>
      <c r="N349"/>
      <c r="O349"/>
      <c r="P349"/>
      <c r="Q349"/>
      <c r="R349"/>
    </row>
    <row r="350" spans="13:18" ht="12" x14ac:dyDescent="0.2">
      <c r="M350"/>
      <c r="N350"/>
      <c r="O350"/>
      <c r="P350"/>
      <c r="Q350"/>
      <c r="R350"/>
    </row>
    <row r="351" spans="13:18" ht="12" x14ac:dyDescent="0.2">
      <c r="M351"/>
      <c r="N351"/>
      <c r="O351"/>
      <c r="P351"/>
      <c r="Q351"/>
      <c r="R351"/>
    </row>
    <row r="352" spans="13:18" ht="12" x14ac:dyDescent="0.2">
      <c r="M352"/>
      <c r="N352"/>
      <c r="O352"/>
      <c r="P352"/>
      <c r="Q352"/>
      <c r="R352"/>
    </row>
    <row r="353" spans="13:18" ht="12" x14ac:dyDescent="0.2">
      <c r="M353"/>
      <c r="N353"/>
      <c r="O353"/>
      <c r="P353"/>
      <c r="Q353"/>
      <c r="R353"/>
    </row>
    <row r="354" spans="13:18" ht="12" x14ac:dyDescent="0.2">
      <c r="M354"/>
      <c r="N354"/>
      <c r="O354"/>
      <c r="P354"/>
      <c r="Q354"/>
      <c r="R354"/>
    </row>
    <row r="355" spans="13:18" ht="12" x14ac:dyDescent="0.2">
      <c r="M355"/>
      <c r="N355"/>
      <c r="O355"/>
      <c r="P355"/>
      <c r="Q355"/>
      <c r="R355"/>
    </row>
    <row r="356" spans="13:18" ht="12" x14ac:dyDescent="0.2">
      <c r="M356"/>
      <c r="N356"/>
      <c r="O356"/>
      <c r="P356"/>
      <c r="Q356"/>
      <c r="R356"/>
    </row>
    <row r="357" spans="13:18" ht="12" x14ac:dyDescent="0.2">
      <c r="M357"/>
      <c r="N357"/>
      <c r="O357"/>
      <c r="P357"/>
      <c r="Q357"/>
      <c r="R357"/>
    </row>
    <row r="358" spans="13:18" ht="12" x14ac:dyDescent="0.2">
      <c r="M358"/>
      <c r="N358"/>
      <c r="O358"/>
      <c r="P358"/>
      <c r="Q358"/>
      <c r="R358"/>
    </row>
    <row r="359" spans="13:18" ht="12" x14ac:dyDescent="0.2">
      <c r="M359"/>
      <c r="N359"/>
      <c r="O359"/>
      <c r="P359"/>
      <c r="Q359"/>
      <c r="R359"/>
    </row>
    <row r="360" spans="13:18" ht="12" x14ac:dyDescent="0.2">
      <c r="M360"/>
      <c r="N360"/>
      <c r="O360"/>
      <c r="P360"/>
      <c r="Q360"/>
      <c r="R360"/>
    </row>
    <row r="361" spans="13:18" ht="12" x14ac:dyDescent="0.2">
      <c r="M361"/>
      <c r="N361"/>
      <c r="O361"/>
      <c r="P361"/>
      <c r="Q361"/>
      <c r="R361"/>
    </row>
    <row r="362" spans="13:18" ht="12" x14ac:dyDescent="0.2">
      <c r="M362"/>
      <c r="N362"/>
      <c r="O362"/>
      <c r="P362"/>
      <c r="Q362"/>
      <c r="R362"/>
    </row>
    <row r="363" spans="13:18" ht="12" x14ac:dyDescent="0.2">
      <c r="M363"/>
      <c r="N363"/>
      <c r="O363"/>
      <c r="P363"/>
      <c r="Q363"/>
      <c r="R363"/>
    </row>
    <row r="364" spans="13:18" ht="12" x14ac:dyDescent="0.2">
      <c r="M364"/>
      <c r="N364"/>
      <c r="O364"/>
      <c r="P364"/>
      <c r="Q364"/>
      <c r="R364"/>
    </row>
    <row r="365" spans="13:18" ht="12" x14ac:dyDescent="0.2">
      <c r="M365"/>
      <c r="N365"/>
      <c r="O365"/>
      <c r="P365"/>
      <c r="Q365"/>
      <c r="R365"/>
    </row>
    <row r="366" spans="13:18" ht="12" x14ac:dyDescent="0.2">
      <c r="M366"/>
      <c r="N366"/>
      <c r="O366"/>
      <c r="P366"/>
      <c r="Q366"/>
      <c r="R366"/>
    </row>
    <row r="367" spans="13:18" ht="12" x14ac:dyDescent="0.2">
      <c r="M367"/>
      <c r="N367"/>
      <c r="O367"/>
      <c r="P367"/>
      <c r="Q367"/>
      <c r="R367"/>
    </row>
    <row r="368" spans="13:18" ht="12" x14ac:dyDescent="0.2">
      <c r="M368"/>
      <c r="N368"/>
      <c r="O368"/>
      <c r="P368"/>
      <c r="Q368"/>
      <c r="R368"/>
    </row>
    <row r="369" spans="13:18" ht="12" x14ac:dyDescent="0.2">
      <c r="M369"/>
      <c r="N369"/>
      <c r="O369"/>
      <c r="P369"/>
      <c r="Q369"/>
      <c r="R369"/>
    </row>
    <row r="370" spans="13:18" ht="12" x14ac:dyDescent="0.2">
      <c r="M370"/>
      <c r="N370"/>
      <c r="O370"/>
      <c r="P370"/>
      <c r="Q370"/>
      <c r="R370"/>
    </row>
    <row r="371" spans="13:18" ht="12" x14ac:dyDescent="0.2">
      <c r="M371"/>
      <c r="N371"/>
      <c r="O371"/>
      <c r="P371"/>
      <c r="Q371"/>
      <c r="R371"/>
    </row>
    <row r="372" spans="13:18" ht="12" x14ac:dyDescent="0.2">
      <c r="M372"/>
      <c r="N372"/>
      <c r="O372"/>
      <c r="P372"/>
      <c r="Q372"/>
      <c r="R372"/>
    </row>
    <row r="373" spans="13:18" ht="12" x14ac:dyDescent="0.2">
      <c r="M373"/>
      <c r="N373"/>
      <c r="O373"/>
      <c r="P373"/>
      <c r="Q373"/>
      <c r="R373"/>
    </row>
    <row r="374" spans="13:18" ht="12" x14ac:dyDescent="0.2">
      <c r="M374"/>
      <c r="N374"/>
      <c r="O374"/>
      <c r="P374"/>
      <c r="Q374"/>
      <c r="R374"/>
    </row>
    <row r="375" spans="13:18" ht="12" x14ac:dyDescent="0.2">
      <c r="M375"/>
      <c r="N375"/>
      <c r="O375"/>
      <c r="P375"/>
      <c r="Q375"/>
      <c r="R375"/>
    </row>
    <row r="376" spans="13:18" ht="12" x14ac:dyDescent="0.2">
      <c r="M376"/>
      <c r="N376"/>
      <c r="O376"/>
      <c r="P376"/>
      <c r="Q376"/>
      <c r="R376"/>
    </row>
    <row r="377" spans="13:18" ht="12" x14ac:dyDescent="0.2">
      <c r="M377"/>
      <c r="N377"/>
      <c r="O377"/>
      <c r="P377"/>
      <c r="Q377"/>
      <c r="R377"/>
    </row>
    <row r="378" spans="13:18" ht="12" x14ac:dyDescent="0.2">
      <c r="M378"/>
      <c r="N378"/>
      <c r="O378"/>
      <c r="P378"/>
      <c r="Q378"/>
      <c r="R378"/>
    </row>
    <row r="379" spans="13:18" ht="12" x14ac:dyDescent="0.2">
      <c r="M379"/>
      <c r="N379"/>
      <c r="O379"/>
      <c r="P379"/>
      <c r="Q379"/>
      <c r="R379"/>
    </row>
    <row r="380" spans="13:18" ht="12" x14ac:dyDescent="0.2">
      <c r="M380"/>
      <c r="N380"/>
      <c r="O380"/>
      <c r="P380"/>
      <c r="Q380"/>
      <c r="R380"/>
    </row>
    <row r="381" spans="13:18" ht="12" x14ac:dyDescent="0.2">
      <c r="M381"/>
      <c r="N381"/>
      <c r="O381"/>
      <c r="P381"/>
      <c r="Q381"/>
      <c r="R381"/>
    </row>
    <row r="382" spans="13:18" ht="12" x14ac:dyDescent="0.2">
      <c r="M382"/>
      <c r="N382"/>
      <c r="O382"/>
      <c r="P382"/>
      <c r="Q382"/>
      <c r="R382"/>
    </row>
    <row r="383" spans="13:18" ht="12" x14ac:dyDescent="0.2">
      <c r="M383"/>
      <c r="N383"/>
      <c r="O383"/>
      <c r="P383"/>
      <c r="Q383"/>
      <c r="R383"/>
    </row>
    <row r="384" spans="13:18" ht="12" x14ac:dyDescent="0.2">
      <c r="M384"/>
      <c r="N384"/>
      <c r="O384"/>
      <c r="P384"/>
      <c r="Q384"/>
      <c r="R384"/>
    </row>
    <row r="385" spans="13:18" ht="12" x14ac:dyDescent="0.2">
      <c r="M385"/>
      <c r="N385"/>
      <c r="O385"/>
      <c r="P385"/>
      <c r="Q385"/>
      <c r="R385"/>
    </row>
    <row r="386" spans="13:18" ht="12" x14ac:dyDescent="0.2">
      <c r="M386"/>
      <c r="N386"/>
      <c r="O386"/>
      <c r="P386"/>
      <c r="Q386"/>
      <c r="R386"/>
    </row>
    <row r="387" spans="13:18" ht="12" x14ac:dyDescent="0.2">
      <c r="M387"/>
      <c r="N387"/>
      <c r="O387"/>
      <c r="P387"/>
      <c r="Q387"/>
      <c r="R387"/>
    </row>
    <row r="388" spans="13:18" ht="12" x14ac:dyDescent="0.2">
      <c r="M388"/>
      <c r="N388"/>
      <c r="O388"/>
      <c r="P388"/>
      <c r="Q388"/>
      <c r="R388"/>
    </row>
    <row r="389" spans="13:18" ht="12" x14ac:dyDescent="0.2">
      <c r="M389"/>
      <c r="N389"/>
      <c r="O389"/>
      <c r="P389"/>
      <c r="Q389"/>
      <c r="R389"/>
    </row>
    <row r="390" spans="13:18" ht="12" x14ac:dyDescent="0.2">
      <c r="M390"/>
      <c r="N390"/>
      <c r="O390"/>
      <c r="P390"/>
      <c r="Q390"/>
      <c r="R390"/>
    </row>
    <row r="391" spans="13:18" ht="12" x14ac:dyDescent="0.2">
      <c r="M391"/>
      <c r="N391"/>
      <c r="O391"/>
      <c r="P391"/>
      <c r="Q391"/>
      <c r="R391"/>
    </row>
    <row r="392" spans="13:18" ht="12" x14ac:dyDescent="0.2">
      <c r="M392"/>
      <c r="N392"/>
      <c r="O392"/>
      <c r="P392"/>
      <c r="Q392"/>
      <c r="R392"/>
    </row>
    <row r="393" spans="13:18" ht="12" x14ac:dyDescent="0.2">
      <c r="M393"/>
      <c r="N393"/>
      <c r="O393"/>
      <c r="P393"/>
      <c r="Q393"/>
      <c r="R393"/>
    </row>
    <row r="394" spans="13:18" ht="12" x14ac:dyDescent="0.2">
      <c r="M394"/>
      <c r="N394"/>
      <c r="O394"/>
      <c r="P394"/>
      <c r="Q394"/>
      <c r="R394"/>
    </row>
    <row r="395" spans="13:18" ht="12" x14ac:dyDescent="0.2">
      <c r="M395"/>
      <c r="N395"/>
      <c r="O395"/>
      <c r="P395"/>
      <c r="Q395"/>
      <c r="R395"/>
    </row>
    <row r="396" spans="13:18" ht="12" x14ac:dyDescent="0.2">
      <c r="M396"/>
      <c r="N396"/>
      <c r="O396"/>
      <c r="P396"/>
      <c r="Q396"/>
      <c r="R396"/>
    </row>
    <row r="397" spans="13:18" ht="12" x14ac:dyDescent="0.2">
      <c r="M397"/>
      <c r="N397"/>
      <c r="O397"/>
      <c r="P397"/>
      <c r="Q397"/>
      <c r="R397"/>
    </row>
    <row r="398" spans="13:18" ht="12" x14ac:dyDescent="0.2">
      <c r="M398"/>
      <c r="N398"/>
      <c r="O398"/>
      <c r="P398"/>
      <c r="Q398"/>
      <c r="R398"/>
    </row>
    <row r="399" spans="13:18" ht="12" x14ac:dyDescent="0.2">
      <c r="M399"/>
      <c r="N399"/>
      <c r="O399"/>
      <c r="P399"/>
      <c r="Q399"/>
      <c r="R399"/>
    </row>
    <row r="400" spans="13:18" ht="12" x14ac:dyDescent="0.2">
      <c r="M400"/>
      <c r="N400"/>
      <c r="O400"/>
      <c r="P400"/>
      <c r="Q400"/>
      <c r="R400"/>
    </row>
    <row r="401" spans="13:18" ht="12" x14ac:dyDescent="0.2">
      <c r="M401"/>
      <c r="N401"/>
      <c r="O401"/>
      <c r="P401"/>
      <c r="Q401"/>
      <c r="R401"/>
    </row>
    <row r="402" spans="13:18" ht="12" x14ac:dyDescent="0.2">
      <c r="M402"/>
      <c r="N402"/>
      <c r="O402"/>
      <c r="P402"/>
      <c r="Q402"/>
      <c r="R402"/>
    </row>
    <row r="403" spans="13:18" ht="12" x14ac:dyDescent="0.2">
      <c r="M403"/>
      <c r="N403"/>
      <c r="O403"/>
      <c r="P403"/>
      <c r="Q403"/>
      <c r="R403"/>
    </row>
    <row r="404" spans="13:18" ht="12" x14ac:dyDescent="0.2">
      <c r="M404"/>
      <c r="N404"/>
      <c r="O404"/>
      <c r="P404"/>
      <c r="Q404"/>
      <c r="R404"/>
    </row>
    <row r="405" spans="13:18" ht="12" x14ac:dyDescent="0.2">
      <c r="M405"/>
      <c r="N405"/>
      <c r="O405"/>
      <c r="P405"/>
      <c r="Q405"/>
      <c r="R405"/>
    </row>
    <row r="406" spans="13:18" ht="12" x14ac:dyDescent="0.2">
      <c r="M406"/>
      <c r="N406"/>
      <c r="O406"/>
      <c r="P406"/>
      <c r="Q406"/>
      <c r="R406"/>
    </row>
    <row r="407" spans="13:18" ht="12" x14ac:dyDescent="0.2">
      <c r="M407"/>
      <c r="N407"/>
      <c r="O407"/>
      <c r="P407"/>
      <c r="Q407"/>
      <c r="R407"/>
    </row>
    <row r="408" spans="13:18" ht="12" x14ac:dyDescent="0.2">
      <c r="M408"/>
      <c r="N408"/>
      <c r="O408"/>
      <c r="P408"/>
      <c r="Q408"/>
      <c r="R408"/>
    </row>
    <row r="409" spans="13:18" ht="12" x14ac:dyDescent="0.2">
      <c r="M409"/>
      <c r="N409"/>
      <c r="O409"/>
      <c r="P409"/>
      <c r="Q409"/>
      <c r="R409"/>
    </row>
    <row r="410" spans="13:18" ht="12" x14ac:dyDescent="0.2">
      <c r="M410"/>
      <c r="N410"/>
      <c r="O410"/>
      <c r="P410"/>
      <c r="Q410"/>
      <c r="R410"/>
    </row>
    <row r="411" spans="13:18" ht="12" x14ac:dyDescent="0.2">
      <c r="M411"/>
      <c r="N411"/>
      <c r="O411"/>
      <c r="P411"/>
      <c r="Q411"/>
      <c r="R411"/>
    </row>
    <row r="412" spans="13:18" ht="12" x14ac:dyDescent="0.2">
      <c r="M412"/>
      <c r="N412"/>
      <c r="O412"/>
      <c r="P412"/>
      <c r="Q412"/>
      <c r="R412"/>
    </row>
    <row r="413" spans="13:18" ht="12" x14ac:dyDescent="0.2">
      <c r="M413"/>
      <c r="N413"/>
      <c r="O413"/>
      <c r="P413"/>
      <c r="Q413"/>
      <c r="R413"/>
    </row>
    <row r="414" spans="13:18" ht="12" x14ac:dyDescent="0.2">
      <c r="M414"/>
      <c r="N414"/>
      <c r="O414"/>
      <c r="P414"/>
      <c r="Q414"/>
      <c r="R414"/>
    </row>
    <row r="415" spans="13:18" ht="12" x14ac:dyDescent="0.2">
      <c r="M415"/>
      <c r="N415"/>
      <c r="O415"/>
      <c r="P415"/>
      <c r="Q415"/>
      <c r="R415"/>
    </row>
    <row r="416" spans="13:18" ht="12" x14ac:dyDescent="0.2">
      <c r="M416"/>
      <c r="N416"/>
      <c r="O416"/>
      <c r="P416"/>
      <c r="Q416"/>
      <c r="R416"/>
    </row>
    <row r="417" spans="13:18" ht="12" x14ac:dyDescent="0.2">
      <c r="M417"/>
      <c r="N417"/>
      <c r="O417"/>
      <c r="P417"/>
      <c r="Q417"/>
      <c r="R417"/>
    </row>
    <row r="418" spans="13:18" ht="12" x14ac:dyDescent="0.2">
      <c r="M418"/>
      <c r="N418"/>
      <c r="O418"/>
      <c r="P418"/>
      <c r="Q418"/>
      <c r="R418"/>
    </row>
    <row r="419" spans="13:18" ht="12" x14ac:dyDescent="0.2">
      <c r="M419"/>
      <c r="N419"/>
      <c r="O419"/>
      <c r="P419"/>
      <c r="Q419"/>
      <c r="R419"/>
    </row>
    <row r="420" spans="13:18" ht="12" x14ac:dyDescent="0.2">
      <c r="M420"/>
      <c r="N420"/>
      <c r="O420"/>
      <c r="P420"/>
      <c r="Q420"/>
      <c r="R420"/>
    </row>
    <row r="421" spans="13:18" ht="12" x14ac:dyDescent="0.2">
      <c r="M421"/>
      <c r="N421"/>
      <c r="O421"/>
      <c r="P421"/>
      <c r="Q421"/>
      <c r="R421"/>
    </row>
    <row r="422" spans="13:18" ht="12" x14ac:dyDescent="0.2">
      <c r="M422"/>
      <c r="N422"/>
      <c r="O422"/>
      <c r="P422"/>
      <c r="Q422"/>
      <c r="R422"/>
    </row>
    <row r="423" spans="13:18" ht="12" x14ac:dyDescent="0.2">
      <c r="M423"/>
      <c r="N423"/>
      <c r="O423"/>
      <c r="P423"/>
      <c r="Q423"/>
      <c r="R423"/>
    </row>
    <row r="424" spans="13:18" ht="12" x14ac:dyDescent="0.2">
      <c r="M424"/>
      <c r="N424"/>
      <c r="O424"/>
      <c r="P424"/>
      <c r="Q424"/>
      <c r="R424"/>
    </row>
    <row r="425" spans="13:18" ht="12" x14ac:dyDescent="0.2">
      <c r="M425"/>
      <c r="N425"/>
      <c r="O425"/>
      <c r="P425"/>
      <c r="Q425"/>
      <c r="R425"/>
    </row>
    <row r="426" spans="13:18" ht="12" x14ac:dyDescent="0.2">
      <c r="M426"/>
      <c r="N426"/>
      <c r="O426"/>
      <c r="P426"/>
      <c r="Q426"/>
      <c r="R426"/>
    </row>
    <row r="427" spans="13:18" ht="12" x14ac:dyDescent="0.2">
      <c r="M427"/>
      <c r="N427"/>
      <c r="O427"/>
      <c r="P427"/>
      <c r="Q427"/>
      <c r="R427"/>
    </row>
    <row r="428" spans="13:18" ht="12" x14ac:dyDescent="0.2">
      <c r="M428"/>
      <c r="N428"/>
      <c r="O428"/>
      <c r="P428"/>
      <c r="Q428"/>
      <c r="R428"/>
    </row>
    <row r="429" spans="13:18" ht="12" x14ac:dyDescent="0.2">
      <c r="M429"/>
      <c r="N429"/>
      <c r="O429"/>
      <c r="P429"/>
      <c r="Q429"/>
      <c r="R429"/>
    </row>
    <row r="430" spans="13:18" ht="12" x14ac:dyDescent="0.2">
      <c r="M430"/>
      <c r="N430"/>
      <c r="O430"/>
      <c r="P430"/>
      <c r="Q430"/>
      <c r="R430"/>
    </row>
    <row r="431" spans="13:18" ht="12" x14ac:dyDescent="0.2">
      <c r="M431"/>
      <c r="N431"/>
      <c r="O431"/>
      <c r="P431"/>
      <c r="Q431"/>
      <c r="R431"/>
    </row>
    <row r="432" spans="13:18" ht="12" x14ac:dyDescent="0.2">
      <c r="M432"/>
      <c r="N432"/>
      <c r="O432"/>
      <c r="P432"/>
      <c r="Q432"/>
      <c r="R432"/>
    </row>
    <row r="433" spans="13:18" ht="12" x14ac:dyDescent="0.2">
      <c r="M433"/>
      <c r="N433"/>
      <c r="O433"/>
      <c r="P433"/>
      <c r="Q433"/>
      <c r="R433"/>
    </row>
    <row r="434" spans="13:18" ht="12" x14ac:dyDescent="0.2">
      <c r="M434"/>
      <c r="N434"/>
      <c r="O434"/>
      <c r="P434"/>
      <c r="Q434"/>
      <c r="R434"/>
    </row>
    <row r="435" spans="13:18" ht="12" x14ac:dyDescent="0.2">
      <c r="M435"/>
      <c r="N435"/>
      <c r="O435"/>
      <c r="P435"/>
      <c r="Q435"/>
      <c r="R435"/>
    </row>
    <row r="436" spans="13:18" ht="12" x14ac:dyDescent="0.2">
      <c r="M436"/>
      <c r="N436"/>
      <c r="O436"/>
      <c r="P436"/>
      <c r="Q436"/>
      <c r="R436"/>
    </row>
    <row r="437" spans="13:18" ht="12" x14ac:dyDescent="0.2">
      <c r="M437"/>
      <c r="N437"/>
      <c r="O437"/>
      <c r="P437"/>
      <c r="Q437"/>
      <c r="R437"/>
    </row>
    <row r="438" spans="13:18" ht="12" x14ac:dyDescent="0.2">
      <c r="M438"/>
      <c r="N438"/>
      <c r="O438"/>
      <c r="P438"/>
      <c r="Q438"/>
      <c r="R438"/>
    </row>
    <row r="439" spans="13:18" ht="12" x14ac:dyDescent="0.2">
      <c r="M439"/>
      <c r="N439"/>
      <c r="O439"/>
      <c r="P439"/>
      <c r="Q439"/>
      <c r="R439"/>
    </row>
    <row r="440" spans="13:18" ht="12" x14ac:dyDescent="0.2">
      <c r="M440"/>
      <c r="N440"/>
      <c r="O440"/>
      <c r="P440"/>
      <c r="Q440"/>
      <c r="R440"/>
    </row>
    <row r="441" spans="13:18" ht="12" x14ac:dyDescent="0.2">
      <c r="M441"/>
      <c r="N441"/>
      <c r="O441"/>
      <c r="P441"/>
      <c r="Q441"/>
      <c r="R441"/>
    </row>
    <row r="442" spans="13:18" ht="12" x14ac:dyDescent="0.2">
      <c r="M442"/>
      <c r="N442"/>
      <c r="O442"/>
      <c r="P442"/>
      <c r="Q442"/>
      <c r="R442"/>
    </row>
    <row r="443" spans="13:18" ht="12" x14ac:dyDescent="0.2">
      <c r="M443"/>
      <c r="N443"/>
      <c r="O443"/>
      <c r="P443"/>
      <c r="Q443"/>
      <c r="R443"/>
    </row>
    <row r="444" spans="13:18" ht="12" x14ac:dyDescent="0.2">
      <c r="M444"/>
      <c r="N444"/>
      <c r="O444"/>
      <c r="P444"/>
      <c r="Q444"/>
      <c r="R444"/>
    </row>
    <row r="445" spans="13:18" ht="12" x14ac:dyDescent="0.2">
      <c r="M445"/>
      <c r="N445"/>
      <c r="O445"/>
      <c r="P445"/>
      <c r="Q445"/>
      <c r="R445"/>
    </row>
    <row r="446" spans="13:18" ht="12" x14ac:dyDescent="0.2">
      <c r="M446"/>
      <c r="N446"/>
      <c r="O446"/>
      <c r="P446"/>
      <c r="Q446"/>
      <c r="R446"/>
    </row>
    <row r="447" spans="13:18" ht="12" x14ac:dyDescent="0.2">
      <c r="M447"/>
      <c r="N447"/>
      <c r="O447"/>
      <c r="P447"/>
      <c r="Q447"/>
      <c r="R447"/>
    </row>
    <row r="448" spans="13:18" ht="12" x14ac:dyDescent="0.2">
      <c r="M448"/>
      <c r="N448"/>
      <c r="O448"/>
      <c r="P448"/>
      <c r="Q448"/>
      <c r="R448"/>
    </row>
    <row r="449" spans="13:18" ht="12" x14ac:dyDescent="0.2">
      <c r="M449"/>
      <c r="N449"/>
      <c r="O449"/>
      <c r="P449"/>
      <c r="Q449"/>
      <c r="R449"/>
    </row>
    <row r="450" spans="13:18" ht="12" x14ac:dyDescent="0.2">
      <c r="M450"/>
      <c r="N450"/>
      <c r="O450"/>
      <c r="P450"/>
      <c r="Q450"/>
      <c r="R450"/>
    </row>
    <row r="451" spans="13:18" ht="12" x14ac:dyDescent="0.2">
      <c r="M451"/>
      <c r="N451"/>
      <c r="O451"/>
      <c r="P451"/>
      <c r="Q451"/>
      <c r="R451"/>
    </row>
    <row r="452" spans="13:18" ht="12" x14ac:dyDescent="0.2">
      <c r="M452"/>
      <c r="N452"/>
      <c r="O452"/>
      <c r="P452"/>
      <c r="Q452"/>
      <c r="R452"/>
    </row>
    <row r="453" spans="13:18" ht="12" x14ac:dyDescent="0.2">
      <c r="M453"/>
      <c r="N453"/>
      <c r="O453"/>
      <c r="P453"/>
      <c r="Q453"/>
      <c r="R453"/>
    </row>
    <row r="454" spans="13:18" ht="12" x14ac:dyDescent="0.2">
      <c r="M454"/>
      <c r="N454"/>
      <c r="O454"/>
      <c r="P454"/>
      <c r="Q454"/>
      <c r="R454"/>
    </row>
    <row r="455" spans="13:18" ht="12" x14ac:dyDescent="0.2">
      <c r="M455"/>
      <c r="N455"/>
      <c r="O455"/>
      <c r="P455"/>
      <c r="Q455"/>
      <c r="R455"/>
    </row>
    <row r="456" spans="13:18" ht="12" x14ac:dyDescent="0.2">
      <c r="M456"/>
      <c r="N456"/>
      <c r="O456"/>
      <c r="P456"/>
      <c r="Q456"/>
      <c r="R456"/>
    </row>
    <row r="457" spans="13:18" ht="12" x14ac:dyDescent="0.2">
      <c r="M457"/>
      <c r="N457"/>
      <c r="O457"/>
      <c r="P457"/>
      <c r="Q457"/>
      <c r="R457"/>
    </row>
    <row r="458" spans="13:18" ht="12" x14ac:dyDescent="0.2">
      <c r="M458"/>
      <c r="N458"/>
      <c r="O458"/>
      <c r="P458"/>
      <c r="Q458"/>
      <c r="R458"/>
    </row>
    <row r="459" spans="13:18" ht="12" x14ac:dyDescent="0.2">
      <c r="M459"/>
      <c r="N459"/>
      <c r="O459"/>
      <c r="P459"/>
      <c r="Q459"/>
      <c r="R459"/>
    </row>
    <row r="460" spans="13:18" ht="12" x14ac:dyDescent="0.2">
      <c r="M460"/>
      <c r="N460"/>
      <c r="O460"/>
      <c r="P460"/>
      <c r="Q460"/>
      <c r="R460"/>
    </row>
    <row r="461" spans="13:18" ht="12" x14ac:dyDescent="0.2">
      <c r="M461"/>
      <c r="N461"/>
      <c r="O461"/>
      <c r="P461"/>
      <c r="Q461"/>
      <c r="R461"/>
    </row>
    <row r="462" spans="13:18" ht="12" x14ac:dyDescent="0.2">
      <c r="M462"/>
      <c r="N462"/>
      <c r="O462"/>
      <c r="P462"/>
      <c r="Q462"/>
      <c r="R462"/>
    </row>
    <row r="463" spans="13:18" ht="12" x14ac:dyDescent="0.2">
      <c r="M463"/>
      <c r="N463"/>
      <c r="O463"/>
      <c r="P463"/>
      <c r="Q463"/>
      <c r="R463"/>
    </row>
    <row r="464" spans="13:18" ht="12" x14ac:dyDescent="0.2">
      <c r="M464"/>
      <c r="N464"/>
      <c r="O464"/>
      <c r="P464"/>
      <c r="Q464"/>
      <c r="R464"/>
    </row>
    <row r="465" spans="13:18" ht="12" x14ac:dyDescent="0.2">
      <c r="M465"/>
      <c r="N465"/>
      <c r="O465"/>
      <c r="P465"/>
      <c r="Q465"/>
      <c r="R465"/>
    </row>
    <row r="466" spans="13:18" ht="12" x14ac:dyDescent="0.2">
      <c r="M466"/>
      <c r="N466"/>
      <c r="O466"/>
      <c r="P466"/>
      <c r="Q466"/>
      <c r="R466"/>
    </row>
    <row r="467" spans="13:18" ht="12" x14ac:dyDescent="0.2">
      <c r="M467"/>
      <c r="N467"/>
      <c r="O467"/>
      <c r="P467"/>
      <c r="Q467"/>
      <c r="R467"/>
    </row>
    <row r="468" spans="13:18" ht="12" x14ac:dyDescent="0.2">
      <c r="M468"/>
      <c r="N468"/>
      <c r="O468"/>
      <c r="P468"/>
      <c r="Q468"/>
      <c r="R468"/>
    </row>
    <row r="469" spans="13:18" ht="12" x14ac:dyDescent="0.2">
      <c r="M469"/>
      <c r="N469"/>
      <c r="O469"/>
      <c r="P469"/>
      <c r="Q469"/>
      <c r="R469"/>
    </row>
    <row r="470" spans="13:18" ht="12" x14ac:dyDescent="0.2">
      <c r="M470"/>
      <c r="N470"/>
      <c r="O470"/>
      <c r="P470"/>
      <c r="Q470"/>
      <c r="R470"/>
    </row>
    <row r="471" spans="13:18" ht="12" x14ac:dyDescent="0.2">
      <c r="M471"/>
      <c r="N471"/>
      <c r="O471"/>
      <c r="P471"/>
      <c r="Q471"/>
      <c r="R471"/>
    </row>
    <row r="472" spans="13:18" ht="12" x14ac:dyDescent="0.2">
      <c r="M472"/>
      <c r="N472"/>
      <c r="O472"/>
      <c r="P472"/>
      <c r="Q472"/>
      <c r="R472"/>
    </row>
    <row r="473" spans="13:18" ht="12" x14ac:dyDescent="0.2">
      <c r="M473"/>
      <c r="N473"/>
      <c r="O473"/>
      <c r="P473"/>
      <c r="Q473"/>
      <c r="R473"/>
    </row>
    <row r="474" spans="13:18" ht="12" x14ac:dyDescent="0.2">
      <c r="M474"/>
      <c r="N474"/>
      <c r="O474"/>
      <c r="P474"/>
      <c r="Q474"/>
      <c r="R474"/>
    </row>
    <row r="475" spans="13:18" ht="12" x14ac:dyDescent="0.2">
      <c r="M475"/>
      <c r="N475"/>
      <c r="O475"/>
      <c r="P475"/>
      <c r="Q475"/>
      <c r="R475"/>
    </row>
    <row r="476" spans="13:18" ht="12" x14ac:dyDescent="0.2">
      <c r="M476"/>
      <c r="N476"/>
      <c r="O476"/>
      <c r="P476"/>
      <c r="Q476"/>
      <c r="R476"/>
    </row>
    <row r="477" spans="13:18" ht="12" x14ac:dyDescent="0.2">
      <c r="M477"/>
      <c r="N477"/>
      <c r="O477"/>
      <c r="P477"/>
      <c r="Q477"/>
      <c r="R477"/>
    </row>
    <row r="478" spans="13:18" ht="12" x14ac:dyDescent="0.2">
      <c r="M478"/>
      <c r="N478"/>
      <c r="O478"/>
      <c r="P478"/>
      <c r="Q478"/>
      <c r="R478"/>
    </row>
    <row r="479" spans="13:18" ht="12" x14ac:dyDescent="0.2">
      <c r="M479"/>
      <c r="N479"/>
      <c r="O479"/>
      <c r="P479"/>
      <c r="Q479"/>
      <c r="R479"/>
    </row>
    <row r="480" spans="13:18" ht="12" x14ac:dyDescent="0.2">
      <c r="M480"/>
      <c r="N480"/>
      <c r="O480"/>
      <c r="P480"/>
      <c r="Q480"/>
      <c r="R480"/>
    </row>
    <row r="481" spans="13:18" ht="12" x14ac:dyDescent="0.2">
      <c r="M481"/>
      <c r="N481"/>
      <c r="O481"/>
      <c r="P481"/>
      <c r="Q481"/>
      <c r="R481"/>
    </row>
    <row r="482" spans="13:18" ht="12" x14ac:dyDescent="0.2">
      <c r="M482"/>
      <c r="N482"/>
      <c r="O482"/>
      <c r="P482"/>
      <c r="Q482"/>
      <c r="R482"/>
    </row>
    <row r="483" spans="13:18" ht="12" x14ac:dyDescent="0.2">
      <c r="M483"/>
      <c r="N483"/>
      <c r="O483"/>
      <c r="P483"/>
      <c r="Q483"/>
      <c r="R483"/>
    </row>
    <row r="484" spans="13:18" ht="12" x14ac:dyDescent="0.2">
      <c r="M484"/>
      <c r="N484"/>
      <c r="O484"/>
      <c r="P484"/>
      <c r="Q484"/>
      <c r="R484"/>
    </row>
    <row r="485" spans="13:18" ht="12" x14ac:dyDescent="0.2">
      <c r="M485"/>
      <c r="N485"/>
      <c r="O485"/>
      <c r="P485"/>
      <c r="Q485"/>
      <c r="R485"/>
    </row>
    <row r="486" spans="13:18" ht="12" x14ac:dyDescent="0.2">
      <c r="M486"/>
      <c r="N486"/>
      <c r="O486"/>
      <c r="P486"/>
      <c r="Q486"/>
      <c r="R486"/>
    </row>
    <row r="487" spans="13:18" ht="12" x14ac:dyDescent="0.2">
      <c r="M487"/>
      <c r="N487"/>
      <c r="O487"/>
      <c r="P487"/>
      <c r="Q487"/>
      <c r="R487"/>
    </row>
    <row r="488" spans="13:18" ht="12" x14ac:dyDescent="0.2">
      <c r="M488"/>
      <c r="N488"/>
      <c r="O488"/>
      <c r="P488"/>
      <c r="Q488"/>
      <c r="R488"/>
    </row>
    <row r="489" spans="13:18" ht="12" x14ac:dyDescent="0.2">
      <c r="M489"/>
      <c r="N489"/>
      <c r="O489"/>
      <c r="P489"/>
      <c r="Q489"/>
      <c r="R489"/>
    </row>
    <row r="490" spans="13:18" ht="12" x14ac:dyDescent="0.2">
      <c r="M490"/>
      <c r="N490"/>
      <c r="O490"/>
      <c r="P490"/>
      <c r="Q490"/>
      <c r="R490"/>
    </row>
    <row r="491" spans="13:18" ht="12" x14ac:dyDescent="0.2">
      <c r="M491"/>
      <c r="N491"/>
      <c r="O491"/>
      <c r="P491"/>
      <c r="Q491"/>
      <c r="R491"/>
    </row>
    <row r="492" spans="13:18" ht="12" x14ac:dyDescent="0.2">
      <c r="M492"/>
      <c r="N492"/>
      <c r="O492"/>
      <c r="P492"/>
      <c r="Q492"/>
      <c r="R492"/>
    </row>
    <row r="493" spans="13:18" ht="12" x14ac:dyDescent="0.2">
      <c r="M493"/>
      <c r="N493"/>
      <c r="O493"/>
      <c r="P493"/>
      <c r="Q493"/>
      <c r="R493"/>
    </row>
    <row r="494" spans="13:18" ht="12" x14ac:dyDescent="0.2">
      <c r="M494"/>
      <c r="N494"/>
      <c r="O494"/>
      <c r="P494"/>
      <c r="Q494"/>
      <c r="R494"/>
    </row>
    <row r="495" spans="13:18" ht="12" x14ac:dyDescent="0.2">
      <c r="M495"/>
      <c r="N495"/>
      <c r="O495"/>
      <c r="P495"/>
      <c r="Q495"/>
      <c r="R495"/>
    </row>
    <row r="496" spans="13:18" ht="12" x14ac:dyDescent="0.2">
      <c r="M496"/>
      <c r="N496"/>
      <c r="O496"/>
      <c r="P496"/>
      <c r="Q496"/>
      <c r="R496"/>
    </row>
    <row r="497" spans="13:18" ht="12" x14ac:dyDescent="0.2">
      <c r="M497"/>
      <c r="N497"/>
      <c r="O497"/>
      <c r="P497"/>
      <c r="Q497"/>
      <c r="R497"/>
    </row>
    <row r="498" spans="13:18" ht="12" x14ac:dyDescent="0.2">
      <c r="M498"/>
      <c r="N498"/>
      <c r="O498"/>
      <c r="P498"/>
      <c r="Q498"/>
      <c r="R498"/>
    </row>
    <row r="499" spans="13:18" ht="12" x14ac:dyDescent="0.2">
      <c r="M499"/>
      <c r="N499"/>
      <c r="O499"/>
      <c r="P499"/>
      <c r="Q499"/>
      <c r="R499"/>
    </row>
    <row r="500" spans="13:18" ht="12" x14ac:dyDescent="0.2">
      <c r="M500"/>
      <c r="N500"/>
      <c r="O500"/>
      <c r="P500"/>
      <c r="Q500"/>
      <c r="R500"/>
    </row>
    <row r="501" spans="13:18" ht="12" x14ac:dyDescent="0.2">
      <c r="M501"/>
      <c r="N501"/>
      <c r="O501"/>
      <c r="P501"/>
      <c r="Q501"/>
      <c r="R501"/>
    </row>
    <row r="502" spans="13:18" ht="12" x14ac:dyDescent="0.2">
      <c r="M502"/>
      <c r="N502"/>
      <c r="O502"/>
      <c r="P502"/>
      <c r="Q502"/>
      <c r="R502"/>
    </row>
    <row r="503" spans="13:18" ht="12" x14ac:dyDescent="0.2">
      <c r="M503"/>
      <c r="N503"/>
      <c r="O503"/>
      <c r="P503"/>
      <c r="Q503"/>
      <c r="R503"/>
    </row>
    <row r="504" spans="13:18" ht="12" x14ac:dyDescent="0.2">
      <c r="M504"/>
      <c r="N504"/>
      <c r="O504"/>
      <c r="P504"/>
      <c r="Q504"/>
      <c r="R504"/>
    </row>
    <row r="505" spans="13:18" ht="12" x14ac:dyDescent="0.2">
      <c r="M505"/>
      <c r="N505"/>
      <c r="O505"/>
      <c r="P505"/>
      <c r="Q505"/>
      <c r="R505"/>
    </row>
    <row r="506" spans="13:18" ht="12" x14ac:dyDescent="0.2">
      <c r="M506"/>
      <c r="N506"/>
      <c r="O506"/>
      <c r="P506"/>
      <c r="Q506"/>
      <c r="R506"/>
    </row>
    <row r="507" spans="13:18" ht="12" x14ac:dyDescent="0.2">
      <c r="M507"/>
      <c r="N507"/>
      <c r="O507"/>
      <c r="P507"/>
      <c r="Q507"/>
      <c r="R507"/>
    </row>
    <row r="508" spans="13:18" ht="12" x14ac:dyDescent="0.2">
      <c r="M508"/>
      <c r="N508"/>
      <c r="O508"/>
      <c r="P508"/>
      <c r="Q508"/>
      <c r="R508"/>
    </row>
    <row r="509" spans="13:18" ht="12" x14ac:dyDescent="0.2">
      <c r="M509"/>
      <c r="N509"/>
      <c r="O509"/>
      <c r="P509"/>
      <c r="Q509"/>
      <c r="R509"/>
    </row>
    <row r="510" spans="13:18" ht="12" x14ac:dyDescent="0.2">
      <c r="M510"/>
      <c r="N510"/>
      <c r="O510"/>
      <c r="P510"/>
      <c r="Q510"/>
      <c r="R510"/>
    </row>
    <row r="511" spans="13:18" ht="12" x14ac:dyDescent="0.2">
      <c r="M511"/>
      <c r="N511"/>
      <c r="O511"/>
      <c r="P511"/>
      <c r="Q511"/>
      <c r="R511"/>
    </row>
    <row r="512" spans="13:18" ht="12" x14ac:dyDescent="0.2">
      <c r="M512"/>
      <c r="N512"/>
      <c r="O512"/>
      <c r="P512"/>
      <c r="Q512"/>
      <c r="R512"/>
    </row>
    <row r="513" spans="13:18" ht="12" x14ac:dyDescent="0.2">
      <c r="M513"/>
      <c r="N513"/>
      <c r="O513"/>
      <c r="P513"/>
      <c r="Q513"/>
      <c r="R513"/>
    </row>
    <row r="514" spans="13:18" ht="12" x14ac:dyDescent="0.2">
      <c r="M514"/>
      <c r="N514"/>
      <c r="O514"/>
      <c r="P514"/>
      <c r="Q514"/>
      <c r="R514"/>
    </row>
    <row r="515" spans="13:18" ht="12" x14ac:dyDescent="0.2">
      <c r="M515"/>
      <c r="N515"/>
      <c r="O515"/>
      <c r="P515"/>
      <c r="Q515"/>
      <c r="R515"/>
    </row>
    <row r="516" spans="13:18" ht="12" x14ac:dyDescent="0.2">
      <c r="M516"/>
      <c r="N516"/>
      <c r="O516"/>
      <c r="P516"/>
      <c r="Q516"/>
      <c r="R516"/>
    </row>
    <row r="517" spans="13:18" ht="12" x14ac:dyDescent="0.2">
      <c r="M517"/>
      <c r="N517"/>
      <c r="O517"/>
      <c r="P517"/>
      <c r="Q517"/>
      <c r="R517"/>
    </row>
    <row r="518" spans="13:18" ht="12" x14ac:dyDescent="0.2">
      <c r="M518"/>
      <c r="N518"/>
      <c r="O518"/>
      <c r="P518"/>
      <c r="Q518"/>
      <c r="R518"/>
    </row>
    <row r="519" spans="13:18" ht="12" x14ac:dyDescent="0.2">
      <c r="M519"/>
      <c r="N519"/>
      <c r="O519"/>
      <c r="P519"/>
      <c r="Q519"/>
      <c r="R519"/>
    </row>
    <row r="520" spans="13:18" ht="12" x14ac:dyDescent="0.2">
      <c r="M520"/>
      <c r="N520"/>
      <c r="O520"/>
      <c r="P520"/>
      <c r="Q520"/>
      <c r="R520"/>
    </row>
    <row r="521" spans="13:18" ht="12" x14ac:dyDescent="0.2">
      <c r="M521"/>
      <c r="N521"/>
      <c r="O521"/>
      <c r="P521"/>
      <c r="Q521"/>
      <c r="R521"/>
    </row>
    <row r="522" spans="13:18" ht="12" x14ac:dyDescent="0.2">
      <c r="M522"/>
      <c r="N522"/>
      <c r="O522"/>
      <c r="P522"/>
      <c r="Q522"/>
      <c r="R522"/>
    </row>
    <row r="523" spans="13:18" ht="12" x14ac:dyDescent="0.2">
      <c r="M523"/>
      <c r="N523"/>
      <c r="O523"/>
      <c r="P523"/>
      <c r="Q523"/>
      <c r="R523"/>
    </row>
    <row r="524" spans="13:18" ht="12" x14ac:dyDescent="0.2">
      <c r="M524"/>
      <c r="N524"/>
      <c r="O524"/>
      <c r="P524"/>
      <c r="Q524"/>
      <c r="R524"/>
    </row>
    <row r="525" spans="13:18" ht="12" x14ac:dyDescent="0.2">
      <c r="M525"/>
      <c r="N525"/>
      <c r="O525"/>
      <c r="P525"/>
      <c r="Q525"/>
      <c r="R525"/>
    </row>
    <row r="526" spans="13:18" ht="12" x14ac:dyDescent="0.2">
      <c r="M526"/>
      <c r="N526"/>
      <c r="O526"/>
      <c r="P526"/>
      <c r="Q526"/>
      <c r="R526"/>
    </row>
    <row r="527" spans="13:18" ht="12" x14ac:dyDescent="0.2">
      <c r="M527"/>
      <c r="N527"/>
      <c r="O527"/>
      <c r="P527"/>
      <c r="Q527"/>
      <c r="R527"/>
    </row>
    <row r="528" spans="13:18" ht="12" x14ac:dyDescent="0.2">
      <c r="M528"/>
      <c r="N528"/>
      <c r="O528"/>
      <c r="P528"/>
      <c r="Q528"/>
      <c r="R528"/>
    </row>
    <row r="529" spans="13:18" ht="12" x14ac:dyDescent="0.2">
      <c r="M529"/>
      <c r="N529"/>
      <c r="O529"/>
      <c r="P529"/>
      <c r="Q529"/>
      <c r="R529"/>
    </row>
    <row r="530" spans="13:18" ht="12" x14ac:dyDescent="0.2">
      <c r="M530"/>
      <c r="N530"/>
      <c r="O530"/>
      <c r="P530"/>
      <c r="Q530"/>
      <c r="R530"/>
    </row>
    <row r="531" spans="13:18" ht="12" x14ac:dyDescent="0.2">
      <c r="M531"/>
      <c r="N531"/>
      <c r="O531"/>
      <c r="P531"/>
      <c r="Q531"/>
      <c r="R531"/>
    </row>
    <row r="532" spans="13:18" ht="12" x14ac:dyDescent="0.2">
      <c r="M532"/>
      <c r="N532"/>
      <c r="O532"/>
      <c r="P532"/>
      <c r="Q532"/>
      <c r="R532"/>
    </row>
    <row r="533" spans="13:18" ht="12" x14ac:dyDescent="0.2">
      <c r="M533"/>
      <c r="N533"/>
      <c r="O533"/>
      <c r="P533"/>
      <c r="Q533"/>
      <c r="R533"/>
    </row>
    <row r="534" spans="13:18" ht="12" x14ac:dyDescent="0.2">
      <c r="M534"/>
      <c r="N534"/>
      <c r="O534"/>
      <c r="P534"/>
      <c r="Q534"/>
      <c r="R534"/>
    </row>
    <row r="535" spans="13:18" ht="12" x14ac:dyDescent="0.2">
      <c r="M535"/>
      <c r="N535"/>
      <c r="O535"/>
      <c r="P535"/>
      <c r="Q535"/>
      <c r="R535"/>
    </row>
    <row r="536" spans="13:18" ht="12" x14ac:dyDescent="0.2">
      <c r="M536"/>
      <c r="N536"/>
      <c r="O536"/>
      <c r="P536"/>
      <c r="Q536"/>
      <c r="R536"/>
    </row>
    <row r="537" spans="13:18" ht="12" x14ac:dyDescent="0.2">
      <c r="M537"/>
      <c r="N537"/>
      <c r="O537"/>
      <c r="P537"/>
      <c r="Q537"/>
      <c r="R537"/>
    </row>
    <row r="538" spans="13:18" ht="12" x14ac:dyDescent="0.2">
      <c r="M538"/>
      <c r="N538"/>
      <c r="O538"/>
      <c r="P538"/>
      <c r="Q538"/>
      <c r="R538"/>
    </row>
    <row r="539" spans="13:18" ht="12" x14ac:dyDescent="0.2">
      <c r="M539"/>
      <c r="N539"/>
      <c r="O539"/>
      <c r="P539"/>
      <c r="Q539"/>
      <c r="R539"/>
    </row>
    <row r="540" spans="13:18" ht="12" x14ac:dyDescent="0.2">
      <c r="M540"/>
      <c r="N540"/>
      <c r="O540"/>
      <c r="P540"/>
      <c r="Q540"/>
      <c r="R540"/>
    </row>
    <row r="541" spans="13:18" ht="12" x14ac:dyDescent="0.2">
      <c r="M541"/>
      <c r="N541"/>
      <c r="O541"/>
      <c r="P541"/>
      <c r="Q541"/>
      <c r="R541"/>
    </row>
    <row r="542" spans="13:18" ht="12" x14ac:dyDescent="0.2">
      <c r="M542"/>
      <c r="N542"/>
      <c r="O542"/>
      <c r="P542"/>
      <c r="Q542"/>
      <c r="R542"/>
    </row>
    <row r="543" spans="13:18" ht="12" x14ac:dyDescent="0.2">
      <c r="M543"/>
      <c r="N543"/>
      <c r="O543"/>
      <c r="P543"/>
      <c r="Q543"/>
      <c r="R543"/>
    </row>
    <row r="544" spans="13:18" ht="12" x14ac:dyDescent="0.2">
      <c r="M544"/>
      <c r="N544"/>
      <c r="O544"/>
      <c r="P544"/>
      <c r="Q544"/>
      <c r="R544"/>
    </row>
    <row r="545" spans="13:18" ht="12" x14ac:dyDescent="0.2">
      <c r="M545"/>
      <c r="N545"/>
      <c r="O545"/>
      <c r="P545"/>
      <c r="Q545"/>
      <c r="R545"/>
    </row>
    <row r="546" spans="13:18" ht="12" x14ac:dyDescent="0.2">
      <c r="M546"/>
      <c r="N546"/>
      <c r="O546"/>
      <c r="P546"/>
      <c r="Q546"/>
      <c r="R546"/>
    </row>
    <row r="547" spans="13:18" ht="12" x14ac:dyDescent="0.2">
      <c r="M547"/>
      <c r="N547"/>
      <c r="O547"/>
      <c r="P547"/>
      <c r="Q547"/>
      <c r="R547"/>
    </row>
    <row r="548" spans="13:18" ht="12" x14ac:dyDescent="0.2">
      <c r="M548"/>
      <c r="N548"/>
      <c r="O548"/>
      <c r="P548"/>
      <c r="Q548"/>
      <c r="R548"/>
    </row>
    <row r="549" spans="13:18" ht="12" x14ac:dyDescent="0.2">
      <c r="M549"/>
      <c r="N549"/>
      <c r="O549"/>
      <c r="P549"/>
      <c r="Q549"/>
      <c r="R549"/>
    </row>
    <row r="550" spans="13:18" ht="12" x14ac:dyDescent="0.2">
      <c r="M550"/>
      <c r="N550"/>
      <c r="O550"/>
      <c r="P550"/>
      <c r="Q550"/>
      <c r="R550"/>
    </row>
    <row r="551" spans="13:18" ht="12" x14ac:dyDescent="0.2">
      <c r="M551"/>
      <c r="N551"/>
      <c r="O551"/>
      <c r="P551"/>
      <c r="Q551"/>
      <c r="R551"/>
    </row>
    <row r="552" spans="13:18" ht="12" x14ac:dyDescent="0.2">
      <c r="M552"/>
      <c r="N552"/>
      <c r="O552"/>
      <c r="P552"/>
      <c r="Q552"/>
      <c r="R552"/>
    </row>
    <row r="553" spans="13:18" ht="12" x14ac:dyDescent="0.2">
      <c r="M553"/>
      <c r="N553"/>
      <c r="O553"/>
      <c r="P553"/>
      <c r="Q553"/>
      <c r="R553"/>
    </row>
    <row r="554" spans="13:18" ht="12" x14ac:dyDescent="0.2">
      <c r="M554"/>
      <c r="N554"/>
      <c r="O554"/>
      <c r="P554"/>
      <c r="Q554"/>
      <c r="R554"/>
    </row>
    <row r="555" spans="13:18" ht="12" x14ac:dyDescent="0.2">
      <c r="M555"/>
      <c r="N555"/>
      <c r="O555"/>
      <c r="P555"/>
      <c r="Q555"/>
      <c r="R555"/>
    </row>
    <row r="556" spans="13:18" ht="12" x14ac:dyDescent="0.2">
      <c r="M556"/>
      <c r="N556"/>
      <c r="O556"/>
      <c r="P556"/>
      <c r="Q556"/>
      <c r="R556"/>
    </row>
    <row r="557" spans="13:18" ht="12" x14ac:dyDescent="0.2">
      <c r="M557"/>
      <c r="N557"/>
      <c r="O557"/>
      <c r="P557"/>
      <c r="Q557"/>
      <c r="R557"/>
    </row>
    <row r="558" spans="13:18" ht="12" x14ac:dyDescent="0.2">
      <c r="M558"/>
      <c r="N558"/>
      <c r="O558"/>
      <c r="P558"/>
      <c r="Q558"/>
      <c r="R558"/>
    </row>
    <row r="559" spans="13:18" ht="12" x14ac:dyDescent="0.2">
      <c r="M559"/>
      <c r="N559"/>
      <c r="O559"/>
      <c r="P559"/>
      <c r="Q559"/>
      <c r="R559"/>
    </row>
    <row r="560" spans="13:18" ht="12" x14ac:dyDescent="0.2">
      <c r="M560"/>
      <c r="N560"/>
      <c r="O560"/>
      <c r="P560"/>
      <c r="Q560"/>
      <c r="R560"/>
    </row>
    <row r="561" spans="13:18" ht="12" x14ac:dyDescent="0.2">
      <c r="M561"/>
      <c r="N561"/>
      <c r="O561"/>
      <c r="P561"/>
      <c r="Q561"/>
      <c r="R561"/>
    </row>
    <row r="562" spans="13:18" ht="12" x14ac:dyDescent="0.2">
      <c r="M562"/>
      <c r="N562"/>
      <c r="O562"/>
      <c r="P562"/>
      <c r="Q562"/>
      <c r="R562"/>
    </row>
    <row r="563" spans="13:18" ht="12" x14ac:dyDescent="0.2">
      <c r="M563"/>
      <c r="N563"/>
      <c r="O563"/>
      <c r="P563"/>
      <c r="Q563"/>
      <c r="R563"/>
    </row>
    <row r="564" spans="13:18" ht="12" x14ac:dyDescent="0.2">
      <c r="M564"/>
      <c r="N564"/>
      <c r="O564"/>
      <c r="P564"/>
      <c r="Q564"/>
      <c r="R564"/>
    </row>
    <row r="565" spans="13:18" ht="12" x14ac:dyDescent="0.2">
      <c r="M565"/>
      <c r="N565"/>
      <c r="O565"/>
      <c r="P565"/>
      <c r="Q565"/>
      <c r="R565"/>
    </row>
    <row r="566" spans="13:18" ht="12" x14ac:dyDescent="0.2">
      <c r="M566"/>
      <c r="N566"/>
      <c r="O566"/>
      <c r="P566"/>
      <c r="Q566"/>
      <c r="R566"/>
    </row>
    <row r="567" spans="13:18" ht="12" x14ac:dyDescent="0.2">
      <c r="M567"/>
      <c r="N567"/>
      <c r="O567"/>
      <c r="P567"/>
      <c r="Q567"/>
      <c r="R567"/>
    </row>
    <row r="568" spans="13:18" ht="12" x14ac:dyDescent="0.2">
      <c r="M568"/>
      <c r="N568"/>
      <c r="O568"/>
      <c r="P568"/>
      <c r="Q568"/>
      <c r="R568"/>
    </row>
    <row r="569" spans="13:18" ht="12" x14ac:dyDescent="0.2">
      <c r="M569"/>
      <c r="N569"/>
      <c r="O569"/>
      <c r="P569"/>
      <c r="Q569"/>
      <c r="R569"/>
    </row>
    <row r="570" spans="13:18" ht="12" x14ac:dyDescent="0.2">
      <c r="M570"/>
      <c r="N570"/>
      <c r="O570"/>
      <c r="P570"/>
      <c r="Q570"/>
      <c r="R570"/>
    </row>
    <row r="571" spans="13:18" ht="12" x14ac:dyDescent="0.2">
      <c r="M571"/>
      <c r="N571"/>
      <c r="O571"/>
      <c r="P571"/>
      <c r="Q571"/>
      <c r="R571"/>
    </row>
    <row r="572" spans="13:18" ht="12" x14ac:dyDescent="0.2">
      <c r="M572"/>
      <c r="N572"/>
      <c r="O572"/>
      <c r="P572"/>
      <c r="Q572"/>
      <c r="R572"/>
    </row>
    <row r="573" spans="13:18" ht="12" x14ac:dyDescent="0.2">
      <c r="M573"/>
      <c r="N573"/>
      <c r="O573"/>
      <c r="P573"/>
      <c r="Q573"/>
      <c r="R573"/>
    </row>
    <row r="574" spans="13:18" ht="12" x14ac:dyDescent="0.2">
      <c r="M574"/>
      <c r="N574"/>
      <c r="O574"/>
      <c r="P574"/>
      <c r="Q574"/>
      <c r="R574"/>
    </row>
    <row r="575" spans="13:18" ht="12" x14ac:dyDescent="0.2">
      <c r="M575"/>
      <c r="N575"/>
      <c r="O575"/>
      <c r="P575"/>
      <c r="Q575"/>
      <c r="R575"/>
    </row>
    <row r="576" spans="13:18" ht="12" x14ac:dyDescent="0.2">
      <c r="M576"/>
      <c r="N576"/>
      <c r="O576"/>
      <c r="P576"/>
      <c r="Q576"/>
      <c r="R576"/>
    </row>
    <row r="577" spans="13:18" ht="12" x14ac:dyDescent="0.2">
      <c r="M577"/>
      <c r="N577"/>
      <c r="O577"/>
      <c r="P577"/>
      <c r="Q577"/>
      <c r="R577"/>
    </row>
    <row r="578" spans="13:18" ht="12" x14ac:dyDescent="0.2">
      <c r="M578"/>
      <c r="N578"/>
      <c r="O578"/>
      <c r="P578"/>
      <c r="Q578"/>
      <c r="R578"/>
    </row>
    <row r="579" spans="13:18" ht="12" x14ac:dyDescent="0.2">
      <c r="M579"/>
      <c r="N579"/>
      <c r="O579"/>
      <c r="P579"/>
      <c r="Q579"/>
      <c r="R579"/>
    </row>
    <row r="580" spans="13:18" ht="12" x14ac:dyDescent="0.2">
      <c r="M580"/>
      <c r="N580"/>
      <c r="O580"/>
      <c r="P580"/>
      <c r="Q580"/>
      <c r="R580"/>
    </row>
    <row r="581" spans="13:18" ht="12" x14ac:dyDescent="0.2">
      <c r="M581"/>
      <c r="N581"/>
      <c r="O581"/>
      <c r="P581"/>
      <c r="Q581"/>
      <c r="R581"/>
    </row>
    <row r="582" spans="13:18" ht="12" x14ac:dyDescent="0.2">
      <c r="M582"/>
      <c r="N582"/>
      <c r="O582"/>
      <c r="P582"/>
      <c r="Q582"/>
      <c r="R582"/>
    </row>
    <row r="583" spans="13:18" ht="12" x14ac:dyDescent="0.2">
      <c r="M583"/>
      <c r="N583"/>
      <c r="O583"/>
      <c r="P583"/>
      <c r="Q583"/>
      <c r="R583"/>
    </row>
    <row r="584" spans="13:18" ht="12" x14ac:dyDescent="0.2">
      <c r="M584"/>
      <c r="N584"/>
      <c r="O584"/>
      <c r="P584"/>
      <c r="Q584"/>
      <c r="R584"/>
    </row>
    <row r="585" spans="13:18" ht="12" x14ac:dyDescent="0.2">
      <c r="M585"/>
      <c r="N585"/>
      <c r="O585"/>
      <c r="P585"/>
      <c r="Q585"/>
      <c r="R585"/>
    </row>
    <row r="586" spans="13:18" ht="12" x14ac:dyDescent="0.2">
      <c r="M586"/>
      <c r="N586"/>
      <c r="O586"/>
      <c r="P586"/>
      <c r="Q586"/>
      <c r="R586"/>
    </row>
    <row r="587" spans="13:18" ht="12" x14ac:dyDescent="0.2">
      <c r="M587"/>
      <c r="N587"/>
      <c r="O587"/>
      <c r="P587"/>
      <c r="Q587"/>
      <c r="R587"/>
    </row>
    <row r="588" spans="13:18" ht="12" x14ac:dyDescent="0.2">
      <c r="M588"/>
      <c r="N588"/>
      <c r="O588"/>
      <c r="P588"/>
      <c r="Q588"/>
      <c r="R588"/>
    </row>
    <row r="589" spans="13:18" ht="12" x14ac:dyDescent="0.2">
      <c r="M589"/>
      <c r="N589"/>
      <c r="O589"/>
      <c r="P589"/>
      <c r="Q589"/>
      <c r="R589"/>
    </row>
    <row r="590" spans="13:18" ht="12" x14ac:dyDescent="0.2">
      <c r="M590"/>
      <c r="N590"/>
      <c r="O590"/>
      <c r="P590"/>
      <c r="Q590"/>
      <c r="R590"/>
    </row>
    <row r="591" spans="13:18" ht="12" x14ac:dyDescent="0.2">
      <c r="M591"/>
      <c r="N591"/>
      <c r="O591"/>
      <c r="P591"/>
      <c r="Q591"/>
      <c r="R591"/>
    </row>
    <row r="592" spans="13:18" ht="12" x14ac:dyDescent="0.2">
      <c r="M592"/>
      <c r="N592"/>
      <c r="O592"/>
      <c r="P592"/>
      <c r="Q592"/>
      <c r="R592"/>
    </row>
    <row r="593" spans="13:18" ht="12" x14ac:dyDescent="0.2">
      <c r="M593"/>
      <c r="N593"/>
      <c r="O593"/>
      <c r="P593"/>
      <c r="Q593"/>
      <c r="R593"/>
    </row>
    <row r="594" spans="13:18" ht="12" x14ac:dyDescent="0.2">
      <c r="M594"/>
      <c r="N594"/>
      <c r="O594"/>
      <c r="P594"/>
      <c r="Q594"/>
      <c r="R594"/>
    </row>
    <row r="595" spans="13:18" ht="12" x14ac:dyDescent="0.2">
      <c r="M595"/>
      <c r="N595"/>
      <c r="O595"/>
      <c r="P595"/>
      <c r="Q595"/>
      <c r="R595"/>
    </row>
    <row r="596" spans="13:18" ht="12" x14ac:dyDescent="0.2">
      <c r="M596"/>
      <c r="N596"/>
      <c r="O596"/>
      <c r="P596"/>
      <c r="Q596"/>
      <c r="R596"/>
    </row>
    <row r="597" spans="13:18" ht="12" x14ac:dyDescent="0.2">
      <c r="M597"/>
      <c r="N597"/>
      <c r="O597"/>
      <c r="P597"/>
      <c r="Q597"/>
      <c r="R597"/>
    </row>
    <row r="598" spans="13:18" ht="12" x14ac:dyDescent="0.2">
      <c r="M598"/>
      <c r="N598"/>
      <c r="O598"/>
      <c r="P598"/>
      <c r="Q598"/>
      <c r="R598"/>
    </row>
    <row r="599" spans="13:18" ht="12" x14ac:dyDescent="0.2">
      <c r="M599"/>
      <c r="N599"/>
      <c r="O599"/>
      <c r="P599"/>
      <c r="Q599"/>
      <c r="R599"/>
    </row>
    <row r="600" spans="13:18" ht="12" x14ac:dyDescent="0.2">
      <c r="M600"/>
      <c r="N600"/>
      <c r="O600"/>
      <c r="P600"/>
      <c r="Q600"/>
      <c r="R600"/>
    </row>
    <row r="601" spans="13:18" ht="12" x14ac:dyDescent="0.2">
      <c r="M601"/>
      <c r="N601"/>
      <c r="O601"/>
      <c r="P601"/>
      <c r="Q601"/>
      <c r="R601"/>
    </row>
    <row r="602" spans="13:18" ht="12" x14ac:dyDescent="0.2">
      <c r="M602"/>
      <c r="N602"/>
      <c r="O602"/>
      <c r="P602"/>
      <c r="Q602"/>
      <c r="R602"/>
    </row>
    <row r="603" spans="13:18" ht="12" x14ac:dyDescent="0.2">
      <c r="M603"/>
      <c r="N603"/>
      <c r="O603"/>
      <c r="P603"/>
      <c r="Q603"/>
      <c r="R603"/>
    </row>
    <row r="604" spans="13:18" ht="12" x14ac:dyDescent="0.2">
      <c r="M604"/>
      <c r="N604"/>
      <c r="O604"/>
      <c r="P604"/>
      <c r="Q604"/>
      <c r="R604"/>
    </row>
    <row r="605" spans="13:18" ht="12" x14ac:dyDescent="0.2">
      <c r="M605"/>
      <c r="N605"/>
      <c r="O605"/>
      <c r="P605"/>
      <c r="Q605"/>
      <c r="R605"/>
    </row>
    <row r="606" spans="13:18" ht="12" x14ac:dyDescent="0.2">
      <c r="M606"/>
      <c r="N606"/>
      <c r="O606"/>
      <c r="P606"/>
      <c r="Q606"/>
      <c r="R606"/>
    </row>
    <row r="607" spans="13:18" ht="12" x14ac:dyDescent="0.2">
      <c r="M607"/>
      <c r="N607"/>
      <c r="O607"/>
      <c r="P607"/>
      <c r="Q607"/>
      <c r="R607"/>
    </row>
    <row r="608" spans="13:18" ht="12" x14ac:dyDescent="0.2">
      <c r="M608"/>
      <c r="N608"/>
      <c r="O608"/>
      <c r="P608"/>
      <c r="Q608"/>
      <c r="R608"/>
    </row>
    <row r="609" spans="13:18" ht="12" x14ac:dyDescent="0.2">
      <c r="M609"/>
      <c r="N609"/>
      <c r="O609"/>
      <c r="P609"/>
      <c r="Q609"/>
      <c r="R609"/>
    </row>
    <row r="610" spans="13:18" ht="12" x14ac:dyDescent="0.2">
      <c r="M610"/>
      <c r="N610"/>
      <c r="O610"/>
      <c r="P610"/>
      <c r="Q610"/>
      <c r="R610"/>
    </row>
    <row r="611" spans="13:18" ht="12" x14ac:dyDescent="0.2">
      <c r="M611"/>
      <c r="N611"/>
      <c r="O611"/>
      <c r="P611"/>
      <c r="Q611"/>
      <c r="R611"/>
    </row>
    <row r="612" spans="13:18" ht="12" x14ac:dyDescent="0.2">
      <c r="M612"/>
      <c r="N612"/>
      <c r="O612"/>
      <c r="P612"/>
      <c r="Q612"/>
      <c r="R612"/>
    </row>
    <row r="613" spans="13:18" ht="12" x14ac:dyDescent="0.2">
      <c r="M613"/>
      <c r="N613"/>
      <c r="O613"/>
      <c r="P613"/>
      <c r="Q613"/>
      <c r="R613"/>
    </row>
    <row r="614" spans="13:18" ht="12" x14ac:dyDescent="0.2">
      <c r="M614"/>
      <c r="N614"/>
      <c r="O614"/>
      <c r="P614"/>
      <c r="Q614"/>
      <c r="R614"/>
    </row>
    <row r="615" spans="13:18" ht="12" x14ac:dyDescent="0.2">
      <c r="M615"/>
      <c r="N615"/>
      <c r="O615"/>
      <c r="P615"/>
      <c r="Q615"/>
      <c r="R615"/>
    </row>
    <row r="616" spans="13:18" ht="12" x14ac:dyDescent="0.2">
      <c r="M616"/>
      <c r="N616"/>
      <c r="O616"/>
      <c r="P616"/>
      <c r="Q616"/>
      <c r="R616"/>
    </row>
    <row r="617" spans="13:18" ht="12" x14ac:dyDescent="0.2">
      <c r="M617"/>
      <c r="N617"/>
      <c r="O617"/>
      <c r="P617"/>
      <c r="Q617"/>
      <c r="R617"/>
    </row>
    <row r="618" spans="13:18" ht="12" x14ac:dyDescent="0.2">
      <c r="M618"/>
      <c r="N618"/>
      <c r="O618"/>
      <c r="P618"/>
      <c r="Q618"/>
      <c r="R618"/>
    </row>
    <row r="619" spans="13:18" ht="12" x14ac:dyDescent="0.2">
      <c r="M619"/>
      <c r="N619"/>
      <c r="O619"/>
      <c r="P619"/>
      <c r="Q619"/>
      <c r="R619"/>
    </row>
    <row r="620" spans="13:18" ht="12" x14ac:dyDescent="0.2">
      <c r="M620"/>
      <c r="N620"/>
      <c r="O620"/>
      <c r="P620"/>
      <c r="Q620"/>
      <c r="R620"/>
    </row>
    <row r="621" spans="13:18" ht="12" x14ac:dyDescent="0.2">
      <c r="M621"/>
      <c r="N621"/>
      <c r="O621"/>
      <c r="P621"/>
      <c r="Q621"/>
      <c r="R621"/>
    </row>
    <row r="622" spans="13:18" ht="12" x14ac:dyDescent="0.2">
      <c r="M622"/>
      <c r="N622"/>
      <c r="O622"/>
      <c r="P622"/>
      <c r="Q622"/>
      <c r="R622"/>
    </row>
    <row r="623" spans="13:18" ht="12" x14ac:dyDescent="0.2">
      <c r="M623"/>
      <c r="N623"/>
      <c r="O623"/>
      <c r="P623"/>
      <c r="Q623"/>
      <c r="R623"/>
    </row>
    <row r="624" spans="13:18" ht="12" x14ac:dyDescent="0.2">
      <c r="M624"/>
      <c r="N624"/>
      <c r="O624"/>
      <c r="P624"/>
      <c r="Q624"/>
      <c r="R624"/>
    </row>
    <row r="625" spans="13:18" ht="12" x14ac:dyDescent="0.2">
      <c r="M625"/>
      <c r="N625"/>
      <c r="O625"/>
      <c r="P625"/>
      <c r="Q625"/>
      <c r="R625"/>
    </row>
    <row r="626" spans="13:18" ht="12" x14ac:dyDescent="0.2">
      <c r="M626"/>
      <c r="N626"/>
      <c r="O626"/>
      <c r="P626"/>
      <c r="Q626"/>
      <c r="R626"/>
    </row>
    <row r="627" spans="13:18" ht="12" x14ac:dyDescent="0.2">
      <c r="M627"/>
      <c r="N627"/>
      <c r="O627"/>
      <c r="P627"/>
      <c r="Q627"/>
      <c r="R627"/>
    </row>
    <row r="628" spans="13:18" ht="12" x14ac:dyDescent="0.2">
      <c r="M628"/>
      <c r="N628"/>
      <c r="O628"/>
      <c r="P628"/>
      <c r="Q628"/>
      <c r="R628"/>
    </row>
    <row r="629" spans="13:18" ht="12" x14ac:dyDescent="0.2">
      <c r="M629"/>
      <c r="N629"/>
      <c r="O629"/>
      <c r="P629"/>
      <c r="Q629"/>
      <c r="R629"/>
    </row>
    <row r="630" spans="13:18" ht="12" x14ac:dyDescent="0.2">
      <c r="M630"/>
      <c r="N630"/>
      <c r="O630"/>
      <c r="P630"/>
      <c r="Q630"/>
      <c r="R630"/>
    </row>
    <row r="631" spans="13:18" ht="12" x14ac:dyDescent="0.2">
      <c r="M631"/>
      <c r="N631"/>
      <c r="O631"/>
      <c r="P631"/>
      <c r="Q631"/>
      <c r="R631"/>
    </row>
    <row r="632" spans="13:18" ht="12" x14ac:dyDescent="0.2">
      <c r="M632"/>
      <c r="N632"/>
      <c r="O632"/>
      <c r="P632"/>
      <c r="Q632"/>
      <c r="R632"/>
    </row>
    <row r="633" spans="13:18" ht="12" x14ac:dyDescent="0.2">
      <c r="M633"/>
      <c r="N633"/>
      <c r="O633"/>
      <c r="P633"/>
      <c r="Q633"/>
      <c r="R633"/>
    </row>
    <row r="634" spans="13:18" ht="12" x14ac:dyDescent="0.2">
      <c r="M634"/>
      <c r="N634"/>
      <c r="O634"/>
      <c r="P634"/>
      <c r="Q634"/>
      <c r="R634"/>
    </row>
    <row r="635" spans="13:18" ht="12" x14ac:dyDescent="0.2">
      <c r="M635"/>
      <c r="N635"/>
      <c r="O635"/>
      <c r="P635"/>
      <c r="Q635"/>
      <c r="R635"/>
    </row>
    <row r="636" spans="13:18" ht="12" x14ac:dyDescent="0.2">
      <c r="M636"/>
      <c r="N636"/>
      <c r="O636"/>
      <c r="P636"/>
      <c r="Q636"/>
      <c r="R636"/>
    </row>
    <row r="637" spans="13:18" ht="12" x14ac:dyDescent="0.2">
      <c r="M637"/>
      <c r="N637"/>
      <c r="O637"/>
      <c r="P637"/>
      <c r="Q637"/>
      <c r="R637"/>
    </row>
    <row r="638" spans="13:18" ht="12" x14ac:dyDescent="0.2">
      <c r="M638"/>
      <c r="N638"/>
      <c r="O638"/>
      <c r="P638"/>
      <c r="Q638"/>
      <c r="R638"/>
    </row>
    <row r="639" spans="13:18" ht="12" x14ac:dyDescent="0.2">
      <c r="M639"/>
      <c r="N639"/>
      <c r="O639"/>
      <c r="P639"/>
      <c r="Q639"/>
      <c r="R639"/>
    </row>
    <row r="640" spans="13:18" ht="12" x14ac:dyDescent="0.2">
      <c r="M640"/>
      <c r="N640"/>
      <c r="O640"/>
      <c r="P640"/>
      <c r="Q640"/>
      <c r="R640"/>
    </row>
    <row r="641" spans="13:18" ht="12" x14ac:dyDescent="0.2">
      <c r="M641"/>
      <c r="N641"/>
      <c r="O641"/>
      <c r="P641"/>
      <c r="Q641"/>
      <c r="R641"/>
    </row>
    <row r="642" spans="13:18" ht="12" x14ac:dyDescent="0.2">
      <c r="M642"/>
      <c r="N642"/>
      <c r="O642"/>
      <c r="P642"/>
      <c r="Q642"/>
      <c r="R642"/>
    </row>
    <row r="643" spans="13:18" ht="12" x14ac:dyDescent="0.2">
      <c r="M643"/>
      <c r="N643"/>
      <c r="O643"/>
      <c r="P643"/>
      <c r="Q643"/>
      <c r="R643"/>
    </row>
    <row r="644" spans="13:18" ht="12" x14ac:dyDescent="0.2">
      <c r="M644"/>
      <c r="N644"/>
      <c r="O644"/>
      <c r="P644"/>
      <c r="Q644"/>
      <c r="R644"/>
    </row>
    <row r="645" spans="13:18" ht="12" x14ac:dyDescent="0.2">
      <c r="M645"/>
      <c r="N645"/>
      <c r="O645"/>
      <c r="P645"/>
      <c r="Q645"/>
      <c r="R645"/>
    </row>
    <row r="646" spans="13:18" ht="12" x14ac:dyDescent="0.2">
      <c r="M646"/>
      <c r="N646"/>
      <c r="O646"/>
      <c r="P646"/>
      <c r="Q646"/>
      <c r="R646"/>
    </row>
    <row r="647" spans="13:18" ht="12" x14ac:dyDescent="0.2">
      <c r="M647"/>
      <c r="N647"/>
      <c r="O647"/>
      <c r="P647"/>
      <c r="Q647"/>
      <c r="R647"/>
    </row>
    <row r="648" spans="13:18" ht="12" x14ac:dyDescent="0.2">
      <c r="M648"/>
      <c r="N648"/>
      <c r="O648"/>
      <c r="P648"/>
      <c r="Q648"/>
      <c r="R648"/>
    </row>
    <row r="649" spans="13:18" ht="12" x14ac:dyDescent="0.2">
      <c r="M649"/>
      <c r="N649"/>
      <c r="O649"/>
      <c r="P649"/>
      <c r="Q649"/>
      <c r="R649"/>
    </row>
    <row r="650" spans="13:18" ht="12" x14ac:dyDescent="0.2">
      <c r="M650"/>
      <c r="N650"/>
      <c r="O650"/>
      <c r="P650"/>
      <c r="Q650"/>
      <c r="R650"/>
    </row>
    <row r="651" spans="13:18" ht="12" x14ac:dyDescent="0.2">
      <c r="M651"/>
      <c r="N651"/>
      <c r="O651"/>
      <c r="P651"/>
      <c r="Q651"/>
      <c r="R651"/>
    </row>
    <row r="652" spans="13:18" ht="12" x14ac:dyDescent="0.2">
      <c r="M652"/>
      <c r="N652"/>
      <c r="O652"/>
      <c r="P652"/>
      <c r="Q652"/>
      <c r="R652"/>
    </row>
    <row r="653" spans="13:18" ht="12" x14ac:dyDescent="0.2">
      <c r="M653"/>
      <c r="N653"/>
      <c r="O653"/>
      <c r="P653"/>
      <c r="Q653"/>
      <c r="R653"/>
    </row>
    <row r="654" spans="13:18" ht="12" x14ac:dyDescent="0.2">
      <c r="M654"/>
      <c r="N654"/>
      <c r="O654"/>
      <c r="P654"/>
      <c r="Q654"/>
      <c r="R654"/>
    </row>
    <row r="655" spans="13:18" ht="12" x14ac:dyDescent="0.2">
      <c r="M655"/>
      <c r="N655"/>
      <c r="O655"/>
      <c r="P655"/>
      <c r="Q655"/>
      <c r="R655"/>
    </row>
    <row r="656" spans="13:18" ht="12" x14ac:dyDescent="0.2">
      <c r="M656"/>
      <c r="N656"/>
      <c r="O656"/>
      <c r="P656"/>
      <c r="Q656"/>
      <c r="R656"/>
    </row>
    <row r="657" spans="13:18" ht="12" x14ac:dyDescent="0.2">
      <c r="M657"/>
      <c r="N657"/>
      <c r="O657"/>
      <c r="P657"/>
      <c r="Q657"/>
      <c r="R657"/>
    </row>
    <row r="658" spans="13:18" ht="12" x14ac:dyDescent="0.2">
      <c r="M658"/>
      <c r="N658"/>
      <c r="O658"/>
      <c r="P658"/>
      <c r="Q658"/>
      <c r="R658"/>
    </row>
    <row r="659" spans="13:18" ht="12" x14ac:dyDescent="0.2">
      <c r="M659"/>
      <c r="N659"/>
      <c r="O659"/>
      <c r="P659"/>
      <c r="Q659"/>
      <c r="R659"/>
    </row>
    <row r="660" spans="13:18" ht="12" x14ac:dyDescent="0.2">
      <c r="M660"/>
      <c r="N660"/>
      <c r="O660"/>
      <c r="P660"/>
      <c r="Q660"/>
      <c r="R660"/>
    </row>
    <row r="661" spans="13:18" ht="12" x14ac:dyDescent="0.2">
      <c r="M661"/>
      <c r="N661"/>
      <c r="O661"/>
      <c r="P661"/>
      <c r="Q661"/>
      <c r="R661"/>
    </row>
    <row r="662" spans="13:18" ht="12" x14ac:dyDescent="0.2">
      <c r="M662"/>
      <c r="N662"/>
      <c r="O662"/>
      <c r="P662"/>
      <c r="Q662"/>
      <c r="R662"/>
    </row>
    <row r="663" spans="13:18" ht="12" x14ac:dyDescent="0.2">
      <c r="M663"/>
      <c r="N663"/>
      <c r="O663"/>
      <c r="P663"/>
      <c r="Q663"/>
      <c r="R663"/>
    </row>
    <row r="664" spans="13:18" ht="12" x14ac:dyDescent="0.2">
      <c r="M664"/>
      <c r="N664"/>
      <c r="O664"/>
      <c r="P664"/>
      <c r="Q664"/>
      <c r="R664"/>
    </row>
    <row r="665" spans="13:18" ht="12" x14ac:dyDescent="0.2">
      <c r="M665"/>
      <c r="N665"/>
      <c r="O665"/>
      <c r="P665"/>
      <c r="Q665"/>
      <c r="R665"/>
    </row>
    <row r="666" spans="13:18" ht="12" x14ac:dyDescent="0.2">
      <c r="M666"/>
      <c r="N666"/>
      <c r="O666"/>
      <c r="P666"/>
      <c r="Q666"/>
      <c r="R666"/>
    </row>
    <row r="667" spans="13:18" ht="12" x14ac:dyDescent="0.2">
      <c r="M667"/>
      <c r="N667"/>
      <c r="O667"/>
      <c r="P667"/>
      <c r="Q667"/>
      <c r="R667"/>
    </row>
    <row r="668" spans="13:18" ht="12" x14ac:dyDescent="0.2">
      <c r="M668"/>
      <c r="N668"/>
      <c r="O668"/>
      <c r="P668"/>
      <c r="Q668"/>
      <c r="R668"/>
    </row>
    <row r="669" spans="13:18" ht="12" x14ac:dyDescent="0.2">
      <c r="M669"/>
      <c r="N669"/>
      <c r="O669"/>
      <c r="P669"/>
      <c r="Q669"/>
      <c r="R669"/>
    </row>
    <row r="670" spans="13:18" ht="12" x14ac:dyDescent="0.2">
      <c r="M670"/>
      <c r="N670"/>
      <c r="O670"/>
      <c r="P670"/>
      <c r="Q670"/>
      <c r="R670"/>
    </row>
    <row r="671" spans="13:18" ht="12" x14ac:dyDescent="0.2">
      <c r="M671"/>
      <c r="N671"/>
      <c r="O671"/>
      <c r="P671"/>
      <c r="Q671"/>
      <c r="R671"/>
    </row>
    <row r="672" spans="13:18" ht="12" x14ac:dyDescent="0.2">
      <c r="M672"/>
      <c r="N672"/>
      <c r="O672"/>
      <c r="P672"/>
      <c r="Q672"/>
      <c r="R672"/>
    </row>
    <row r="673" spans="13:18" ht="12" x14ac:dyDescent="0.2">
      <c r="M673"/>
      <c r="N673"/>
      <c r="O673"/>
      <c r="P673"/>
      <c r="Q673"/>
      <c r="R673"/>
    </row>
    <row r="674" spans="13:18" ht="12" x14ac:dyDescent="0.2">
      <c r="M674"/>
      <c r="N674"/>
      <c r="O674"/>
      <c r="P674"/>
      <c r="Q674"/>
      <c r="R674"/>
    </row>
    <row r="675" spans="13:18" ht="12" x14ac:dyDescent="0.2">
      <c r="M675"/>
      <c r="N675"/>
      <c r="O675"/>
      <c r="P675"/>
      <c r="Q675"/>
      <c r="R675"/>
    </row>
    <row r="676" spans="13:18" ht="12" x14ac:dyDescent="0.2">
      <c r="M676"/>
      <c r="N676"/>
      <c r="O676"/>
      <c r="P676"/>
      <c r="Q676"/>
      <c r="R676"/>
    </row>
    <row r="677" spans="13:18" ht="12" x14ac:dyDescent="0.2">
      <c r="M677"/>
      <c r="N677"/>
      <c r="O677"/>
      <c r="P677"/>
      <c r="Q677"/>
      <c r="R677"/>
    </row>
    <row r="678" spans="13:18" ht="12" x14ac:dyDescent="0.2">
      <c r="M678"/>
      <c r="N678"/>
      <c r="O678"/>
      <c r="P678"/>
      <c r="Q678"/>
      <c r="R678"/>
    </row>
    <row r="679" spans="13:18" ht="12" x14ac:dyDescent="0.2">
      <c r="M679"/>
      <c r="N679"/>
      <c r="O679"/>
      <c r="P679"/>
      <c r="Q679"/>
      <c r="R679"/>
    </row>
    <row r="680" spans="13:18" ht="12" x14ac:dyDescent="0.2">
      <c r="M680"/>
      <c r="N680"/>
      <c r="O680"/>
      <c r="P680"/>
      <c r="Q680"/>
      <c r="R680"/>
    </row>
    <row r="681" spans="13:18" ht="12" x14ac:dyDescent="0.2">
      <c r="M681"/>
      <c r="N681"/>
      <c r="O681"/>
      <c r="P681"/>
      <c r="Q681"/>
      <c r="R681"/>
    </row>
    <row r="682" spans="13:18" ht="12" x14ac:dyDescent="0.2">
      <c r="M682"/>
      <c r="N682"/>
      <c r="O682"/>
      <c r="P682"/>
      <c r="Q682"/>
      <c r="R682"/>
    </row>
    <row r="683" spans="13:18" ht="12" x14ac:dyDescent="0.2">
      <c r="M683"/>
      <c r="N683"/>
      <c r="O683"/>
      <c r="P683"/>
      <c r="Q683"/>
      <c r="R683"/>
    </row>
    <row r="684" spans="13:18" ht="12" x14ac:dyDescent="0.2">
      <c r="M684"/>
      <c r="N684"/>
      <c r="O684"/>
      <c r="P684"/>
      <c r="Q684"/>
      <c r="R684"/>
    </row>
    <row r="685" spans="13:18" ht="12" x14ac:dyDescent="0.2">
      <c r="M685"/>
      <c r="N685"/>
      <c r="O685"/>
      <c r="P685"/>
      <c r="Q685"/>
      <c r="R685"/>
    </row>
    <row r="686" spans="13:18" ht="12" x14ac:dyDescent="0.2">
      <c r="M686"/>
      <c r="N686"/>
      <c r="O686"/>
      <c r="P686"/>
      <c r="Q686"/>
      <c r="R686"/>
    </row>
    <row r="687" spans="13:18" ht="12" x14ac:dyDescent="0.2">
      <c r="M687"/>
      <c r="N687"/>
      <c r="O687"/>
      <c r="P687"/>
      <c r="Q687"/>
      <c r="R687"/>
    </row>
    <row r="688" spans="13:18" ht="12" x14ac:dyDescent="0.2">
      <c r="M688"/>
      <c r="N688"/>
      <c r="O688"/>
      <c r="P688"/>
      <c r="Q688"/>
      <c r="R688"/>
    </row>
    <row r="689" spans="13:18" ht="12" x14ac:dyDescent="0.2">
      <c r="M689"/>
      <c r="N689"/>
      <c r="O689"/>
      <c r="P689"/>
      <c r="Q689"/>
      <c r="R689"/>
    </row>
    <row r="690" spans="13:18" ht="12" x14ac:dyDescent="0.2">
      <c r="M690"/>
      <c r="N690"/>
      <c r="O690"/>
      <c r="P690"/>
      <c r="Q690"/>
      <c r="R690"/>
    </row>
    <row r="691" spans="13:18" ht="12" x14ac:dyDescent="0.2">
      <c r="M691"/>
      <c r="N691"/>
      <c r="O691"/>
      <c r="P691"/>
      <c r="Q691"/>
      <c r="R691"/>
    </row>
    <row r="692" spans="13:18" ht="12" x14ac:dyDescent="0.2">
      <c r="M692"/>
      <c r="N692"/>
      <c r="O692"/>
      <c r="P692"/>
      <c r="Q692"/>
      <c r="R692"/>
    </row>
    <row r="693" spans="13:18" ht="12" x14ac:dyDescent="0.2">
      <c r="M693"/>
      <c r="N693"/>
      <c r="O693"/>
      <c r="P693"/>
      <c r="Q693"/>
      <c r="R693"/>
    </row>
    <row r="694" spans="13:18" ht="12" x14ac:dyDescent="0.2">
      <c r="M694"/>
      <c r="N694"/>
      <c r="O694"/>
      <c r="P694"/>
      <c r="Q694"/>
      <c r="R694"/>
    </row>
    <row r="695" spans="13:18" ht="12" x14ac:dyDescent="0.2">
      <c r="M695"/>
      <c r="N695"/>
      <c r="O695"/>
      <c r="P695"/>
      <c r="Q695"/>
      <c r="R695"/>
    </row>
    <row r="696" spans="13:18" ht="12" x14ac:dyDescent="0.2">
      <c r="M696"/>
      <c r="N696"/>
      <c r="O696"/>
      <c r="P696"/>
      <c r="Q696"/>
      <c r="R696"/>
    </row>
    <row r="697" spans="13:18" ht="12" x14ac:dyDescent="0.2">
      <c r="M697"/>
      <c r="N697"/>
      <c r="O697"/>
      <c r="P697"/>
      <c r="Q697"/>
      <c r="R697"/>
    </row>
    <row r="698" spans="13:18" ht="12" x14ac:dyDescent="0.2">
      <c r="M698"/>
      <c r="N698"/>
      <c r="O698"/>
      <c r="P698"/>
      <c r="Q698"/>
      <c r="R698"/>
    </row>
    <row r="699" spans="13:18" ht="12" x14ac:dyDescent="0.2">
      <c r="M699"/>
      <c r="N699"/>
      <c r="O699"/>
      <c r="P699"/>
      <c r="Q699"/>
      <c r="R699"/>
    </row>
    <row r="700" spans="13:18" ht="12" x14ac:dyDescent="0.2">
      <c r="M700"/>
      <c r="N700"/>
      <c r="O700"/>
      <c r="P700"/>
      <c r="Q700"/>
      <c r="R700"/>
    </row>
    <row r="701" spans="13:18" ht="12" x14ac:dyDescent="0.2">
      <c r="M701"/>
      <c r="N701"/>
      <c r="O701"/>
      <c r="P701"/>
      <c r="Q701"/>
      <c r="R701"/>
    </row>
    <row r="702" spans="13:18" ht="12" x14ac:dyDescent="0.2">
      <c r="M702"/>
      <c r="N702"/>
      <c r="O702"/>
      <c r="P702"/>
      <c r="Q702"/>
      <c r="R702"/>
    </row>
    <row r="703" spans="13:18" ht="12" x14ac:dyDescent="0.2">
      <c r="M703"/>
      <c r="N703"/>
      <c r="O703"/>
      <c r="P703"/>
      <c r="Q703"/>
      <c r="R703"/>
    </row>
    <row r="704" spans="13:18" ht="12" x14ac:dyDescent="0.2">
      <c r="M704"/>
      <c r="N704"/>
      <c r="O704"/>
      <c r="P704"/>
      <c r="Q704"/>
      <c r="R704"/>
    </row>
    <row r="705" spans="13:18" ht="12" x14ac:dyDescent="0.2">
      <c r="M705"/>
      <c r="N705"/>
      <c r="O705"/>
      <c r="P705"/>
      <c r="Q705"/>
      <c r="R705"/>
    </row>
    <row r="706" spans="13:18" ht="12" x14ac:dyDescent="0.2">
      <c r="M706"/>
      <c r="N706"/>
      <c r="O706"/>
      <c r="P706"/>
      <c r="Q706"/>
      <c r="R706"/>
    </row>
    <row r="707" spans="13:18" ht="12" x14ac:dyDescent="0.2">
      <c r="M707"/>
      <c r="N707"/>
      <c r="O707"/>
      <c r="P707"/>
      <c r="Q707"/>
      <c r="R707"/>
    </row>
    <row r="708" spans="13:18" ht="12" x14ac:dyDescent="0.2">
      <c r="M708"/>
      <c r="N708"/>
      <c r="O708"/>
      <c r="P708"/>
      <c r="Q708"/>
      <c r="R708"/>
    </row>
    <row r="709" spans="13:18" ht="12" x14ac:dyDescent="0.2">
      <c r="M709"/>
      <c r="N709"/>
      <c r="O709"/>
      <c r="P709"/>
      <c r="Q709"/>
      <c r="R709"/>
    </row>
    <row r="710" spans="13:18" ht="12" x14ac:dyDescent="0.2">
      <c r="M710"/>
      <c r="N710"/>
      <c r="O710"/>
      <c r="P710"/>
      <c r="Q710"/>
      <c r="R710"/>
    </row>
    <row r="711" spans="13:18" ht="12" x14ac:dyDescent="0.2">
      <c r="M711"/>
      <c r="N711"/>
      <c r="O711"/>
      <c r="P711"/>
      <c r="Q711"/>
      <c r="R711"/>
    </row>
    <row r="712" spans="13:18" ht="12" x14ac:dyDescent="0.2">
      <c r="M712"/>
      <c r="N712"/>
      <c r="O712"/>
      <c r="P712"/>
      <c r="Q712"/>
      <c r="R712"/>
    </row>
    <row r="713" spans="13:18" ht="12" x14ac:dyDescent="0.2">
      <c r="M713"/>
      <c r="N713"/>
      <c r="O713"/>
      <c r="P713"/>
      <c r="Q713"/>
      <c r="R713"/>
    </row>
    <row r="714" spans="13:18" ht="12" x14ac:dyDescent="0.2">
      <c r="M714"/>
      <c r="N714"/>
      <c r="O714"/>
      <c r="P714"/>
      <c r="Q714"/>
      <c r="R714"/>
    </row>
    <row r="715" spans="13:18" ht="12" x14ac:dyDescent="0.2">
      <c r="M715"/>
      <c r="N715"/>
      <c r="O715"/>
      <c r="P715"/>
      <c r="Q715"/>
      <c r="R715"/>
    </row>
    <row r="716" spans="13:18" ht="12" x14ac:dyDescent="0.2">
      <c r="M716"/>
      <c r="N716"/>
      <c r="O716"/>
      <c r="P716"/>
      <c r="Q716"/>
      <c r="R716"/>
    </row>
    <row r="717" spans="13:18" ht="12" x14ac:dyDescent="0.2">
      <c r="M717"/>
      <c r="N717"/>
      <c r="O717"/>
      <c r="P717"/>
      <c r="Q717"/>
      <c r="R717"/>
    </row>
    <row r="718" spans="13:18" ht="12" x14ac:dyDescent="0.2">
      <c r="M718"/>
      <c r="N718"/>
      <c r="O718"/>
      <c r="P718"/>
      <c r="Q718"/>
      <c r="R718"/>
    </row>
    <row r="719" spans="13:18" ht="12" x14ac:dyDescent="0.2">
      <c r="M719"/>
      <c r="N719"/>
      <c r="O719"/>
      <c r="P719"/>
      <c r="Q719"/>
      <c r="R719"/>
    </row>
    <row r="720" spans="13:18" ht="12" x14ac:dyDescent="0.2">
      <c r="M720"/>
      <c r="N720"/>
      <c r="O720"/>
      <c r="P720"/>
      <c r="Q720"/>
      <c r="R720"/>
    </row>
    <row r="721" spans="13:18" ht="12" x14ac:dyDescent="0.2">
      <c r="M721"/>
      <c r="N721"/>
      <c r="O721"/>
      <c r="P721"/>
      <c r="Q721"/>
      <c r="R721"/>
    </row>
    <row r="722" spans="13:18" ht="12" x14ac:dyDescent="0.2">
      <c r="M722"/>
      <c r="N722"/>
      <c r="O722"/>
      <c r="P722"/>
      <c r="Q722"/>
      <c r="R722"/>
    </row>
    <row r="723" spans="13:18" ht="12" x14ac:dyDescent="0.2">
      <c r="M723"/>
      <c r="N723"/>
      <c r="O723"/>
      <c r="P723"/>
      <c r="Q723"/>
      <c r="R723"/>
    </row>
    <row r="724" spans="13:18" ht="12" x14ac:dyDescent="0.2">
      <c r="M724"/>
      <c r="N724"/>
      <c r="O724"/>
      <c r="P724"/>
      <c r="Q724"/>
      <c r="R724"/>
    </row>
    <row r="725" spans="13:18" ht="12" x14ac:dyDescent="0.2">
      <c r="M725"/>
      <c r="N725"/>
      <c r="O725"/>
      <c r="P725"/>
      <c r="Q725"/>
      <c r="R725"/>
    </row>
    <row r="726" spans="13:18" ht="12" x14ac:dyDescent="0.2">
      <c r="M726"/>
      <c r="N726"/>
      <c r="O726"/>
      <c r="P726"/>
      <c r="Q726"/>
      <c r="R726"/>
    </row>
    <row r="727" spans="13:18" ht="12" x14ac:dyDescent="0.2">
      <c r="M727"/>
      <c r="N727"/>
      <c r="O727"/>
      <c r="P727"/>
      <c r="Q727"/>
      <c r="R727"/>
    </row>
    <row r="728" spans="13:18" ht="12" x14ac:dyDescent="0.2">
      <c r="M728"/>
      <c r="N728"/>
      <c r="O728"/>
      <c r="P728"/>
      <c r="Q728"/>
      <c r="R728"/>
    </row>
    <row r="729" spans="13:18" ht="12" x14ac:dyDescent="0.2">
      <c r="M729"/>
      <c r="N729"/>
      <c r="O729"/>
      <c r="P729"/>
      <c r="Q729"/>
      <c r="R729"/>
    </row>
    <row r="730" spans="13:18" ht="12" x14ac:dyDescent="0.2">
      <c r="M730"/>
      <c r="N730"/>
      <c r="O730"/>
      <c r="P730"/>
      <c r="Q730"/>
      <c r="R730"/>
    </row>
    <row r="731" spans="13:18" ht="12" x14ac:dyDescent="0.2">
      <c r="M731"/>
      <c r="N731"/>
      <c r="O731"/>
      <c r="P731"/>
      <c r="Q731"/>
      <c r="R731"/>
    </row>
    <row r="732" spans="13:18" ht="12" x14ac:dyDescent="0.2">
      <c r="M732"/>
      <c r="N732"/>
      <c r="O732"/>
      <c r="P732"/>
      <c r="Q732"/>
      <c r="R732"/>
    </row>
    <row r="733" spans="13:18" ht="12" x14ac:dyDescent="0.2">
      <c r="M733"/>
      <c r="N733"/>
      <c r="O733"/>
      <c r="P733"/>
      <c r="Q733"/>
      <c r="R733"/>
    </row>
    <row r="734" spans="13:18" ht="12" x14ac:dyDescent="0.2">
      <c r="M734"/>
      <c r="N734"/>
      <c r="O734"/>
      <c r="P734"/>
      <c r="Q734"/>
      <c r="R734"/>
    </row>
    <row r="735" spans="13:18" ht="12" x14ac:dyDescent="0.2">
      <c r="M735"/>
      <c r="N735"/>
      <c r="O735"/>
      <c r="P735"/>
      <c r="Q735"/>
      <c r="R735"/>
    </row>
    <row r="736" spans="13:18" ht="12" x14ac:dyDescent="0.2">
      <c r="M736"/>
      <c r="N736"/>
      <c r="O736"/>
      <c r="P736"/>
      <c r="Q736"/>
      <c r="R736"/>
    </row>
    <row r="737" spans="13:18" ht="12" x14ac:dyDescent="0.2">
      <c r="M737"/>
      <c r="N737"/>
      <c r="O737"/>
      <c r="P737"/>
      <c r="Q737"/>
      <c r="R737"/>
    </row>
    <row r="738" spans="13:18" ht="12" x14ac:dyDescent="0.2">
      <c r="M738"/>
      <c r="N738"/>
      <c r="O738"/>
      <c r="P738"/>
      <c r="Q738"/>
      <c r="R738"/>
    </row>
    <row r="739" spans="13:18" ht="12" x14ac:dyDescent="0.2">
      <c r="M739"/>
      <c r="N739"/>
      <c r="O739"/>
      <c r="P739"/>
      <c r="Q739"/>
      <c r="R739"/>
    </row>
    <row r="740" spans="13:18" ht="12" x14ac:dyDescent="0.2">
      <c r="M740"/>
      <c r="N740"/>
      <c r="O740"/>
      <c r="P740"/>
      <c r="Q740"/>
      <c r="R740"/>
    </row>
    <row r="741" spans="13:18" ht="12" x14ac:dyDescent="0.2">
      <c r="M741"/>
      <c r="N741"/>
      <c r="O741"/>
      <c r="P741"/>
      <c r="Q741"/>
      <c r="R741"/>
    </row>
    <row r="742" spans="13:18" ht="12" x14ac:dyDescent="0.2">
      <c r="M742"/>
      <c r="N742"/>
      <c r="O742"/>
      <c r="P742"/>
      <c r="Q742"/>
      <c r="R742"/>
    </row>
    <row r="743" spans="13:18" ht="12" x14ac:dyDescent="0.2">
      <c r="M743"/>
      <c r="N743"/>
      <c r="O743"/>
      <c r="P743"/>
      <c r="Q743"/>
      <c r="R743"/>
    </row>
    <row r="744" spans="13:18" ht="12" x14ac:dyDescent="0.2">
      <c r="M744"/>
      <c r="N744"/>
      <c r="O744"/>
      <c r="P744"/>
      <c r="Q744"/>
      <c r="R744"/>
    </row>
    <row r="745" spans="13:18" ht="12" x14ac:dyDescent="0.2">
      <c r="M745"/>
      <c r="N745"/>
      <c r="O745"/>
      <c r="P745"/>
      <c r="Q745"/>
      <c r="R745"/>
    </row>
    <row r="746" spans="13:18" ht="12" x14ac:dyDescent="0.2">
      <c r="M746"/>
      <c r="N746"/>
      <c r="O746"/>
      <c r="P746"/>
      <c r="Q746"/>
      <c r="R746"/>
    </row>
    <row r="747" spans="13:18" ht="12" x14ac:dyDescent="0.2">
      <c r="M747"/>
      <c r="N747"/>
      <c r="O747"/>
      <c r="P747"/>
      <c r="Q747"/>
      <c r="R747"/>
    </row>
    <row r="748" spans="13:18" ht="12" x14ac:dyDescent="0.2">
      <c r="M748"/>
      <c r="N748"/>
      <c r="O748"/>
      <c r="P748"/>
      <c r="Q748"/>
      <c r="R748"/>
    </row>
    <row r="749" spans="13:18" ht="12" x14ac:dyDescent="0.2">
      <c r="M749"/>
      <c r="N749"/>
      <c r="O749"/>
      <c r="P749"/>
      <c r="Q749"/>
      <c r="R749"/>
    </row>
    <row r="750" spans="13:18" ht="12" x14ac:dyDescent="0.2">
      <c r="M750"/>
      <c r="N750"/>
      <c r="O750"/>
      <c r="P750"/>
      <c r="Q750"/>
      <c r="R750"/>
    </row>
    <row r="751" spans="13:18" ht="12" x14ac:dyDescent="0.2">
      <c r="M751"/>
      <c r="N751"/>
      <c r="O751"/>
      <c r="P751"/>
      <c r="Q751"/>
      <c r="R751"/>
    </row>
    <row r="752" spans="13:18" ht="12" x14ac:dyDescent="0.2">
      <c r="M752"/>
      <c r="N752"/>
      <c r="O752"/>
      <c r="P752"/>
      <c r="Q752"/>
      <c r="R752"/>
    </row>
    <row r="753" spans="13:18" ht="12" x14ac:dyDescent="0.2">
      <c r="M753"/>
      <c r="N753"/>
      <c r="O753"/>
      <c r="P753"/>
      <c r="Q753"/>
      <c r="R753"/>
    </row>
    <row r="754" spans="13:18" ht="12" x14ac:dyDescent="0.2">
      <c r="M754"/>
      <c r="N754"/>
      <c r="O754"/>
      <c r="P754"/>
      <c r="Q754"/>
      <c r="R754"/>
    </row>
    <row r="755" spans="13:18" ht="12" x14ac:dyDescent="0.2">
      <c r="M755"/>
      <c r="N755"/>
      <c r="O755"/>
      <c r="P755"/>
      <c r="Q755"/>
      <c r="R755"/>
    </row>
    <row r="756" spans="13:18" ht="12" x14ac:dyDescent="0.2">
      <c r="M756"/>
      <c r="N756"/>
      <c r="O756"/>
      <c r="P756"/>
      <c r="Q756"/>
      <c r="R756"/>
    </row>
    <row r="757" spans="13:18" ht="12" x14ac:dyDescent="0.2">
      <c r="M757"/>
      <c r="N757"/>
      <c r="O757"/>
      <c r="P757"/>
      <c r="Q757"/>
      <c r="R757"/>
    </row>
    <row r="758" spans="13:18" ht="12" x14ac:dyDescent="0.2">
      <c r="M758"/>
      <c r="N758"/>
      <c r="O758"/>
      <c r="P758"/>
      <c r="Q758"/>
      <c r="R758"/>
    </row>
    <row r="759" spans="13:18" ht="12" x14ac:dyDescent="0.2">
      <c r="M759"/>
      <c r="N759"/>
      <c r="O759"/>
      <c r="P759"/>
      <c r="Q759"/>
      <c r="R759"/>
    </row>
    <row r="760" spans="13:18" ht="12" x14ac:dyDescent="0.2">
      <c r="M760"/>
      <c r="N760"/>
      <c r="O760"/>
      <c r="P760"/>
      <c r="Q760"/>
      <c r="R760"/>
    </row>
    <row r="761" spans="13:18" ht="12" x14ac:dyDescent="0.2">
      <c r="M761"/>
      <c r="N761"/>
      <c r="O761"/>
      <c r="P761"/>
      <c r="Q761"/>
      <c r="R761"/>
    </row>
    <row r="762" spans="13:18" ht="12" x14ac:dyDescent="0.2">
      <c r="M762"/>
      <c r="N762"/>
      <c r="O762"/>
      <c r="P762"/>
      <c r="Q762"/>
      <c r="R762"/>
    </row>
    <row r="763" spans="13:18" ht="12" x14ac:dyDescent="0.2">
      <c r="M763"/>
      <c r="N763"/>
      <c r="O763"/>
      <c r="P763"/>
      <c r="Q763"/>
      <c r="R763"/>
    </row>
    <row r="764" spans="13:18" ht="12" x14ac:dyDescent="0.2">
      <c r="M764"/>
      <c r="N764"/>
      <c r="O764"/>
      <c r="P764"/>
      <c r="Q764"/>
      <c r="R764"/>
    </row>
    <row r="765" spans="13:18" ht="12" x14ac:dyDescent="0.2">
      <c r="M765"/>
      <c r="N765"/>
      <c r="O765"/>
      <c r="P765"/>
      <c r="Q765"/>
      <c r="R765"/>
    </row>
    <row r="766" spans="13:18" ht="12" x14ac:dyDescent="0.2">
      <c r="M766"/>
      <c r="N766"/>
      <c r="O766"/>
      <c r="P766"/>
      <c r="Q766"/>
      <c r="R766"/>
    </row>
    <row r="767" spans="13:18" ht="12" x14ac:dyDescent="0.2">
      <c r="M767"/>
      <c r="N767"/>
      <c r="O767"/>
      <c r="P767"/>
      <c r="Q767"/>
      <c r="R767"/>
    </row>
    <row r="768" spans="13:18" ht="12" x14ac:dyDescent="0.2">
      <c r="M768"/>
      <c r="N768"/>
      <c r="O768"/>
      <c r="P768"/>
      <c r="Q768"/>
      <c r="R768"/>
    </row>
    <row r="769" spans="13:18" ht="12" x14ac:dyDescent="0.2">
      <c r="M769"/>
      <c r="N769"/>
      <c r="O769"/>
      <c r="P769"/>
      <c r="Q769"/>
      <c r="R769"/>
    </row>
    <row r="770" spans="13:18" ht="12" x14ac:dyDescent="0.2">
      <c r="M770"/>
      <c r="N770"/>
      <c r="O770"/>
      <c r="P770"/>
      <c r="Q770"/>
      <c r="R770"/>
    </row>
    <row r="771" spans="13:18" ht="12" x14ac:dyDescent="0.2">
      <c r="M771"/>
      <c r="N771"/>
      <c r="O771"/>
      <c r="P771"/>
      <c r="Q771"/>
      <c r="R771"/>
    </row>
    <row r="772" spans="13:18" ht="12" x14ac:dyDescent="0.2">
      <c r="M772"/>
      <c r="N772"/>
      <c r="O772"/>
      <c r="P772"/>
      <c r="Q772"/>
      <c r="R772"/>
    </row>
    <row r="773" spans="13:18" ht="12" x14ac:dyDescent="0.2">
      <c r="M773"/>
      <c r="N773"/>
      <c r="O773"/>
      <c r="P773"/>
      <c r="Q773"/>
      <c r="R773"/>
    </row>
    <row r="774" spans="13:18" ht="12" x14ac:dyDescent="0.2">
      <c r="M774"/>
      <c r="N774"/>
      <c r="O774"/>
      <c r="P774"/>
      <c r="Q774"/>
      <c r="R774"/>
    </row>
    <row r="775" spans="13:18" ht="12" x14ac:dyDescent="0.2">
      <c r="M775"/>
      <c r="N775"/>
      <c r="O775"/>
      <c r="P775"/>
      <c r="Q775"/>
      <c r="R775"/>
    </row>
    <row r="776" spans="13:18" ht="12" x14ac:dyDescent="0.2">
      <c r="M776"/>
      <c r="N776"/>
      <c r="O776"/>
      <c r="P776"/>
      <c r="Q776"/>
      <c r="R776"/>
    </row>
    <row r="777" spans="13:18" ht="12" x14ac:dyDescent="0.2">
      <c r="M777"/>
      <c r="N777"/>
      <c r="O777"/>
      <c r="P777"/>
      <c r="Q777"/>
      <c r="R777"/>
    </row>
    <row r="778" spans="13:18" ht="12" x14ac:dyDescent="0.2">
      <c r="M778"/>
      <c r="N778"/>
      <c r="O778"/>
      <c r="P778"/>
      <c r="Q778"/>
      <c r="R778"/>
    </row>
    <row r="779" spans="13:18" ht="12" x14ac:dyDescent="0.2">
      <c r="M779"/>
      <c r="N779"/>
      <c r="O779"/>
      <c r="P779"/>
      <c r="Q779"/>
      <c r="R779"/>
    </row>
    <row r="780" spans="13:18" ht="12" x14ac:dyDescent="0.2">
      <c r="M780"/>
      <c r="N780"/>
      <c r="O780"/>
      <c r="P780"/>
      <c r="Q780"/>
      <c r="R780"/>
    </row>
    <row r="781" spans="13:18" ht="12" x14ac:dyDescent="0.2">
      <c r="M781"/>
      <c r="N781"/>
      <c r="O781"/>
      <c r="P781"/>
      <c r="Q781"/>
      <c r="R781"/>
    </row>
    <row r="782" spans="13:18" ht="12" x14ac:dyDescent="0.2">
      <c r="M782"/>
      <c r="N782"/>
      <c r="O782"/>
      <c r="P782"/>
      <c r="Q782"/>
      <c r="R782"/>
    </row>
    <row r="783" spans="13:18" ht="12" x14ac:dyDescent="0.2">
      <c r="M783"/>
      <c r="N783"/>
      <c r="O783"/>
      <c r="P783"/>
      <c r="Q783"/>
      <c r="R783"/>
    </row>
    <row r="784" spans="13:18" ht="12" x14ac:dyDescent="0.2">
      <c r="M784"/>
      <c r="N784"/>
      <c r="O784"/>
      <c r="P784"/>
      <c r="Q784"/>
      <c r="R784"/>
    </row>
    <row r="785" spans="13:18" ht="12" x14ac:dyDescent="0.2">
      <c r="M785"/>
      <c r="N785"/>
      <c r="O785"/>
      <c r="P785"/>
      <c r="Q785"/>
      <c r="R785"/>
    </row>
    <row r="786" spans="13:18" ht="12" x14ac:dyDescent="0.2">
      <c r="M786"/>
      <c r="N786"/>
      <c r="O786"/>
      <c r="P786"/>
      <c r="Q786"/>
      <c r="R786"/>
    </row>
    <row r="787" spans="13:18" ht="12" x14ac:dyDescent="0.2">
      <c r="M787"/>
      <c r="N787"/>
      <c r="O787"/>
      <c r="P787"/>
      <c r="Q787"/>
      <c r="R787"/>
    </row>
    <row r="788" spans="13:18" ht="12" x14ac:dyDescent="0.2">
      <c r="M788"/>
      <c r="N788"/>
      <c r="O788"/>
      <c r="P788"/>
      <c r="Q788"/>
      <c r="R788"/>
    </row>
    <row r="789" spans="13:18" ht="12" x14ac:dyDescent="0.2">
      <c r="M789"/>
      <c r="N789"/>
      <c r="O789"/>
      <c r="P789"/>
      <c r="Q789"/>
      <c r="R789"/>
    </row>
    <row r="790" spans="13:18" ht="12" x14ac:dyDescent="0.2">
      <c r="M790"/>
      <c r="N790"/>
      <c r="O790"/>
      <c r="P790"/>
      <c r="Q790"/>
      <c r="R790"/>
    </row>
    <row r="791" spans="13:18" ht="12" x14ac:dyDescent="0.2">
      <c r="M791"/>
      <c r="N791"/>
      <c r="O791"/>
      <c r="P791"/>
      <c r="Q791"/>
      <c r="R791"/>
    </row>
    <row r="792" spans="13:18" ht="12" x14ac:dyDescent="0.2">
      <c r="M792"/>
      <c r="N792"/>
      <c r="O792"/>
      <c r="P792"/>
      <c r="Q792"/>
      <c r="R792"/>
    </row>
    <row r="793" spans="13:18" ht="12" x14ac:dyDescent="0.2">
      <c r="M793"/>
      <c r="N793"/>
      <c r="O793"/>
      <c r="P793"/>
      <c r="Q793"/>
      <c r="R793"/>
    </row>
    <row r="794" spans="13:18" ht="12" x14ac:dyDescent="0.2">
      <c r="M794"/>
      <c r="N794"/>
      <c r="O794"/>
      <c r="P794"/>
      <c r="Q794"/>
      <c r="R794"/>
    </row>
    <row r="795" spans="13:18" ht="12" x14ac:dyDescent="0.2">
      <c r="M795"/>
      <c r="N795"/>
      <c r="O795"/>
      <c r="P795"/>
      <c r="Q795"/>
      <c r="R795"/>
    </row>
    <row r="796" spans="13:18" ht="12" x14ac:dyDescent="0.2">
      <c r="M796"/>
      <c r="N796"/>
      <c r="O796"/>
      <c r="P796"/>
      <c r="Q796"/>
      <c r="R796"/>
    </row>
    <row r="797" spans="13:18" ht="12" x14ac:dyDescent="0.2">
      <c r="M797"/>
      <c r="N797"/>
      <c r="O797"/>
      <c r="P797"/>
      <c r="Q797"/>
      <c r="R797"/>
    </row>
    <row r="798" spans="13:18" ht="12" x14ac:dyDescent="0.2">
      <c r="M798"/>
      <c r="N798"/>
      <c r="O798"/>
      <c r="P798"/>
      <c r="Q798"/>
      <c r="R798"/>
    </row>
    <row r="799" spans="13:18" ht="12" x14ac:dyDescent="0.2">
      <c r="M799"/>
      <c r="N799"/>
      <c r="O799"/>
      <c r="P799"/>
      <c r="Q799"/>
      <c r="R799"/>
    </row>
    <row r="800" spans="13:18" ht="12" x14ac:dyDescent="0.2">
      <c r="M800"/>
      <c r="N800"/>
      <c r="O800"/>
      <c r="P800"/>
      <c r="Q800"/>
      <c r="R800"/>
    </row>
    <row r="801" spans="13:18" ht="12" x14ac:dyDescent="0.2">
      <c r="M801"/>
      <c r="N801"/>
      <c r="O801"/>
      <c r="P801"/>
      <c r="Q801"/>
      <c r="R801"/>
    </row>
    <row r="802" spans="13:18" ht="12" x14ac:dyDescent="0.2">
      <c r="M802"/>
      <c r="N802"/>
      <c r="O802"/>
      <c r="P802"/>
      <c r="Q802"/>
      <c r="R802"/>
    </row>
    <row r="803" spans="13:18" ht="12" x14ac:dyDescent="0.2">
      <c r="M803"/>
      <c r="N803"/>
      <c r="O803"/>
      <c r="P803"/>
      <c r="Q803"/>
      <c r="R803"/>
    </row>
    <row r="804" spans="13:18" ht="12" x14ac:dyDescent="0.2">
      <c r="M804"/>
      <c r="N804"/>
      <c r="O804"/>
      <c r="P804"/>
      <c r="Q804"/>
      <c r="R804"/>
    </row>
    <row r="805" spans="13:18" ht="12" x14ac:dyDescent="0.2">
      <c r="M805"/>
      <c r="N805"/>
      <c r="O805"/>
      <c r="P805"/>
      <c r="Q805"/>
      <c r="R805"/>
    </row>
    <row r="806" spans="13:18" ht="12" x14ac:dyDescent="0.2">
      <c r="M806"/>
      <c r="N806"/>
      <c r="O806"/>
      <c r="P806"/>
      <c r="Q806"/>
      <c r="R806"/>
    </row>
    <row r="807" spans="13:18" ht="12" x14ac:dyDescent="0.2">
      <c r="M807"/>
      <c r="N807"/>
      <c r="O807"/>
      <c r="P807"/>
      <c r="Q807"/>
      <c r="R807"/>
    </row>
    <row r="808" spans="13:18" ht="12" x14ac:dyDescent="0.2">
      <c r="M808"/>
      <c r="N808"/>
      <c r="O808"/>
      <c r="P808"/>
      <c r="Q808"/>
      <c r="R808"/>
    </row>
    <row r="809" spans="13:18" ht="12" x14ac:dyDescent="0.2">
      <c r="M809"/>
      <c r="N809"/>
      <c r="O809"/>
      <c r="P809"/>
      <c r="Q809"/>
      <c r="R809"/>
    </row>
    <row r="810" spans="13:18" ht="12" x14ac:dyDescent="0.2">
      <c r="M810"/>
      <c r="N810"/>
      <c r="O810"/>
      <c r="P810"/>
      <c r="Q810"/>
      <c r="R810"/>
    </row>
    <row r="811" spans="13:18" ht="12" x14ac:dyDescent="0.2">
      <c r="M811"/>
      <c r="N811"/>
      <c r="O811"/>
      <c r="P811"/>
      <c r="Q811"/>
      <c r="R811"/>
    </row>
    <row r="812" spans="13:18" ht="12" x14ac:dyDescent="0.2">
      <c r="M812"/>
      <c r="N812"/>
      <c r="O812"/>
      <c r="P812"/>
      <c r="Q812"/>
      <c r="R812"/>
    </row>
    <row r="813" spans="13:18" ht="12" x14ac:dyDescent="0.2">
      <c r="M813"/>
      <c r="N813"/>
      <c r="O813"/>
      <c r="P813"/>
      <c r="Q813"/>
      <c r="R813"/>
    </row>
    <row r="814" spans="13:18" ht="12" x14ac:dyDescent="0.2">
      <c r="M814"/>
      <c r="N814"/>
      <c r="O814"/>
      <c r="P814"/>
      <c r="Q814"/>
      <c r="R814"/>
    </row>
    <row r="815" spans="13:18" ht="12" x14ac:dyDescent="0.2">
      <c r="M815"/>
      <c r="N815"/>
      <c r="O815"/>
      <c r="P815"/>
      <c r="Q815"/>
      <c r="R815"/>
    </row>
    <row r="816" spans="13:18" ht="12" x14ac:dyDescent="0.2">
      <c r="M816"/>
      <c r="N816"/>
      <c r="O816"/>
      <c r="P816"/>
      <c r="Q816"/>
      <c r="R816"/>
    </row>
    <row r="817" spans="13:18" ht="12" x14ac:dyDescent="0.2">
      <c r="M817"/>
      <c r="N817"/>
      <c r="O817"/>
      <c r="P817"/>
      <c r="Q817"/>
      <c r="R817"/>
    </row>
    <row r="818" spans="13:18" ht="12" x14ac:dyDescent="0.2">
      <c r="M818"/>
      <c r="N818"/>
      <c r="O818"/>
      <c r="P818"/>
      <c r="Q818"/>
      <c r="R818"/>
    </row>
    <row r="819" spans="13:18" ht="12" x14ac:dyDescent="0.2">
      <c r="M819"/>
      <c r="N819"/>
      <c r="O819"/>
      <c r="P819"/>
      <c r="Q819"/>
      <c r="R819"/>
    </row>
    <row r="820" spans="13:18" ht="12" x14ac:dyDescent="0.2">
      <c r="M820"/>
      <c r="N820"/>
      <c r="O820"/>
      <c r="P820"/>
      <c r="Q820"/>
      <c r="R820"/>
    </row>
    <row r="821" spans="13:18" ht="12" x14ac:dyDescent="0.2">
      <c r="M821"/>
      <c r="N821"/>
      <c r="O821"/>
      <c r="P821"/>
      <c r="Q821"/>
      <c r="R821"/>
    </row>
    <row r="822" spans="13:18" ht="12" x14ac:dyDescent="0.2">
      <c r="M822"/>
      <c r="N822"/>
      <c r="O822"/>
      <c r="P822"/>
      <c r="Q822"/>
      <c r="R822"/>
    </row>
    <row r="823" spans="13:18" ht="12" x14ac:dyDescent="0.2">
      <c r="M823"/>
      <c r="N823"/>
      <c r="O823"/>
      <c r="P823"/>
      <c r="Q823"/>
      <c r="R823"/>
    </row>
    <row r="824" spans="13:18" ht="12" x14ac:dyDescent="0.2">
      <c r="M824"/>
      <c r="N824"/>
      <c r="O824"/>
      <c r="P824"/>
      <c r="Q824"/>
      <c r="R824"/>
    </row>
    <row r="825" spans="13:18" ht="12" x14ac:dyDescent="0.2">
      <c r="M825"/>
      <c r="N825"/>
      <c r="O825"/>
      <c r="P825"/>
      <c r="Q825"/>
      <c r="R825"/>
    </row>
    <row r="826" spans="13:18" ht="12" x14ac:dyDescent="0.2">
      <c r="M826"/>
      <c r="N826"/>
      <c r="O826"/>
      <c r="P826"/>
      <c r="Q826"/>
      <c r="R826"/>
    </row>
    <row r="827" spans="13:18" ht="12" x14ac:dyDescent="0.2">
      <c r="M827"/>
      <c r="N827"/>
      <c r="O827"/>
      <c r="P827"/>
      <c r="Q827"/>
      <c r="R827"/>
    </row>
    <row r="828" spans="13:18" ht="12" x14ac:dyDescent="0.2">
      <c r="M828"/>
      <c r="N828"/>
      <c r="O828"/>
      <c r="P828"/>
      <c r="Q828"/>
      <c r="R828"/>
    </row>
    <row r="829" spans="13:18" ht="12" x14ac:dyDescent="0.2">
      <c r="M829"/>
      <c r="N829"/>
      <c r="O829"/>
      <c r="P829"/>
      <c r="Q829"/>
      <c r="R829"/>
    </row>
    <row r="830" spans="13:18" ht="12" x14ac:dyDescent="0.2">
      <c r="M830"/>
      <c r="N830"/>
      <c r="O830"/>
      <c r="P830"/>
      <c r="Q830"/>
      <c r="R830"/>
    </row>
    <row r="831" spans="13:18" ht="12" x14ac:dyDescent="0.2">
      <c r="M831"/>
      <c r="N831"/>
      <c r="O831"/>
      <c r="P831"/>
      <c r="Q831"/>
      <c r="R831"/>
    </row>
    <row r="832" spans="13:18" ht="12" x14ac:dyDescent="0.2">
      <c r="M832"/>
      <c r="N832"/>
      <c r="O832"/>
      <c r="P832"/>
      <c r="Q832"/>
      <c r="R832"/>
    </row>
    <row r="833" spans="13:18" ht="12" x14ac:dyDescent="0.2">
      <c r="M833"/>
      <c r="N833"/>
      <c r="O833"/>
      <c r="P833"/>
      <c r="Q833"/>
      <c r="R833"/>
    </row>
    <row r="834" spans="13:18" ht="12" x14ac:dyDescent="0.2">
      <c r="M834"/>
      <c r="N834"/>
      <c r="O834"/>
      <c r="P834"/>
      <c r="Q834"/>
      <c r="R834"/>
    </row>
    <row r="835" spans="13:18" ht="12" x14ac:dyDescent="0.2">
      <c r="M835"/>
      <c r="N835"/>
      <c r="O835"/>
      <c r="P835"/>
      <c r="Q835"/>
      <c r="R835"/>
    </row>
    <row r="836" spans="13:18" ht="12" x14ac:dyDescent="0.2">
      <c r="M836"/>
      <c r="N836"/>
      <c r="O836"/>
      <c r="P836"/>
      <c r="Q836"/>
      <c r="R836"/>
    </row>
    <row r="837" spans="13:18" ht="12" x14ac:dyDescent="0.2">
      <c r="M837"/>
      <c r="N837"/>
      <c r="O837"/>
      <c r="P837"/>
      <c r="Q837"/>
      <c r="R837"/>
    </row>
    <row r="838" spans="13:18" ht="12" x14ac:dyDescent="0.2">
      <c r="M838"/>
      <c r="N838"/>
      <c r="O838"/>
      <c r="P838"/>
      <c r="Q838"/>
      <c r="R838"/>
    </row>
    <row r="839" spans="13:18" ht="12" x14ac:dyDescent="0.2">
      <c r="M839"/>
      <c r="N839"/>
      <c r="O839"/>
      <c r="P839"/>
      <c r="Q839"/>
      <c r="R839"/>
    </row>
    <row r="840" spans="13:18" ht="12" x14ac:dyDescent="0.2">
      <c r="M840"/>
      <c r="N840"/>
      <c r="O840"/>
      <c r="P840"/>
      <c r="Q840"/>
      <c r="R840"/>
    </row>
    <row r="841" spans="13:18" ht="12" x14ac:dyDescent="0.2">
      <c r="M841"/>
      <c r="N841"/>
      <c r="O841"/>
      <c r="P841"/>
      <c r="Q841"/>
      <c r="R841"/>
    </row>
    <row r="842" spans="13:18" ht="12" x14ac:dyDescent="0.2">
      <c r="M842"/>
      <c r="N842"/>
      <c r="O842"/>
      <c r="P842"/>
      <c r="Q842"/>
      <c r="R842"/>
    </row>
    <row r="843" spans="13:18" ht="12" x14ac:dyDescent="0.2">
      <c r="M843"/>
      <c r="N843"/>
      <c r="O843"/>
      <c r="P843"/>
      <c r="Q843"/>
      <c r="R843"/>
    </row>
    <row r="844" spans="13:18" ht="12" x14ac:dyDescent="0.2">
      <c r="M844"/>
      <c r="N844"/>
      <c r="O844"/>
      <c r="P844"/>
      <c r="Q844"/>
      <c r="R844"/>
    </row>
    <row r="845" spans="13:18" ht="12" x14ac:dyDescent="0.2">
      <c r="M845"/>
      <c r="N845"/>
      <c r="O845"/>
      <c r="P845"/>
      <c r="Q845"/>
      <c r="R845"/>
    </row>
    <row r="846" spans="13:18" ht="12" x14ac:dyDescent="0.2">
      <c r="M846"/>
      <c r="N846"/>
      <c r="O846"/>
      <c r="P846"/>
      <c r="Q846"/>
      <c r="R846"/>
    </row>
    <row r="847" spans="13:18" ht="12" x14ac:dyDescent="0.2">
      <c r="M847"/>
      <c r="N847"/>
      <c r="O847"/>
      <c r="P847"/>
      <c r="Q847"/>
      <c r="R847"/>
    </row>
    <row r="848" spans="13:18" ht="12" x14ac:dyDescent="0.2">
      <c r="M848"/>
      <c r="N848"/>
      <c r="O848"/>
      <c r="P848"/>
      <c r="Q848"/>
      <c r="R848"/>
    </row>
    <row r="849" spans="13:18" ht="12" x14ac:dyDescent="0.2">
      <c r="M849"/>
      <c r="N849"/>
      <c r="O849"/>
      <c r="P849"/>
      <c r="Q849"/>
      <c r="R849"/>
    </row>
    <row r="850" spans="13:18" ht="12" x14ac:dyDescent="0.2">
      <c r="M850"/>
      <c r="N850"/>
      <c r="O850"/>
      <c r="P850"/>
      <c r="Q850"/>
      <c r="R850"/>
    </row>
    <row r="851" spans="13:18" ht="12" x14ac:dyDescent="0.2">
      <c r="M851"/>
      <c r="N851"/>
      <c r="O851"/>
      <c r="P851"/>
      <c r="Q851"/>
      <c r="R851"/>
    </row>
    <row r="852" spans="13:18" ht="12" x14ac:dyDescent="0.2">
      <c r="M852"/>
      <c r="N852"/>
      <c r="O852"/>
      <c r="P852"/>
      <c r="Q852"/>
      <c r="R852"/>
    </row>
    <row r="853" spans="13:18" ht="12" x14ac:dyDescent="0.2">
      <c r="M853"/>
      <c r="N853"/>
      <c r="O853"/>
      <c r="P853"/>
      <c r="Q853"/>
      <c r="R853"/>
    </row>
    <row r="854" spans="13:18" ht="12" x14ac:dyDescent="0.2">
      <c r="M854"/>
      <c r="N854"/>
      <c r="O854"/>
      <c r="P854"/>
      <c r="Q854"/>
      <c r="R854"/>
    </row>
    <row r="855" spans="13:18" ht="12" x14ac:dyDescent="0.2">
      <c r="M855"/>
      <c r="N855"/>
      <c r="O855"/>
      <c r="P855"/>
      <c r="Q855"/>
      <c r="R855"/>
    </row>
    <row r="856" spans="13:18" ht="12" x14ac:dyDescent="0.2">
      <c r="M856"/>
      <c r="N856"/>
      <c r="O856"/>
      <c r="P856"/>
      <c r="Q856"/>
      <c r="R856"/>
    </row>
    <row r="857" spans="13:18" ht="12" x14ac:dyDescent="0.2">
      <c r="M857"/>
      <c r="N857"/>
      <c r="O857"/>
      <c r="P857"/>
      <c r="Q857"/>
      <c r="R857"/>
    </row>
    <row r="858" spans="13:18" ht="12" x14ac:dyDescent="0.2">
      <c r="M858"/>
      <c r="N858"/>
      <c r="O858"/>
      <c r="P858"/>
      <c r="Q858"/>
      <c r="R858"/>
    </row>
    <row r="859" spans="13:18" ht="12" x14ac:dyDescent="0.2">
      <c r="M859"/>
      <c r="N859"/>
      <c r="O859"/>
      <c r="P859"/>
      <c r="Q859"/>
      <c r="R859"/>
    </row>
    <row r="860" spans="13:18" ht="12" x14ac:dyDescent="0.2">
      <c r="M860"/>
      <c r="N860"/>
      <c r="O860"/>
      <c r="P860"/>
      <c r="Q860"/>
      <c r="R860"/>
    </row>
    <row r="861" spans="13:18" ht="12" x14ac:dyDescent="0.2">
      <c r="M861"/>
      <c r="N861"/>
      <c r="O861"/>
      <c r="P861"/>
      <c r="Q861"/>
      <c r="R861"/>
    </row>
    <row r="862" spans="13:18" ht="12" x14ac:dyDescent="0.2">
      <c r="M862"/>
      <c r="N862"/>
      <c r="O862"/>
      <c r="P862"/>
      <c r="Q862"/>
      <c r="R862"/>
    </row>
    <row r="863" spans="13:18" ht="12" x14ac:dyDescent="0.2">
      <c r="M863"/>
      <c r="N863"/>
      <c r="O863"/>
      <c r="P863"/>
      <c r="Q863"/>
      <c r="R863"/>
    </row>
    <row r="864" spans="13:18" ht="12" x14ac:dyDescent="0.2">
      <c r="M864"/>
      <c r="N864"/>
      <c r="O864"/>
      <c r="P864"/>
      <c r="Q864"/>
      <c r="R864"/>
    </row>
    <row r="865" spans="13:18" ht="12" x14ac:dyDescent="0.2">
      <c r="M865"/>
      <c r="N865"/>
      <c r="O865"/>
      <c r="P865"/>
      <c r="Q865"/>
      <c r="R865"/>
    </row>
    <row r="866" spans="13:18" ht="12" x14ac:dyDescent="0.2">
      <c r="M866"/>
      <c r="N866"/>
      <c r="O866"/>
      <c r="P866"/>
      <c r="Q866"/>
      <c r="R866"/>
    </row>
    <row r="867" spans="13:18" ht="12" x14ac:dyDescent="0.2">
      <c r="M867"/>
      <c r="N867"/>
      <c r="O867"/>
      <c r="P867"/>
      <c r="Q867"/>
      <c r="R867"/>
    </row>
    <row r="868" spans="13:18" ht="12" x14ac:dyDescent="0.2">
      <c r="M868"/>
      <c r="N868"/>
      <c r="O868"/>
      <c r="P868"/>
      <c r="Q868"/>
      <c r="R868"/>
    </row>
    <row r="869" spans="13:18" ht="12" x14ac:dyDescent="0.2">
      <c r="M869"/>
      <c r="N869"/>
      <c r="O869"/>
      <c r="P869"/>
      <c r="Q869"/>
      <c r="R869"/>
    </row>
    <row r="870" spans="13:18" ht="12" x14ac:dyDescent="0.2">
      <c r="M870"/>
      <c r="N870"/>
      <c r="O870"/>
      <c r="P870"/>
      <c r="Q870"/>
      <c r="R870"/>
    </row>
    <row r="871" spans="13:18" ht="12" x14ac:dyDescent="0.2">
      <c r="M871"/>
      <c r="N871"/>
      <c r="O871"/>
      <c r="P871"/>
      <c r="Q871"/>
      <c r="R871"/>
    </row>
    <row r="872" spans="13:18" ht="12" x14ac:dyDescent="0.2">
      <c r="M872"/>
      <c r="N872"/>
      <c r="O872"/>
      <c r="P872"/>
      <c r="Q872"/>
      <c r="R872"/>
    </row>
    <row r="873" spans="13:18" ht="12" x14ac:dyDescent="0.2">
      <c r="M873"/>
      <c r="N873"/>
      <c r="O873"/>
      <c r="P873"/>
      <c r="Q873"/>
      <c r="R873"/>
    </row>
    <row r="874" spans="13:18" ht="12" x14ac:dyDescent="0.2">
      <c r="M874"/>
      <c r="N874"/>
      <c r="O874"/>
      <c r="P874"/>
      <c r="Q874"/>
      <c r="R874"/>
    </row>
    <row r="875" spans="13:18" ht="12" x14ac:dyDescent="0.2">
      <c r="M875"/>
      <c r="N875"/>
      <c r="O875"/>
      <c r="P875"/>
      <c r="Q875"/>
      <c r="R875"/>
    </row>
    <row r="876" spans="13:18" ht="12" x14ac:dyDescent="0.2">
      <c r="M876"/>
      <c r="N876"/>
      <c r="O876"/>
      <c r="P876"/>
      <c r="Q876"/>
      <c r="R876"/>
    </row>
    <row r="877" spans="13:18" ht="12" x14ac:dyDescent="0.2">
      <c r="M877"/>
      <c r="N877"/>
      <c r="O877"/>
      <c r="P877"/>
      <c r="Q877"/>
      <c r="R877"/>
    </row>
    <row r="878" spans="13:18" ht="12" x14ac:dyDescent="0.2">
      <c r="M878"/>
      <c r="N878"/>
      <c r="O878"/>
      <c r="P878"/>
      <c r="Q878"/>
      <c r="R878"/>
    </row>
    <row r="879" spans="13:18" ht="12" x14ac:dyDescent="0.2">
      <c r="M879"/>
      <c r="N879"/>
      <c r="O879"/>
      <c r="P879"/>
      <c r="Q879"/>
      <c r="R879"/>
    </row>
    <row r="880" spans="13:18" ht="12" x14ac:dyDescent="0.2">
      <c r="M880"/>
      <c r="N880"/>
      <c r="O880"/>
      <c r="P880"/>
      <c r="Q880"/>
      <c r="R880"/>
    </row>
    <row r="881" spans="13:18" ht="12" x14ac:dyDescent="0.2">
      <c r="M881"/>
      <c r="N881"/>
      <c r="O881"/>
      <c r="P881"/>
      <c r="Q881"/>
      <c r="R881"/>
    </row>
    <row r="882" spans="13:18" ht="12" x14ac:dyDescent="0.2">
      <c r="M882"/>
      <c r="N882"/>
      <c r="O882"/>
      <c r="P882"/>
      <c r="Q882"/>
      <c r="R882"/>
    </row>
    <row r="883" spans="13:18" ht="12" x14ac:dyDescent="0.2">
      <c r="M883"/>
      <c r="N883"/>
      <c r="O883"/>
      <c r="P883"/>
      <c r="Q883"/>
      <c r="R883"/>
    </row>
    <row r="884" spans="13:18" ht="12" x14ac:dyDescent="0.2">
      <c r="M884"/>
      <c r="N884"/>
      <c r="O884"/>
      <c r="P884"/>
      <c r="Q884"/>
      <c r="R884"/>
    </row>
    <row r="885" spans="13:18" ht="12" x14ac:dyDescent="0.2">
      <c r="M885"/>
      <c r="N885"/>
      <c r="O885"/>
      <c r="P885"/>
      <c r="Q885"/>
      <c r="R885"/>
    </row>
    <row r="886" spans="13:18" ht="12" x14ac:dyDescent="0.2">
      <c r="M886"/>
      <c r="N886"/>
      <c r="O886"/>
      <c r="P886"/>
      <c r="Q886"/>
      <c r="R886"/>
    </row>
    <row r="887" spans="13:18" ht="12" x14ac:dyDescent="0.2">
      <c r="M887"/>
      <c r="N887"/>
      <c r="O887"/>
      <c r="P887"/>
      <c r="Q887"/>
      <c r="R887"/>
    </row>
    <row r="888" spans="13:18" ht="12" x14ac:dyDescent="0.2">
      <c r="M888"/>
      <c r="N888"/>
      <c r="O888"/>
      <c r="P888"/>
      <c r="Q888"/>
      <c r="R888"/>
    </row>
    <row r="889" spans="13:18" ht="12" x14ac:dyDescent="0.2">
      <c r="M889"/>
      <c r="N889"/>
      <c r="O889"/>
      <c r="P889"/>
      <c r="Q889"/>
      <c r="R889"/>
    </row>
    <row r="890" spans="13:18" ht="12" x14ac:dyDescent="0.2">
      <c r="M890"/>
      <c r="N890"/>
      <c r="O890"/>
      <c r="P890"/>
      <c r="Q890"/>
      <c r="R890"/>
    </row>
    <row r="891" spans="13:18" ht="12" x14ac:dyDescent="0.2">
      <c r="M891"/>
      <c r="N891"/>
      <c r="O891"/>
      <c r="P891"/>
      <c r="Q891"/>
      <c r="R891"/>
    </row>
    <row r="892" spans="13:18" ht="12" x14ac:dyDescent="0.2">
      <c r="M892"/>
      <c r="N892"/>
      <c r="O892"/>
      <c r="P892"/>
      <c r="Q892"/>
      <c r="R892"/>
    </row>
    <row r="893" spans="13:18" ht="12" x14ac:dyDescent="0.2">
      <c r="M893"/>
      <c r="N893"/>
      <c r="O893"/>
      <c r="P893"/>
      <c r="Q893"/>
      <c r="R893"/>
    </row>
    <row r="894" spans="13:18" ht="12" x14ac:dyDescent="0.2">
      <c r="M894"/>
      <c r="N894"/>
      <c r="O894"/>
      <c r="P894"/>
      <c r="Q894"/>
      <c r="R894"/>
    </row>
    <row r="895" spans="13:18" ht="12" x14ac:dyDescent="0.2">
      <c r="M895"/>
      <c r="N895"/>
      <c r="O895"/>
      <c r="P895"/>
      <c r="Q895"/>
      <c r="R895"/>
    </row>
    <row r="896" spans="13:18" ht="12" x14ac:dyDescent="0.2">
      <c r="M896"/>
      <c r="N896"/>
      <c r="O896"/>
      <c r="P896"/>
      <c r="Q896"/>
      <c r="R896"/>
    </row>
    <row r="897" spans="13:18" ht="12" x14ac:dyDescent="0.2">
      <c r="M897"/>
      <c r="N897"/>
      <c r="O897"/>
      <c r="P897"/>
      <c r="Q897"/>
      <c r="R897"/>
    </row>
    <row r="898" spans="13:18" ht="12" x14ac:dyDescent="0.2">
      <c r="M898"/>
      <c r="N898"/>
      <c r="O898"/>
      <c r="P898"/>
      <c r="Q898"/>
      <c r="R898"/>
    </row>
    <row r="899" spans="13:18" ht="12" x14ac:dyDescent="0.2">
      <c r="M899"/>
      <c r="N899"/>
      <c r="O899"/>
      <c r="P899"/>
      <c r="Q899"/>
      <c r="R899"/>
    </row>
    <row r="900" spans="13:18" ht="12" x14ac:dyDescent="0.2">
      <c r="M900"/>
      <c r="N900"/>
      <c r="O900"/>
      <c r="P900"/>
      <c r="Q900"/>
      <c r="R900"/>
    </row>
    <row r="901" spans="13:18" ht="12" x14ac:dyDescent="0.2">
      <c r="M901"/>
      <c r="N901"/>
      <c r="O901"/>
      <c r="P901"/>
      <c r="Q901"/>
      <c r="R901"/>
    </row>
    <row r="902" spans="13:18" ht="12" x14ac:dyDescent="0.2">
      <c r="M902"/>
      <c r="N902"/>
      <c r="O902"/>
      <c r="P902"/>
      <c r="Q902"/>
      <c r="R902"/>
    </row>
    <row r="903" spans="13:18" ht="12" x14ac:dyDescent="0.2">
      <c r="M903"/>
      <c r="N903"/>
      <c r="O903"/>
      <c r="P903"/>
      <c r="Q903"/>
      <c r="R903"/>
    </row>
    <row r="904" spans="13:18" ht="12" x14ac:dyDescent="0.2">
      <c r="M904"/>
      <c r="N904"/>
      <c r="O904"/>
      <c r="P904"/>
      <c r="Q904"/>
      <c r="R904"/>
    </row>
    <row r="905" spans="13:18" ht="12" x14ac:dyDescent="0.2">
      <c r="M905"/>
      <c r="N905"/>
      <c r="O905"/>
      <c r="P905"/>
      <c r="Q905"/>
      <c r="R905"/>
    </row>
    <row r="906" spans="13:18" ht="12" x14ac:dyDescent="0.2">
      <c r="M906"/>
      <c r="N906"/>
      <c r="O906"/>
      <c r="P906"/>
      <c r="Q906"/>
      <c r="R906"/>
    </row>
    <row r="907" spans="13:18" ht="12" x14ac:dyDescent="0.2">
      <c r="M907"/>
      <c r="N907"/>
      <c r="O907"/>
      <c r="P907"/>
      <c r="Q907"/>
      <c r="R907"/>
    </row>
    <row r="908" spans="13:18" ht="12" x14ac:dyDescent="0.2">
      <c r="M908"/>
      <c r="N908"/>
      <c r="O908"/>
      <c r="P908"/>
      <c r="Q908"/>
      <c r="R908"/>
    </row>
    <row r="909" spans="13:18" ht="12" x14ac:dyDescent="0.2">
      <c r="M909"/>
      <c r="N909"/>
      <c r="O909"/>
      <c r="P909"/>
      <c r="Q909"/>
      <c r="R909"/>
    </row>
    <row r="910" spans="13:18" ht="12" x14ac:dyDescent="0.2">
      <c r="M910"/>
      <c r="N910"/>
      <c r="O910"/>
      <c r="P910"/>
      <c r="Q910"/>
      <c r="R910"/>
    </row>
    <row r="911" spans="13:18" ht="12" x14ac:dyDescent="0.2">
      <c r="M911"/>
      <c r="N911"/>
      <c r="O911"/>
      <c r="P911"/>
      <c r="Q911"/>
      <c r="R911"/>
    </row>
    <row r="912" spans="13:18" ht="12" x14ac:dyDescent="0.2">
      <c r="M912"/>
      <c r="N912"/>
      <c r="O912"/>
      <c r="P912"/>
      <c r="Q912"/>
      <c r="R912"/>
    </row>
    <row r="913" spans="13:18" ht="12" x14ac:dyDescent="0.2">
      <c r="M913"/>
      <c r="N913"/>
      <c r="O913"/>
      <c r="P913"/>
      <c r="Q913"/>
      <c r="R913"/>
    </row>
    <row r="914" spans="13:18" ht="12" x14ac:dyDescent="0.2">
      <c r="M914"/>
      <c r="N914"/>
      <c r="O914"/>
      <c r="P914"/>
      <c r="Q914"/>
      <c r="R914"/>
    </row>
    <row r="915" spans="13:18" ht="12" x14ac:dyDescent="0.2">
      <c r="M915"/>
      <c r="N915"/>
      <c r="O915"/>
      <c r="P915"/>
      <c r="Q915"/>
      <c r="R915"/>
    </row>
    <row r="916" spans="13:18" ht="12" x14ac:dyDescent="0.2">
      <c r="M916"/>
      <c r="N916"/>
      <c r="O916"/>
      <c r="P916"/>
      <c r="Q916"/>
      <c r="R916"/>
    </row>
    <row r="917" spans="13:18" ht="12" x14ac:dyDescent="0.2">
      <c r="M917"/>
      <c r="N917"/>
      <c r="O917"/>
      <c r="P917"/>
      <c r="Q917"/>
      <c r="R917"/>
    </row>
    <row r="918" spans="13:18" ht="12" x14ac:dyDescent="0.2">
      <c r="M918"/>
      <c r="N918"/>
      <c r="O918"/>
      <c r="P918"/>
      <c r="Q918"/>
      <c r="R918"/>
    </row>
    <row r="919" spans="13:18" ht="12" x14ac:dyDescent="0.2">
      <c r="M919"/>
      <c r="N919"/>
      <c r="O919"/>
      <c r="P919"/>
      <c r="Q919"/>
      <c r="R919"/>
    </row>
    <row r="920" spans="13:18" ht="12" x14ac:dyDescent="0.2">
      <c r="M920"/>
      <c r="N920"/>
      <c r="O920"/>
      <c r="P920"/>
      <c r="Q920"/>
      <c r="R920"/>
    </row>
    <row r="921" spans="13:18" ht="12" x14ac:dyDescent="0.2">
      <c r="M921"/>
      <c r="N921"/>
      <c r="O921"/>
      <c r="P921"/>
      <c r="Q921"/>
      <c r="R921"/>
    </row>
    <row r="922" spans="13:18" ht="12" x14ac:dyDescent="0.2">
      <c r="M922"/>
      <c r="N922"/>
      <c r="O922"/>
      <c r="P922"/>
      <c r="Q922"/>
      <c r="R922"/>
    </row>
    <row r="923" spans="13:18" ht="12" x14ac:dyDescent="0.2">
      <c r="M923"/>
      <c r="N923"/>
      <c r="O923"/>
      <c r="P923"/>
      <c r="Q923"/>
      <c r="R923"/>
    </row>
    <row r="924" spans="13:18" ht="12" x14ac:dyDescent="0.2">
      <c r="M924"/>
      <c r="N924"/>
      <c r="O924"/>
      <c r="P924"/>
      <c r="Q924"/>
      <c r="R924"/>
    </row>
    <row r="925" spans="13:18" ht="12" x14ac:dyDescent="0.2">
      <c r="M925"/>
      <c r="N925"/>
      <c r="O925"/>
      <c r="P925"/>
      <c r="Q925"/>
      <c r="R925"/>
    </row>
    <row r="926" spans="13:18" ht="12" x14ac:dyDescent="0.2">
      <c r="M926"/>
      <c r="N926"/>
      <c r="O926"/>
      <c r="P926"/>
      <c r="Q926"/>
      <c r="R926"/>
    </row>
    <row r="927" spans="13:18" ht="12" x14ac:dyDescent="0.2">
      <c r="M927"/>
      <c r="N927"/>
      <c r="O927"/>
      <c r="P927"/>
      <c r="Q927"/>
      <c r="R927"/>
    </row>
    <row r="928" spans="13:18" ht="12" x14ac:dyDescent="0.2">
      <c r="M928"/>
      <c r="N928"/>
      <c r="O928"/>
      <c r="P928"/>
      <c r="Q928"/>
      <c r="R928"/>
    </row>
    <row r="929" spans="13:18" ht="12" x14ac:dyDescent="0.2">
      <c r="M929"/>
      <c r="N929"/>
      <c r="O929"/>
      <c r="P929"/>
      <c r="Q929"/>
      <c r="R929"/>
    </row>
    <row r="930" spans="13:18" ht="12" x14ac:dyDescent="0.2">
      <c r="M930"/>
      <c r="N930"/>
      <c r="O930"/>
      <c r="P930"/>
      <c r="Q930"/>
      <c r="R930"/>
    </row>
    <row r="931" spans="13:18" ht="12" x14ac:dyDescent="0.2">
      <c r="M931"/>
      <c r="N931"/>
      <c r="O931"/>
      <c r="P931"/>
      <c r="Q931"/>
      <c r="R931"/>
    </row>
    <row r="932" spans="13:18" ht="12" x14ac:dyDescent="0.2">
      <c r="M932"/>
      <c r="N932"/>
      <c r="O932"/>
      <c r="P932"/>
      <c r="Q932"/>
      <c r="R932"/>
    </row>
    <row r="933" spans="13:18" ht="12" x14ac:dyDescent="0.2">
      <c r="M933"/>
      <c r="N933"/>
      <c r="O933"/>
      <c r="P933"/>
      <c r="Q933"/>
      <c r="R933"/>
    </row>
    <row r="934" spans="13:18" ht="12" x14ac:dyDescent="0.2">
      <c r="M934"/>
      <c r="N934"/>
      <c r="O934"/>
      <c r="P934"/>
      <c r="Q934"/>
      <c r="R934"/>
    </row>
    <row r="935" spans="13:18" ht="12" x14ac:dyDescent="0.2">
      <c r="M935"/>
      <c r="N935"/>
      <c r="O935"/>
      <c r="P935"/>
      <c r="Q935"/>
      <c r="R935"/>
    </row>
    <row r="936" spans="13:18" ht="12" x14ac:dyDescent="0.2">
      <c r="M936"/>
      <c r="N936"/>
      <c r="O936"/>
      <c r="P936"/>
      <c r="Q936"/>
      <c r="R936"/>
    </row>
    <row r="937" spans="13:18" ht="12" x14ac:dyDescent="0.2">
      <c r="M937"/>
      <c r="N937"/>
      <c r="O937"/>
      <c r="P937"/>
      <c r="Q937"/>
      <c r="R937"/>
    </row>
    <row r="938" spans="13:18" ht="12" x14ac:dyDescent="0.2">
      <c r="M938"/>
      <c r="N938"/>
      <c r="O938"/>
      <c r="P938"/>
      <c r="Q938"/>
      <c r="R938"/>
    </row>
    <row r="939" spans="13:18" ht="12" x14ac:dyDescent="0.2">
      <c r="M939"/>
      <c r="N939"/>
      <c r="O939"/>
      <c r="P939"/>
      <c r="Q939"/>
      <c r="R939"/>
    </row>
    <row r="940" spans="13:18" ht="12" x14ac:dyDescent="0.2">
      <c r="M940"/>
      <c r="N940"/>
      <c r="O940"/>
      <c r="P940"/>
      <c r="Q940"/>
      <c r="R940"/>
    </row>
    <row r="941" spans="13:18" ht="12" x14ac:dyDescent="0.2">
      <c r="M941"/>
      <c r="N941"/>
      <c r="O941"/>
      <c r="P941"/>
      <c r="Q941"/>
      <c r="R941"/>
    </row>
    <row r="942" spans="13:18" ht="12" x14ac:dyDescent="0.2">
      <c r="M942"/>
      <c r="N942"/>
      <c r="O942"/>
      <c r="P942"/>
      <c r="Q942"/>
      <c r="R942"/>
    </row>
    <row r="943" spans="13:18" ht="12" x14ac:dyDescent="0.2">
      <c r="M943"/>
      <c r="N943"/>
      <c r="O943"/>
      <c r="P943"/>
      <c r="Q943"/>
      <c r="R943"/>
    </row>
    <row r="944" spans="13:18" ht="12" x14ac:dyDescent="0.2">
      <c r="M944"/>
      <c r="N944"/>
      <c r="O944"/>
      <c r="P944"/>
      <c r="Q944"/>
      <c r="R944"/>
    </row>
    <row r="945" spans="13:18" ht="12" x14ac:dyDescent="0.2">
      <c r="M945"/>
      <c r="N945"/>
      <c r="O945"/>
      <c r="P945"/>
      <c r="Q945"/>
      <c r="R945"/>
    </row>
    <row r="946" spans="13:18" ht="12" x14ac:dyDescent="0.2">
      <c r="M946"/>
      <c r="N946"/>
      <c r="O946"/>
      <c r="P946"/>
      <c r="Q946"/>
      <c r="R946"/>
    </row>
    <row r="947" spans="13:18" ht="12" x14ac:dyDescent="0.2">
      <c r="M947"/>
      <c r="N947"/>
      <c r="O947"/>
      <c r="P947"/>
      <c r="Q947"/>
      <c r="R947"/>
    </row>
    <row r="948" spans="13:18" ht="12" x14ac:dyDescent="0.2">
      <c r="M948"/>
      <c r="N948"/>
      <c r="O948"/>
      <c r="P948"/>
      <c r="Q948"/>
      <c r="R948"/>
    </row>
    <row r="949" spans="13:18" ht="12" x14ac:dyDescent="0.2">
      <c r="M949"/>
      <c r="N949"/>
      <c r="O949"/>
      <c r="P949"/>
      <c r="Q949"/>
      <c r="R949"/>
    </row>
    <row r="950" spans="13:18" ht="12" x14ac:dyDescent="0.2">
      <c r="M950"/>
      <c r="N950"/>
      <c r="O950"/>
      <c r="P950"/>
      <c r="Q950"/>
      <c r="R950"/>
    </row>
    <row r="951" spans="13:18" ht="12" x14ac:dyDescent="0.2">
      <c r="M951"/>
      <c r="N951"/>
      <c r="O951"/>
      <c r="P951"/>
      <c r="Q951"/>
      <c r="R951"/>
    </row>
    <row r="952" spans="13:18" ht="12" x14ac:dyDescent="0.2">
      <c r="M952"/>
      <c r="N952"/>
      <c r="O952"/>
      <c r="P952"/>
      <c r="Q952"/>
      <c r="R952"/>
    </row>
    <row r="953" spans="13:18" ht="12" x14ac:dyDescent="0.2">
      <c r="M953"/>
      <c r="N953"/>
      <c r="O953"/>
      <c r="P953"/>
      <c r="Q953"/>
      <c r="R953"/>
    </row>
    <row r="954" spans="13:18" ht="12" x14ac:dyDescent="0.2">
      <c r="M954"/>
      <c r="N954"/>
      <c r="O954"/>
      <c r="P954"/>
      <c r="Q954"/>
      <c r="R954"/>
    </row>
    <row r="955" spans="13:18" ht="12" x14ac:dyDescent="0.2">
      <c r="M955"/>
      <c r="N955"/>
      <c r="O955"/>
      <c r="P955"/>
      <c r="Q955"/>
      <c r="R955"/>
    </row>
    <row r="956" spans="13:18" ht="12" x14ac:dyDescent="0.2">
      <c r="M956"/>
      <c r="N956"/>
      <c r="O956"/>
      <c r="P956"/>
      <c r="Q956"/>
      <c r="R956"/>
    </row>
    <row r="957" spans="13:18" ht="12" x14ac:dyDescent="0.2">
      <c r="M957"/>
      <c r="N957"/>
      <c r="O957"/>
      <c r="P957"/>
      <c r="Q957"/>
      <c r="R957"/>
    </row>
    <row r="958" spans="13:18" ht="12" x14ac:dyDescent="0.2">
      <c r="M958"/>
      <c r="N958"/>
      <c r="O958"/>
      <c r="P958"/>
      <c r="Q958"/>
      <c r="R958"/>
    </row>
    <row r="959" spans="13:18" ht="12" x14ac:dyDescent="0.2">
      <c r="M959"/>
      <c r="N959"/>
      <c r="O959"/>
      <c r="P959"/>
      <c r="Q959"/>
      <c r="R959"/>
    </row>
    <row r="960" spans="13:18" ht="12" x14ac:dyDescent="0.2">
      <c r="M960"/>
      <c r="N960"/>
      <c r="O960"/>
      <c r="P960"/>
      <c r="Q960"/>
      <c r="R960"/>
    </row>
    <row r="961" spans="13:18" ht="12" x14ac:dyDescent="0.2">
      <c r="M961"/>
      <c r="N961"/>
      <c r="O961"/>
      <c r="P961"/>
      <c r="Q961"/>
      <c r="R961"/>
    </row>
    <row r="962" spans="13:18" ht="12" x14ac:dyDescent="0.2">
      <c r="M962"/>
      <c r="N962"/>
      <c r="O962"/>
      <c r="P962"/>
      <c r="Q962"/>
      <c r="R962"/>
    </row>
    <row r="963" spans="13:18" ht="12" x14ac:dyDescent="0.2">
      <c r="M963"/>
      <c r="N963"/>
      <c r="O963"/>
      <c r="P963"/>
      <c r="Q963"/>
      <c r="R963"/>
    </row>
    <row r="964" spans="13:18" ht="12" x14ac:dyDescent="0.2">
      <c r="M964"/>
      <c r="N964"/>
      <c r="O964"/>
      <c r="P964"/>
      <c r="Q964"/>
      <c r="R964"/>
    </row>
    <row r="965" spans="13:18" ht="12" x14ac:dyDescent="0.2">
      <c r="M965"/>
      <c r="N965"/>
      <c r="O965"/>
      <c r="P965"/>
      <c r="Q965"/>
      <c r="R965"/>
    </row>
    <row r="966" spans="13:18" ht="12" x14ac:dyDescent="0.2">
      <c r="M966"/>
      <c r="N966"/>
      <c r="O966"/>
      <c r="P966"/>
      <c r="Q966"/>
      <c r="R966"/>
    </row>
    <row r="967" spans="13:18" ht="12" x14ac:dyDescent="0.2">
      <c r="M967"/>
      <c r="N967"/>
      <c r="O967"/>
      <c r="P967"/>
      <c r="Q967"/>
      <c r="R967"/>
    </row>
    <row r="968" spans="13:18" ht="12" x14ac:dyDescent="0.2">
      <c r="M968"/>
      <c r="N968"/>
      <c r="O968"/>
      <c r="P968"/>
      <c r="Q968"/>
      <c r="R968"/>
    </row>
    <row r="969" spans="13:18" ht="12" x14ac:dyDescent="0.2">
      <c r="M969"/>
      <c r="N969"/>
      <c r="O969"/>
      <c r="P969"/>
      <c r="Q969"/>
      <c r="R969"/>
    </row>
    <row r="970" spans="13:18" ht="12" x14ac:dyDescent="0.2">
      <c r="M970"/>
      <c r="N970"/>
      <c r="O970"/>
      <c r="P970"/>
      <c r="Q970"/>
      <c r="R970"/>
    </row>
    <row r="971" spans="13:18" ht="12" x14ac:dyDescent="0.2">
      <c r="M971"/>
      <c r="N971"/>
      <c r="O971"/>
      <c r="P971"/>
      <c r="Q971"/>
      <c r="R971"/>
    </row>
    <row r="972" spans="13:18" ht="12" x14ac:dyDescent="0.2">
      <c r="M972"/>
      <c r="N972"/>
      <c r="O972"/>
      <c r="P972"/>
      <c r="Q972"/>
      <c r="R972"/>
    </row>
    <row r="973" spans="13:18" ht="12" x14ac:dyDescent="0.2">
      <c r="M973"/>
      <c r="N973"/>
      <c r="O973"/>
      <c r="P973"/>
      <c r="Q973"/>
      <c r="R973"/>
    </row>
    <row r="974" spans="13:18" ht="12" x14ac:dyDescent="0.2">
      <c r="M974"/>
      <c r="N974"/>
      <c r="O974"/>
      <c r="P974"/>
      <c r="Q974"/>
      <c r="R974"/>
    </row>
    <row r="975" spans="13:18" ht="12" x14ac:dyDescent="0.2">
      <c r="M975"/>
      <c r="N975"/>
      <c r="O975"/>
      <c r="P975"/>
      <c r="Q975"/>
      <c r="R975"/>
    </row>
    <row r="976" spans="13:18" ht="12" x14ac:dyDescent="0.2">
      <c r="M976"/>
      <c r="N976"/>
      <c r="O976"/>
      <c r="P976"/>
      <c r="Q976"/>
      <c r="R976"/>
    </row>
    <row r="977" spans="13:18" ht="12" x14ac:dyDescent="0.2">
      <c r="M977"/>
      <c r="N977"/>
      <c r="O977"/>
      <c r="P977"/>
      <c r="Q977"/>
      <c r="R977"/>
    </row>
    <row r="978" spans="13:18" ht="12" x14ac:dyDescent="0.2">
      <c r="M978"/>
      <c r="N978"/>
      <c r="O978"/>
      <c r="P978"/>
      <c r="Q978"/>
      <c r="R978"/>
    </row>
    <row r="979" spans="13:18" ht="12" x14ac:dyDescent="0.2">
      <c r="M979"/>
      <c r="N979"/>
      <c r="O979"/>
      <c r="P979"/>
      <c r="Q979"/>
      <c r="R979"/>
    </row>
    <row r="980" spans="13:18" ht="12" x14ac:dyDescent="0.2">
      <c r="M980"/>
      <c r="N980"/>
      <c r="O980"/>
      <c r="P980"/>
      <c r="Q980"/>
      <c r="R980"/>
    </row>
    <row r="981" spans="13:18" ht="12" x14ac:dyDescent="0.2">
      <c r="M981"/>
      <c r="N981"/>
      <c r="O981"/>
      <c r="P981"/>
      <c r="Q981"/>
      <c r="R981"/>
    </row>
    <row r="982" spans="13:18" ht="12" x14ac:dyDescent="0.2">
      <c r="M982"/>
      <c r="N982"/>
      <c r="O982"/>
      <c r="P982"/>
      <c r="Q982"/>
      <c r="R982"/>
    </row>
    <row r="983" spans="13:18" ht="12" x14ac:dyDescent="0.2">
      <c r="M983"/>
      <c r="N983"/>
      <c r="O983"/>
      <c r="P983"/>
      <c r="Q983"/>
      <c r="R983"/>
    </row>
    <row r="984" spans="13:18" ht="12" x14ac:dyDescent="0.2">
      <c r="M984"/>
      <c r="N984"/>
      <c r="O984"/>
      <c r="P984"/>
      <c r="Q984"/>
      <c r="R984"/>
    </row>
    <row r="985" spans="13:18" ht="12" x14ac:dyDescent="0.2">
      <c r="M985"/>
      <c r="N985"/>
      <c r="O985"/>
      <c r="P985"/>
      <c r="Q985"/>
      <c r="R985"/>
    </row>
    <row r="986" spans="13:18" ht="12" x14ac:dyDescent="0.2">
      <c r="M986"/>
      <c r="N986"/>
      <c r="O986"/>
      <c r="P986"/>
      <c r="Q986"/>
      <c r="R986"/>
    </row>
    <row r="987" spans="13:18" ht="12" x14ac:dyDescent="0.2">
      <c r="M987"/>
      <c r="N987"/>
      <c r="O987"/>
      <c r="P987"/>
      <c r="Q987"/>
      <c r="R987"/>
    </row>
    <row r="988" spans="13:18" ht="12" x14ac:dyDescent="0.2">
      <c r="M988"/>
      <c r="N988"/>
      <c r="O988"/>
      <c r="P988"/>
      <c r="Q988"/>
      <c r="R988"/>
    </row>
    <row r="989" spans="13:18" ht="12" x14ac:dyDescent="0.2">
      <c r="M989"/>
      <c r="N989"/>
      <c r="O989"/>
      <c r="P989"/>
      <c r="Q989"/>
      <c r="R989"/>
    </row>
    <row r="990" spans="13:18" ht="12" x14ac:dyDescent="0.2">
      <c r="M990"/>
      <c r="N990"/>
      <c r="O990"/>
      <c r="P990"/>
      <c r="Q990"/>
      <c r="R990"/>
    </row>
    <row r="991" spans="13:18" ht="12" x14ac:dyDescent="0.2">
      <c r="M991"/>
      <c r="N991"/>
      <c r="O991"/>
      <c r="P991"/>
      <c r="Q991"/>
      <c r="R991"/>
    </row>
    <row r="992" spans="13:18" ht="12" x14ac:dyDescent="0.2">
      <c r="M992"/>
      <c r="N992"/>
      <c r="O992"/>
      <c r="P992"/>
      <c r="Q992"/>
      <c r="R992"/>
    </row>
    <row r="993" spans="13:18" ht="12" x14ac:dyDescent="0.2">
      <c r="M993"/>
      <c r="N993"/>
      <c r="O993"/>
      <c r="P993"/>
      <c r="Q993"/>
      <c r="R993"/>
    </row>
    <row r="994" spans="13:18" ht="12" x14ac:dyDescent="0.2">
      <c r="M994"/>
      <c r="N994"/>
      <c r="O994"/>
      <c r="P994"/>
      <c r="Q994"/>
      <c r="R994"/>
    </row>
    <row r="995" spans="13:18" ht="12" x14ac:dyDescent="0.2">
      <c r="M995"/>
      <c r="N995"/>
      <c r="O995"/>
      <c r="P995"/>
      <c r="Q995"/>
      <c r="R995"/>
    </row>
    <row r="996" spans="13:18" ht="12" x14ac:dyDescent="0.2">
      <c r="M996"/>
      <c r="N996"/>
      <c r="O996"/>
      <c r="P996"/>
      <c r="Q996"/>
      <c r="R996"/>
    </row>
    <row r="997" spans="13:18" ht="12" x14ac:dyDescent="0.2">
      <c r="M997"/>
      <c r="N997"/>
      <c r="O997"/>
      <c r="P997"/>
      <c r="Q997"/>
      <c r="R997"/>
    </row>
    <row r="998" spans="13:18" ht="12" x14ac:dyDescent="0.2">
      <c r="M998"/>
      <c r="N998"/>
      <c r="O998"/>
      <c r="P998"/>
      <c r="Q998"/>
      <c r="R998"/>
    </row>
    <row r="999" spans="13:18" ht="12" x14ac:dyDescent="0.2">
      <c r="M999"/>
      <c r="N999"/>
      <c r="O999"/>
      <c r="P999"/>
      <c r="Q999"/>
      <c r="R999"/>
    </row>
    <row r="1000" spans="13:18" ht="12" x14ac:dyDescent="0.2">
      <c r="M1000"/>
      <c r="N1000"/>
      <c r="O1000"/>
      <c r="P1000"/>
      <c r="Q1000"/>
      <c r="R1000"/>
    </row>
  </sheetData>
  <pageMargins left="0.7" right="0.7" top="0.75" bottom="0.75" header="0.3" footer="0.3"/>
  <pageSetup orientation="portrait" verticalDpi="200" r:id="rId1"/>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
  <dimension ref="B1:CY1276"/>
  <sheetViews>
    <sheetView showGridLines="0" workbookViewId="0"/>
  </sheetViews>
  <sheetFormatPr defaultColWidth="9.33203125" defaultRowHeight="12" x14ac:dyDescent="0.2"/>
  <cols>
    <col min="1" max="1" width="1" customWidth="1"/>
    <col min="2" max="3" width="17.6640625" style="20" customWidth="1"/>
    <col min="4" max="4" width="0.83203125" style="1" customWidth="1"/>
    <col min="5" max="5" width="10.33203125" style="49" customWidth="1"/>
    <col min="6" max="7" width="11.83203125" style="1" customWidth="1"/>
    <col min="8" max="8" width="12" customWidth="1"/>
    <col min="9" max="10" width="14" customWidth="1"/>
    <col min="11" max="11" width="1" customWidth="1"/>
    <col min="12" max="13" width="12.5" style="12" customWidth="1"/>
    <col min="14" max="14" width="14" style="12" customWidth="1"/>
    <col min="15" max="15" width="12.5" style="12" customWidth="1"/>
    <col min="16" max="16" width="0.83203125" customWidth="1"/>
  </cols>
  <sheetData>
    <row r="1" spans="2:103" x14ac:dyDescent="0.2">
      <c r="B1" s="719" t="s">
        <v>619</v>
      </c>
      <c r="CX1">
        <v>1</v>
      </c>
      <c r="CY1">
        <v>1</v>
      </c>
    </row>
    <row r="2" spans="2:103" ht="15" x14ac:dyDescent="0.25">
      <c r="B2" s="717" t="s">
        <v>626</v>
      </c>
      <c r="C2" s="715" t="s">
        <v>207</v>
      </c>
      <c r="E2" s="869"/>
    </row>
    <row r="3" spans="2:103" ht="15" x14ac:dyDescent="0.25">
      <c r="B3" s="718" t="s">
        <v>627</v>
      </c>
      <c r="C3" s="716" t="s">
        <v>209</v>
      </c>
      <c r="E3" s="869"/>
      <c r="F3" s="277"/>
      <c r="G3" s="277"/>
      <c r="H3" s="278"/>
      <c r="I3" s="278"/>
      <c r="J3" s="278"/>
      <c r="K3" s="278"/>
    </row>
    <row r="4" spans="2:103" x14ac:dyDescent="0.2">
      <c r="CX4">
        <v>0</v>
      </c>
    </row>
    <row r="5" spans="2:103" x14ac:dyDescent="0.2">
      <c r="E5" s="720" t="s">
        <v>608</v>
      </c>
      <c r="F5" s="689">
        <f t="shared" ref="F5:J5" si="0">COUNT(F$10:F$109)</f>
        <v>100</v>
      </c>
      <c r="G5" s="689">
        <f t="shared" si="0"/>
        <v>100</v>
      </c>
      <c r="H5" s="690">
        <f t="shared" si="0"/>
        <v>100</v>
      </c>
      <c r="I5" s="690">
        <f t="shared" si="0"/>
        <v>100</v>
      </c>
      <c r="J5" s="691">
        <f t="shared" si="0"/>
        <v>100</v>
      </c>
    </row>
    <row r="6" spans="2:103" ht="15" x14ac:dyDescent="0.25">
      <c r="D6"/>
      <c r="E6" s="721" t="s">
        <v>609</v>
      </c>
      <c r="F6" s="692">
        <f t="shared" ref="F6:J6" si="1">MIN(F$10:F$109)</f>
        <v>0</v>
      </c>
      <c r="G6" s="692">
        <f t="shared" si="1"/>
        <v>0</v>
      </c>
      <c r="H6" s="692">
        <f t="shared" si="1"/>
        <v>-2504.09</v>
      </c>
      <c r="I6" s="692">
        <f t="shared" si="1"/>
        <v>436458.09</v>
      </c>
      <c r="J6" s="693">
        <f t="shared" si="1"/>
        <v>8122385.7699999996</v>
      </c>
      <c r="L6" s="714" t="s">
        <v>618</v>
      </c>
    </row>
    <row r="7" spans="2:103" x14ac:dyDescent="0.2">
      <c r="B7" s="20" t="s">
        <v>625</v>
      </c>
      <c r="D7"/>
      <c r="E7" s="722" t="s">
        <v>610</v>
      </c>
      <c r="F7" s="694">
        <f t="shared" ref="F7:J7" si="2">MAX(F$10:F$109)</f>
        <v>2990</v>
      </c>
      <c r="G7" s="694">
        <f t="shared" si="2"/>
        <v>2760.32</v>
      </c>
      <c r="H7" s="694">
        <f t="shared" si="2"/>
        <v>256.23599999999999</v>
      </c>
      <c r="I7" s="694">
        <f t="shared" si="2"/>
        <v>436490.45</v>
      </c>
      <c r="J7" s="695">
        <f t="shared" si="2"/>
        <v>8123322.6100000003</v>
      </c>
      <c r="L7" s="13"/>
      <c r="M7" s="14"/>
      <c r="N7" s="14" t="s">
        <v>6</v>
      </c>
      <c r="O7" s="15"/>
    </row>
    <row r="8" spans="2:103" ht="15" x14ac:dyDescent="0.25">
      <c r="B8" s="870" t="s">
        <v>615</v>
      </c>
      <c r="C8" s="870" t="s">
        <v>616</v>
      </c>
      <c r="D8"/>
      <c r="E8" s="704" t="s">
        <v>8</v>
      </c>
      <c r="F8" s="687" t="s">
        <v>1</v>
      </c>
      <c r="G8" s="687" t="s">
        <v>2</v>
      </c>
      <c r="H8" s="687" t="s">
        <v>611</v>
      </c>
      <c r="I8" s="687" t="s">
        <v>612</v>
      </c>
      <c r="J8" s="688" t="s">
        <v>613</v>
      </c>
      <c r="L8" s="16" t="s">
        <v>1</v>
      </c>
      <c r="M8" s="17" t="s">
        <v>2</v>
      </c>
      <c r="N8" s="17" t="s">
        <v>3</v>
      </c>
      <c r="O8" s="18" t="s">
        <v>4</v>
      </c>
    </row>
    <row r="9" spans="2:103" x14ac:dyDescent="0.2">
      <c r="B9" s="870"/>
      <c r="C9" s="870"/>
      <c r="D9"/>
      <c r="E9" s="705" t="s">
        <v>614</v>
      </c>
      <c r="F9" s="28" t="s">
        <v>0</v>
      </c>
      <c r="G9" s="28" t="s">
        <v>0</v>
      </c>
      <c r="H9" s="28" t="s">
        <v>0</v>
      </c>
      <c r="I9" s="28" t="s">
        <v>0</v>
      </c>
      <c r="J9" s="29" t="s">
        <v>0</v>
      </c>
      <c r="L9" s="847" t="s">
        <v>705</v>
      </c>
      <c r="M9" s="848" t="s">
        <v>705</v>
      </c>
      <c r="N9" s="848" t="s">
        <v>705</v>
      </c>
      <c r="O9" s="849" t="s">
        <v>5</v>
      </c>
    </row>
    <row r="10" spans="2:103" x14ac:dyDescent="0.2">
      <c r="B10" s="685" t="s">
        <v>626</v>
      </c>
      <c r="C10" s="685" t="s">
        <v>629</v>
      </c>
      <c r="D10" s="8"/>
      <c r="E10" s="61">
        <v>1</v>
      </c>
      <c r="F10" s="686">
        <v>0</v>
      </c>
      <c r="G10" s="686">
        <v>0</v>
      </c>
      <c r="H10" s="56">
        <v>256.23599999999999</v>
      </c>
      <c r="I10" s="56">
        <v>436458.62</v>
      </c>
      <c r="J10" s="56">
        <v>8123322.6100000003</v>
      </c>
      <c r="K10" s="78"/>
      <c r="L10" s="706">
        <v>0</v>
      </c>
      <c r="M10" s="63">
        <v>0</v>
      </c>
      <c r="N10" s="63">
        <v>0</v>
      </c>
      <c r="O10" s="707">
        <v>0</v>
      </c>
    </row>
    <row r="11" spans="2:103" x14ac:dyDescent="0.2">
      <c r="B11" s="685"/>
      <c r="C11" s="685" t="s">
        <v>628</v>
      </c>
      <c r="D11" s="8"/>
      <c r="E11" s="61">
        <v>2</v>
      </c>
      <c r="F11" s="686">
        <v>30.48</v>
      </c>
      <c r="G11" s="686">
        <v>30.48</v>
      </c>
      <c r="H11" s="56">
        <v>225.756</v>
      </c>
      <c r="I11" s="56">
        <v>436458.62</v>
      </c>
      <c r="J11" s="56">
        <v>8123322.6100000003</v>
      </c>
      <c r="K11" s="78"/>
      <c r="L11" s="708">
        <v>2900</v>
      </c>
      <c r="M11" s="19">
        <v>2899.86</v>
      </c>
      <c r="N11" s="19">
        <v>28.495269782891466</v>
      </c>
      <c r="O11" s="709">
        <v>0.5629948164904629</v>
      </c>
    </row>
    <row r="12" spans="2:103" x14ac:dyDescent="0.2">
      <c r="B12" s="685"/>
      <c r="C12" s="685" t="s">
        <v>627</v>
      </c>
      <c r="D12" s="8"/>
      <c r="E12" s="61">
        <v>3</v>
      </c>
      <c r="F12" s="686">
        <v>60.96</v>
      </c>
      <c r="G12" s="686">
        <v>60.96</v>
      </c>
      <c r="H12" s="56">
        <v>195.27600000000001</v>
      </c>
      <c r="I12" s="686">
        <v>436458.61</v>
      </c>
      <c r="J12" s="56">
        <v>8123322.5899999999</v>
      </c>
      <c r="K12" s="78"/>
      <c r="L12" s="708">
        <v>3000</v>
      </c>
      <c r="M12" s="19">
        <v>2999.5</v>
      </c>
      <c r="N12" s="19">
        <v>36.972910964257885</v>
      </c>
      <c r="O12" s="709">
        <v>4.8631678023429483</v>
      </c>
    </row>
    <row r="13" spans="2:103" x14ac:dyDescent="0.2">
      <c r="B13" s="685"/>
      <c r="C13" s="685"/>
      <c r="D13" s="8"/>
      <c r="E13" s="61">
        <v>4</v>
      </c>
      <c r="F13" s="686">
        <v>91.44</v>
      </c>
      <c r="G13" s="686">
        <v>91.44</v>
      </c>
      <c r="H13" s="56">
        <v>164.79599999999999</v>
      </c>
      <c r="I13" s="686">
        <v>436458.61</v>
      </c>
      <c r="J13" s="56">
        <v>8123322.5700000003</v>
      </c>
      <c r="K13" s="78"/>
      <c r="L13" s="708">
        <v>3100</v>
      </c>
      <c r="M13" s="19">
        <v>3098.74</v>
      </c>
      <c r="N13" s="19">
        <v>49.278291901067654</v>
      </c>
      <c r="O13" s="709">
        <v>7.0683795805168073</v>
      </c>
    </row>
    <row r="14" spans="2:103" x14ac:dyDescent="0.2">
      <c r="B14" s="685"/>
      <c r="C14" s="685"/>
      <c r="D14" s="8"/>
      <c r="E14" s="61">
        <v>5</v>
      </c>
      <c r="F14" s="686">
        <v>121.92</v>
      </c>
      <c r="G14" s="686">
        <v>121.92</v>
      </c>
      <c r="H14" s="56">
        <v>134.316</v>
      </c>
      <c r="I14" s="56">
        <v>436458.61</v>
      </c>
      <c r="J14" s="56">
        <v>8123322.54</v>
      </c>
      <c r="K14" s="8"/>
      <c r="L14" s="708">
        <v>3200</v>
      </c>
      <c r="M14" s="19">
        <v>3197.44</v>
      </c>
      <c r="N14" s="19">
        <v>65.350317286811645</v>
      </c>
      <c r="O14" s="709">
        <v>9.2487047910289171</v>
      </c>
    </row>
    <row r="15" spans="2:103" x14ac:dyDescent="0.2">
      <c r="B15" s="685"/>
      <c r="C15" s="685"/>
      <c r="D15" s="8"/>
      <c r="E15" s="61">
        <v>6</v>
      </c>
      <c r="F15" s="686">
        <v>152.4</v>
      </c>
      <c r="G15" s="686">
        <v>152.399</v>
      </c>
      <c r="H15" s="56">
        <v>103.836</v>
      </c>
      <c r="I15" s="56">
        <v>436458.6</v>
      </c>
      <c r="J15" s="56">
        <v>8123322.4900000002</v>
      </c>
      <c r="K15" s="78"/>
      <c r="L15" s="708">
        <v>3300</v>
      </c>
      <c r="M15" s="19">
        <v>3295.6</v>
      </c>
      <c r="N15" s="19">
        <v>84.445196181426297</v>
      </c>
      <c r="O15" s="709">
        <v>11.008159607400769</v>
      </c>
    </row>
    <row r="16" spans="2:103" x14ac:dyDescent="0.2">
      <c r="B16" s="685"/>
      <c r="C16" s="685"/>
      <c r="D16" s="8"/>
      <c r="E16" s="61">
        <v>7</v>
      </c>
      <c r="F16" s="686">
        <v>182.88</v>
      </c>
      <c r="G16" s="686">
        <v>182.87899999999999</v>
      </c>
      <c r="H16" s="56">
        <v>73.355999999999995</v>
      </c>
      <c r="I16" s="686">
        <v>436458.59</v>
      </c>
      <c r="J16" s="56">
        <v>8123322.4400000004</v>
      </c>
      <c r="K16" s="78"/>
      <c r="L16" s="708">
        <v>3399.97</v>
      </c>
      <c r="M16" s="19">
        <v>3393.08</v>
      </c>
      <c r="N16" s="19">
        <v>106.61838945618936</v>
      </c>
      <c r="O16" s="709">
        <v>12.814687914992376</v>
      </c>
    </row>
    <row r="17" spans="2:15" x14ac:dyDescent="0.2">
      <c r="B17" s="685"/>
      <c r="C17" s="685"/>
      <c r="D17" s="8"/>
      <c r="E17" s="61">
        <v>8</v>
      </c>
      <c r="F17" s="686">
        <v>213.36</v>
      </c>
      <c r="G17" s="686">
        <v>213.35900000000001</v>
      </c>
      <c r="H17" s="56">
        <v>42.875999999999998</v>
      </c>
      <c r="I17" s="686">
        <v>436458.58</v>
      </c>
      <c r="J17" s="56">
        <v>8123322.3799999999</v>
      </c>
      <c r="K17" s="78"/>
      <c r="L17" s="708">
        <v>3500</v>
      </c>
      <c r="M17" s="19">
        <v>3489.63</v>
      </c>
      <c r="N17" s="19">
        <v>132.7736642587985</v>
      </c>
      <c r="O17" s="709">
        <v>15.157560224766787</v>
      </c>
    </row>
    <row r="18" spans="2:15" x14ac:dyDescent="0.2">
      <c r="B18" s="685"/>
      <c r="C18" s="685"/>
      <c r="D18" s="8"/>
      <c r="E18" s="61">
        <v>9</v>
      </c>
      <c r="F18" s="686">
        <v>243.84</v>
      </c>
      <c r="G18" s="686">
        <v>243.839</v>
      </c>
      <c r="H18" s="56">
        <v>12.396000000000001</v>
      </c>
      <c r="I18" s="56">
        <v>436458.57</v>
      </c>
      <c r="J18" s="56">
        <v>8123322.2999999998</v>
      </c>
      <c r="K18" s="8"/>
      <c r="L18" s="708">
        <v>3600</v>
      </c>
      <c r="M18" s="19">
        <v>3585.27</v>
      </c>
      <c r="N18" s="19">
        <v>161.9796636424868</v>
      </c>
      <c r="O18" s="709">
        <v>16.981325170051566</v>
      </c>
    </row>
    <row r="19" spans="2:15" x14ac:dyDescent="0.2">
      <c r="B19" s="685"/>
      <c r="C19" s="685"/>
      <c r="D19" s="8"/>
      <c r="E19" s="61">
        <v>10</v>
      </c>
      <c r="F19" s="686">
        <v>274.32</v>
      </c>
      <c r="G19" s="686">
        <v>274.31900000000002</v>
      </c>
      <c r="H19" s="56">
        <v>-18.084</v>
      </c>
      <c r="I19" s="56">
        <v>436458.56</v>
      </c>
      <c r="J19" s="56">
        <v>8123322.2199999997</v>
      </c>
      <c r="K19" s="78"/>
      <c r="L19" s="708">
        <v>3700</v>
      </c>
      <c r="M19" s="19">
        <v>3679.63</v>
      </c>
      <c r="N19" s="19">
        <v>195.08842985326547</v>
      </c>
      <c r="O19" s="709">
        <v>19.3348054458645</v>
      </c>
    </row>
    <row r="20" spans="2:15" x14ac:dyDescent="0.2">
      <c r="B20" s="685"/>
      <c r="C20" s="685"/>
      <c r="D20" s="8"/>
      <c r="E20" s="61">
        <v>11</v>
      </c>
      <c r="F20" s="686">
        <v>304.8</v>
      </c>
      <c r="G20" s="686">
        <v>304.79899999999998</v>
      </c>
      <c r="H20" s="56">
        <v>-48.564</v>
      </c>
      <c r="I20" s="56">
        <v>436458.55</v>
      </c>
      <c r="J20" s="56">
        <v>8123322.1299999999</v>
      </c>
      <c r="K20" s="78"/>
      <c r="L20" s="708">
        <v>3800</v>
      </c>
      <c r="M20" s="19">
        <v>3772.51</v>
      </c>
      <c r="N20" s="19">
        <v>232.14656796083909</v>
      </c>
      <c r="O20" s="709">
        <v>21.751477022198124</v>
      </c>
    </row>
    <row r="21" spans="2:15" x14ac:dyDescent="0.2">
      <c r="B21" s="685"/>
      <c r="C21" s="685"/>
      <c r="D21" s="8"/>
      <c r="E21" s="61">
        <v>12</v>
      </c>
      <c r="F21" s="686">
        <v>335.28</v>
      </c>
      <c r="G21" s="686">
        <v>335.279</v>
      </c>
      <c r="H21" s="56">
        <v>-79.043000000000006</v>
      </c>
      <c r="I21" s="56">
        <v>436458.53</v>
      </c>
      <c r="J21" s="56">
        <v>8123322.0300000003</v>
      </c>
      <c r="K21" s="78"/>
      <c r="L21" s="708">
        <v>3900</v>
      </c>
      <c r="M21" s="19">
        <v>3863.91</v>
      </c>
      <c r="N21" s="19">
        <v>272.71798647190423</v>
      </c>
      <c r="O21" s="709">
        <v>23.935889397688797</v>
      </c>
    </row>
    <row r="22" spans="2:15" x14ac:dyDescent="0.2">
      <c r="B22" s="685"/>
      <c r="C22" s="685"/>
      <c r="D22" s="8"/>
      <c r="E22" s="61">
        <v>13</v>
      </c>
      <c r="F22" s="686">
        <v>365.76</v>
      </c>
      <c r="G22" s="686">
        <v>365.75900000000001</v>
      </c>
      <c r="H22" s="56">
        <v>-109.523</v>
      </c>
      <c r="I22" s="56">
        <v>436458.52</v>
      </c>
      <c r="J22" s="56">
        <v>8123321.9199999999</v>
      </c>
      <c r="K22" s="78"/>
      <c r="L22" s="708">
        <v>4000</v>
      </c>
      <c r="M22" s="19">
        <v>3953.71</v>
      </c>
      <c r="N22" s="19">
        <v>316.71753192410182</v>
      </c>
      <c r="O22" s="709">
        <v>26.103591118375988</v>
      </c>
    </row>
    <row r="23" spans="2:15" x14ac:dyDescent="0.2">
      <c r="B23" s="685"/>
      <c r="C23" s="685"/>
      <c r="D23" s="8"/>
      <c r="E23" s="61">
        <v>14</v>
      </c>
      <c r="F23" s="686">
        <v>396.24</v>
      </c>
      <c r="G23" s="686">
        <v>396.238</v>
      </c>
      <c r="H23" s="56">
        <v>-140.00200000000001</v>
      </c>
      <c r="I23" s="56">
        <v>436458.5</v>
      </c>
      <c r="J23" s="56">
        <v>8123321.7999999998</v>
      </c>
      <c r="K23" s="78"/>
      <c r="L23" s="708">
        <v>6500</v>
      </c>
      <c r="M23" s="19">
        <v>6176.54</v>
      </c>
      <c r="N23" s="19">
        <v>1460.8446188772953</v>
      </c>
      <c r="O23" s="709">
        <v>27.235623746218462</v>
      </c>
    </row>
    <row r="24" spans="2:15" x14ac:dyDescent="0.2">
      <c r="B24" s="685"/>
      <c r="C24" s="685"/>
      <c r="D24" s="8"/>
      <c r="E24" s="61">
        <v>15</v>
      </c>
      <c r="F24" s="686">
        <v>426.72</v>
      </c>
      <c r="G24" s="686">
        <v>426.71800000000002</v>
      </c>
      <c r="H24" s="56">
        <v>-170.482</v>
      </c>
      <c r="I24" s="56">
        <v>436458.48</v>
      </c>
      <c r="J24" s="56">
        <v>8123321.6699999999</v>
      </c>
      <c r="K24" s="78"/>
      <c r="L24" s="708">
        <v>8099.97</v>
      </c>
      <c r="M24" s="19">
        <v>7588.09</v>
      </c>
      <c r="N24" s="19">
        <v>2214.1245126750787</v>
      </c>
      <c r="O24" s="709">
        <v>28.08680779373168</v>
      </c>
    </row>
    <row r="25" spans="2:15" x14ac:dyDescent="0.2">
      <c r="B25" s="685"/>
      <c r="C25" s="685"/>
      <c r="D25" s="8"/>
      <c r="E25" s="61">
        <v>16</v>
      </c>
      <c r="F25" s="686">
        <v>457.2</v>
      </c>
      <c r="G25" s="686">
        <v>457.19799999999998</v>
      </c>
      <c r="H25" s="56">
        <v>-200.96199999999999</v>
      </c>
      <c r="I25" s="56">
        <v>436458.46</v>
      </c>
      <c r="J25" s="56">
        <v>8123321.5300000003</v>
      </c>
      <c r="K25" s="78"/>
      <c r="L25" s="708">
        <v>9400</v>
      </c>
      <c r="M25" s="19">
        <v>8704.33</v>
      </c>
      <c r="N25" s="19">
        <v>2880.5224893376731</v>
      </c>
      <c r="O25" s="709">
        <v>30.837303536436497</v>
      </c>
    </row>
    <row r="26" spans="2:15" x14ac:dyDescent="0.2">
      <c r="B26" s="685"/>
      <c r="C26" s="685"/>
      <c r="D26" s="8"/>
      <c r="E26" s="61">
        <v>17</v>
      </c>
      <c r="F26" s="686">
        <v>487.68</v>
      </c>
      <c r="G26" s="686">
        <v>487.67700000000002</v>
      </c>
      <c r="H26" s="56">
        <v>-231.441</v>
      </c>
      <c r="I26" s="56">
        <v>436458.43</v>
      </c>
      <c r="J26" s="56">
        <v>8123321.3799999999</v>
      </c>
      <c r="K26" s="78"/>
      <c r="L26" s="708">
        <v>9800</v>
      </c>
      <c r="M26" s="19">
        <v>9047.77</v>
      </c>
      <c r="N26" s="19">
        <v>3085.5809356401846</v>
      </c>
      <c r="O26" s="709">
        <v>30.840247479437657</v>
      </c>
    </row>
    <row r="27" spans="2:15" x14ac:dyDescent="0.2">
      <c r="B27" s="685"/>
      <c r="C27" s="685"/>
      <c r="D27" s="8"/>
      <c r="E27" s="61">
        <v>18</v>
      </c>
      <c r="F27" s="686">
        <v>518.16</v>
      </c>
      <c r="G27" s="686">
        <v>518.15700000000004</v>
      </c>
      <c r="H27" s="56">
        <v>-261.92099999999999</v>
      </c>
      <c r="I27" s="56">
        <v>436458.41</v>
      </c>
      <c r="J27" s="56">
        <v>8123321.2300000004</v>
      </c>
      <c r="K27" s="78"/>
      <c r="L27" s="708">
        <v>9809.7099999999991</v>
      </c>
      <c r="M27" s="19">
        <v>9056.17</v>
      </c>
      <c r="N27" s="19">
        <v>3090.4516748038022</v>
      </c>
      <c r="O27" s="709">
        <v>30.107297478977632</v>
      </c>
    </row>
    <row r="28" spans="2:15" x14ac:dyDescent="0.2">
      <c r="B28" s="685"/>
      <c r="C28" s="685"/>
      <c r="D28" s="8"/>
      <c r="E28" s="61">
        <v>19</v>
      </c>
      <c r="F28" s="686">
        <v>548.64</v>
      </c>
      <c r="G28" s="686">
        <v>548.63699999999994</v>
      </c>
      <c r="H28" s="56">
        <v>-292.40100000000001</v>
      </c>
      <c r="I28" s="56">
        <v>436458.39</v>
      </c>
      <c r="J28" s="56">
        <v>8123321.0599999996</v>
      </c>
      <c r="K28" s="78"/>
      <c r="L28" s="708"/>
      <c r="M28" s="19"/>
      <c r="N28" s="19"/>
      <c r="O28" s="709"/>
    </row>
    <row r="29" spans="2:15" x14ac:dyDescent="0.2">
      <c r="B29" s="685"/>
      <c r="C29" s="685"/>
      <c r="D29" s="8"/>
      <c r="E29" s="61">
        <v>20</v>
      </c>
      <c r="F29" s="686">
        <v>579.12</v>
      </c>
      <c r="G29" s="686">
        <v>579.11599999999999</v>
      </c>
      <c r="H29" s="56">
        <v>-322.88</v>
      </c>
      <c r="I29" s="56">
        <v>436458.36</v>
      </c>
      <c r="J29" s="56">
        <v>8123320.8799999999</v>
      </c>
      <c r="K29" s="56"/>
      <c r="L29" s="710"/>
      <c r="M29" s="711"/>
      <c r="N29" s="712"/>
      <c r="O29" s="713"/>
    </row>
    <row r="30" spans="2:15" x14ac:dyDescent="0.2">
      <c r="B30" s="685"/>
      <c r="C30" s="685"/>
      <c r="D30" s="8"/>
      <c r="E30" s="61">
        <v>21</v>
      </c>
      <c r="F30" s="686">
        <v>609.6</v>
      </c>
      <c r="G30" s="686">
        <v>609.59500000000003</v>
      </c>
      <c r="H30" s="56">
        <v>-353.35899999999998</v>
      </c>
      <c r="I30" s="56">
        <v>436458.33</v>
      </c>
      <c r="J30" s="56">
        <v>8123320.6900000004</v>
      </c>
      <c r="L30" s="19"/>
      <c r="M30" s="19"/>
      <c r="N30" s="19"/>
      <c r="O30" s="703"/>
    </row>
    <row r="31" spans="2:15" x14ac:dyDescent="0.2">
      <c r="B31" s="685"/>
      <c r="C31" s="685"/>
      <c r="D31" s="8"/>
      <c r="E31" s="61">
        <v>22</v>
      </c>
      <c r="F31" s="686">
        <v>640.08000000000004</v>
      </c>
      <c r="G31" s="686">
        <v>640.07500000000005</v>
      </c>
      <c r="H31" s="56">
        <v>-383.839</v>
      </c>
      <c r="I31" s="56">
        <v>436458.3</v>
      </c>
      <c r="J31" s="56">
        <v>8123320.4900000002</v>
      </c>
    </row>
    <row r="32" spans="2:15" x14ac:dyDescent="0.2">
      <c r="B32" s="685"/>
      <c r="C32" s="685"/>
      <c r="D32" s="8"/>
      <c r="E32" s="61">
        <v>23</v>
      </c>
      <c r="F32" s="686">
        <v>670.56</v>
      </c>
      <c r="G32" s="686">
        <v>670.55399999999997</v>
      </c>
      <c r="H32" s="56">
        <v>-414.31799999999998</v>
      </c>
      <c r="I32" s="56">
        <v>436458.27</v>
      </c>
      <c r="J32" s="56">
        <v>8123320.2800000003</v>
      </c>
    </row>
    <row r="33" spans="2:10" x14ac:dyDescent="0.2">
      <c r="B33" s="685"/>
      <c r="C33" s="685"/>
      <c r="D33" s="8"/>
      <c r="E33" s="61">
        <v>24</v>
      </c>
      <c r="F33" s="686">
        <v>701.04</v>
      </c>
      <c r="G33" s="686">
        <v>701.03300000000002</v>
      </c>
      <c r="H33" s="56">
        <v>-444.79700000000003</v>
      </c>
      <c r="I33" s="56">
        <v>436458.23999999999</v>
      </c>
      <c r="J33" s="56">
        <v>8123320.0599999996</v>
      </c>
    </row>
    <row r="34" spans="2:10" x14ac:dyDescent="0.2">
      <c r="B34" s="685"/>
      <c r="C34" s="685"/>
      <c r="D34" s="8"/>
      <c r="E34" s="61">
        <v>25</v>
      </c>
      <c r="F34" s="686">
        <v>731.52</v>
      </c>
      <c r="G34" s="686">
        <v>731.51199999999994</v>
      </c>
      <c r="H34" s="56">
        <v>-475.27600000000001</v>
      </c>
      <c r="I34" s="56">
        <v>436458.2</v>
      </c>
      <c r="J34" s="56">
        <v>8123319.8300000001</v>
      </c>
    </row>
    <row r="35" spans="2:10" x14ac:dyDescent="0.2">
      <c r="B35" s="685"/>
      <c r="C35" s="685"/>
      <c r="D35" s="8"/>
      <c r="E35" s="61">
        <v>26</v>
      </c>
      <c r="F35" s="686">
        <v>762</v>
      </c>
      <c r="G35" s="686">
        <v>761.99099999999999</v>
      </c>
      <c r="H35" s="56">
        <v>-505.755</v>
      </c>
      <c r="I35" s="56">
        <v>436458.17</v>
      </c>
      <c r="J35" s="56">
        <v>8123319.5899999999</v>
      </c>
    </row>
    <row r="36" spans="2:10" x14ac:dyDescent="0.2">
      <c r="B36" s="685"/>
      <c r="C36" s="685"/>
      <c r="D36" s="8"/>
      <c r="E36" s="61">
        <v>27</v>
      </c>
      <c r="F36" s="686">
        <v>792.48</v>
      </c>
      <c r="G36" s="686">
        <v>792.47</v>
      </c>
      <c r="H36" s="56">
        <v>-536.23400000000004</v>
      </c>
      <c r="I36" s="56">
        <v>436458.13</v>
      </c>
      <c r="J36" s="56">
        <v>8123319.3399999999</v>
      </c>
    </row>
    <row r="37" spans="2:10" x14ac:dyDescent="0.2">
      <c r="B37" s="685"/>
      <c r="C37" s="685"/>
      <c r="D37" s="8"/>
      <c r="E37" s="61">
        <v>28</v>
      </c>
      <c r="F37" s="686">
        <v>822.96</v>
      </c>
      <c r="G37" s="686">
        <v>822.94899999999996</v>
      </c>
      <c r="H37" s="56">
        <v>-566.71299999999997</v>
      </c>
      <c r="I37" s="56">
        <v>436458.09</v>
      </c>
      <c r="J37" s="56">
        <v>8123319.0700000003</v>
      </c>
    </row>
    <row r="38" spans="2:10" x14ac:dyDescent="0.2">
      <c r="B38" s="685"/>
      <c r="C38" s="685"/>
      <c r="D38" s="8"/>
      <c r="E38" s="61">
        <v>29</v>
      </c>
      <c r="F38" s="686">
        <v>853.44</v>
      </c>
      <c r="G38" s="686">
        <v>853.42600000000004</v>
      </c>
      <c r="H38" s="56">
        <v>-597.19000000000005</v>
      </c>
      <c r="I38" s="56">
        <v>436458.09</v>
      </c>
      <c r="J38" s="56">
        <v>8123318.6299999999</v>
      </c>
    </row>
    <row r="39" spans="2:10" x14ac:dyDescent="0.2">
      <c r="B39" s="685"/>
      <c r="C39" s="685"/>
      <c r="D39" s="8"/>
      <c r="E39" s="61">
        <v>30</v>
      </c>
      <c r="F39" s="686">
        <v>883.92</v>
      </c>
      <c r="G39" s="686">
        <v>883.87599999999998</v>
      </c>
      <c r="H39" s="56">
        <v>-627.64</v>
      </c>
      <c r="I39" s="56">
        <v>436458.19</v>
      </c>
      <c r="J39" s="56">
        <v>8123317.3399999999</v>
      </c>
    </row>
    <row r="40" spans="2:10" x14ac:dyDescent="0.2">
      <c r="B40" s="685"/>
      <c r="C40" s="685"/>
      <c r="D40" s="8"/>
      <c r="E40" s="61">
        <v>31</v>
      </c>
      <c r="F40" s="686">
        <v>914.4</v>
      </c>
      <c r="G40" s="686">
        <v>914.24900000000002</v>
      </c>
      <c r="H40" s="56">
        <v>-658.01300000000003</v>
      </c>
      <c r="I40" s="56">
        <v>436458.45</v>
      </c>
      <c r="J40" s="56">
        <v>8123314.8200000003</v>
      </c>
    </row>
    <row r="41" spans="2:10" x14ac:dyDescent="0.2">
      <c r="B41" s="685"/>
      <c r="C41" s="685"/>
      <c r="D41" s="8"/>
      <c r="E41" s="61">
        <v>32</v>
      </c>
      <c r="F41" s="686">
        <v>944.88</v>
      </c>
      <c r="G41" s="686">
        <v>944.49599999999998</v>
      </c>
      <c r="H41" s="56">
        <v>-688.26</v>
      </c>
      <c r="I41" s="56">
        <v>436458.86</v>
      </c>
      <c r="J41" s="56">
        <v>8123311.0999999996</v>
      </c>
    </row>
    <row r="42" spans="2:10" x14ac:dyDescent="0.2">
      <c r="B42" s="685"/>
      <c r="C42" s="685"/>
      <c r="D42" s="8"/>
      <c r="E42" s="61">
        <v>33</v>
      </c>
      <c r="F42" s="686">
        <v>975.36</v>
      </c>
      <c r="G42" s="686">
        <v>974.58100000000002</v>
      </c>
      <c r="H42" s="56">
        <v>-718.34500000000003</v>
      </c>
      <c r="I42" s="56">
        <v>436459.32</v>
      </c>
      <c r="J42" s="56">
        <v>8123306.2400000002</v>
      </c>
    </row>
    <row r="43" spans="2:10" x14ac:dyDescent="0.2">
      <c r="B43" s="685"/>
      <c r="C43" s="685"/>
      <c r="D43" s="8"/>
      <c r="E43" s="61">
        <v>34</v>
      </c>
      <c r="F43" s="686">
        <v>1005.84</v>
      </c>
      <c r="G43" s="686">
        <v>1004.5</v>
      </c>
      <c r="H43" s="56">
        <v>-748.27</v>
      </c>
      <c r="I43" s="56">
        <v>436459.72</v>
      </c>
      <c r="J43" s="56">
        <v>8123300.4699999997</v>
      </c>
    </row>
    <row r="44" spans="2:10" x14ac:dyDescent="0.2">
      <c r="B44" s="685"/>
      <c r="C44" s="685"/>
      <c r="D44" s="8"/>
      <c r="E44" s="61">
        <v>35</v>
      </c>
      <c r="F44" s="686">
        <v>1036.31</v>
      </c>
      <c r="G44" s="686">
        <v>1034.21</v>
      </c>
      <c r="H44" s="56">
        <v>-777.97500000000002</v>
      </c>
      <c r="I44" s="56">
        <v>436460.06</v>
      </c>
      <c r="J44" s="56">
        <v>8123293.6600000001</v>
      </c>
    </row>
    <row r="45" spans="2:10" x14ac:dyDescent="0.2">
      <c r="B45" s="685"/>
      <c r="C45" s="685"/>
      <c r="D45" s="8"/>
      <c r="E45" s="61">
        <v>36</v>
      </c>
      <c r="F45" s="686">
        <v>1066.8</v>
      </c>
      <c r="G45" s="686">
        <v>1063.6400000000001</v>
      </c>
      <c r="H45" s="56">
        <v>-807.40700000000004</v>
      </c>
      <c r="I45" s="56">
        <v>436460.45</v>
      </c>
      <c r="J45" s="56">
        <v>8123285.75</v>
      </c>
    </row>
    <row r="46" spans="2:10" x14ac:dyDescent="0.2">
      <c r="B46" s="685"/>
      <c r="C46" s="685"/>
      <c r="D46" s="8"/>
      <c r="E46" s="61">
        <v>37</v>
      </c>
      <c r="F46" s="686">
        <v>1097.28</v>
      </c>
      <c r="G46" s="686">
        <v>1092.79</v>
      </c>
      <c r="H46" s="56">
        <v>-836.55399999999997</v>
      </c>
      <c r="I46" s="56">
        <v>436460.85</v>
      </c>
      <c r="J46" s="56">
        <v>8123276.8499999996</v>
      </c>
    </row>
    <row r="47" spans="2:10" x14ac:dyDescent="0.2">
      <c r="B47" s="685"/>
      <c r="C47" s="685"/>
      <c r="D47" s="8"/>
      <c r="E47" s="61">
        <v>38</v>
      </c>
      <c r="F47" s="686">
        <v>1127.76</v>
      </c>
      <c r="G47" s="686">
        <v>1121.55</v>
      </c>
      <c r="H47" s="56">
        <v>-865.32299999999998</v>
      </c>
      <c r="I47" s="56">
        <v>436461.1</v>
      </c>
      <c r="J47" s="56">
        <v>8123266.79</v>
      </c>
    </row>
    <row r="48" spans="2:10" x14ac:dyDescent="0.2">
      <c r="B48" s="685"/>
      <c r="C48" s="685"/>
      <c r="D48" s="8"/>
      <c r="E48" s="61">
        <v>39</v>
      </c>
      <c r="F48" s="686">
        <v>1158.24</v>
      </c>
      <c r="G48" s="686">
        <v>1149.8599999999999</v>
      </c>
      <c r="H48" s="56">
        <v>-893.63300000000004</v>
      </c>
      <c r="I48" s="56">
        <v>436461.16</v>
      </c>
      <c r="J48" s="56">
        <v>8123255.5</v>
      </c>
    </row>
    <row r="49" spans="2:10" x14ac:dyDescent="0.2">
      <c r="B49" s="685"/>
      <c r="C49" s="685"/>
      <c r="D49" s="8"/>
      <c r="E49" s="61">
        <v>40</v>
      </c>
      <c r="F49" s="686">
        <v>1188.72</v>
      </c>
      <c r="G49" s="686">
        <v>1177.72</v>
      </c>
      <c r="H49" s="56">
        <v>-921.48900000000003</v>
      </c>
      <c r="I49" s="56">
        <v>436461.11</v>
      </c>
      <c r="J49" s="56">
        <v>8123243.1299999999</v>
      </c>
    </row>
    <row r="50" spans="2:10" x14ac:dyDescent="0.2">
      <c r="B50" s="685"/>
      <c r="C50" s="685"/>
      <c r="D50" s="8"/>
      <c r="E50" s="61">
        <v>41</v>
      </c>
      <c r="F50" s="686">
        <v>1219.2</v>
      </c>
      <c r="G50" s="686">
        <v>1205.0899999999999</v>
      </c>
      <c r="H50" s="56">
        <v>-948.85699999999997</v>
      </c>
      <c r="I50" s="56">
        <v>436460.94</v>
      </c>
      <c r="J50" s="56">
        <v>8123229.7199999997</v>
      </c>
    </row>
    <row r="51" spans="2:10" x14ac:dyDescent="0.2">
      <c r="B51" s="685"/>
      <c r="C51" s="685"/>
      <c r="D51" s="8"/>
      <c r="E51" s="61">
        <v>42</v>
      </c>
      <c r="F51" s="686">
        <v>1249.68</v>
      </c>
      <c r="G51" s="686">
        <v>1232.2</v>
      </c>
      <c r="H51" s="56">
        <v>-975.97299999999996</v>
      </c>
      <c r="I51" s="56">
        <v>436460.75</v>
      </c>
      <c r="J51" s="56">
        <v>8123215.7999999998</v>
      </c>
    </row>
    <row r="52" spans="2:10" x14ac:dyDescent="0.2">
      <c r="B52" s="685"/>
      <c r="C52" s="685"/>
      <c r="D52" s="8"/>
      <c r="E52" s="61">
        <v>43</v>
      </c>
      <c r="F52" s="686">
        <v>1280.1600000000001</v>
      </c>
      <c r="G52" s="686">
        <v>1259.28</v>
      </c>
      <c r="H52" s="56">
        <v>-1003.05</v>
      </c>
      <c r="I52" s="56">
        <v>436460.63</v>
      </c>
      <c r="J52" s="56">
        <v>8123201.8099999996</v>
      </c>
    </row>
    <row r="53" spans="2:10" x14ac:dyDescent="0.2">
      <c r="B53" s="685"/>
      <c r="C53" s="685"/>
      <c r="D53" s="8"/>
      <c r="E53" s="61">
        <v>44</v>
      </c>
      <c r="F53" s="686">
        <v>1310.6400000000001</v>
      </c>
      <c r="G53" s="686">
        <v>1286.31</v>
      </c>
      <c r="H53" s="56">
        <v>-1030.07</v>
      </c>
      <c r="I53" s="56">
        <v>436460.56</v>
      </c>
      <c r="J53" s="56">
        <v>8123187.7199999997</v>
      </c>
    </row>
    <row r="54" spans="2:10" x14ac:dyDescent="0.2">
      <c r="B54" s="685"/>
      <c r="C54" s="685"/>
      <c r="D54" s="8"/>
      <c r="E54" s="61">
        <v>45</v>
      </c>
      <c r="F54" s="686">
        <v>1341.12</v>
      </c>
      <c r="G54" s="686">
        <v>1313.41</v>
      </c>
      <c r="H54" s="56">
        <v>-1057.18</v>
      </c>
      <c r="I54" s="56">
        <v>436460.54</v>
      </c>
      <c r="J54" s="56">
        <v>8123173.7699999996</v>
      </c>
    </row>
    <row r="55" spans="2:10" x14ac:dyDescent="0.2">
      <c r="B55" s="685"/>
      <c r="C55" s="685"/>
      <c r="D55" s="8"/>
      <c r="E55" s="61">
        <v>46</v>
      </c>
      <c r="F55" s="686">
        <v>1371.6</v>
      </c>
      <c r="G55" s="686">
        <v>1340.54</v>
      </c>
      <c r="H55" s="56">
        <v>-1084.3</v>
      </c>
      <c r="I55" s="56">
        <v>436460.47</v>
      </c>
      <c r="J55" s="56">
        <v>8123159.8799999999</v>
      </c>
    </row>
    <row r="56" spans="2:10" x14ac:dyDescent="0.2">
      <c r="B56" s="685"/>
      <c r="C56" s="685"/>
      <c r="D56" s="8"/>
      <c r="E56" s="61">
        <v>47</v>
      </c>
      <c r="F56" s="686">
        <v>1402.08</v>
      </c>
      <c r="G56" s="686">
        <v>1367.65</v>
      </c>
      <c r="H56" s="56">
        <v>-1111.4100000000001</v>
      </c>
      <c r="I56" s="56">
        <v>436460.3</v>
      </c>
      <c r="J56" s="56">
        <v>8123145.9500000002</v>
      </c>
    </row>
    <row r="57" spans="2:10" x14ac:dyDescent="0.2">
      <c r="B57" s="685"/>
      <c r="C57" s="685"/>
      <c r="D57" s="8"/>
      <c r="E57" s="61">
        <v>48</v>
      </c>
      <c r="F57" s="686">
        <v>1432.56</v>
      </c>
      <c r="G57" s="686">
        <v>1394.69</v>
      </c>
      <c r="H57" s="56">
        <v>-1138.45</v>
      </c>
      <c r="I57" s="56">
        <v>436460.09</v>
      </c>
      <c r="J57" s="56">
        <v>8123131.8799999999</v>
      </c>
    </row>
    <row r="58" spans="2:10" x14ac:dyDescent="0.2">
      <c r="B58" s="685"/>
      <c r="C58" s="685"/>
      <c r="D58" s="8"/>
      <c r="E58" s="61">
        <v>49</v>
      </c>
      <c r="F58" s="686">
        <v>1463.04</v>
      </c>
      <c r="G58" s="686">
        <v>1421.67</v>
      </c>
      <c r="H58" s="56">
        <v>-1165.43</v>
      </c>
      <c r="I58" s="56">
        <v>436459.88</v>
      </c>
      <c r="J58" s="56">
        <v>8123117.71</v>
      </c>
    </row>
    <row r="59" spans="2:10" x14ac:dyDescent="0.2">
      <c r="B59" s="685"/>
      <c r="C59" s="685"/>
      <c r="D59" s="8"/>
      <c r="E59" s="61">
        <v>50</v>
      </c>
      <c r="F59" s="686">
        <v>1493.52</v>
      </c>
      <c r="G59" s="686">
        <v>1448.67</v>
      </c>
      <c r="H59" s="56">
        <v>-1192.44</v>
      </c>
      <c r="I59" s="56">
        <v>436459.74</v>
      </c>
      <c r="J59" s="56">
        <v>8123103.5700000003</v>
      </c>
    </row>
    <row r="60" spans="2:10" x14ac:dyDescent="0.2">
      <c r="B60" s="685"/>
      <c r="C60" s="685"/>
      <c r="D60" s="8"/>
      <c r="E60" s="61">
        <v>51</v>
      </c>
      <c r="F60" s="686">
        <v>1524</v>
      </c>
      <c r="G60" s="686">
        <v>1475.7</v>
      </c>
      <c r="H60" s="56">
        <v>-1219.46</v>
      </c>
      <c r="I60" s="56">
        <v>436459.74</v>
      </c>
      <c r="J60" s="56">
        <v>8123089.4699999997</v>
      </c>
    </row>
    <row r="61" spans="2:10" x14ac:dyDescent="0.2">
      <c r="B61" s="685"/>
      <c r="C61" s="685"/>
      <c r="D61" s="8"/>
      <c r="E61" s="61">
        <v>52</v>
      </c>
      <c r="F61" s="686">
        <v>1554.48</v>
      </c>
      <c r="G61" s="686">
        <v>1502.8</v>
      </c>
      <c r="H61" s="56">
        <v>-1246.57</v>
      </c>
      <c r="I61" s="56">
        <v>436459.81</v>
      </c>
      <c r="J61" s="56">
        <v>8123075.5300000003</v>
      </c>
    </row>
    <row r="62" spans="2:10" x14ac:dyDescent="0.2">
      <c r="B62" s="685"/>
      <c r="C62" s="685"/>
      <c r="D62" s="8"/>
      <c r="E62" s="61">
        <v>53</v>
      </c>
      <c r="F62" s="686">
        <v>1584.96</v>
      </c>
      <c r="G62" s="686">
        <v>1529.89</v>
      </c>
      <c r="H62" s="56">
        <v>-1273.6500000000001</v>
      </c>
      <c r="I62" s="56">
        <v>436459.9</v>
      </c>
      <c r="J62" s="56">
        <v>8123061.5499999998</v>
      </c>
    </row>
    <row r="63" spans="2:10" x14ac:dyDescent="0.2">
      <c r="B63" s="685"/>
      <c r="C63" s="685"/>
      <c r="D63" s="8"/>
      <c r="E63" s="61">
        <v>54</v>
      </c>
      <c r="F63" s="686">
        <v>1615.43</v>
      </c>
      <c r="G63" s="686">
        <v>1556.91</v>
      </c>
      <c r="H63" s="56">
        <v>-1300.68</v>
      </c>
      <c r="I63" s="56">
        <v>436459.96</v>
      </c>
      <c r="J63" s="56">
        <v>8123047.46</v>
      </c>
    </row>
    <row r="64" spans="2:10" x14ac:dyDescent="0.2">
      <c r="B64" s="685"/>
      <c r="C64" s="685"/>
      <c r="D64" s="8"/>
      <c r="E64" s="61">
        <v>55</v>
      </c>
      <c r="F64" s="686">
        <v>1645.92</v>
      </c>
      <c r="G64" s="686">
        <v>1583.96</v>
      </c>
      <c r="H64" s="56">
        <v>-1327.72</v>
      </c>
      <c r="I64" s="56">
        <v>436460.03</v>
      </c>
      <c r="J64" s="56">
        <v>8123033.4000000004</v>
      </c>
    </row>
    <row r="65" spans="2:10" x14ac:dyDescent="0.2">
      <c r="B65" s="685"/>
      <c r="C65" s="685"/>
      <c r="D65" s="8"/>
      <c r="E65" s="61">
        <v>56</v>
      </c>
      <c r="F65" s="686">
        <v>1676.4</v>
      </c>
      <c r="G65" s="686">
        <v>1611.01</v>
      </c>
      <c r="H65" s="56">
        <v>-1354.77</v>
      </c>
      <c r="I65" s="56">
        <v>436460.15</v>
      </c>
      <c r="J65" s="56">
        <v>8123019.3499999996</v>
      </c>
    </row>
    <row r="66" spans="2:10" x14ac:dyDescent="0.2">
      <c r="B66" s="685"/>
      <c r="C66" s="685"/>
      <c r="D66" s="8"/>
      <c r="E66" s="61">
        <v>57</v>
      </c>
      <c r="F66" s="686">
        <v>1706.88</v>
      </c>
      <c r="G66" s="686">
        <v>1638.09</v>
      </c>
      <c r="H66" s="56">
        <v>-1381.85</v>
      </c>
      <c r="I66" s="56">
        <v>436460.31</v>
      </c>
      <c r="J66" s="56">
        <v>8123005.3600000003</v>
      </c>
    </row>
    <row r="67" spans="2:10" x14ac:dyDescent="0.2">
      <c r="B67" s="685"/>
      <c r="C67" s="685"/>
      <c r="D67" s="8"/>
      <c r="E67" s="61">
        <v>58</v>
      </c>
      <c r="F67" s="686">
        <v>1737.36</v>
      </c>
      <c r="G67" s="686">
        <v>1665.25</v>
      </c>
      <c r="H67" s="56">
        <v>-1409.01</v>
      </c>
      <c r="I67" s="56">
        <v>436460.47</v>
      </c>
      <c r="J67" s="56">
        <v>8122991.54</v>
      </c>
    </row>
    <row r="68" spans="2:10" x14ac:dyDescent="0.2">
      <c r="B68" s="685"/>
      <c r="C68" s="685"/>
      <c r="D68" s="8"/>
      <c r="E68" s="61">
        <v>59</v>
      </c>
      <c r="F68" s="686">
        <v>1767.84</v>
      </c>
      <c r="G68" s="686">
        <v>1692.49</v>
      </c>
      <c r="H68" s="56">
        <v>-1436.26</v>
      </c>
      <c r="I68" s="56">
        <v>436460.68</v>
      </c>
      <c r="J68" s="56">
        <v>8122977.8700000001</v>
      </c>
    </row>
    <row r="69" spans="2:10" x14ac:dyDescent="0.2">
      <c r="B69" s="685"/>
      <c r="C69" s="685"/>
      <c r="D69" s="8"/>
      <c r="E69" s="61">
        <v>60</v>
      </c>
      <c r="F69" s="686">
        <v>1798.31</v>
      </c>
      <c r="G69" s="686">
        <v>1719.82</v>
      </c>
      <c r="H69" s="56">
        <v>-1463.59</v>
      </c>
      <c r="I69" s="56">
        <v>436460.96</v>
      </c>
      <c r="J69" s="56">
        <v>8122964.3799999999</v>
      </c>
    </row>
    <row r="70" spans="2:10" x14ac:dyDescent="0.2">
      <c r="B70" s="685"/>
      <c r="C70" s="685"/>
      <c r="D70" s="8"/>
      <c r="E70" s="61">
        <v>61</v>
      </c>
      <c r="F70" s="686">
        <v>1828.8</v>
      </c>
      <c r="G70" s="686">
        <v>1747.2</v>
      </c>
      <c r="H70" s="56">
        <v>-1490.96</v>
      </c>
      <c r="I70" s="56">
        <v>436461.3</v>
      </c>
      <c r="J70" s="56">
        <v>8122950.9800000004</v>
      </c>
    </row>
    <row r="71" spans="2:10" x14ac:dyDescent="0.2">
      <c r="B71" s="685"/>
      <c r="C71" s="685"/>
      <c r="D71" s="8"/>
      <c r="E71" s="61">
        <v>62</v>
      </c>
      <c r="F71" s="686">
        <v>1859.28</v>
      </c>
      <c r="G71" s="686">
        <v>1774.47</v>
      </c>
      <c r="H71" s="56">
        <v>-1518.23</v>
      </c>
      <c r="I71" s="56">
        <v>436461.82</v>
      </c>
      <c r="J71" s="56">
        <v>8122937.3700000001</v>
      </c>
    </row>
    <row r="72" spans="2:10" x14ac:dyDescent="0.2">
      <c r="B72" s="685"/>
      <c r="C72" s="685"/>
      <c r="D72" s="8"/>
      <c r="E72" s="61">
        <v>63</v>
      </c>
      <c r="F72" s="686">
        <v>1889.76</v>
      </c>
      <c r="G72" s="686">
        <v>1801.59</v>
      </c>
      <c r="H72" s="56">
        <v>-1545.35</v>
      </c>
      <c r="I72" s="56">
        <v>436462.51</v>
      </c>
      <c r="J72" s="56">
        <v>8122923.4699999997</v>
      </c>
    </row>
    <row r="73" spans="2:10" x14ac:dyDescent="0.2">
      <c r="B73" s="685"/>
      <c r="C73" s="685"/>
      <c r="D73" s="8"/>
      <c r="E73" s="61">
        <v>64</v>
      </c>
      <c r="F73" s="686">
        <v>1920.24</v>
      </c>
      <c r="G73" s="686">
        <v>1828.67</v>
      </c>
      <c r="H73" s="56">
        <v>-1572.43</v>
      </c>
      <c r="I73" s="56">
        <v>436463.33</v>
      </c>
      <c r="J73" s="56">
        <v>8122909.5199999996</v>
      </c>
    </row>
    <row r="74" spans="2:10" x14ac:dyDescent="0.2">
      <c r="B74" s="685"/>
      <c r="C74" s="685"/>
      <c r="D74" s="8"/>
      <c r="E74" s="61">
        <v>65</v>
      </c>
      <c r="F74" s="686">
        <v>1950.72</v>
      </c>
      <c r="G74" s="686">
        <v>1855.7</v>
      </c>
      <c r="H74" s="56">
        <v>-1599.46</v>
      </c>
      <c r="I74" s="56">
        <v>436464.22</v>
      </c>
      <c r="J74" s="56">
        <v>8122895.4500000002</v>
      </c>
    </row>
    <row r="75" spans="2:10" x14ac:dyDescent="0.2">
      <c r="B75" s="685"/>
      <c r="C75" s="685"/>
      <c r="D75" s="8"/>
      <c r="E75" s="61">
        <v>66</v>
      </c>
      <c r="F75" s="686">
        <v>1981.2</v>
      </c>
      <c r="G75" s="686">
        <v>1882.61</v>
      </c>
      <c r="H75" s="56">
        <v>-1626.37</v>
      </c>
      <c r="I75" s="56">
        <v>436465.09</v>
      </c>
      <c r="J75" s="56">
        <v>8122881.1699999999</v>
      </c>
    </row>
    <row r="76" spans="2:10" x14ac:dyDescent="0.2">
      <c r="B76" s="685"/>
      <c r="C76" s="685"/>
      <c r="D76" s="8"/>
      <c r="E76" s="61">
        <v>67</v>
      </c>
      <c r="F76" s="686">
        <v>2011.68</v>
      </c>
      <c r="G76" s="686">
        <v>1909.46</v>
      </c>
      <c r="H76" s="56">
        <v>-1653.22</v>
      </c>
      <c r="I76" s="56">
        <v>436465.91999999998</v>
      </c>
      <c r="J76" s="56">
        <v>8122866.7699999996</v>
      </c>
    </row>
    <row r="77" spans="2:10" x14ac:dyDescent="0.2">
      <c r="B77" s="685"/>
      <c r="C77" s="685"/>
      <c r="D77" s="8"/>
      <c r="E77" s="61">
        <v>68</v>
      </c>
      <c r="F77" s="686">
        <v>2042.16</v>
      </c>
      <c r="G77" s="686">
        <v>1936.28</v>
      </c>
      <c r="H77" s="56">
        <v>-1680.04</v>
      </c>
      <c r="I77" s="56">
        <v>436466.75</v>
      </c>
      <c r="J77" s="56">
        <v>8122852.2999999998</v>
      </c>
    </row>
    <row r="78" spans="2:10" x14ac:dyDescent="0.2">
      <c r="B78" s="685"/>
      <c r="C78" s="685"/>
      <c r="D78" s="8"/>
      <c r="E78" s="61">
        <v>69</v>
      </c>
      <c r="F78" s="686">
        <v>2072.63</v>
      </c>
      <c r="G78" s="686">
        <v>1963.09</v>
      </c>
      <c r="H78" s="56">
        <v>-1706.85</v>
      </c>
      <c r="I78" s="56">
        <v>436467.56</v>
      </c>
      <c r="J78" s="56">
        <v>8122837.8300000001</v>
      </c>
    </row>
    <row r="79" spans="2:10" x14ac:dyDescent="0.2">
      <c r="B79" s="685"/>
      <c r="C79" s="685"/>
      <c r="D79" s="8"/>
      <c r="E79" s="61">
        <v>70</v>
      </c>
      <c r="F79" s="686">
        <v>2103.12</v>
      </c>
      <c r="G79" s="686">
        <v>1989.99</v>
      </c>
      <c r="H79" s="56">
        <v>-1733.76</v>
      </c>
      <c r="I79" s="56">
        <v>436468.32</v>
      </c>
      <c r="J79" s="56">
        <v>8122823.5300000003</v>
      </c>
    </row>
    <row r="80" spans="2:10" x14ac:dyDescent="0.2">
      <c r="B80" s="685"/>
      <c r="C80" s="685"/>
      <c r="D80" s="8"/>
      <c r="E80" s="61">
        <v>71</v>
      </c>
      <c r="F80" s="686">
        <v>2133.6</v>
      </c>
      <c r="G80" s="686">
        <v>2017.05</v>
      </c>
      <c r="H80" s="56">
        <v>-1760.82</v>
      </c>
      <c r="I80" s="56">
        <v>436469.11</v>
      </c>
      <c r="J80" s="56">
        <v>8122809.5300000003</v>
      </c>
    </row>
    <row r="81" spans="2:10" x14ac:dyDescent="0.2">
      <c r="B81" s="685"/>
      <c r="C81" s="685"/>
      <c r="D81" s="8"/>
      <c r="E81" s="61">
        <v>72</v>
      </c>
      <c r="F81" s="686">
        <v>2164.08</v>
      </c>
      <c r="G81" s="686">
        <v>2044.27</v>
      </c>
      <c r="H81" s="56">
        <v>-1788.03</v>
      </c>
      <c r="I81" s="56">
        <v>436469.98</v>
      </c>
      <c r="J81" s="56">
        <v>8122795.8300000001</v>
      </c>
    </row>
    <row r="82" spans="2:10" x14ac:dyDescent="0.2">
      <c r="B82" s="685"/>
      <c r="C82" s="685"/>
      <c r="D82" s="8"/>
      <c r="E82" s="61">
        <v>73</v>
      </c>
      <c r="F82" s="686">
        <v>2194.56</v>
      </c>
      <c r="G82" s="686">
        <v>2071.52</v>
      </c>
      <c r="H82" s="56">
        <v>-1815.28</v>
      </c>
      <c r="I82" s="56">
        <v>436470.92</v>
      </c>
      <c r="J82" s="56">
        <v>8122782.21</v>
      </c>
    </row>
    <row r="83" spans="2:10" x14ac:dyDescent="0.2">
      <c r="B83" s="685"/>
      <c r="C83" s="685"/>
      <c r="D83" s="8"/>
      <c r="E83" s="61">
        <v>74</v>
      </c>
      <c r="F83" s="686">
        <v>2225.04</v>
      </c>
      <c r="G83" s="686">
        <v>2098.6799999999998</v>
      </c>
      <c r="H83" s="56">
        <v>-1842.44</v>
      </c>
      <c r="I83" s="56">
        <v>436471.93</v>
      </c>
      <c r="J83" s="56">
        <v>8122768.4100000001</v>
      </c>
    </row>
    <row r="84" spans="2:10" x14ac:dyDescent="0.2">
      <c r="B84" s="685"/>
      <c r="C84" s="685"/>
      <c r="D84" s="8"/>
      <c r="E84" s="61">
        <v>75</v>
      </c>
      <c r="F84" s="686">
        <v>2255.52</v>
      </c>
      <c r="G84" s="686">
        <v>2125.73</v>
      </c>
      <c r="H84" s="56">
        <v>-1869.5</v>
      </c>
      <c r="I84" s="56">
        <v>436472.93</v>
      </c>
      <c r="J84" s="56">
        <v>8122754.4100000001</v>
      </c>
    </row>
    <row r="85" spans="2:10" x14ac:dyDescent="0.2">
      <c r="B85" s="685"/>
      <c r="C85" s="685"/>
      <c r="D85" s="8"/>
      <c r="E85" s="61">
        <v>76</v>
      </c>
      <c r="F85" s="686">
        <v>2286</v>
      </c>
      <c r="G85" s="686">
        <v>2152.71</v>
      </c>
      <c r="H85" s="56">
        <v>-1896.47</v>
      </c>
      <c r="I85" s="56">
        <v>436473.81</v>
      </c>
      <c r="J85" s="56">
        <v>8122740.25</v>
      </c>
    </row>
    <row r="86" spans="2:10" x14ac:dyDescent="0.2">
      <c r="B86" s="685"/>
      <c r="C86" s="685"/>
      <c r="D86" s="8"/>
      <c r="E86" s="61">
        <v>77</v>
      </c>
      <c r="F86" s="686">
        <v>2316.48</v>
      </c>
      <c r="G86" s="686">
        <v>2179.61</v>
      </c>
      <c r="H86" s="56">
        <v>-1923.38</v>
      </c>
      <c r="I86" s="56">
        <v>436474.52</v>
      </c>
      <c r="J86" s="56">
        <v>8122725.9400000004</v>
      </c>
    </row>
    <row r="87" spans="2:10" x14ac:dyDescent="0.2">
      <c r="B87" s="685"/>
      <c r="C87" s="685"/>
      <c r="D87" s="8"/>
      <c r="E87" s="61">
        <v>78</v>
      </c>
      <c r="F87" s="686">
        <v>2346.96</v>
      </c>
      <c r="G87" s="686">
        <v>2206.44</v>
      </c>
      <c r="H87" s="56">
        <v>-1950.21</v>
      </c>
      <c r="I87" s="56">
        <v>436475.08</v>
      </c>
      <c r="J87" s="56">
        <v>8122711.4900000002</v>
      </c>
    </row>
    <row r="88" spans="2:10" x14ac:dyDescent="0.2">
      <c r="B88" s="685"/>
      <c r="C88" s="685"/>
      <c r="D88" s="8"/>
      <c r="E88" s="61">
        <v>79</v>
      </c>
      <c r="F88" s="686">
        <v>2377.4299999999998</v>
      </c>
      <c r="G88" s="686">
        <v>2233.1999999999998</v>
      </c>
      <c r="H88" s="56">
        <v>-1976.96</v>
      </c>
      <c r="I88" s="56">
        <v>436475.46</v>
      </c>
      <c r="J88" s="56">
        <v>8122696.8899999997</v>
      </c>
    </row>
    <row r="89" spans="2:10" x14ac:dyDescent="0.2">
      <c r="B89" s="685"/>
      <c r="C89" s="685"/>
      <c r="D89" s="8"/>
      <c r="E89" s="61">
        <v>80</v>
      </c>
      <c r="F89" s="686">
        <v>2407.91</v>
      </c>
      <c r="G89" s="686">
        <v>2259.87</v>
      </c>
      <c r="H89" s="56">
        <v>-2003.64</v>
      </c>
      <c r="I89" s="56">
        <v>436475.68</v>
      </c>
      <c r="J89" s="56">
        <v>8122682.1500000004</v>
      </c>
    </row>
    <row r="90" spans="2:10" x14ac:dyDescent="0.2">
      <c r="B90" s="685"/>
      <c r="C90" s="685"/>
      <c r="D90" s="8"/>
      <c r="E90" s="61">
        <v>81</v>
      </c>
      <c r="F90" s="686">
        <v>2438.39</v>
      </c>
      <c r="G90" s="686">
        <v>2286.4299999999998</v>
      </c>
      <c r="H90" s="56">
        <v>-2030.2</v>
      </c>
      <c r="I90" s="56">
        <v>436475.91</v>
      </c>
      <c r="J90" s="56">
        <v>8122667.1900000004</v>
      </c>
    </row>
    <row r="91" spans="2:10" x14ac:dyDescent="0.2">
      <c r="B91" s="685"/>
      <c r="C91" s="685"/>
      <c r="D91" s="8"/>
      <c r="E91" s="61">
        <v>82</v>
      </c>
      <c r="F91" s="686">
        <v>2468.87</v>
      </c>
      <c r="G91" s="686">
        <v>2312.85</v>
      </c>
      <c r="H91" s="56">
        <v>-2056.62</v>
      </c>
      <c r="I91" s="56">
        <v>436476.21</v>
      </c>
      <c r="J91" s="56">
        <v>8122652</v>
      </c>
    </row>
    <row r="92" spans="2:10" x14ac:dyDescent="0.2">
      <c r="B92" s="685"/>
      <c r="C92" s="685"/>
      <c r="D92" s="8"/>
      <c r="E92" s="61">
        <v>83</v>
      </c>
      <c r="F92" s="686">
        <v>2499.36</v>
      </c>
      <c r="G92" s="686">
        <v>2339.16</v>
      </c>
      <c r="H92" s="56">
        <v>-2082.92</v>
      </c>
      <c r="I92" s="56">
        <v>436476.54</v>
      </c>
      <c r="J92" s="56">
        <v>8122636.5999999996</v>
      </c>
    </row>
    <row r="93" spans="2:10" x14ac:dyDescent="0.2">
      <c r="B93" s="685"/>
      <c r="C93" s="685"/>
      <c r="D93" s="8"/>
      <c r="E93" s="61">
        <v>84</v>
      </c>
      <c r="F93" s="686">
        <v>2529.84</v>
      </c>
      <c r="G93" s="686">
        <v>2365.35</v>
      </c>
      <c r="H93" s="56">
        <v>-2109.12</v>
      </c>
      <c r="I93" s="56">
        <v>436476.95</v>
      </c>
      <c r="J93" s="56">
        <v>8122621.0300000003</v>
      </c>
    </row>
    <row r="94" spans="2:10" x14ac:dyDescent="0.2">
      <c r="B94" s="685"/>
      <c r="C94" s="685"/>
      <c r="D94" s="8"/>
      <c r="E94" s="61">
        <v>85</v>
      </c>
      <c r="F94" s="686">
        <v>2560.3200000000002</v>
      </c>
      <c r="G94" s="686">
        <v>2391.52</v>
      </c>
      <c r="H94" s="56">
        <v>-2135.2800000000002</v>
      </c>
      <c r="I94" s="56">
        <v>436477.19</v>
      </c>
      <c r="J94" s="56">
        <v>8122605.3899999997</v>
      </c>
    </row>
    <row r="95" spans="2:10" x14ac:dyDescent="0.2">
      <c r="B95" s="685"/>
      <c r="C95" s="685"/>
      <c r="D95" s="8"/>
      <c r="E95" s="61">
        <v>86</v>
      </c>
      <c r="F95" s="686">
        <v>2590.8000000000002</v>
      </c>
      <c r="G95" s="686">
        <v>2417.77</v>
      </c>
      <c r="H95" s="56">
        <v>-2161.5300000000002</v>
      </c>
      <c r="I95" s="56">
        <v>436477.23</v>
      </c>
      <c r="J95" s="56">
        <v>8122589.9000000004</v>
      </c>
    </row>
    <row r="96" spans="2:10" x14ac:dyDescent="0.2">
      <c r="B96" s="685"/>
      <c r="C96" s="685"/>
      <c r="D96" s="8"/>
      <c r="E96" s="61">
        <v>87</v>
      </c>
      <c r="F96" s="686">
        <v>2621.2800000000002</v>
      </c>
      <c r="G96" s="686">
        <v>2444.0700000000002</v>
      </c>
      <c r="H96" s="56">
        <v>-2187.83</v>
      </c>
      <c r="I96" s="56">
        <v>436477.33</v>
      </c>
      <c r="J96" s="56">
        <v>8122574.5</v>
      </c>
    </row>
    <row r="97" spans="2:10" x14ac:dyDescent="0.2">
      <c r="B97" s="685"/>
      <c r="C97" s="685"/>
      <c r="D97" s="8"/>
      <c r="E97" s="61">
        <v>88</v>
      </c>
      <c r="F97" s="686">
        <v>2651.76</v>
      </c>
      <c r="G97" s="686">
        <v>2470.35</v>
      </c>
      <c r="H97" s="56">
        <v>-2214.12</v>
      </c>
      <c r="I97" s="56">
        <v>436477.47</v>
      </c>
      <c r="J97" s="56">
        <v>8122559.0700000003</v>
      </c>
    </row>
    <row r="98" spans="2:10" x14ac:dyDescent="0.2">
      <c r="B98" s="685"/>
      <c r="C98" s="685"/>
      <c r="D98" s="8"/>
      <c r="E98" s="61">
        <v>89</v>
      </c>
      <c r="F98" s="686">
        <v>2682.24</v>
      </c>
      <c r="G98" s="686">
        <v>2496.54</v>
      </c>
      <c r="H98" s="56">
        <v>-2240.31</v>
      </c>
      <c r="I98" s="56">
        <v>436477.62</v>
      </c>
      <c r="J98" s="56">
        <v>8122543.4800000004</v>
      </c>
    </row>
    <row r="99" spans="2:10" x14ac:dyDescent="0.2">
      <c r="B99" s="685"/>
      <c r="C99" s="685"/>
      <c r="D99" s="8"/>
      <c r="E99" s="61">
        <v>90</v>
      </c>
      <c r="F99" s="686">
        <v>2712.72</v>
      </c>
      <c r="G99" s="686">
        <v>2522.6999999999998</v>
      </c>
      <c r="H99" s="56">
        <v>-2266.46</v>
      </c>
      <c r="I99" s="56">
        <v>436477.81</v>
      </c>
      <c r="J99" s="56">
        <v>8122527.8200000003</v>
      </c>
    </row>
    <row r="100" spans="2:10" x14ac:dyDescent="0.2">
      <c r="B100" s="685"/>
      <c r="C100" s="685"/>
      <c r="D100" s="8"/>
      <c r="E100" s="61">
        <v>91</v>
      </c>
      <c r="F100" s="686">
        <v>2743.2</v>
      </c>
      <c r="G100" s="686">
        <v>2548.96</v>
      </c>
      <c r="H100" s="56">
        <v>-2292.7199999999998</v>
      </c>
      <c r="I100" s="56">
        <v>436478.04</v>
      </c>
      <c r="J100" s="56">
        <v>8122512.3499999996</v>
      </c>
    </row>
    <row r="101" spans="2:10" x14ac:dyDescent="0.2">
      <c r="B101" s="685"/>
      <c r="C101" s="685"/>
      <c r="D101" s="8"/>
      <c r="E101" s="61">
        <v>92</v>
      </c>
      <c r="F101" s="686">
        <v>2773.67</v>
      </c>
      <c r="G101" s="686">
        <v>2575.17</v>
      </c>
      <c r="H101" s="56">
        <v>-2318.94</v>
      </c>
      <c r="I101" s="56">
        <v>436478.35</v>
      </c>
      <c r="J101" s="56">
        <v>8122496.8099999996</v>
      </c>
    </row>
    <row r="102" spans="2:10" x14ac:dyDescent="0.2">
      <c r="B102" s="685"/>
      <c r="C102" s="685"/>
      <c r="D102" s="8"/>
      <c r="E102" s="61">
        <v>93</v>
      </c>
      <c r="F102" s="686">
        <v>2804.15</v>
      </c>
      <c r="G102" s="686">
        <v>2601.2399999999998</v>
      </c>
      <c r="H102" s="56">
        <v>-2345</v>
      </c>
      <c r="I102" s="56">
        <v>436478.83</v>
      </c>
      <c r="J102" s="56">
        <v>8122481.0099999998</v>
      </c>
    </row>
    <row r="103" spans="2:10" x14ac:dyDescent="0.2">
      <c r="B103" s="685"/>
      <c r="C103" s="685"/>
      <c r="D103" s="8"/>
      <c r="E103" s="61">
        <v>94</v>
      </c>
      <c r="F103" s="686">
        <v>2834.63</v>
      </c>
      <c r="G103" s="686">
        <v>2627.21</v>
      </c>
      <c r="H103" s="56">
        <v>-2370.9699999999998</v>
      </c>
      <c r="I103" s="56">
        <v>436479.61</v>
      </c>
      <c r="J103" s="56">
        <v>8122465.0800000001</v>
      </c>
    </row>
    <row r="104" spans="2:10" x14ac:dyDescent="0.2">
      <c r="B104" s="685"/>
      <c r="C104" s="685"/>
      <c r="D104" s="8"/>
      <c r="E104" s="61">
        <v>95</v>
      </c>
      <c r="F104" s="686">
        <v>2865.12</v>
      </c>
      <c r="G104" s="686">
        <v>2653.08</v>
      </c>
      <c r="H104" s="56">
        <v>-2396.84</v>
      </c>
      <c r="I104" s="56">
        <v>436480.93</v>
      </c>
      <c r="J104" s="56">
        <v>8122449.0199999996</v>
      </c>
    </row>
    <row r="105" spans="2:10" x14ac:dyDescent="0.2">
      <c r="B105" s="685"/>
      <c r="C105" s="685"/>
      <c r="D105" s="8"/>
      <c r="E105" s="61">
        <v>96</v>
      </c>
      <c r="F105" s="686">
        <v>2895.6</v>
      </c>
      <c r="G105" s="686">
        <v>2679.03</v>
      </c>
      <c r="H105" s="56">
        <v>-2422.79</v>
      </c>
      <c r="I105" s="56">
        <v>436482.86</v>
      </c>
      <c r="J105" s="56">
        <v>8122433.1500000004</v>
      </c>
    </row>
    <row r="106" spans="2:10" x14ac:dyDescent="0.2">
      <c r="B106" s="685"/>
      <c r="C106" s="685"/>
      <c r="D106" s="8"/>
      <c r="E106" s="61">
        <v>97</v>
      </c>
      <c r="F106" s="686">
        <v>2926.08</v>
      </c>
      <c r="G106" s="686">
        <v>2705.2</v>
      </c>
      <c r="H106" s="56">
        <v>-2448.96</v>
      </c>
      <c r="I106" s="56">
        <v>436485.13</v>
      </c>
      <c r="J106" s="56">
        <v>8122417.6900000004</v>
      </c>
    </row>
    <row r="107" spans="2:10" x14ac:dyDescent="0.2">
      <c r="B107" s="685"/>
      <c r="C107" s="685"/>
      <c r="D107" s="8"/>
      <c r="E107" s="61">
        <v>98</v>
      </c>
      <c r="F107" s="686">
        <v>2956.56</v>
      </c>
      <c r="G107" s="686">
        <v>2731.45</v>
      </c>
      <c r="H107" s="56">
        <v>-2475.21</v>
      </c>
      <c r="I107" s="56">
        <v>436487.57</v>
      </c>
      <c r="J107" s="56">
        <v>8122402.4000000004</v>
      </c>
    </row>
    <row r="108" spans="2:10" x14ac:dyDescent="0.2">
      <c r="B108" s="685"/>
      <c r="C108" s="685"/>
      <c r="D108" s="8"/>
      <c r="E108" s="61">
        <v>99</v>
      </c>
      <c r="F108" s="686">
        <v>2987.04</v>
      </c>
      <c r="G108" s="686">
        <v>2757.76</v>
      </c>
      <c r="H108" s="56">
        <v>-2501.5300000000002</v>
      </c>
      <c r="I108" s="56">
        <v>436490.18</v>
      </c>
      <c r="J108" s="56">
        <v>8122387.2400000002</v>
      </c>
    </row>
    <row r="109" spans="2:10" x14ac:dyDescent="0.2">
      <c r="E109" s="61">
        <v>100</v>
      </c>
      <c r="F109" s="686">
        <v>2990</v>
      </c>
      <c r="G109" s="686">
        <v>2760.32</v>
      </c>
      <c r="H109" s="56">
        <v>-2504.09</v>
      </c>
      <c r="I109" s="56">
        <v>436490.45</v>
      </c>
      <c r="J109" s="56">
        <v>8122385.7699999996</v>
      </c>
    </row>
    <row r="110" spans="2:10" x14ac:dyDescent="0.2">
      <c r="E110" s="61"/>
      <c r="F110" s="686"/>
      <c r="G110" s="686"/>
      <c r="H110" s="56"/>
      <c r="I110" s="56"/>
      <c r="J110" s="56"/>
    </row>
    <row r="111" spans="2:10" x14ac:dyDescent="0.2">
      <c r="E111" s="61"/>
      <c r="F111" s="686"/>
      <c r="G111" s="686"/>
      <c r="H111" s="56"/>
      <c r="I111" s="56"/>
      <c r="J111" s="56"/>
    </row>
    <row r="112" spans="2:10" x14ac:dyDescent="0.2">
      <c r="E112" s="61"/>
      <c r="F112" s="686"/>
      <c r="G112" s="686"/>
      <c r="H112" s="56"/>
      <c r="I112" s="56"/>
      <c r="J112" s="56"/>
    </row>
    <row r="113" spans="5:10" x14ac:dyDescent="0.2">
      <c r="E113" s="61"/>
      <c r="F113" s="686"/>
      <c r="G113" s="686"/>
      <c r="H113" s="56"/>
      <c r="I113" s="56"/>
      <c r="J113" s="56"/>
    </row>
    <row r="114" spans="5:10" x14ac:dyDescent="0.2">
      <c r="E114" s="61"/>
      <c r="F114" s="686"/>
      <c r="G114" s="686"/>
      <c r="H114" s="56"/>
      <c r="I114" s="56"/>
      <c r="J114" s="56"/>
    </row>
    <row r="115" spans="5:10" x14ac:dyDescent="0.2">
      <c r="E115" s="61"/>
      <c r="F115" s="686"/>
      <c r="G115" s="686"/>
      <c r="H115" s="56"/>
      <c r="I115" s="56"/>
      <c r="J115" s="56"/>
    </row>
    <row r="116" spans="5:10" x14ac:dyDescent="0.2">
      <c r="E116" s="61"/>
      <c r="F116" s="686"/>
      <c r="G116" s="686"/>
      <c r="H116" s="56"/>
      <c r="I116" s="56"/>
      <c r="J116" s="56"/>
    </row>
    <row r="117" spans="5:10" x14ac:dyDescent="0.2">
      <c r="E117" s="61"/>
      <c r="F117" s="686"/>
      <c r="G117" s="686"/>
      <c r="H117" s="56"/>
      <c r="I117" s="56"/>
      <c r="J117" s="56"/>
    </row>
    <row r="118" spans="5:10" x14ac:dyDescent="0.2">
      <c r="E118" s="61"/>
      <c r="F118" s="686"/>
      <c r="G118" s="686"/>
      <c r="H118" s="56"/>
      <c r="I118" s="56"/>
      <c r="J118" s="56"/>
    </row>
    <row r="119" spans="5:10" x14ac:dyDescent="0.2">
      <c r="E119" s="61"/>
      <c r="F119" s="686"/>
      <c r="G119" s="686"/>
      <c r="H119" s="56"/>
      <c r="I119" s="56"/>
      <c r="J119" s="56"/>
    </row>
    <row r="120" spans="5:10" x14ac:dyDescent="0.2">
      <c r="E120" s="61"/>
      <c r="F120" s="686"/>
      <c r="G120" s="686"/>
      <c r="H120" s="56"/>
      <c r="I120" s="56"/>
      <c r="J120" s="56"/>
    </row>
    <row r="121" spans="5:10" x14ac:dyDescent="0.2">
      <c r="E121" s="61"/>
      <c r="F121" s="686"/>
      <c r="G121" s="686"/>
      <c r="H121" s="56"/>
      <c r="I121" s="56"/>
      <c r="J121" s="56"/>
    </row>
    <row r="122" spans="5:10" x14ac:dyDescent="0.2">
      <c r="E122" s="61"/>
      <c r="F122" s="686"/>
      <c r="G122" s="686"/>
      <c r="H122" s="56"/>
      <c r="I122" s="56"/>
      <c r="J122" s="56"/>
    </row>
    <row r="123" spans="5:10" x14ac:dyDescent="0.2">
      <c r="E123" s="61"/>
      <c r="F123" s="686"/>
      <c r="G123" s="686"/>
      <c r="H123" s="56"/>
      <c r="I123" s="56"/>
      <c r="J123" s="56"/>
    </row>
    <row r="124" spans="5:10" x14ac:dyDescent="0.2">
      <c r="E124" s="61"/>
      <c r="F124" s="686"/>
      <c r="G124" s="686"/>
      <c r="H124" s="56"/>
      <c r="I124" s="56"/>
      <c r="J124" s="56"/>
    </row>
    <row r="125" spans="5:10" x14ac:dyDescent="0.2">
      <c r="E125" s="61"/>
      <c r="F125" s="686"/>
      <c r="G125" s="686"/>
      <c r="H125" s="56"/>
      <c r="I125" s="56"/>
      <c r="J125" s="56"/>
    </row>
    <row r="126" spans="5:10" x14ac:dyDescent="0.2">
      <c r="E126" s="61"/>
      <c r="F126" s="686"/>
      <c r="G126" s="686"/>
      <c r="H126" s="56"/>
      <c r="I126" s="56"/>
      <c r="J126" s="56"/>
    </row>
    <row r="127" spans="5:10" x14ac:dyDescent="0.2">
      <c r="E127" s="61"/>
      <c r="F127" s="686"/>
      <c r="G127" s="686"/>
      <c r="H127" s="56"/>
      <c r="I127" s="56"/>
      <c r="J127" s="56"/>
    </row>
    <row r="128" spans="5:10" x14ac:dyDescent="0.2">
      <c r="E128" s="61"/>
      <c r="F128" s="686"/>
      <c r="G128" s="686"/>
      <c r="H128" s="56"/>
      <c r="I128" s="56"/>
      <c r="J128" s="56"/>
    </row>
    <row r="129" spans="5:10" x14ac:dyDescent="0.2">
      <c r="E129" s="61"/>
      <c r="F129" s="686"/>
      <c r="G129" s="686"/>
      <c r="H129" s="56"/>
      <c r="I129" s="56"/>
      <c r="J129" s="56"/>
    </row>
    <row r="130" spans="5:10" x14ac:dyDescent="0.2">
      <c r="E130" s="61"/>
      <c r="F130" s="686"/>
      <c r="G130" s="686"/>
      <c r="H130" s="56"/>
      <c r="I130" s="56"/>
      <c r="J130" s="56"/>
    </row>
    <row r="131" spans="5:10" x14ac:dyDescent="0.2">
      <c r="E131" s="61"/>
      <c r="F131" s="686"/>
      <c r="G131" s="686"/>
      <c r="H131" s="56"/>
      <c r="I131" s="56"/>
      <c r="J131" s="56"/>
    </row>
    <row r="132" spans="5:10" x14ac:dyDescent="0.2">
      <c r="E132" s="61"/>
      <c r="F132" s="686"/>
      <c r="G132" s="686"/>
      <c r="H132" s="56"/>
      <c r="I132" s="56"/>
      <c r="J132" s="56"/>
    </row>
    <row r="133" spans="5:10" x14ac:dyDescent="0.2">
      <c r="E133" s="61"/>
      <c r="F133" s="686"/>
      <c r="G133" s="686"/>
      <c r="H133" s="56"/>
      <c r="I133" s="56"/>
      <c r="J133" s="56"/>
    </row>
    <row r="134" spans="5:10" x14ac:dyDescent="0.2">
      <c r="E134" s="61"/>
      <c r="F134" s="686"/>
      <c r="G134" s="686"/>
      <c r="H134" s="56"/>
      <c r="I134" s="56"/>
      <c r="J134" s="56"/>
    </row>
    <row r="135" spans="5:10" x14ac:dyDescent="0.2">
      <c r="E135" s="61"/>
      <c r="F135" s="686"/>
      <c r="G135" s="686"/>
      <c r="H135" s="56"/>
      <c r="I135" s="56"/>
      <c r="J135" s="56"/>
    </row>
    <row r="136" spans="5:10" x14ac:dyDescent="0.2">
      <c r="E136" s="61"/>
      <c r="F136" s="686"/>
      <c r="G136" s="686"/>
      <c r="H136" s="56"/>
      <c r="I136" s="56"/>
      <c r="J136" s="56"/>
    </row>
    <row r="137" spans="5:10" x14ac:dyDescent="0.2">
      <c r="E137" s="61"/>
      <c r="F137" s="686"/>
      <c r="G137" s="686"/>
      <c r="H137" s="56"/>
      <c r="I137" s="56"/>
      <c r="J137" s="56"/>
    </row>
    <row r="138" spans="5:10" x14ac:dyDescent="0.2">
      <c r="E138" s="61"/>
      <c r="F138" s="686"/>
      <c r="G138" s="686"/>
      <c r="H138" s="56"/>
      <c r="I138" s="56"/>
      <c r="J138" s="56"/>
    </row>
    <row r="139" spans="5:10" x14ac:dyDescent="0.2">
      <c r="E139" s="61"/>
      <c r="F139" s="686"/>
      <c r="G139" s="686"/>
      <c r="H139" s="56"/>
      <c r="I139" s="56"/>
      <c r="J139" s="56"/>
    </row>
    <row r="140" spans="5:10" x14ac:dyDescent="0.2">
      <c r="E140" s="61"/>
      <c r="F140" s="686"/>
      <c r="G140" s="686"/>
      <c r="H140" s="56"/>
      <c r="I140" s="56"/>
      <c r="J140" s="56"/>
    </row>
    <row r="141" spans="5:10" x14ac:dyDescent="0.2">
      <c r="E141" s="61"/>
      <c r="F141" s="686"/>
      <c r="G141" s="686"/>
      <c r="H141" s="56"/>
      <c r="I141" s="56"/>
      <c r="J141" s="56"/>
    </row>
    <row r="142" spans="5:10" x14ac:dyDescent="0.2">
      <c r="E142" s="61"/>
      <c r="F142" s="686"/>
      <c r="G142" s="686"/>
      <c r="H142" s="56"/>
      <c r="I142" s="56"/>
      <c r="J142" s="56"/>
    </row>
    <row r="143" spans="5:10" x14ac:dyDescent="0.2">
      <c r="E143" s="61"/>
      <c r="F143" s="686"/>
      <c r="G143" s="686"/>
      <c r="H143" s="56"/>
      <c r="I143" s="56"/>
      <c r="J143" s="56"/>
    </row>
    <row r="144" spans="5:10" x14ac:dyDescent="0.2">
      <c r="E144" s="61"/>
      <c r="F144" s="686"/>
      <c r="G144" s="686"/>
      <c r="H144" s="56"/>
      <c r="I144" s="56"/>
      <c r="J144" s="56"/>
    </row>
    <row r="145" spans="5:10" x14ac:dyDescent="0.2">
      <c r="E145" s="61"/>
      <c r="F145" s="686"/>
      <c r="G145" s="686"/>
      <c r="H145" s="56"/>
      <c r="I145" s="56"/>
      <c r="J145" s="56"/>
    </row>
    <row r="146" spans="5:10" x14ac:dyDescent="0.2">
      <c r="E146" s="61"/>
      <c r="F146" s="686"/>
      <c r="G146" s="686"/>
      <c r="H146" s="56"/>
      <c r="I146" s="56"/>
      <c r="J146" s="56"/>
    </row>
    <row r="147" spans="5:10" x14ac:dyDescent="0.2">
      <c r="E147" s="61"/>
      <c r="F147" s="686"/>
      <c r="G147" s="686"/>
      <c r="H147" s="56"/>
      <c r="I147" s="56"/>
      <c r="J147" s="56"/>
    </row>
    <row r="148" spans="5:10" x14ac:dyDescent="0.2">
      <c r="E148" s="61"/>
      <c r="F148" s="686"/>
      <c r="G148" s="686"/>
      <c r="H148" s="56"/>
      <c r="I148" s="56"/>
      <c r="J148" s="56"/>
    </row>
    <row r="149" spans="5:10" x14ac:dyDescent="0.2">
      <c r="E149" s="61"/>
      <c r="F149" s="686"/>
      <c r="G149" s="686"/>
      <c r="H149" s="56"/>
      <c r="I149" s="56"/>
      <c r="J149" s="56"/>
    </row>
    <row r="150" spans="5:10" x14ac:dyDescent="0.2">
      <c r="E150" s="61"/>
      <c r="F150" s="686"/>
      <c r="G150" s="686"/>
      <c r="H150" s="56"/>
      <c r="I150" s="56"/>
      <c r="J150" s="56"/>
    </row>
    <row r="151" spans="5:10" x14ac:dyDescent="0.2">
      <c r="E151" s="61"/>
      <c r="F151" s="686"/>
      <c r="G151" s="686"/>
      <c r="H151" s="56"/>
      <c r="I151" s="56"/>
      <c r="J151" s="56"/>
    </row>
    <row r="152" spans="5:10" x14ac:dyDescent="0.2">
      <c r="E152" s="61"/>
      <c r="F152" s="686"/>
      <c r="G152" s="686"/>
      <c r="H152" s="56"/>
      <c r="I152" s="56"/>
      <c r="J152" s="56"/>
    </row>
    <row r="153" spans="5:10" x14ac:dyDescent="0.2">
      <c r="E153" s="61"/>
      <c r="F153" s="686"/>
      <c r="G153" s="686"/>
      <c r="H153" s="56"/>
      <c r="I153" s="56"/>
      <c r="J153" s="56"/>
    </row>
    <row r="154" spans="5:10" x14ac:dyDescent="0.2">
      <c r="E154" s="61"/>
      <c r="F154" s="686"/>
      <c r="G154" s="686"/>
      <c r="H154" s="56"/>
      <c r="I154" s="56"/>
      <c r="J154" s="56"/>
    </row>
    <row r="155" spans="5:10" x14ac:dyDescent="0.2">
      <c r="E155" s="61"/>
      <c r="F155" s="686"/>
      <c r="G155" s="686"/>
      <c r="H155" s="56"/>
      <c r="I155" s="56"/>
      <c r="J155" s="56"/>
    </row>
    <row r="156" spans="5:10" x14ac:dyDescent="0.2">
      <c r="E156" s="61"/>
      <c r="F156" s="686"/>
      <c r="G156" s="686"/>
      <c r="H156" s="56"/>
      <c r="I156" s="56"/>
      <c r="J156" s="56"/>
    </row>
    <row r="157" spans="5:10" x14ac:dyDescent="0.2">
      <c r="E157" s="61"/>
      <c r="F157" s="686"/>
      <c r="G157" s="686"/>
      <c r="H157" s="56"/>
      <c r="I157" s="56"/>
      <c r="J157" s="56"/>
    </row>
    <row r="158" spans="5:10" x14ac:dyDescent="0.2">
      <c r="E158" s="61"/>
      <c r="F158" s="686"/>
      <c r="G158" s="686"/>
      <c r="H158" s="56"/>
      <c r="I158" s="56"/>
      <c r="J158" s="56"/>
    </row>
    <row r="159" spans="5:10" x14ac:dyDescent="0.2">
      <c r="E159" s="61"/>
      <c r="F159" s="686"/>
      <c r="G159" s="686"/>
      <c r="H159" s="56"/>
      <c r="I159" s="56"/>
      <c r="J159" s="56"/>
    </row>
    <row r="160" spans="5:10" x14ac:dyDescent="0.2">
      <c r="E160" s="61"/>
      <c r="F160" s="686"/>
      <c r="G160" s="686"/>
      <c r="H160" s="56"/>
      <c r="I160" s="56"/>
      <c r="J160" s="56"/>
    </row>
    <row r="161" spans="5:10" x14ac:dyDescent="0.2">
      <c r="E161" s="61"/>
      <c r="F161" s="686"/>
      <c r="G161" s="686"/>
      <c r="H161" s="56"/>
      <c r="I161" s="56"/>
      <c r="J161" s="56"/>
    </row>
    <row r="162" spans="5:10" x14ac:dyDescent="0.2">
      <c r="E162" s="61"/>
      <c r="F162" s="686"/>
      <c r="G162" s="686"/>
      <c r="H162" s="56"/>
      <c r="I162" s="56"/>
      <c r="J162" s="56"/>
    </row>
    <row r="163" spans="5:10" x14ac:dyDescent="0.2">
      <c r="E163" s="61"/>
      <c r="F163" s="686"/>
      <c r="G163" s="686"/>
      <c r="H163" s="56"/>
      <c r="I163" s="56"/>
      <c r="J163" s="56"/>
    </row>
    <row r="164" spans="5:10" x14ac:dyDescent="0.2">
      <c r="E164" s="61"/>
      <c r="F164" s="686"/>
      <c r="G164" s="686"/>
      <c r="H164" s="56"/>
      <c r="I164" s="56"/>
      <c r="J164" s="56"/>
    </row>
    <row r="165" spans="5:10" x14ac:dyDescent="0.2">
      <c r="E165" s="61"/>
      <c r="F165" s="686"/>
      <c r="G165" s="686"/>
      <c r="H165" s="56"/>
      <c r="I165" s="56"/>
      <c r="J165" s="56"/>
    </row>
    <row r="166" spans="5:10" x14ac:dyDescent="0.2">
      <c r="E166" s="61"/>
      <c r="F166" s="686"/>
      <c r="G166" s="686"/>
      <c r="H166" s="56"/>
      <c r="I166" s="56"/>
      <c r="J166" s="56"/>
    </row>
    <row r="167" spans="5:10" x14ac:dyDescent="0.2">
      <c r="E167" s="61"/>
      <c r="F167" s="686"/>
      <c r="G167" s="686"/>
      <c r="H167" s="56"/>
      <c r="I167" s="56"/>
      <c r="J167" s="56"/>
    </row>
    <row r="168" spans="5:10" x14ac:dyDescent="0.2">
      <c r="E168" s="61"/>
      <c r="F168" s="686"/>
      <c r="G168" s="686"/>
      <c r="H168" s="56"/>
      <c r="I168" s="56"/>
      <c r="J168" s="56"/>
    </row>
    <row r="169" spans="5:10" x14ac:dyDescent="0.2">
      <c r="E169" s="61"/>
      <c r="F169" s="686"/>
      <c r="G169" s="686"/>
      <c r="H169" s="56"/>
      <c r="I169" s="56"/>
      <c r="J169" s="56"/>
    </row>
    <row r="170" spans="5:10" x14ac:dyDescent="0.2">
      <c r="E170" s="61"/>
      <c r="F170" s="686"/>
      <c r="G170" s="686"/>
      <c r="H170" s="56"/>
      <c r="I170" s="56"/>
      <c r="J170" s="56"/>
    </row>
    <row r="171" spans="5:10" x14ac:dyDescent="0.2">
      <c r="E171" s="61"/>
      <c r="F171" s="686"/>
      <c r="G171" s="686"/>
      <c r="H171" s="56"/>
      <c r="I171" s="56"/>
      <c r="J171" s="56"/>
    </row>
    <row r="172" spans="5:10" x14ac:dyDescent="0.2">
      <c r="E172" s="61"/>
      <c r="F172" s="686"/>
      <c r="G172" s="686"/>
      <c r="H172" s="56"/>
      <c r="I172" s="56"/>
      <c r="J172" s="56"/>
    </row>
    <row r="173" spans="5:10" x14ac:dyDescent="0.2">
      <c r="E173" s="61"/>
      <c r="F173" s="686"/>
      <c r="G173" s="686"/>
      <c r="H173" s="56"/>
      <c r="I173" s="56"/>
      <c r="J173" s="56"/>
    </row>
    <row r="174" spans="5:10" x14ac:dyDescent="0.2">
      <c r="E174" s="61"/>
      <c r="F174" s="686"/>
      <c r="G174" s="686"/>
      <c r="H174" s="56"/>
      <c r="I174" s="56"/>
      <c r="J174" s="56"/>
    </row>
    <row r="175" spans="5:10" x14ac:dyDescent="0.2">
      <c r="E175" s="61"/>
      <c r="F175" s="686"/>
      <c r="G175" s="686"/>
      <c r="H175" s="56"/>
      <c r="I175" s="56"/>
      <c r="J175" s="56"/>
    </row>
    <row r="176" spans="5:10" x14ac:dyDescent="0.2">
      <c r="E176" s="61"/>
      <c r="F176" s="686"/>
      <c r="G176" s="686"/>
      <c r="H176" s="56"/>
      <c r="I176" s="56"/>
      <c r="J176" s="56"/>
    </row>
    <row r="177" spans="5:10" x14ac:dyDescent="0.2">
      <c r="E177" s="61"/>
      <c r="F177" s="686"/>
      <c r="G177" s="686"/>
      <c r="H177" s="56"/>
      <c r="I177" s="56"/>
      <c r="J177" s="56"/>
    </row>
    <row r="178" spans="5:10" x14ac:dyDescent="0.2">
      <c r="E178" s="61"/>
      <c r="F178" s="686"/>
      <c r="G178" s="686"/>
      <c r="H178" s="56"/>
      <c r="I178" s="56"/>
      <c r="J178" s="56"/>
    </row>
    <row r="179" spans="5:10" x14ac:dyDescent="0.2">
      <c r="E179" s="61"/>
      <c r="F179" s="686"/>
      <c r="G179" s="686"/>
      <c r="H179" s="56"/>
      <c r="I179" s="56"/>
      <c r="J179" s="56"/>
    </row>
    <row r="180" spans="5:10" x14ac:dyDescent="0.2">
      <c r="E180" s="61"/>
      <c r="F180" s="686"/>
      <c r="G180" s="686"/>
      <c r="H180" s="56"/>
      <c r="I180" s="56"/>
      <c r="J180" s="56"/>
    </row>
    <row r="181" spans="5:10" x14ac:dyDescent="0.2">
      <c r="E181" s="61"/>
      <c r="F181" s="686"/>
      <c r="G181" s="686"/>
      <c r="H181" s="56"/>
      <c r="I181" s="56"/>
      <c r="J181" s="56"/>
    </row>
    <row r="182" spans="5:10" x14ac:dyDescent="0.2">
      <c r="E182" s="61"/>
      <c r="F182" s="686"/>
      <c r="G182" s="686"/>
      <c r="H182" s="56"/>
      <c r="I182" s="56"/>
      <c r="J182" s="56"/>
    </row>
    <row r="183" spans="5:10" x14ac:dyDescent="0.2">
      <c r="E183" s="61"/>
      <c r="F183" s="686"/>
      <c r="G183" s="686"/>
      <c r="H183" s="56"/>
      <c r="I183" s="56"/>
      <c r="J183" s="56"/>
    </row>
    <row r="184" spans="5:10" x14ac:dyDescent="0.2">
      <c r="E184" s="61"/>
      <c r="F184" s="686"/>
      <c r="G184" s="686"/>
      <c r="H184" s="56"/>
      <c r="I184" s="56"/>
      <c r="J184" s="56"/>
    </row>
    <row r="185" spans="5:10" x14ac:dyDescent="0.2">
      <c r="E185" s="61"/>
      <c r="F185" s="686"/>
      <c r="G185" s="686"/>
      <c r="H185" s="56"/>
      <c r="I185" s="56"/>
      <c r="J185" s="56"/>
    </row>
    <row r="186" spans="5:10" x14ac:dyDescent="0.2">
      <c r="E186" s="61"/>
      <c r="F186" s="686"/>
      <c r="G186" s="686"/>
      <c r="H186" s="56"/>
      <c r="I186" s="56"/>
      <c r="J186" s="56"/>
    </row>
    <row r="187" spans="5:10" x14ac:dyDescent="0.2">
      <c r="E187" s="61"/>
      <c r="F187" s="686"/>
      <c r="G187" s="686"/>
      <c r="H187" s="56"/>
      <c r="I187" s="56"/>
      <c r="J187" s="56"/>
    </row>
    <row r="188" spans="5:10" x14ac:dyDescent="0.2">
      <c r="E188" s="61"/>
      <c r="F188" s="686"/>
      <c r="G188" s="686"/>
      <c r="H188" s="56"/>
      <c r="I188" s="56"/>
      <c r="J188" s="56"/>
    </row>
    <row r="189" spans="5:10" x14ac:dyDescent="0.2">
      <c r="E189" s="61"/>
      <c r="F189" s="686"/>
      <c r="G189" s="686"/>
      <c r="H189" s="56"/>
      <c r="I189" s="56"/>
      <c r="J189" s="56"/>
    </row>
    <row r="190" spans="5:10" x14ac:dyDescent="0.2">
      <c r="E190" s="61"/>
      <c r="F190" s="686"/>
      <c r="G190" s="686"/>
      <c r="H190" s="56"/>
      <c r="I190" s="56"/>
      <c r="J190" s="56"/>
    </row>
    <row r="191" spans="5:10" x14ac:dyDescent="0.2">
      <c r="E191" s="61"/>
      <c r="F191" s="686"/>
      <c r="G191" s="686"/>
      <c r="H191" s="56"/>
      <c r="I191" s="56"/>
      <c r="J191" s="56"/>
    </row>
    <row r="192" spans="5:10" x14ac:dyDescent="0.2">
      <c r="E192" s="61"/>
      <c r="F192" s="686"/>
      <c r="G192" s="686"/>
      <c r="H192" s="56"/>
      <c r="I192" s="56"/>
      <c r="J192" s="56"/>
    </row>
    <row r="193" spans="5:10" x14ac:dyDescent="0.2">
      <c r="E193" s="61"/>
      <c r="F193" s="686"/>
      <c r="G193" s="686"/>
      <c r="H193" s="56"/>
      <c r="I193" s="56"/>
      <c r="J193" s="56"/>
    </row>
    <row r="194" spans="5:10" x14ac:dyDescent="0.2">
      <c r="E194" s="61"/>
      <c r="F194" s="686"/>
      <c r="G194" s="686"/>
      <c r="H194" s="56"/>
      <c r="I194" s="56"/>
      <c r="J194" s="56"/>
    </row>
    <row r="195" spans="5:10" x14ac:dyDescent="0.2">
      <c r="E195" s="61"/>
      <c r="F195" s="686"/>
      <c r="G195" s="686"/>
      <c r="H195" s="56"/>
      <c r="I195" s="56"/>
      <c r="J195" s="56"/>
    </row>
    <row r="196" spans="5:10" x14ac:dyDescent="0.2">
      <c r="E196" s="61"/>
      <c r="F196" s="686"/>
      <c r="G196" s="686"/>
      <c r="H196" s="56"/>
      <c r="I196" s="56"/>
      <c r="J196" s="56"/>
    </row>
    <row r="197" spans="5:10" x14ac:dyDescent="0.2">
      <c r="E197" s="61"/>
      <c r="F197" s="686"/>
      <c r="G197" s="686"/>
      <c r="H197" s="56"/>
      <c r="I197" s="56"/>
      <c r="J197" s="56"/>
    </row>
    <row r="198" spans="5:10" x14ac:dyDescent="0.2">
      <c r="E198" s="61"/>
      <c r="F198" s="686"/>
      <c r="G198" s="686"/>
      <c r="H198" s="56"/>
      <c r="I198" s="56"/>
      <c r="J198" s="56"/>
    </row>
    <row r="199" spans="5:10" x14ac:dyDescent="0.2">
      <c r="E199" s="61"/>
      <c r="F199" s="686"/>
      <c r="G199" s="686"/>
      <c r="H199" s="56"/>
      <c r="I199" s="56"/>
      <c r="J199" s="56"/>
    </row>
    <row r="200" spans="5:10" x14ac:dyDescent="0.2">
      <c r="E200" s="61"/>
      <c r="F200" s="686"/>
      <c r="G200" s="686"/>
      <c r="H200" s="56"/>
      <c r="I200" s="56"/>
      <c r="J200" s="56"/>
    </row>
    <row r="201" spans="5:10" x14ac:dyDescent="0.2">
      <c r="E201" s="61"/>
      <c r="F201" s="686"/>
      <c r="G201" s="686"/>
      <c r="H201" s="56"/>
      <c r="I201" s="56"/>
      <c r="J201" s="56"/>
    </row>
    <row r="202" spans="5:10" x14ac:dyDescent="0.2">
      <c r="E202" s="61"/>
      <c r="F202" s="686"/>
      <c r="G202" s="686"/>
      <c r="H202" s="56"/>
      <c r="I202" s="56"/>
      <c r="J202" s="56"/>
    </row>
    <row r="203" spans="5:10" x14ac:dyDescent="0.2">
      <c r="E203" s="61"/>
      <c r="F203" s="686"/>
      <c r="G203" s="686"/>
      <c r="H203" s="56"/>
      <c r="I203" s="56"/>
      <c r="J203" s="56"/>
    </row>
    <row r="204" spans="5:10" x14ac:dyDescent="0.2">
      <c r="E204" s="61"/>
      <c r="F204" s="686"/>
      <c r="G204" s="686"/>
      <c r="H204" s="56"/>
      <c r="I204" s="56"/>
      <c r="J204" s="56"/>
    </row>
    <row r="205" spans="5:10" x14ac:dyDescent="0.2">
      <c r="E205" s="61"/>
      <c r="F205" s="686"/>
      <c r="G205" s="686"/>
      <c r="H205" s="56"/>
      <c r="I205" s="56"/>
      <c r="J205" s="56"/>
    </row>
    <row r="206" spans="5:10" x14ac:dyDescent="0.2">
      <c r="E206" s="61"/>
      <c r="F206" s="686"/>
      <c r="G206" s="686"/>
      <c r="H206" s="56"/>
      <c r="I206" s="56"/>
      <c r="J206" s="56"/>
    </row>
    <row r="207" spans="5:10" x14ac:dyDescent="0.2">
      <c r="E207" s="61"/>
      <c r="F207" s="686"/>
      <c r="G207" s="686"/>
      <c r="H207" s="56"/>
      <c r="I207" s="56"/>
      <c r="J207" s="56"/>
    </row>
    <row r="208" spans="5:10" x14ac:dyDescent="0.2">
      <c r="E208" s="61"/>
      <c r="F208" s="686"/>
      <c r="G208" s="686"/>
      <c r="H208" s="56"/>
      <c r="I208" s="56"/>
      <c r="J208" s="56"/>
    </row>
    <row r="209" spans="5:10" x14ac:dyDescent="0.2">
      <c r="E209" s="61"/>
      <c r="F209" s="686"/>
      <c r="G209" s="686"/>
      <c r="H209" s="56"/>
      <c r="I209" s="56"/>
      <c r="J209" s="56"/>
    </row>
    <row r="210" spans="5:10" x14ac:dyDescent="0.2">
      <c r="E210" s="61"/>
      <c r="F210" s="686"/>
      <c r="G210" s="686"/>
      <c r="H210" s="56"/>
      <c r="I210" s="56"/>
      <c r="J210" s="56"/>
    </row>
    <row r="211" spans="5:10" x14ac:dyDescent="0.2">
      <c r="E211" s="61"/>
      <c r="F211" s="686"/>
      <c r="G211" s="686"/>
      <c r="H211" s="56"/>
      <c r="I211" s="56"/>
      <c r="J211" s="56"/>
    </row>
    <row r="212" spans="5:10" x14ac:dyDescent="0.2">
      <c r="E212" s="61"/>
      <c r="F212" s="686"/>
      <c r="G212" s="686"/>
      <c r="H212" s="56"/>
      <c r="I212" s="56"/>
      <c r="J212" s="56"/>
    </row>
    <row r="213" spans="5:10" x14ac:dyDescent="0.2">
      <c r="E213" s="61"/>
      <c r="F213" s="686"/>
      <c r="G213" s="686"/>
      <c r="H213" s="56"/>
      <c r="I213" s="56"/>
      <c r="J213" s="56"/>
    </row>
    <row r="214" spans="5:10" x14ac:dyDescent="0.2">
      <c r="E214" s="61"/>
      <c r="F214" s="686"/>
      <c r="G214" s="686"/>
      <c r="H214" s="56"/>
      <c r="I214" s="56"/>
      <c r="J214" s="56"/>
    </row>
    <row r="215" spans="5:10" x14ac:dyDescent="0.2">
      <c r="E215" s="61"/>
      <c r="F215" s="686"/>
      <c r="G215" s="686"/>
      <c r="H215" s="56"/>
      <c r="I215" s="56"/>
      <c r="J215" s="56"/>
    </row>
    <row r="216" spans="5:10" x14ac:dyDescent="0.2">
      <c r="E216" s="61"/>
      <c r="F216" s="686"/>
      <c r="G216" s="686"/>
      <c r="H216" s="56"/>
      <c r="I216" s="56"/>
      <c r="J216" s="56"/>
    </row>
    <row r="217" spans="5:10" x14ac:dyDescent="0.2">
      <c r="E217" s="61"/>
      <c r="F217" s="686"/>
      <c r="G217" s="686"/>
      <c r="H217" s="56"/>
      <c r="I217" s="56"/>
      <c r="J217" s="56"/>
    </row>
    <row r="218" spans="5:10" x14ac:dyDescent="0.2">
      <c r="E218" s="61"/>
      <c r="F218" s="686"/>
      <c r="G218" s="686"/>
      <c r="H218" s="56"/>
      <c r="I218" s="56"/>
      <c r="J218" s="56"/>
    </row>
    <row r="219" spans="5:10" x14ac:dyDescent="0.2">
      <c r="E219" s="61"/>
      <c r="F219" s="686"/>
      <c r="G219" s="686"/>
      <c r="H219" s="56"/>
      <c r="I219" s="56"/>
      <c r="J219" s="56"/>
    </row>
    <row r="220" spans="5:10" x14ac:dyDescent="0.2">
      <c r="E220" s="61"/>
      <c r="F220" s="686"/>
      <c r="G220" s="686"/>
      <c r="H220" s="56"/>
      <c r="I220" s="56"/>
      <c r="J220" s="56"/>
    </row>
    <row r="221" spans="5:10" x14ac:dyDescent="0.2">
      <c r="E221" s="61"/>
      <c r="F221" s="686"/>
      <c r="G221" s="686"/>
      <c r="H221" s="56"/>
      <c r="I221" s="56"/>
      <c r="J221" s="56"/>
    </row>
    <row r="222" spans="5:10" x14ac:dyDescent="0.2">
      <c r="E222" s="61"/>
      <c r="F222" s="686"/>
      <c r="G222" s="686"/>
      <c r="H222" s="56"/>
      <c r="I222" s="56"/>
      <c r="J222" s="56"/>
    </row>
    <row r="223" spans="5:10" x14ac:dyDescent="0.2">
      <c r="E223" s="61"/>
      <c r="F223" s="686"/>
      <c r="G223" s="686"/>
      <c r="H223" s="56"/>
      <c r="I223" s="56"/>
      <c r="J223" s="56"/>
    </row>
    <row r="224" spans="5:10" x14ac:dyDescent="0.2">
      <c r="E224" s="61"/>
      <c r="F224" s="686"/>
      <c r="G224" s="686"/>
      <c r="H224" s="56"/>
      <c r="I224" s="56"/>
      <c r="J224" s="56"/>
    </row>
    <row r="225" spans="5:10" x14ac:dyDescent="0.2">
      <c r="E225" s="61"/>
      <c r="F225" s="686"/>
      <c r="G225" s="686"/>
      <c r="H225" s="56"/>
      <c r="I225" s="56"/>
      <c r="J225" s="56"/>
    </row>
    <row r="226" spans="5:10" x14ac:dyDescent="0.2">
      <c r="E226" s="61"/>
      <c r="F226" s="686"/>
      <c r="G226" s="686"/>
      <c r="H226" s="56"/>
      <c r="I226" s="56"/>
      <c r="J226" s="56"/>
    </row>
    <row r="227" spans="5:10" x14ac:dyDescent="0.2">
      <c r="E227" s="61"/>
      <c r="F227" s="686"/>
      <c r="G227" s="686"/>
      <c r="H227" s="56"/>
      <c r="I227" s="56"/>
      <c r="J227" s="56"/>
    </row>
    <row r="228" spans="5:10" x14ac:dyDescent="0.2">
      <c r="E228" s="61"/>
      <c r="F228" s="686"/>
      <c r="G228" s="686"/>
      <c r="H228" s="56"/>
      <c r="I228" s="56"/>
      <c r="J228" s="56"/>
    </row>
    <row r="229" spans="5:10" x14ac:dyDescent="0.2">
      <c r="E229" s="61"/>
      <c r="F229" s="686"/>
      <c r="G229" s="686"/>
      <c r="H229" s="56"/>
      <c r="I229" s="56"/>
      <c r="J229" s="56"/>
    </row>
    <row r="230" spans="5:10" x14ac:dyDescent="0.2">
      <c r="E230" s="61"/>
      <c r="F230" s="686"/>
      <c r="G230" s="686"/>
      <c r="H230" s="56"/>
      <c r="I230" s="56"/>
      <c r="J230" s="56"/>
    </row>
    <row r="231" spans="5:10" x14ac:dyDescent="0.2">
      <c r="E231" s="61"/>
      <c r="F231" s="686"/>
      <c r="G231" s="686"/>
      <c r="H231" s="56"/>
      <c r="I231" s="56"/>
      <c r="J231" s="56"/>
    </row>
    <row r="232" spans="5:10" x14ac:dyDescent="0.2">
      <c r="E232" s="61"/>
      <c r="F232" s="686"/>
      <c r="G232" s="686"/>
      <c r="H232" s="56"/>
      <c r="I232" s="56"/>
      <c r="J232" s="56"/>
    </row>
    <row r="233" spans="5:10" x14ac:dyDescent="0.2">
      <c r="E233" s="61"/>
      <c r="F233" s="686"/>
      <c r="G233" s="686"/>
      <c r="H233" s="56"/>
      <c r="I233" s="56"/>
      <c r="J233" s="56"/>
    </row>
    <row r="234" spans="5:10" x14ac:dyDescent="0.2">
      <c r="E234" s="61"/>
      <c r="F234" s="686"/>
      <c r="G234" s="686"/>
      <c r="H234" s="56"/>
      <c r="I234" s="56"/>
      <c r="J234" s="56"/>
    </row>
    <row r="235" spans="5:10" x14ac:dyDescent="0.2">
      <c r="E235" s="61"/>
      <c r="F235" s="686"/>
      <c r="G235" s="686"/>
      <c r="H235" s="56"/>
      <c r="I235" s="56"/>
      <c r="J235" s="56"/>
    </row>
    <row r="236" spans="5:10" x14ac:dyDescent="0.2">
      <c r="E236" s="61"/>
      <c r="F236" s="686"/>
      <c r="G236" s="686"/>
      <c r="H236" s="56"/>
      <c r="I236" s="56"/>
      <c r="J236" s="56"/>
    </row>
    <row r="237" spans="5:10" x14ac:dyDescent="0.2">
      <c r="E237" s="61"/>
      <c r="F237" s="686"/>
      <c r="G237" s="686"/>
      <c r="H237" s="56"/>
      <c r="I237" s="56"/>
      <c r="J237" s="56"/>
    </row>
    <row r="238" spans="5:10" x14ac:dyDescent="0.2">
      <c r="E238" s="61"/>
      <c r="F238" s="686"/>
      <c r="G238" s="686"/>
      <c r="H238" s="56"/>
      <c r="I238" s="56"/>
      <c r="J238" s="56"/>
    </row>
    <row r="239" spans="5:10" x14ac:dyDescent="0.2">
      <c r="E239" s="61"/>
      <c r="F239" s="686"/>
      <c r="G239" s="686"/>
      <c r="H239" s="56"/>
      <c r="I239" s="56"/>
      <c r="J239" s="56"/>
    </row>
    <row r="240" spans="5:10" x14ac:dyDescent="0.2">
      <c r="E240" s="61"/>
      <c r="F240" s="686"/>
      <c r="G240" s="686"/>
      <c r="H240" s="56"/>
      <c r="I240" s="56"/>
      <c r="J240" s="56"/>
    </row>
    <row r="241" spans="5:10" x14ac:dyDescent="0.2">
      <c r="E241" s="61"/>
      <c r="F241" s="686"/>
      <c r="G241" s="686"/>
      <c r="H241" s="56"/>
      <c r="I241" s="56"/>
      <c r="J241" s="56"/>
    </row>
    <row r="242" spans="5:10" x14ac:dyDescent="0.2">
      <c r="E242" s="61"/>
      <c r="F242" s="686"/>
      <c r="G242" s="686"/>
      <c r="H242" s="56"/>
      <c r="I242" s="56"/>
      <c r="J242" s="56"/>
    </row>
    <row r="243" spans="5:10" x14ac:dyDescent="0.2">
      <c r="E243" s="61"/>
      <c r="F243" s="686"/>
      <c r="G243" s="686"/>
      <c r="H243" s="56"/>
      <c r="I243" s="56"/>
      <c r="J243" s="56"/>
    </row>
    <row r="244" spans="5:10" x14ac:dyDescent="0.2">
      <c r="E244" s="61"/>
      <c r="F244" s="686"/>
      <c r="G244" s="686"/>
      <c r="H244" s="56"/>
      <c r="I244" s="56"/>
      <c r="J244" s="56"/>
    </row>
    <row r="245" spans="5:10" x14ac:dyDescent="0.2">
      <c r="E245" s="61"/>
      <c r="F245" s="686"/>
      <c r="G245" s="686"/>
      <c r="H245" s="56"/>
      <c r="I245" s="56"/>
      <c r="J245" s="56"/>
    </row>
    <row r="246" spans="5:10" x14ac:dyDescent="0.2">
      <c r="E246" s="61"/>
      <c r="F246" s="686"/>
      <c r="G246" s="686"/>
      <c r="H246" s="56"/>
      <c r="I246" s="56"/>
      <c r="J246" s="56"/>
    </row>
    <row r="247" spans="5:10" x14ac:dyDescent="0.2">
      <c r="E247" s="61"/>
      <c r="F247" s="686"/>
      <c r="G247" s="686"/>
      <c r="H247" s="56"/>
      <c r="I247" s="56"/>
      <c r="J247" s="56"/>
    </row>
    <row r="248" spans="5:10" x14ac:dyDescent="0.2">
      <c r="E248" s="61"/>
      <c r="F248" s="686"/>
      <c r="G248" s="686"/>
      <c r="H248" s="56"/>
      <c r="I248" s="56"/>
      <c r="J248" s="56"/>
    </row>
    <row r="249" spans="5:10" x14ac:dyDescent="0.2">
      <c r="E249" s="61"/>
      <c r="F249" s="686"/>
      <c r="G249" s="686"/>
      <c r="H249" s="56"/>
      <c r="I249" s="56"/>
      <c r="J249" s="56"/>
    </row>
    <row r="250" spans="5:10" x14ac:dyDescent="0.2">
      <c r="E250" s="61"/>
      <c r="F250" s="686"/>
      <c r="G250" s="686"/>
      <c r="H250" s="56"/>
      <c r="I250" s="56"/>
      <c r="J250" s="56"/>
    </row>
    <row r="251" spans="5:10" x14ac:dyDescent="0.2">
      <c r="E251" s="61"/>
      <c r="F251" s="686"/>
      <c r="G251" s="686"/>
      <c r="H251" s="56"/>
      <c r="I251" s="56"/>
      <c r="J251" s="56"/>
    </row>
    <row r="252" spans="5:10" x14ac:dyDescent="0.2">
      <c r="E252" s="61"/>
      <c r="F252" s="686"/>
      <c r="G252" s="686"/>
      <c r="H252" s="56"/>
      <c r="I252" s="56"/>
      <c r="J252" s="56"/>
    </row>
    <row r="253" spans="5:10" x14ac:dyDescent="0.2">
      <c r="E253" s="61"/>
      <c r="F253" s="686"/>
      <c r="G253" s="686"/>
      <c r="H253" s="56"/>
      <c r="I253" s="56"/>
      <c r="J253" s="56"/>
    </row>
    <row r="254" spans="5:10" x14ac:dyDescent="0.2">
      <c r="E254" s="61"/>
      <c r="F254" s="686"/>
      <c r="G254" s="686"/>
      <c r="H254" s="56"/>
      <c r="I254" s="56"/>
      <c r="J254" s="56"/>
    </row>
    <row r="255" spans="5:10" x14ac:dyDescent="0.2">
      <c r="E255" s="61"/>
      <c r="F255" s="686"/>
      <c r="G255" s="686"/>
      <c r="H255" s="56"/>
      <c r="I255" s="56"/>
      <c r="J255" s="56"/>
    </row>
    <row r="256" spans="5:10" x14ac:dyDescent="0.2">
      <c r="E256" s="61"/>
      <c r="F256" s="686"/>
      <c r="G256" s="686"/>
      <c r="H256" s="56"/>
      <c r="I256" s="56"/>
      <c r="J256" s="56"/>
    </row>
    <row r="257" spans="5:10" x14ac:dyDescent="0.2">
      <c r="E257" s="61"/>
      <c r="F257" s="686"/>
      <c r="G257" s="686"/>
      <c r="H257" s="56"/>
      <c r="I257" s="56"/>
      <c r="J257" s="56"/>
    </row>
    <row r="258" spans="5:10" x14ac:dyDescent="0.2">
      <c r="E258" s="61"/>
      <c r="F258" s="686"/>
      <c r="G258" s="686"/>
      <c r="H258" s="56"/>
      <c r="I258" s="56"/>
      <c r="J258" s="56"/>
    </row>
    <row r="259" spans="5:10" x14ac:dyDescent="0.2">
      <c r="E259" s="61"/>
      <c r="F259" s="686"/>
      <c r="G259" s="686"/>
      <c r="H259" s="56"/>
      <c r="I259" s="56"/>
      <c r="J259" s="56"/>
    </row>
    <row r="260" spans="5:10" x14ac:dyDescent="0.2">
      <c r="E260" s="61"/>
      <c r="F260" s="686"/>
      <c r="G260" s="686"/>
      <c r="H260" s="56"/>
      <c r="I260" s="56"/>
      <c r="J260" s="56"/>
    </row>
    <row r="261" spans="5:10" x14ac:dyDescent="0.2">
      <c r="E261" s="61"/>
      <c r="F261" s="686"/>
      <c r="G261" s="686"/>
      <c r="H261" s="56"/>
      <c r="I261" s="56"/>
      <c r="J261" s="56"/>
    </row>
    <row r="262" spans="5:10" x14ac:dyDescent="0.2">
      <c r="E262" s="61"/>
      <c r="F262" s="686"/>
      <c r="G262" s="686"/>
      <c r="H262" s="56"/>
      <c r="I262" s="56"/>
      <c r="J262" s="56"/>
    </row>
    <row r="263" spans="5:10" x14ac:dyDescent="0.2">
      <c r="E263" s="61"/>
      <c r="F263" s="686"/>
      <c r="G263" s="686"/>
      <c r="H263" s="56"/>
      <c r="I263" s="56"/>
      <c r="J263" s="56"/>
    </row>
    <row r="264" spans="5:10" x14ac:dyDescent="0.2">
      <c r="E264" s="61"/>
      <c r="F264" s="686"/>
      <c r="G264" s="686"/>
      <c r="H264" s="56"/>
      <c r="I264" s="56"/>
      <c r="J264" s="56"/>
    </row>
    <row r="265" spans="5:10" x14ac:dyDescent="0.2">
      <c r="E265" s="61"/>
      <c r="F265" s="686"/>
      <c r="G265" s="686"/>
      <c r="H265" s="56"/>
      <c r="I265" s="56"/>
      <c r="J265" s="56"/>
    </row>
    <row r="266" spans="5:10" x14ac:dyDescent="0.2">
      <c r="E266" s="61"/>
      <c r="F266" s="686"/>
      <c r="G266" s="686"/>
      <c r="H266" s="56"/>
      <c r="I266" s="56"/>
      <c r="J266" s="56"/>
    </row>
    <row r="267" spans="5:10" x14ac:dyDescent="0.2">
      <c r="E267" s="61"/>
      <c r="F267" s="686"/>
      <c r="G267" s="686"/>
      <c r="H267" s="56"/>
      <c r="I267" s="56"/>
      <c r="J267" s="56"/>
    </row>
    <row r="268" spans="5:10" x14ac:dyDescent="0.2">
      <c r="E268" s="61"/>
      <c r="F268" s="686"/>
      <c r="G268" s="686"/>
      <c r="H268" s="56"/>
      <c r="I268" s="56"/>
      <c r="J268" s="56"/>
    </row>
    <row r="269" spans="5:10" x14ac:dyDescent="0.2">
      <c r="E269" s="61"/>
      <c r="F269" s="686"/>
      <c r="G269" s="686"/>
      <c r="H269" s="56"/>
      <c r="I269" s="56"/>
      <c r="J269" s="56"/>
    </row>
    <row r="270" spans="5:10" x14ac:dyDescent="0.2">
      <c r="E270" s="61"/>
      <c r="F270" s="686"/>
      <c r="G270" s="686"/>
      <c r="H270" s="56"/>
      <c r="I270" s="56"/>
      <c r="J270" s="56"/>
    </row>
    <row r="271" spans="5:10" x14ac:dyDescent="0.2">
      <c r="E271" s="61"/>
      <c r="F271" s="686"/>
      <c r="G271" s="686"/>
      <c r="H271" s="56"/>
      <c r="I271" s="56"/>
      <c r="J271" s="56"/>
    </row>
    <row r="272" spans="5:10" x14ac:dyDescent="0.2">
      <c r="E272" s="61"/>
      <c r="F272" s="686"/>
      <c r="G272" s="686"/>
      <c r="H272" s="56"/>
      <c r="I272" s="56"/>
      <c r="J272" s="56"/>
    </row>
    <row r="273" spans="5:10" x14ac:dyDescent="0.2">
      <c r="E273" s="61"/>
      <c r="F273" s="686"/>
      <c r="G273" s="686"/>
      <c r="H273" s="56"/>
      <c r="I273" s="56"/>
      <c r="J273" s="56"/>
    </row>
    <row r="274" spans="5:10" x14ac:dyDescent="0.2">
      <c r="E274" s="61"/>
      <c r="F274" s="686"/>
      <c r="G274" s="686"/>
      <c r="H274" s="56"/>
      <c r="I274" s="56"/>
      <c r="J274" s="56"/>
    </row>
    <row r="275" spans="5:10" x14ac:dyDescent="0.2">
      <c r="E275" s="61"/>
      <c r="F275" s="686"/>
      <c r="G275" s="686"/>
      <c r="H275" s="56"/>
      <c r="I275" s="56"/>
      <c r="J275" s="56"/>
    </row>
    <row r="276" spans="5:10" x14ac:dyDescent="0.2">
      <c r="E276" s="61"/>
      <c r="F276" s="686"/>
      <c r="G276" s="686"/>
      <c r="H276" s="56"/>
      <c r="I276" s="56"/>
      <c r="J276" s="56"/>
    </row>
    <row r="277" spans="5:10" x14ac:dyDescent="0.2">
      <c r="E277" s="61"/>
      <c r="F277" s="686"/>
      <c r="G277" s="686"/>
      <c r="H277" s="56"/>
      <c r="I277" s="56"/>
      <c r="J277" s="56"/>
    </row>
    <row r="278" spans="5:10" x14ac:dyDescent="0.2">
      <c r="E278" s="61"/>
      <c r="F278" s="686"/>
      <c r="G278" s="686"/>
      <c r="H278" s="56"/>
      <c r="I278" s="56"/>
      <c r="J278" s="56"/>
    </row>
    <row r="279" spans="5:10" x14ac:dyDescent="0.2">
      <c r="E279" s="61"/>
      <c r="F279" s="686"/>
      <c r="G279" s="686"/>
      <c r="H279" s="56"/>
      <c r="I279" s="56"/>
      <c r="J279" s="56"/>
    </row>
    <row r="280" spans="5:10" x14ac:dyDescent="0.2">
      <c r="E280" s="61"/>
      <c r="F280" s="686"/>
      <c r="G280" s="686"/>
      <c r="H280" s="56"/>
      <c r="I280" s="56"/>
      <c r="J280" s="56"/>
    </row>
    <row r="281" spans="5:10" x14ac:dyDescent="0.2">
      <c r="E281" s="61"/>
      <c r="F281" s="686"/>
      <c r="G281" s="686"/>
      <c r="H281" s="56"/>
      <c r="I281" s="56"/>
      <c r="J281" s="56"/>
    </row>
    <row r="282" spans="5:10" x14ac:dyDescent="0.2">
      <c r="E282" s="61"/>
      <c r="F282" s="686"/>
      <c r="G282" s="686"/>
      <c r="H282" s="56"/>
      <c r="I282" s="56"/>
      <c r="J282" s="56"/>
    </row>
    <row r="283" spans="5:10" x14ac:dyDescent="0.2">
      <c r="E283" s="61"/>
      <c r="F283" s="686"/>
      <c r="G283" s="686"/>
      <c r="H283" s="56"/>
      <c r="I283" s="56"/>
      <c r="J283" s="56"/>
    </row>
    <row r="284" spans="5:10" x14ac:dyDescent="0.2">
      <c r="E284" s="61"/>
      <c r="F284" s="686"/>
      <c r="G284" s="686"/>
      <c r="H284" s="56"/>
      <c r="I284" s="56"/>
      <c r="J284" s="56"/>
    </row>
    <row r="285" spans="5:10" x14ac:dyDescent="0.2">
      <c r="E285" s="61"/>
      <c r="F285" s="686"/>
      <c r="G285" s="686"/>
      <c r="H285" s="56"/>
      <c r="I285" s="56"/>
      <c r="J285" s="56"/>
    </row>
    <row r="286" spans="5:10" x14ac:dyDescent="0.2">
      <c r="E286" s="61"/>
      <c r="F286" s="686"/>
      <c r="G286" s="686"/>
      <c r="H286" s="56"/>
      <c r="I286" s="56"/>
      <c r="J286" s="56"/>
    </row>
    <row r="287" spans="5:10" x14ac:dyDescent="0.2">
      <c r="E287" s="61"/>
      <c r="F287" s="686"/>
      <c r="G287" s="686"/>
      <c r="H287" s="56"/>
      <c r="I287" s="56"/>
      <c r="J287" s="56"/>
    </row>
    <row r="288" spans="5:10" x14ac:dyDescent="0.2">
      <c r="E288" s="61"/>
      <c r="F288" s="686"/>
      <c r="G288" s="686"/>
      <c r="H288" s="56"/>
      <c r="I288" s="56"/>
      <c r="J288" s="56"/>
    </row>
    <row r="289" spans="5:10" x14ac:dyDescent="0.2">
      <c r="E289" s="61"/>
      <c r="F289" s="686"/>
      <c r="G289" s="686"/>
      <c r="H289" s="56"/>
      <c r="I289" s="56"/>
      <c r="J289" s="56"/>
    </row>
    <row r="290" spans="5:10" x14ac:dyDescent="0.2">
      <c r="E290" s="61"/>
      <c r="F290" s="686"/>
      <c r="G290" s="686"/>
      <c r="H290" s="56"/>
      <c r="I290" s="56"/>
      <c r="J290" s="56"/>
    </row>
    <row r="291" spans="5:10" x14ac:dyDescent="0.2">
      <c r="E291" s="61"/>
      <c r="F291" s="686"/>
      <c r="G291" s="686"/>
      <c r="H291" s="56"/>
      <c r="I291" s="56"/>
      <c r="J291" s="56"/>
    </row>
    <row r="292" spans="5:10" x14ac:dyDescent="0.2">
      <c r="E292" s="61"/>
      <c r="F292" s="686"/>
      <c r="G292" s="686"/>
      <c r="H292" s="56"/>
      <c r="I292" s="56"/>
      <c r="J292" s="56"/>
    </row>
    <row r="293" spans="5:10" x14ac:dyDescent="0.2">
      <c r="E293" s="61"/>
      <c r="F293" s="686"/>
      <c r="G293" s="686"/>
      <c r="H293" s="56"/>
      <c r="I293" s="56"/>
      <c r="J293" s="56"/>
    </row>
    <row r="294" spans="5:10" x14ac:dyDescent="0.2">
      <c r="E294" s="61"/>
      <c r="F294" s="686"/>
      <c r="G294" s="686"/>
      <c r="H294" s="56"/>
      <c r="I294" s="56"/>
      <c r="J294" s="56"/>
    </row>
    <row r="295" spans="5:10" x14ac:dyDescent="0.2">
      <c r="E295" s="61"/>
      <c r="F295" s="686"/>
      <c r="G295" s="686"/>
      <c r="H295" s="56"/>
      <c r="I295" s="56"/>
      <c r="J295" s="56"/>
    </row>
    <row r="296" spans="5:10" x14ac:dyDescent="0.2">
      <c r="E296" s="61"/>
      <c r="F296" s="686"/>
      <c r="G296" s="686"/>
      <c r="H296" s="56"/>
      <c r="I296" s="56"/>
      <c r="J296" s="56"/>
    </row>
    <row r="297" spans="5:10" x14ac:dyDescent="0.2">
      <c r="E297" s="61"/>
      <c r="F297" s="686"/>
      <c r="G297" s="686"/>
      <c r="H297" s="56"/>
      <c r="I297" s="56"/>
      <c r="J297" s="56"/>
    </row>
    <row r="298" spans="5:10" x14ac:dyDescent="0.2">
      <c r="E298" s="61"/>
      <c r="F298" s="686"/>
      <c r="G298" s="686"/>
      <c r="H298" s="56"/>
      <c r="I298" s="56"/>
      <c r="J298" s="56"/>
    </row>
    <row r="299" spans="5:10" x14ac:dyDescent="0.2">
      <c r="E299" s="61"/>
      <c r="F299" s="686"/>
      <c r="G299" s="686"/>
      <c r="H299" s="56"/>
      <c r="I299" s="56"/>
      <c r="J299" s="56"/>
    </row>
    <row r="300" spans="5:10" x14ac:dyDescent="0.2">
      <c r="E300" s="61"/>
      <c r="F300" s="686"/>
      <c r="G300" s="686"/>
      <c r="H300" s="56"/>
      <c r="I300" s="56"/>
      <c r="J300" s="56"/>
    </row>
    <row r="301" spans="5:10" x14ac:dyDescent="0.2">
      <c r="E301" s="61"/>
      <c r="F301" s="686"/>
      <c r="G301" s="686"/>
      <c r="H301" s="56"/>
      <c r="I301" s="56"/>
      <c r="J301" s="56"/>
    </row>
    <row r="302" spans="5:10" x14ac:dyDescent="0.2">
      <c r="E302" s="61"/>
      <c r="F302" s="686"/>
      <c r="G302" s="686"/>
      <c r="H302" s="56"/>
      <c r="I302" s="56"/>
      <c r="J302" s="56"/>
    </row>
    <row r="303" spans="5:10" x14ac:dyDescent="0.2">
      <c r="E303" s="61"/>
      <c r="F303" s="686"/>
      <c r="G303" s="686"/>
      <c r="H303" s="56"/>
      <c r="I303" s="56"/>
      <c r="J303" s="56"/>
    </row>
    <row r="304" spans="5:10" x14ac:dyDescent="0.2">
      <c r="E304" s="61"/>
      <c r="F304" s="686"/>
      <c r="G304" s="686"/>
      <c r="H304" s="56"/>
      <c r="I304" s="56"/>
      <c r="J304" s="56"/>
    </row>
    <row r="305" spans="5:10" x14ac:dyDescent="0.2">
      <c r="E305" s="61"/>
      <c r="F305" s="686"/>
      <c r="G305" s="686"/>
      <c r="H305" s="56"/>
      <c r="I305" s="56"/>
      <c r="J305" s="56"/>
    </row>
    <row r="306" spans="5:10" x14ac:dyDescent="0.2">
      <c r="E306" s="61"/>
      <c r="F306" s="686"/>
      <c r="G306" s="686"/>
      <c r="H306" s="56"/>
      <c r="I306" s="56"/>
      <c r="J306" s="56"/>
    </row>
    <row r="307" spans="5:10" x14ac:dyDescent="0.2">
      <c r="E307" s="61"/>
      <c r="F307" s="686"/>
      <c r="G307" s="686"/>
      <c r="H307" s="56"/>
      <c r="I307" s="56"/>
      <c r="J307" s="56"/>
    </row>
    <row r="308" spans="5:10" x14ac:dyDescent="0.2">
      <c r="E308" s="61"/>
      <c r="F308" s="686"/>
      <c r="G308" s="686"/>
      <c r="H308" s="56"/>
      <c r="I308" s="56"/>
      <c r="J308" s="56"/>
    </row>
    <row r="309" spans="5:10" x14ac:dyDescent="0.2">
      <c r="E309" s="61"/>
      <c r="F309" s="686"/>
      <c r="G309" s="686"/>
      <c r="H309" s="56"/>
      <c r="I309" s="56"/>
      <c r="J309" s="56"/>
    </row>
    <row r="310" spans="5:10" x14ac:dyDescent="0.2">
      <c r="E310" s="61"/>
      <c r="F310" s="686"/>
      <c r="G310" s="686"/>
      <c r="H310" s="56"/>
      <c r="I310" s="56"/>
      <c r="J310" s="56"/>
    </row>
    <row r="311" spans="5:10" x14ac:dyDescent="0.2">
      <c r="E311" s="61"/>
      <c r="F311" s="686"/>
      <c r="G311" s="686"/>
      <c r="H311" s="56"/>
      <c r="I311" s="56"/>
      <c r="J311" s="56"/>
    </row>
    <row r="312" spans="5:10" x14ac:dyDescent="0.2">
      <c r="E312" s="61"/>
      <c r="F312" s="686"/>
      <c r="G312" s="686"/>
      <c r="H312" s="56"/>
      <c r="I312" s="56"/>
      <c r="J312" s="56"/>
    </row>
    <row r="313" spans="5:10" x14ac:dyDescent="0.2">
      <c r="E313" s="61"/>
      <c r="F313" s="686"/>
      <c r="G313" s="686"/>
      <c r="H313" s="56"/>
      <c r="I313" s="56"/>
      <c r="J313" s="56"/>
    </row>
    <row r="314" spans="5:10" x14ac:dyDescent="0.2">
      <c r="E314" s="61"/>
      <c r="F314" s="686"/>
      <c r="G314" s="686"/>
      <c r="H314" s="56"/>
      <c r="I314" s="56"/>
      <c r="J314" s="56"/>
    </row>
    <row r="315" spans="5:10" x14ac:dyDescent="0.2">
      <c r="E315" s="61"/>
      <c r="F315" s="686"/>
      <c r="G315" s="686"/>
      <c r="H315" s="56"/>
      <c r="I315" s="56"/>
      <c r="J315" s="56"/>
    </row>
    <row r="316" spans="5:10" x14ac:dyDescent="0.2">
      <c r="E316" s="61"/>
      <c r="F316" s="686"/>
      <c r="G316" s="686"/>
      <c r="H316" s="56"/>
      <c r="I316" s="56"/>
      <c r="J316" s="56"/>
    </row>
    <row r="317" spans="5:10" x14ac:dyDescent="0.2">
      <c r="E317" s="61"/>
      <c r="F317" s="686"/>
      <c r="G317" s="686"/>
      <c r="H317" s="56"/>
      <c r="I317" s="56"/>
      <c r="J317" s="56"/>
    </row>
    <row r="318" spans="5:10" x14ac:dyDescent="0.2">
      <c r="E318" s="61"/>
      <c r="F318" s="686"/>
      <c r="G318" s="686"/>
      <c r="H318" s="56"/>
      <c r="I318" s="56"/>
      <c r="J318" s="56"/>
    </row>
    <row r="319" spans="5:10" x14ac:dyDescent="0.2">
      <c r="E319" s="61"/>
      <c r="F319" s="686"/>
      <c r="G319" s="686"/>
      <c r="H319" s="56"/>
      <c r="I319" s="56"/>
      <c r="J319" s="56"/>
    </row>
    <row r="320" spans="5:10" x14ac:dyDescent="0.2">
      <c r="E320" s="61"/>
      <c r="F320" s="686"/>
      <c r="G320" s="686"/>
      <c r="H320" s="56"/>
      <c r="I320" s="56"/>
      <c r="J320" s="56"/>
    </row>
    <row r="321" spans="5:10" x14ac:dyDescent="0.2">
      <c r="E321" s="61"/>
      <c r="F321" s="686"/>
      <c r="G321" s="686"/>
      <c r="H321" s="56"/>
      <c r="I321" s="56"/>
      <c r="J321" s="56"/>
    </row>
    <row r="322" spans="5:10" x14ac:dyDescent="0.2">
      <c r="E322" s="61"/>
      <c r="F322" s="686"/>
      <c r="G322" s="686"/>
      <c r="H322" s="56"/>
      <c r="I322" s="56"/>
      <c r="J322" s="56"/>
    </row>
    <row r="323" spans="5:10" x14ac:dyDescent="0.2">
      <c r="E323" s="61"/>
      <c r="F323" s="686"/>
      <c r="G323" s="686"/>
      <c r="H323" s="56"/>
      <c r="I323" s="56"/>
      <c r="J323" s="56"/>
    </row>
    <row r="324" spans="5:10" x14ac:dyDescent="0.2">
      <c r="E324" s="61"/>
      <c r="F324" s="686"/>
      <c r="G324" s="686"/>
      <c r="H324" s="56"/>
      <c r="I324" s="56"/>
      <c r="J324" s="56"/>
    </row>
    <row r="325" spans="5:10" x14ac:dyDescent="0.2">
      <c r="E325" s="61"/>
      <c r="F325" s="686"/>
      <c r="G325" s="686"/>
      <c r="H325" s="56"/>
      <c r="I325" s="56"/>
      <c r="J325" s="56"/>
    </row>
    <row r="326" spans="5:10" x14ac:dyDescent="0.2">
      <c r="E326" s="61"/>
      <c r="F326" s="686"/>
      <c r="G326" s="686"/>
      <c r="H326" s="56"/>
      <c r="I326" s="56"/>
      <c r="J326" s="56"/>
    </row>
    <row r="327" spans="5:10" x14ac:dyDescent="0.2">
      <c r="E327" s="61"/>
      <c r="F327" s="686"/>
      <c r="G327" s="686"/>
      <c r="H327" s="56"/>
      <c r="I327" s="56"/>
      <c r="J327" s="56"/>
    </row>
    <row r="328" spans="5:10" x14ac:dyDescent="0.2">
      <c r="E328" s="61"/>
      <c r="F328" s="686"/>
      <c r="G328" s="686"/>
      <c r="H328" s="56"/>
      <c r="I328" s="56"/>
      <c r="J328" s="56"/>
    </row>
    <row r="329" spans="5:10" x14ac:dyDescent="0.2">
      <c r="E329" s="61"/>
      <c r="F329" s="686"/>
      <c r="G329" s="686"/>
      <c r="H329" s="56"/>
      <c r="I329" s="56"/>
      <c r="J329" s="56"/>
    </row>
    <row r="330" spans="5:10" x14ac:dyDescent="0.2">
      <c r="E330" s="61"/>
      <c r="F330" s="686"/>
      <c r="G330" s="686"/>
      <c r="H330" s="56"/>
      <c r="I330" s="56"/>
      <c r="J330" s="56"/>
    </row>
    <row r="331" spans="5:10" x14ac:dyDescent="0.2">
      <c r="E331" s="61"/>
      <c r="F331" s="686"/>
      <c r="G331" s="686"/>
      <c r="H331" s="56"/>
      <c r="I331" s="56"/>
      <c r="J331" s="56"/>
    </row>
    <row r="332" spans="5:10" x14ac:dyDescent="0.2">
      <c r="E332" s="61"/>
      <c r="F332" s="686"/>
      <c r="G332" s="686"/>
      <c r="H332" s="56"/>
      <c r="I332" s="56"/>
      <c r="J332" s="56"/>
    </row>
    <row r="333" spans="5:10" x14ac:dyDescent="0.2">
      <c r="E333" s="61"/>
      <c r="F333" s="686"/>
      <c r="G333" s="686"/>
      <c r="H333" s="56"/>
      <c r="I333" s="56"/>
      <c r="J333" s="56"/>
    </row>
    <row r="334" spans="5:10" x14ac:dyDescent="0.2">
      <c r="E334" s="61"/>
      <c r="F334" s="686"/>
      <c r="G334" s="686"/>
      <c r="H334" s="56"/>
      <c r="I334" s="56"/>
      <c r="J334" s="56"/>
    </row>
    <row r="335" spans="5:10" x14ac:dyDescent="0.2">
      <c r="E335" s="61"/>
      <c r="F335" s="686"/>
      <c r="G335" s="686"/>
      <c r="H335" s="56"/>
      <c r="I335" s="56"/>
      <c r="J335" s="56"/>
    </row>
    <row r="336" spans="5:10" x14ac:dyDescent="0.2">
      <c r="E336" s="61"/>
      <c r="F336" s="686"/>
      <c r="G336" s="686"/>
      <c r="H336" s="56"/>
      <c r="I336" s="56"/>
      <c r="J336" s="56"/>
    </row>
    <row r="337" spans="5:10" x14ac:dyDescent="0.2">
      <c r="E337" s="61"/>
      <c r="F337" s="686"/>
      <c r="G337" s="686"/>
      <c r="H337" s="56"/>
      <c r="I337" s="56"/>
      <c r="J337" s="56"/>
    </row>
    <row r="338" spans="5:10" x14ac:dyDescent="0.2">
      <c r="E338" s="61"/>
      <c r="F338" s="686"/>
      <c r="G338" s="686"/>
      <c r="H338" s="56"/>
      <c r="I338" s="56"/>
      <c r="J338" s="56"/>
    </row>
    <row r="339" spans="5:10" x14ac:dyDescent="0.2">
      <c r="E339" s="61"/>
      <c r="F339" s="686"/>
      <c r="G339" s="686"/>
      <c r="H339" s="56"/>
      <c r="I339" s="56"/>
      <c r="J339" s="56"/>
    </row>
    <row r="340" spans="5:10" x14ac:dyDescent="0.2">
      <c r="E340" s="61"/>
      <c r="F340" s="686"/>
      <c r="G340" s="686"/>
      <c r="H340" s="56"/>
      <c r="I340" s="56"/>
      <c r="J340" s="56"/>
    </row>
    <row r="341" spans="5:10" x14ac:dyDescent="0.2">
      <c r="E341" s="61"/>
      <c r="F341" s="686"/>
      <c r="G341" s="686"/>
      <c r="H341" s="56"/>
      <c r="I341" s="56"/>
      <c r="J341" s="56"/>
    </row>
    <row r="342" spans="5:10" x14ac:dyDescent="0.2">
      <c r="E342" s="61"/>
      <c r="F342" s="686"/>
      <c r="G342" s="686"/>
      <c r="H342" s="56"/>
      <c r="I342" s="56"/>
      <c r="J342" s="56"/>
    </row>
    <row r="343" spans="5:10" x14ac:dyDescent="0.2">
      <c r="E343" s="61"/>
      <c r="F343" s="686"/>
      <c r="G343" s="686"/>
      <c r="H343" s="56"/>
      <c r="I343" s="56"/>
      <c r="J343" s="56"/>
    </row>
    <row r="344" spans="5:10" x14ac:dyDescent="0.2">
      <c r="E344" s="61"/>
      <c r="F344" s="686"/>
      <c r="G344" s="686"/>
      <c r="H344" s="56"/>
      <c r="I344" s="56"/>
      <c r="J344" s="56"/>
    </row>
    <row r="345" spans="5:10" x14ac:dyDescent="0.2">
      <c r="E345" s="61"/>
      <c r="F345" s="686"/>
      <c r="G345" s="686"/>
      <c r="H345" s="56"/>
      <c r="I345" s="56"/>
      <c r="J345" s="56"/>
    </row>
    <row r="346" spans="5:10" x14ac:dyDescent="0.2">
      <c r="E346" s="61"/>
      <c r="F346" s="686"/>
      <c r="G346" s="686"/>
      <c r="H346" s="56"/>
      <c r="I346" s="56"/>
      <c r="J346" s="56"/>
    </row>
    <row r="347" spans="5:10" x14ac:dyDescent="0.2">
      <c r="E347" s="61"/>
      <c r="F347" s="686"/>
      <c r="G347" s="686"/>
      <c r="H347" s="56"/>
      <c r="I347" s="56"/>
      <c r="J347" s="56"/>
    </row>
    <row r="348" spans="5:10" x14ac:dyDescent="0.2">
      <c r="E348" s="61"/>
      <c r="F348" s="686"/>
      <c r="G348" s="686"/>
      <c r="H348" s="56"/>
      <c r="I348" s="56"/>
      <c r="J348" s="56"/>
    </row>
    <row r="349" spans="5:10" x14ac:dyDescent="0.2">
      <c r="E349" s="61"/>
      <c r="F349" s="686"/>
      <c r="G349" s="686"/>
      <c r="H349" s="56"/>
      <c r="I349" s="56"/>
      <c r="J349" s="56"/>
    </row>
    <row r="350" spans="5:10" x14ac:dyDescent="0.2">
      <c r="E350" s="61"/>
      <c r="F350" s="686"/>
      <c r="G350" s="686"/>
      <c r="H350" s="56"/>
      <c r="I350" s="56"/>
      <c r="J350" s="56"/>
    </row>
    <row r="351" spans="5:10" x14ac:dyDescent="0.2">
      <c r="E351" s="61"/>
      <c r="F351" s="686"/>
      <c r="G351" s="686"/>
      <c r="H351" s="56"/>
      <c r="I351" s="56"/>
      <c r="J351" s="56"/>
    </row>
    <row r="352" spans="5:10" x14ac:dyDescent="0.2">
      <c r="E352" s="61"/>
      <c r="F352" s="686"/>
      <c r="G352" s="686"/>
      <c r="H352" s="56"/>
      <c r="I352" s="56"/>
      <c r="J352" s="56"/>
    </row>
    <row r="353" spans="5:10" x14ac:dyDescent="0.2">
      <c r="E353" s="61"/>
      <c r="F353" s="686"/>
      <c r="G353" s="686"/>
      <c r="H353" s="56"/>
      <c r="I353" s="56"/>
      <c r="J353" s="56"/>
    </row>
    <row r="354" spans="5:10" x14ac:dyDescent="0.2">
      <c r="E354" s="61"/>
      <c r="F354" s="686"/>
      <c r="G354" s="686"/>
      <c r="H354" s="56"/>
      <c r="I354" s="56"/>
      <c r="J354" s="56"/>
    </row>
    <row r="355" spans="5:10" x14ac:dyDescent="0.2">
      <c r="E355" s="61"/>
      <c r="F355" s="686"/>
      <c r="G355" s="686"/>
      <c r="H355" s="56"/>
      <c r="I355" s="56"/>
      <c r="J355" s="56"/>
    </row>
    <row r="356" spans="5:10" x14ac:dyDescent="0.2">
      <c r="E356" s="61"/>
      <c r="F356" s="686"/>
      <c r="G356" s="686"/>
      <c r="H356" s="56"/>
      <c r="I356" s="56"/>
      <c r="J356" s="56"/>
    </row>
    <row r="357" spans="5:10" x14ac:dyDescent="0.2">
      <c r="E357" s="61"/>
      <c r="F357" s="686"/>
      <c r="G357" s="686"/>
      <c r="H357" s="56"/>
      <c r="I357" s="56"/>
      <c r="J357" s="56"/>
    </row>
    <row r="358" spans="5:10" x14ac:dyDescent="0.2">
      <c r="E358" s="61"/>
      <c r="F358" s="686"/>
      <c r="G358" s="686"/>
      <c r="H358" s="56"/>
      <c r="I358" s="56"/>
      <c r="J358" s="56"/>
    </row>
    <row r="359" spans="5:10" x14ac:dyDescent="0.2">
      <c r="E359" s="61"/>
      <c r="F359" s="686"/>
      <c r="G359" s="686"/>
      <c r="H359" s="56"/>
      <c r="I359" s="56"/>
      <c r="J359" s="56"/>
    </row>
    <row r="360" spans="5:10" x14ac:dyDescent="0.2">
      <c r="E360" s="61"/>
      <c r="F360" s="686"/>
      <c r="G360" s="686"/>
      <c r="H360" s="56"/>
      <c r="I360" s="56"/>
      <c r="J360" s="56"/>
    </row>
    <row r="361" spans="5:10" x14ac:dyDescent="0.2">
      <c r="E361" s="61"/>
      <c r="F361" s="686"/>
      <c r="G361" s="686"/>
      <c r="H361" s="56"/>
      <c r="I361" s="56"/>
      <c r="J361" s="56"/>
    </row>
    <row r="362" spans="5:10" x14ac:dyDescent="0.2">
      <c r="E362" s="61"/>
      <c r="F362" s="686"/>
      <c r="G362" s="686"/>
      <c r="H362" s="56"/>
      <c r="I362" s="56"/>
      <c r="J362" s="56"/>
    </row>
    <row r="363" spans="5:10" x14ac:dyDescent="0.2">
      <c r="E363" s="61"/>
      <c r="F363" s="686"/>
      <c r="G363" s="686"/>
      <c r="H363" s="56"/>
      <c r="I363" s="56"/>
      <c r="J363" s="56"/>
    </row>
    <row r="364" spans="5:10" x14ac:dyDescent="0.2">
      <c r="E364" s="61"/>
      <c r="F364" s="686"/>
      <c r="G364" s="686"/>
      <c r="H364" s="56"/>
      <c r="I364" s="56"/>
      <c r="J364" s="56"/>
    </row>
    <row r="365" spans="5:10" x14ac:dyDescent="0.2">
      <c r="E365" s="61"/>
      <c r="F365" s="686"/>
      <c r="G365" s="686"/>
      <c r="H365" s="56"/>
      <c r="I365" s="56"/>
      <c r="J365" s="56"/>
    </row>
    <row r="366" spans="5:10" x14ac:dyDescent="0.2">
      <c r="E366" s="61"/>
      <c r="F366" s="686"/>
      <c r="G366" s="686"/>
      <c r="H366" s="56"/>
      <c r="I366" s="56"/>
      <c r="J366" s="56"/>
    </row>
    <row r="367" spans="5:10" x14ac:dyDescent="0.2">
      <c r="E367" s="61"/>
      <c r="F367" s="686"/>
      <c r="G367" s="686"/>
      <c r="H367" s="56"/>
      <c r="I367" s="56"/>
      <c r="J367" s="56"/>
    </row>
    <row r="368" spans="5:10" x14ac:dyDescent="0.2">
      <c r="E368" s="61"/>
      <c r="F368" s="686"/>
      <c r="G368" s="686"/>
      <c r="H368" s="56"/>
      <c r="I368" s="56"/>
      <c r="J368" s="56"/>
    </row>
    <row r="369" spans="5:10" x14ac:dyDescent="0.2">
      <c r="E369" s="61"/>
      <c r="F369" s="686"/>
      <c r="G369" s="686"/>
      <c r="H369" s="56"/>
      <c r="I369" s="56"/>
      <c r="J369" s="56"/>
    </row>
    <row r="370" spans="5:10" x14ac:dyDescent="0.2">
      <c r="E370" s="61"/>
      <c r="F370" s="686"/>
      <c r="G370" s="686"/>
      <c r="H370" s="56"/>
      <c r="I370" s="56"/>
      <c r="J370" s="56"/>
    </row>
    <row r="371" spans="5:10" x14ac:dyDescent="0.2">
      <c r="E371" s="61"/>
      <c r="F371" s="686"/>
      <c r="G371" s="686"/>
      <c r="H371" s="56"/>
      <c r="I371" s="56"/>
      <c r="J371" s="56"/>
    </row>
    <row r="372" spans="5:10" x14ac:dyDescent="0.2">
      <c r="E372" s="61"/>
      <c r="F372" s="686"/>
      <c r="G372" s="686"/>
      <c r="H372" s="56"/>
      <c r="I372" s="56"/>
      <c r="J372" s="56"/>
    </row>
    <row r="373" spans="5:10" x14ac:dyDescent="0.2">
      <c r="E373" s="61"/>
      <c r="F373" s="686"/>
      <c r="G373" s="686"/>
      <c r="H373" s="56"/>
      <c r="I373" s="56"/>
      <c r="J373" s="56"/>
    </row>
    <row r="374" spans="5:10" x14ac:dyDescent="0.2">
      <c r="E374" s="61"/>
      <c r="F374" s="686"/>
      <c r="G374" s="686"/>
      <c r="H374" s="56"/>
      <c r="I374" s="56"/>
      <c r="J374" s="56"/>
    </row>
    <row r="375" spans="5:10" x14ac:dyDescent="0.2">
      <c r="E375" s="61"/>
      <c r="F375" s="686"/>
      <c r="G375" s="686"/>
      <c r="H375" s="56"/>
      <c r="I375" s="56"/>
      <c r="J375" s="56"/>
    </row>
    <row r="376" spans="5:10" x14ac:dyDescent="0.2">
      <c r="E376" s="61"/>
      <c r="F376" s="686"/>
      <c r="G376" s="686"/>
      <c r="H376" s="56"/>
      <c r="I376" s="56"/>
      <c r="J376" s="56"/>
    </row>
    <row r="377" spans="5:10" x14ac:dyDescent="0.2">
      <c r="E377" s="61"/>
      <c r="F377" s="686"/>
      <c r="G377" s="686"/>
      <c r="H377" s="56"/>
      <c r="I377" s="56"/>
      <c r="J377" s="56"/>
    </row>
    <row r="378" spans="5:10" x14ac:dyDescent="0.2">
      <c r="E378" s="61"/>
      <c r="F378" s="686"/>
      <c r="G378" s="686"/>
      <c r="H378" s="56"/>
      <c r="I378" s="56"/>
      <c r="J378" s="56"/>
    </row>
    <row r="379" spans="5:10" x14ac:dyDescent="0.2">
      <c r="E379" s="61"/>
      <c r="F379" s="686"/>
      <c r="G379" s="686"/>
      <c r="H379" s="56"/>
      <c r="I379" s="56"/>
      <c r="J379" s="56"/>
    </row>
    <row r="380" spans="5:10" x14ac:dyDescent="0.2">
      <c r="E380" s="61"/>
      <c r="F380" s="686"/>
      <c r="G380" s="686"/>
      <c r="H380" s="56"/>
      <c r="I380" s="56"/>
      <c r="J380" s="56"/>
    </row>
    <row r="381" spans="5:10" x14ac:dyDescent="0.2">
      <c r="E381" s="61"/>
      <c r="F381" s="686"/>
      <c r="G381" s="686"/>
      <c r="H381" s="56"/>
      <c r="I381" s="56"/>
      <c r="J381" s="56"/>
    </row>
    <row r="382" spans="5:10" x14ac:dyDescent="0.2">
      <c r="E382" s="61"/>
      <c r="F382" s="686"/>
      <c r="G382" s="686"/>
      <c r="H382" s="56"/>
      <c r="I382" s="56"/>
      <c r="J382" s="56"/>
    </row>
    <row r="383" spans="5:10" x14ac:dyDescent="0.2">
      <c r="E383" s="61"/>
      <c r="F383" s="686"/>
      <c r="G383" s="686"/>
      <c r="H383" s="56"/>
      <c r="I383" s="56"/>
      <c r="J383" s="56"/>
    </row>
    <row r="384" spans="5:10" x14ac:dyDescent="0.2">
      <c r="E384" s="61"/>
      <c r="F384" s="686"/>
      <c r="G384" s="686"/>
      <c r="H384" s="56"/>
      <c r="I384" s="56"/>
      <c r="J384" s="56"/>
    </row>
    <row r="385" spans="5:10" x14ac:dyDescent="0.2">
      <c r="E385" s="61"/>
      <c r="F385" s="686"/>
      <c r="G385" s="686"/>
      <c r="H385" s="56"/>
      <c r="I385" s="56"/>
      <c r="J385" s="56"/>
    </row>
    <row r="386" spans="5:10" x14ac:dyDescent="0.2">
      <c r="E386" s="61"/>
      <c r="F386" s="686"/>
      <c r="G386" s="686"/>
      <c r="H386" s="56"/>
      <c r="I386" s="56"/>
      <c r="J386" s="56"/>
    </row>
    <row r="387" spans="5:10" x14ac:dyDescent="0.2">
      <c r="E387" s="61"/>
      <c r="F387" s="686"/>
      <c r="G387" s="686"/>
      <c r="H387" s="56"/>
      <c r="I387" s="56"/>
      <c r="J387" s="56"/>
    </row>
    <row r="388" spans="5:10" x14ac:dyDescent="0.2">
      <c r="E388" s="61"/>
      <c r="F388" s="686"/>
      <c r="G388" s="686"/>
      <c r="H388" s="56"/>
      <c r="I388" s="56"/>
      <c r="J388" s="56"/>
    </row>
    <row r="389" spans="5:10" x14ac:dyDescent="0.2">
      <c r="E389" s="61"/>
      <c r="F389" s="686"/>
      <c r="G389" s="686"/>
      <c r="H389" s="56"/>
      <c r="I389" s="56"/>
      <c r="J389" s="56"/>
    </row>
    <row r="390" spans="5:10" x14ac:dyDescent="0.2">
      <c r="E390" s="61"/>
      <c r="F390" s="686"/>
      <c r="G390" s="686"/>
      <c r="H390" s="56"/>
      <c r="I390" s="56"/>
      <c r="J390" s="56"/>
    </row>
    <row r="391" spans="5:10" x14ac:dyDescent="0.2">
      <c r="E391" s="61"/>
      <c r="F391" s="686"/>
      <c r="G391" s="686"/>
      <c r="H391" s="56"/>
      <c r="I391" s="56"/>
      <c r="J391" s="56"/>
    </row>
    <row r="392" spans="5:10" x14ac:dyDescent="0.2">
      <c r="E392" s="61"/>
      <c r="F392" s="686"/>
      <c r="G392" s="686"/>
      <c r="H392" s="56"/>
      <c r="I392" s="56"/>
      <c r="J392" s="56"/>
    </row>
    <row r="393" spans="5:10" x14ac:dyDescent="0.2">
      <c r="E393" s="61"/>
      <c r="F393" s="686"/>
      <c r="G393" s="686"/>
      <c r="H393" s="56"/>
      <c r="I393" s="56"/>
      <c r="J393" s="56"/>
    </row>
    <row r="394" spans="5:10" x14ac:dyDescent="0.2">
      <c r="E394" s="61"/>
      <c r="F394" s="686"/>
      <c r="G394" s="686"/>
      <c r="H394" s="56"/>
      <c r="I394" s="56"/>
      <c r="J394" s="56"/>
    </row>
    <row r="395" spans="5:10" x14ac:dyDescent="0.2">
      <c r="E395" s="61"/>
      <c r="F395" s="686"/>
      <c r="G395" s="686"/>
      <c r="H395" s="56"/>
      <c r="I395" s="56"/>
      <c r="J395" s="56"/>
    </row>
    <row r="396" spans="5:10" x14ac:dyDescent="0.2">
      <c r="E396" s="61"/>
      <c r="F396" s="686"/>
      <c r="G396" s="686"/>
      <c r="H396" s="56"/>
      <c r="I396" s="56"/>
      <c r="J396" s="56"/>
    </row>
    <row r="397" spans="5:10" x14ac:dyDescent="0.2">
      <c r="E397" s="61"/>
      <c r="F397" s="686"/>
      <c r="G397" s="686"/>
      <c r="H397" s="56"/>
      <c r="I397" s="56"/>
      <c r="J397" s="56"/>
    </row>
    <row r="398" spans="5:10" x14ac:dyDescent="0.2">
      <c r="E398" s="61"/>
      <c r="F398" s="686"/>
      <c r="G398" s="686"/>
      <c r="H398" s="56"/>
      <c r="I398" s="56"/>
      <c r="J398" s="56"/>
    </row>
    <row r="399" spans="5:10" x14ac:dyDescent="0.2">
      <c r="E399" s="61"/>
      <c r="F399" s="686"/>
      <c r="G399" s="686"/>
      <c r="H399" s="56"/>
      <c r="I399" s="56"/>
      <c r="J399" s="56"/>
    </row>
    <row r="400" spans="5:10" x14ac:dyDescent="0.2">
      <c r="E400" s="61"/>
      <c r="F400" s="686"/>
      <c r="G400" s="686"/>
      <c r="H400" s="56"/>
      <c r="I400" s="56"/>
      <c r="J400" s="56"/>
    </row>
    <row r="401" spans="5:10" x14ac:dyDescent="0.2">
      <c r="E401" s="61"/>
      <c r="F401" s="686"/>
      <c r="G401" s="686"/>
      <c r="H401" s="56"/>
      <c r="I401" s="56"/>
      <c r="J401" s="56"/>
    </row>
    <row r="402" spans="5:10" x14ac:dyDescent="0.2">
      <c r="E402" s="61"/>
      <c r="F402" s="686"/>
      <c r="G402" s="686"/>
      <c r="H402" s="56"/>
      <c r="I402" s="56"/>
      <c r="J402" s="56"/>
    </row>
    <row r="403" spans="5:10" x14ac:dyDescent="0.2">
      <c r="E403" s="61"/>
      <c r="F403" s="686"/>
      <c r="G403" s="686"/>
      <c r="H403" s="56"/>
      <c r="I403" s="56"/>
      <c r="J403" s="56"/>
    </row>
    <row r="404" spans="5:10" x14ac:dyDescent="0.2">
      <c r="E404" s="61"/>
      <c r="F404" s="686"/>
      <c r="G404" s="686"/>
      <c r="H404" s="56"/>
      <c r="I404" s="56"/>
      <c r="J404" s="56"/>
    </row>
    <row r="405" spans="5:10" x14ac:dyDescent="0.2">
      <c r="E405" s="61"/>
      <c r="F405" s="686"/>
      <c r="G405" s="686"/>
      <c r="H405" s="56"/>
      <c r="I405" s="56"/>
      <c r="J405" s="56"/>
    </row>
    <row r="406" spans="5:10" x14ac:dyDescent="0.2">
      <c r="E406" s="61"/>
      <c r="F406" s="686"/>
      <c r="G406" s="686"/>
      <c r="H406" s="56"/>
      <c r="I406" s="56"/>
      <c r="J406" s="56"/>
    </row>
    <row r="407" spans="5:10" x14ac:dyDescent="0.2">
      <c r="E407" s="61"/>
      <c r="F407" s="686"/>
      <c r="G407" s="686"/>
      <c r="H407" s="56"/>
      <c r="I407" s="56"/>
      <c r="J407" s="56"/>
    </row>
    <row r="408" spans="5:10" x14ac:dyDescent="0.2">
      <c r="E408" s="61"/>
      <c r="F408" s="686"/>
      <c r="G408" s="686"/>
      <c r="H408" s="56"/>
      <c r="I408" s="56"/>
      <c r="J408" s="56"/>
    </row>
    <row r="409" spans="5:10" x14ac:dyDescent="0.2">
      <c r="E409" s="61"/>
      <c r="F409" s="686"/>
      <c r="G409" s="686"/>
      <c r="H409" s="56"/>
      <c r="I409" s="56"/>
      <c r="J409" s="56"/>
    </row>
    <row r="410" spans="5:10" x14ac:dyDescent="0.2">
      <c r="E410" s="61"/>
      <c r="F410" s="686"/>
      <c r="G410" s="686"/>
      <c r="H410" s="56"/>
      <c r="I410" s="56"/>
      <c r="J410" s="56"/>
    </row>
    <row r="411" spans="5:10" x14ac:dyDescent="0.2">
      <c r="E411" s="61"/>
      <c r="F411" s="686"/>
      <c r="G411" s="686"/>
      <c r="H411" s="56"/>
      <c r="I411" s="56"/>
      <c r="J411" s="56"/>
    </row>
    <row r="412" spans="5:10" x14ac:dyDescent="0.2">
      <c r="E412" s="61"/>
      <c r="F412" s="686"/>
      <c r="G412" s="686"/>
      <c r="H412" s="56"/>
      <c r="I412" s="56"/>
      <c r="J412" s="56"/>
    </row>
    <row r="413" spans="5:10" x14ac:dyDescent="0.2">
      <c r="E413" s="61"/>
      <c r="F413" s="686"/>
      <c r="G413" s="686"/>
      <c r="H413" s="56"/>
      <c r="I413" s="56"/>
      <c r="J413" s="56"/>
    </row>
    <row r="414" spans="5:10" x14ac:dyDescent="0.2">
      <c r="E414" s="61"/>
      <c r="F414" s="686"/>
      <c r="G414" s="686"/>
      <c r="H414" s="56"/>
      <c r="I414" s="56"/>
      <c r="J414" s="56"/>
    </row>
    <row r="415" spans="5:10" x14ac:dyDescent="0.2">
      <c r="E415" s="61"/>
      <c r="F415" s="686"/>
      <c r="G415" s="686"/>
      <c r="H415" s="56"/>
      <c r="I415" s="56"/>
      <c r="J415" s="56"/>
    </row>
    <row r="416" spans="5:10" x14ac:dyDescent="0.2">
      <c r="E416" s="61"/>
      <c r="F416" s="686"/>
      <c r="G416" s="686"/>
      <c r="H416" s="56"/>
      <c r="I416" s="56"/>
      <c r="J416" s="56"/>
    </row>
    <row r="417" spans="5:10" x14ac:dyDescent="0.2">
      <c r="E417" s="61"/>
      <c r="F417" s="686"/>
      <c r="G417" s="686"/>
      <c r="H417" s="56"/>
      <c r="I417" s="56"/>
      <c r="J417" s="56"/>
    </row>
    <row r="418" spans="5:10" x14ac:dyDescent="0.2">
      <c r="E418" s="61"/>
      <c r="F418" s="686"/>
      <c r="G418" s="686"/>
      <c r="H418" s="56"/>
      <c r="I418" s="56"/>
      <c r="J418" s="56"/>
    </row>
    <row r="419" spans="5:10" x14ac:dyDescent="0.2">
      <c r="E419" s="61"/>
      <c r="F419" s="686"/>
      <c r="G419" s="686"/>
      <c r="H419" s="56"/>
      <c r="I419" s="56"/>
      <c r="J419" s="56"/>
    </row>
    <row r="420" spans="5:10" x14ac:dyDescent="0.2">
      <c r="E420" s="61"/>
      <c r="F420" s="686"/>
      <c r="G420" s="686"/>
      <c r="H420" s="56"/>
      <c r="I420" s="56"/>
      <c r="J420" s="56"/>
    </row>
    <row r="421" spans="5:10" x14ac:dyDescent="0.2">
      <c r="E421" s="61"/>
      <c r="F421" s="686"/>
      <c r="G421" s="686"/>
      <c r="H421" s="56"/>
      <c r="I421" s="56"/>
      <c r="J421" s="56"/>
    </row>
    <row r="422" spans="5:10" x14ac:dyDescent="0.2">
      <c r="E422" s="61"/>
      <c r="F422" s="686"/>
      <c r="G422" s="686"/>
      <c r="H422" s="56"/>
      <c r="I422" s="56"/>
      <c r="J422" s="56"/>
    </row>
    <row r="423" spans="5:10" x14ac:dyDescent="0.2">
      <c r="E423" s="61"/>
      <c r="F423" s="686"/>
      <c r="G423" s="686"/>
      <c r="H423" s="56"/>
      <c r="I423" s="56"/>
      <c r="J423" s="56"/>
    </row>
    <row r="424" spans="5:10" x14ac:dyDescent="0.2">
      <c r="E424" s="61"/>
      <c r="F424" s="686"/>
      <c r="G424" s="686"/>
      <c r="H424" s="56"/>
      <c r="I424" s="56"/>
      <c r="J424" s="56"/>
    </row>
    <row r="425" spans="5:10" x14ac:dyDescent="0.2">
      <c r="E425" s="61"/>
      <c r="F425" s="686"/>
      <c r="G425" s="686"/>
      <c r="H425" s="56"/>
      <c r="I425" s="56"/>
      <c r="J425" s="56"/>
    </row>
    <row r="426" spans="5:10" x14ac:dyDescent="0.2">
      <c r="E426" s="61"/>
      <c r="F426" s="686"/>
      <c r="G426" s="686"/>
      <c r="H426" s="56"/>
      <c r="I426" s="56"/>
      <c r="J426" s="56"/>
    </row>
    <row r="427" spans="5:10" x14ac:dyDescent="0.2">
      <c r="E427" s="61"/>
      <c r="F427" s="686"/>
      <c r="G427" s="686"/>
      <c r="H427" s="56"/>
      <c r="I427" s="56"/>
      <c r="J427" s="56"/>
    </row>
    <row r="428" spans="5:10" x14ac:dyDescent="0.2">
      <c r="E428" s="61"/>
      <c r="F428" s="686"/>
      <c r="G428" s="686"/>
      <c r="H428" s="56"/>
      <c r="I428" s="56"/>
      <c r="J428" s="56"/>
    </row>
    <row r="429" spans="5:10" x14ac:dyDescent="0.2">
      <c r="E429" s="61"/>
      <c r="F429" s="686"/>
      <c r="G429" s="686"/>
      <c r="H429" s="56"/>
      <c r="I429" s="56"/>
      <c r="J429" s="56"/>
    </row>
    <row r="430" spans="5:10" x14ac:dyDescent="0.2">
      <c r="E430" s="61"/>
      <c r="F430" s="686"/>
      <c r="G430" s="686"/>
      <c r="H430" s="56"/>
      <c r="I430" s="56"/>
      <c r="J430" s="56"/>
    </row>
    <row r="431" spans="5:10" x14ac:dyDescent="0.2">
      <c r="E431" s="61"/>
      <c r="F431" s="686"/>
      <c r="G431" s="686"/>
      <c r="H431" s="56"/>
      <c r="I431" s="56"/>
      <c r="J431" s="56"/>
    </row>
    <row r="432" spans="5:10" x14ac:dyDescent="0.2">
      <c r="E432" s="61"/>
      <c r="F432" s="686"/>
      <c r="G432" s="686"/>
      <c r="H432" s="56"/>
      <c r="I432" s="56"/>
      <c r="J432" s="56"/>
    </row>
    <row r="433" spans="5:10" x14ac:dyDescent="0.2">
      <c r="E433" s="61"/>
      <c r="F433" s="686"/>
      <c r="G433" s="686"/>
      <c r="H433" s="56"/>
      <c r="I433" s="56"/>
      <c r="J433" s="56"/>
    </row>
    <row r="434" spans="5:10" x14ac:dyDescent="0.2">
      <c r="E434" s="61"/>
      <c r="F434" s="686"/>
      <c r="G434" s="686"/>
      <c r="H434" s="56"/>
      <c r="I434" s="56"/>
      <c r="J434" s="56"/>
    </row>
    <row r="435" spans="5:10" x14ac:dyDescent="0.2">
      <c r="E435" s="61"/>
      <c r="F435" s="686"/>
      <c r="G435" s="686"/>
      <c r="H435" s="56"/>
      <c r="I435" s="56"/>
      <c r="J435" s="56"/>
    </row>
    <row r="436" spans="5:10" x14ac:dyDescent="0.2">
      <c r="E436" s="61"/>
      <c r="F436" s="686"/>
      <c r="G436" s="686"/>
      <c r="H436" s="56"/>
      <c r="I436" s="56"/>
      <c r="J436" s="56"/>
    </row>
    <row r="437" spans="5:10" x14ac:dyDescent="0.2">
      <c r="E437" s="61"/>
      <c r="F437" s="686"/>
      <c r="G437" s="686"/>
      <c r="H437" s="56"/>
      <c r="I437" s="56"/>
      <c r="J437" s="56"/>
    </row>
    <row r="438" spans="5:10" x14ac:dyDescent="0.2">
      <c r="E438" s="61"/>
      <c r="F438" s="686"/>
      <c r="G438" s="686"/>
      <c r="H438" s="56"/>
      <c r="I438" s="56"/>
      <c r="J438" s="56"/>
    </row>
    <row r="439" spans="5:10" x14ac:dyDescent="0.2">
      <c r="E439" s="61"/>
      <c r="F439" s="686"/>
      <c r="G439" s="686"/>
      <c r="H439" s="56"/>
      <c r="I439" s="56"/>
      <c r="J439" s="56"/>
    </row>
    <row r="440" spans="5:10" x14ac:dyDescent="0.2">
      <c r="E440" s="61"/>
      <c r="F440" s="686"/>
      <c r="G440" s="686"/>
      <c r="H440" s="56"/>
      <c r="I440" s="56"/>
      <c r="J440" s="56"/>
    </row>
    <row r="441" spans="5:10" x14ac:dyDescent="0.2">
      <c r="E441" s="61"/>
      <c r="F441" s="686"/>
      <c r="G441" s="686"/>
      <c r="H441" s="56"/>
      <c r="I441" s="56"/>
      <c r="J441" s="56"/>
    </row>
    <row r="442" spans="5:10" x14ac:dyDescent="0.2">
      <c r="E442" s="61"/>
      <c r="F442" s="686"/>
      <c r="G442" s="686"/>
      <c r="H442" s="56"/>
      <c r="I442" s="56"/>
      <c r="J442" s="56"/>
    </row>
    <row r="443" spans="5:10" x14ac:dyDescent="0.2">
      <c r="E443" s="61"/>
      <c r="F443" s="686"/>
      <c r="G443" s="686"/>
      <c r="H443" s="56"/>
      <c r="I443" s="56"/>
      <c r="J443" s="56"/>
    </row>
    <row r="444" spans="5:10" x14ac:dyDescent="0.2">
      <c r="E444" s="61"/>
      <c r="F444" s="686"/>
      <c r="G444" s="686"/>
      <c r="H444" s="56"/>
      <c r="I444" s="56"/>
      <c r="J444" s="56"/>
    </row>
    <row r="445" spans="5:10" x14ac:dyDescent="0.2">
      <c r="E445" s="61"/>
      <c r="F445" s="686"/>
      <c r="G445" s="686"/>
      <c r="H445" s="56"/>
      <c r="I445" s="56"/>
      <c r="J445" s="56"/>
    </row>
    <row r="446" spans="5:10" x14ac:dyDescent="0.2">
      <c r="E446" s="61"/>
      <c r="F446" s="686"/>
      <c r="G446" s="686"/>
      <c r="H446" s="56"/>
      <c r="I446" s="56"/>
      <c r="J446" s="56"/>
    </row>
    <row r="447" spans="5:10" x14ac:dyDescent="0.2">
      <c r="E447" s="61"/>
      <c r="F447" s="686"/>
      <c r="G447" s="686"/>
      <c r="H447" s="56"/>
      <c r="I447" s="56"/>
      <c r="J447" s="56"/>
    </row>
    <row r="448" spans="5:10" x14ac:dyDescent="0.2">
      <c r="E448" s="61"/>
      <c r="F448" s="686"/>
      <c r="G448" s="686"/>
      <c r="H448" s="56"/>
      <c r="I448" s="56"/>
      <c r="J448" s="56"/>
    </row>
    <row r="449" spans="5:10" x14ac:dyDescent="0.2">
      <c r="E449" s="61"/>
      <c r="F449" s="686"/>
      <c r="G449" s="686"/>
      <c r="H449" s="56"/>
      <c r="I449" s="56"/>
      <c r="J449" s="56"/>
    </row>
    <row r="450" spans="5:10" x14ac:dyDescent="0.2">
      <c r="E450" s="61"/>
      <c r="F450" s="686"/>
      <c r="G450" s="686"/>
      <c r="H450" s="56"/>
      <c r="I450" s="56"/>
      <c r="J450" s="56"/>
    </row>
    <row r="451" spans="5:10" x14ac:dyDescent="0.2">
      <c r="E451" s="61"/>
      <c r="F451" s="686"/>
      <c r="G451" s="686"/>
      <c r="H451" s="56"/>
      <c r="I451" s="56"/>
      <c r="J451" s="56"/>
    </row>
    <row r="452" spans="5:10" x14ac:dyDescent="0.2">
      <c r="E452" s="61"/>
      <c r="F452" s="686"/>
      <c r="G452" s="686"/>
      <c r="H452" s="56"/>
      <c r="I452" s="56"/>
      <c r="J452" s="56"/>
    </row>
    <row r="453" spans="5:10" x14ac:dyDescent="0.2">
      <c r="E453" s="61"/>
      <c r="F453" s="686"/>
      <c r="G453" s="686"/>
      <c r="H453" s="56"/>
      <c r="I453" s="56"/>
      <c r="J453" s="56"/>
    </row>
    <row r="454" spans="5:10" x14ac:dyDescent="0.2">
      <c r="E454" s="61"/>
      <c r="F454" s="686"/>
      <c r="G454" s="686"/>
      <c r="H454" s="56"/>
      <c r="I454" s="56"/>
      <c r="J454" s="56"/>
    </row>
    <row r="455" spans="5:10" x14ac:dyDescent="0.2">
      <c r="E455" s="61"/>
      <c r="F455" s="686"/>
      <c r="G455" s="686"/>
      <c r="H455" s="56"/>
      <c r="I455" s="56"/>
      <c r="J455" s="56"/>
    </row>
    <row r="456" spans="5:10" x14ac:dyDescent="0.2">
      <c r="E456" s="61"/>
      <c r="F456" s="686"/>
      <c r="G456" s="686"/>
      <c r="H456" s="56"/>
      <c r="I456" s="56"/>
      <c r="J456" s="56"/>
    </row>
    <row r="457" spans="5:10" x14ac:dyDescent="0.2">
      <c r="E457" s="61"/>
      <c r="F457" s="686"/>
      <c r="G457" s="686"/>
      <c r="H457" s="56"/>
      <c r="I457" s="56"/>
      <c r="J457" s="56"/>
    </row>
    <row r="458" spans="5:10" x14ac:dyDescent="0.2">
      <c r="E458" s="61"/>
      <c r="F458" s="686"/>
      <c r="G458" s="686"/>
      <c r="H458" s="56"/>
      <c r="I458" s="56"/>
      <c r="J458" s="56"/>
    </row>
    <row r="459" spans="5:10" x14ac:dyDescent="0.2">
      <c r="E459" s="61"/>
      <c r="F459" s="686"/>
      <c r="G459" s="686"/>
      <c r="H459" s="56"/>
      <c r="I459" s="56"/>
      <c r="J459" s="56"/>
    </row>
    <row r="460" spans="5:10" x14ac:dyDescent="0.2">
      <c r="E460" s="61"/>
      <c r="F460" s="686"/>
      <c r="G460" s="686"/>
      <c r="H460" s="56"/>
      <c r="I460" s="56"/>
      <c r="J460" s="56"/>
    </row>
    <row r="461" spans="5:10" x14ac:dyDescent="0.2">
      <c r="E461" s="61"/>
      <c r="F461" s="686"/>
      <c r="G461" s="686"/>
      <c r="H461" s="56"/>
      <c r="I461" s="56"/>
      <c r="J461" s="56"/>
    </row>
    <row r="462" spans="5:10" x14ac:dyDescent="0.2">
      <c r="E462" s="61"/>
      <c r="F462" s="686"/>
      <c r="G462" s="686"/>
      <c r="H462" s="56"/>
      <c r="I462" s="56"/>
      <c r="J462" s="56"/>
    </row>
    <row r="463" spans="5:10" x14ac:dyDescent="0.2">
      <c r="E463" s="61"/>
      <c r="F463" s="686"/>
      <c r="G463" s="686"/>
      <c r="H463" s="56"/>
      <c r="I463" s="56"/>
      <c r="J463" s="56"/>
    </row>
    <row r="464" spans="5:10" x14ac:dyDescent="0.2">
      <c r="E464" s="61"/>
      <c r="F464" s="686"/>
      <c r="G464" s="686"/>
      <c r="H464" s="56"/>
      <c r="I464" s="56"/>
      <c r="J464" s="56"/>
    </row>
    <row r="465" spans="5:10" x14ac:dyDescent="0.2">
      <c r="E465" s="61"/>
      <c r="F465" s="686"/>
      <c r="G465" s="686"/>
      <c r="H465" s="56"/>
      <c r="I465" s="56"/>
      <c r="J465" s="56"/>
    </row>
    <row r="466" spans="5:10" x14ac:dyDescent="0.2">
      <c r="E466" s="61"/>
      <c r="F466" s="686"/>
      <c r="G466" s="686"/>
      <c r="H466" s="56"/>
      <c r="I466" s="56"/>
      <c r="J466" s="56"/>
    </row>
    <row r="467" spans="5:10" x14ac:dyDescent="0.2">
      <c r="E467" s="61"/>
      <c r="F467" s="686"/>
      <c r="G467" s="686"/>
      <c r="H467" s="56"/>
      <c r="I467" s="56"/>
      <c r="J467" s="56"/>
    </row>
    <row r="468" spans="5:10" x14ac:dyDescent="0.2">
      <c r="E468" s="61"/>
      <c r="F468" s="686"/>
      <c r="G468" s="686"/>
      <c r="H468" s="56"/>
      <c r="I468" s="56"/>
      <c r="J468" s="56"/>
    </row>
    <row r="469" spans="5:10" x14ac:dyDescent="0.2">
      <c r="E469" s="61"/>
      <c r="F469" s="686"/>
      <c r="G469" s="686"/>
      <c r="H469" s="56"/>
      <c r="I469" s="56"/>
      <c r="J469" s="56"/>
    </row>
    <row r="470" spans="5:10" x14ac:dyDescent="0.2">
      <c r="E470" s="61"/>
      <c r="F470" s="686"/>
      <c r="G470" s="686"/>
      <c r="H470" s="56"/>
      <c r="I470" s="56"/>
      <c r="J470" s="56"/>
    </row>
    <row r="471" spans="5:10" x14ac:dyDescent="0.2">
      <c r="E471" s="61"/>
      <c r="F471" s="686"/>
      <c r="G471" s="686"/>
      <c r="H471" s="56"/>
      <c r="I471" s="56"/>
      <c r="J471" s="56"/>
    </row>
    <row r="472" spans="5:10" x14ac:dyDescent="0.2">
      <c r="E472" s="61"/>
      <c r="F472" s="686"/>
      <c r="G472" s="686"/>
      <c r="H472" s="56"/>
      <c r="I472" s="56"/>
      <c r="J472" s="56"/>
    </row>
    <row r="473" spans="5:10" x14ac:dyDescent="0.2">
      <c r="E473" s="61"/>
      <c r="F473" s="686"/>
      <c r="G473" s="686"/>
      <c r="H473" s="56"/>
      <c r="I473" s="56"/>
      <c r="J473" s="56"/>
    </row>
    <row r="474" spans="5:10" x14ac:dyDescent="0.2">
      <c r="E474" s="61"/>
      <c r="F474" s="686"/>
      <c r="G474" s="686"/>
      <c r="H474" s="56"/>
      <c r="I474" s="56"/>
      <c r="J474" s="56"/>
    </row>
    <row r="475" spans="5:10" x14ac:dyDescent="0.2">
      <c r="E475" s="61"/>
      <c r="F475" s="686"/>
      <c r="G475" s="686"/>
      <c r="H475" s="56"/>
      <c r="I475" s="56"/>
      <c r="J475" s="56"/>
    </row>
    <row r="476" spans="5:10" x14ac:dyDescent="0.2">
      <c r="E476" s="61"/>
      <c r="F476" s="686"/>
      <c r="G476" s="686"/>
      <c r="H476" s="56"/>
      <c r="I476" s="56"/>
      <c r="J476" s="56"/>
    </row>
    <row r="477" spans="5:10" x14ac:dyDescent="0.2">
      <c r="E477" s="61"/>
      <c r="F477" s="686"/>
      <c r="G477" s="686"/>
      <c r="H477" s="56"/>
      <c r="I477" s="56"/>
      <c r="J477" s="56"/>
    </row>
    <row r="478" spans="5:10" x14ac:dyDescent="0.2">
      <c r="E478" s="61"/>
      <c r="F478" s="686"/>
      <c r="G478" s="686"/>
      <c r="H478" s="56"/>
      <c r="I478" s="56"/>
      <c r="J478" s="56"/>
    </row>
    <row r="479" spans="5:10" x14ac:dyDescent="0.2">
      <c r="E479" s="61"/>
      <c r="F479" s="686"/>
      <c r="G479" s="686"/>
      <c r="H479" s="56"/>
      <c r="I479" s="56"/>
      <c r="J479" s="56"/>
    </row>
    <row r="480" spans="5:10" x14ac:dyDescent="0.2">
      <c r="E480" s="61"/>
      <c r="F480" s="686"/>
      <c r="G480" s="686"/>
      <c r="H480" s="56"/>
      <c r="I480" s="56"/>
      <c r="J480" s="56"/>
    </row>
    <row r="481" spans="5:10" x14ac:dyDescent="0.2">
      <c r="E481" s="61"/>
      <c r="F481" s="686"/>
      <c r="G481" s="686"/>
      <c r="H481" s="56"/>
      <c r="I481" s="56"/>
      <c r="J481" s="56"/>
    </row>
    <row r="482" spans="5:10" x14ac:dyDescent="0.2">
      <c r="E482" s="61"/>
      <c r="F482" s="686"/>
      <c r="G482" s="686"/>
      <c r="H482" s="56"/>
      <c r="I482" s="56"/>
      <c r="J482" s="56"/>
    </row>
    <row r="483" spans="5:10" x14ac:dyDescent="0.2">
      <c r="E483" s="61"/>
      <c r="F483" s="686"/>
      <c r="G483" s="686"/>
      <c r="H483" s="56"/>
      <c r="I483" s="56"/>
      <c r="J483" s="56"/>
    </row>
    <row r="484" spans="5:10" x14ac:dyDescent="0.2">
      <c r="E484" s="61"/>
      <c r="F484" s="686"/>
      <c r="G484" s="686"/>
      <c r="H484" s="56"/>
      <c r="I484" s="56"/>
      <c r="J484" s="56"/>
    </row>
    <row r="485" spans="5:10" x14ac:dyDescent="0.2">
      <c r="E485" s="61"/>
      <c r="F485" s="686"/>
      <c r="G485" s="686"/>
      <c r="H485" s="56"/>
      <c r="I485" s="56"/>
      <c r="J485" s="56"/>
    </row>
    <row r="486" spans="5:10" x14ac:dyDescent="0.2">
      <c r="E486" s="61"/>
      <c r="F486" s="686"/>
      <c r="G486" s="686"/>
      <c r="H486" s="56"/>
      <c r="I486" s="56"/>
      <c r="J486" s="56"/>
    </row>
    <row r="487" spans="5:10" x14ac:dyDescent="0.2">
      <c r="E487" s="61"/>
      <c r="F487" s="686"/>
      <c r="G487" s="686"/>
      <c r="H487" s="56"/>
      <c r="I487" s="56"/>
      <c r="J487" s="56"/>
    </row>
    <row r="488" spans="5:10" x14ac:dyDescent="0.2">
      <c r="E488" s="61"/>
      <c r="F488" s="686"/>
      <c r="G488" s="686"/>
      <c r="H488" s="56"/>
      <c r="I488" s="56"/>
      <c r="J488" s="56"/>
    </row>
    <row r="489" spans="5:10" x14ac:dyDescent="0.2">
      <c r="E489" s="61"/>
      <c r="F489" s="686"/>
      <c r="G489" s="686"/>
      <c r="H489" s="56"/>
      <c r="I489" s="56"/>
      <c r="J489" s="56"/>
    </row>
    <row r="490" spans="5:10" x14ac:dyDescent="0.2">
      <c r="E490" s="61"/>
      <c r="F490" s="686"/>
      <c r="G490" s="686"/>
      <c r="H490" s="56"/>
      <c r="I490" s="56"/>
      <c r="J490" s="56"/>
    </row>
    <row r="491" spans="5:10" x14ac:dyDescent="0.2">
      <c r="E491" s="61"/>
      <c r="F491" s="686"/>
      <c r="G491" s="686"/>
      <c r="H491" s="56"/>
      <c r="I491" s="56"/>
      <c r="J491" s="56"/>
    </row>
    <row r="492" spans="5:10" x14ac:dyDescent="0.2">
      <c r="E492" s="61"/>
      <c r="F492" s="686"/>
      <c r="G492" s="686"/>
      <c r="H492" s="56"/>
      <c r="I492" s="56"/>
      <c r="J492" s="56"/>
    </row>
    <row r="493" spans="5:10" x14ac:dyDescent="0.2">
      <c r="E493" s="61"/>
      <c r="F493" s="686"/>
      <c r="G493" s="686"/>
      <c r="H493" s="56"/>
      <c r="I493" s="56"/>
      <c r="J493" s="56"/>
    </row>
    <row r="494" spans="5:10" x14ac:dyDescent="0.2">
      <c r="E494" s="61"/>
      <c r="F494" s="686"/>
      <c r="G494" s="686"/>
      <c r="H494" s="56"/>
      <c r="I494" s="56"/>
      <c r="J494" s="56"/>
    </row>
    <row r="495" spans="5:10" x14ac:dyDescent="0.2">
      <c r="E495" s="61"/>
      <c r="F495" s="686"/>
      <c r="G495" s="686"/>
      <c r="H495" s="56"/>
      <c r="I495" s="56"/>
      <c r="J495" s="56"/>
    </row>
    <row r="496" spans="5:10" x14ac:dyDescent="0.2">
      <c r="E496" s="61"/>
      <c r="F496" s="686"/>
      <c r="G496" s="686"/>
      <c r="H496" s="56"/>
      <c r="I496" s="56"/>
      <c r="J496" s="56"/>
    </row>
    <row r="497" spans="5:10" x14ac:dyDescent="0.2">
      <c r="E497" s="61"/>
      <c r="F497" s="686"/>
      <c r="G497" s="686"/>
      <c r="H497" s="56"/>
      <c r="I497" s="56"/>
      <c r="J497" s="56"/>
    </row>
    <row r="498" spans="5:10" x14ac:dyDescent="0.2">
      <c r="E498" s="61"/>
      <c r="F498" s="686"/>
      <c r="G498" s="686"/>
      <c r="H498" s="56"/>
      <c r="I498" s="56"/>
      <c r="J498" s="56"/>
    </row>
    <row r="499" spans="5:10" x14ac:dyDescent="0.2">
      <c r="E499" s="61"/>
      <c r="F499" s="686"/>
      <c r="G499" s="686"/>
      <c r="H499" s="56"/>
      <c r="I499" s="56"/>
      <c r="J499" s="56"/>
    </row>
    <row r="500" spans="5:10" x14ac:dyDescent="0.2">
      <c r="E500" s="61"/>
      <c r="F500" s="686"/>
      <c r="G500" s="686"/>
      <c r="H500" s="56"/>
      <c r="I500" s="56"/>
      <c r="J500" s="56"/>
    </row>
    <row r="501" spans="5:10" x14ac:dyDescent="0.2">
      <c r="E501" s="61"/>
      <c r="F501" s="686"/>
      <c r="G501" s="686"/>
      <c r="H501" s="56"/>
      <c r="I501" s="56"/>
      <c r="J501" s="56"/>
    </row>
    <row r="502" spans="5:10" x14ac:dyDescent="0.2">
      <c r="E502" s="61"/>
      <c r="F502" s="686"/>
      <c r="G502" s="686"/>
      <c r="H502" s="56"/>
      <c r="I502" s="56"/>
      <c r="J502" s="56"/>
    </row>
    <row r="503" spans="5:10" x14ac:dyDescent="0.2">
      <c r="E503" s="61"/>
      <c r="F503" s="686"/>
      <c r="G503" s="686"/>
      <c r="H503" s="56"/>
      <c r="I503" s="56"/>
      <c r="J503" s="56"/>
    </row>
    <row r="504" spans="5:10" x14ac:dyDescent="0.2">
      <c r="E504" s="61"/>
      <c r="F504" s="686"/>
      <c r="G504" s="686"/>
      <c r="H504" s="56"/>
      <c r="I504" s="56"/>
      <c r="J504" s="56"/>
    </row>
    <row r="505" spans="5:10" x14ac:dyDescent="0.2">
      <c r="E505" s="61"/>
      <c r="F505" s="686"/>
      <c r="G505" s="686"/>
      <c r="H505" s="56"/>
      <c r="I505" s="56"/>
      <c r="J505" s="56"/>
    </row>
    <row r="506" spans="5:10" x14ac:dyDescent="0.2">
      <c r="E506" s="61"/>
      <c r="F506" s="686"/>
      <c r="G506" s="686"/>
      <c r="H506" s="56"/>
      <c r="I506" s="56"/>
      <c r="J506" s="56"/>
    </row>
    <row r="507" spans="5:10" x14ac:dyDescent="0.2">
      <c r="E507" s="61"/>
      <c r="F507" s="686"/>
      <c r="G507" s="686"/>
      <c r="H507" s="56"/>
      <c r="I507" s="56"/>
      <c r="J507" s="56"/>
    </row>
    <row r="508" spans="5:10" x14ac:dyDescent="0.2">
      <c r="E508" s="61"/>
      <c r="F508" s="686"/>
      <c r="G508" s="686"/>
      <c r="H508" s="56"/>
      <c r="I508" s="56"/>
      <c r="J508" s="56"/>
    </row>
    <row r="509" spans="5:10" x14ac:dyDescent="0.2">
      <c r="E509" s="61"/>
      <c r="F509" s="686"/>
      <c r="G509" s="686"/>
      <c r="H509" s="56"/>
      <c r="I509" s="56"/>
      <c r="J509" s="56"/>
    </row>
    <row r="510" spans="5:10" x14ac:dyDescent="0.2">
      <c r="E510" s="61"/>
      <c r="F510" s="686"/>
      <c r="G510" s="686"/>
      <c r="H510" s="56"/>
      <c r="I510" s="56"/>
      <c r="J510" s="56"/>
    </row>
    <row r="511" spans="5:10" x14ac:dyDescent="0.2">
      <c r="E511" s="61"/>
      <c r="F511" s="686"/>
      <c r="G511" s="686"/>
      <c r="H511" s="56"/>
      <c r="I511" s="56"/>
      <c r="J511" s="56"/>
    </row>
    <row r="512" spans="5:10" x14ac:dyDescent="0.2">
      <c r="E512" s="61"/>
      <c r="F512" s="686"/>
      <c r="G512" s="686"/>
      <c r="H512" s="56"/>
      <c r="I512" s="56"/>
      <c r="J512" s="56"/>
    </row>
    <row r="513" spans="5:10" x14ac:dyDescent="0.2">
      <c r="E513" s="61"/>
      <c r="F513" s="686"/>
      <c r="G513" s="686"/>
      <c r="H513" s="56"/>
      <c r="I513" s="56"/>
      <c r="J513" s="56"/>
    </row>
    <row r="514" spans="5:10" x14ac:dyDescent="0.2">
      <c r="E514" s="61"/>
      <c r="F514" s="686"/>
      <c r="G514" s="686"/>
      <c r="H514" s="56"/>
      <c r="I514" s="56"/>
      <c r="J514" s="56"/>
    </row>
    <row r="515" spans="5:10" x14ac:dyDescent="0.2">
      <c r="E515" s="61"/>
      <c r="F515" s="686"/>
      <c r="G515" s="686"/>
      <c r="H515" s="56"/>
      <c r="I515" s="56"/>
      <c r="J515" s="56"/>
    </row>
    <row r="516" spans="5:10" x14ac:dyDescent="0.2">
      <c r="E516" s="61"/>
      <c r="F516" s="686"/>
      <c r="G516" s="686"/>
      <c r="H516" s="56"/>
      <c r="I516" s="56"/>
      <c r="J516" s="56"/>
    </row>
    <row r="517" spans="5:10" x14ac:dyDescent="0.2">
      <c r="E517" s="61"/>
      <c r="F517" s="686"/>
      <c r="G517" s="686"/>
      <c r="H517" s="56"/>
      <c r="I517" s="56"/>
      <c r="J517" s="56"/>
    </row>
    <row r="518" spans="5:10" x14ac:dyDescent="0.2">
      <c r="E518" s="61"/>
      <c r="F518" s="686"/>
      <c r="G518" s="686"/>
      <c r="H518" s="56"/>
      <c r="I518" s="56"/>
      <c r="J518" s="56"/>
    </row>
    <row r="519" spans="5:10" x14ac:dyDescent="0.2">
      <c r="E519" s="61"/>
      <c r="F519" s="686"/>
      <c r="G519" s="686"/>
      <c r="H519" s="56"/>
      <c r="I519" s="56"/>
      <c r="J519" s="56"/>
    </row>
    <row r="520" spans="5:10" x14ac:dyDescent="0.2">
      <c r="E520" s="61"/>
      <c r="F520" s="686"/>
      <c r="G520" s="686"/>
      <c r="H520" s="56"/>
      <c r="I520" s="56"/>
      <c r="J520" s="56"/>
    </row>
    <row r="521" spans="5:10" x14ac:dyDescent="0.2">
      <c r="E521" s="61"/>
      <c r="F521" s="686"/>
      <c r="G521" s="686"/>
      <c r="H521" s="56"/>
      <c r="I521" s="56"/>
      <c r="J521" s="56"/>
    </row>
    <row r="522" spans="5:10" x14ac:dyDescent="0.2">
      <c r="E522" s="61"/>
      <c r="F522" s="686"/>
      <c r="G522" s="686"/>
      <c r="H522" s="56"/>
      <c r="I522" s="56"/>
      <c r="J522" s="56"/>
    </row>
    <row r="523" spans="5:10" x14ac:dyDescent="0.2">
      <c r="E523" s="61"/>
      <c r="F523" s="686"/>
      <c r="G523" s="686"/>
      <c r="H523" s="56"/>
      <c r="I523" s="56"/>
      <c r="J523" s="56"/>
    </row>
    <row r="524" spans="5:10" x14ac:dyDescent="0.2">
      <c r="E524" s="61"/>
      <c r="F524" s="686"/>
      <c r="G524" s="686"/>
      <c r="H524" s="56"/>
      <c r="I524" s="56"/>
      <c r="J524" s="56"/>
    </row>
    <row r="525" spans="5:10" x14ac:dyDescent="0.2">
      <c r="E525" s="61"/>
      <c r="F525" s="686"/>
      <c r="G525" s="686"/>
      <c r="H525" s="56"/>
      <c r="I525" s="56"/>
      <c r="J525" s="56"/>
    </row>
    <row r="526" spans="5:10" x14ac:dyDescent="0.2">
      <c r="E526" s="61"/>
      <c r="F526" s="686"/>
      <c r="G526" s="686"/>
      <c r="H526" s="56"/>
      <c r="I526" s="56"/>
      <c r="J526" s="56"/>
    </row>
    <row r="527" spans="5:10" x14ac:dyDescent="0.2">
      <c r="E527" s="61"/>
      <c r="F527" s="686"/>
      <c r="G527" s="686"/>
      <c r="H527" s="56"/>
      <c r="I527" s="56"/>
      <c r="J527" s="56"/>
    </row>
    <row r="528" spans="5:10" x14ac:dyDescent="0.2">
      <c r="E528" s="61"/>
      <c r="F528" s="686"/>
      <c r="G528" s="686"/>
      <c r="H528" s="56"/>
      <c r="I528" s="56"/>
      <c r="J528" s="56"/>
    </row>
    <row r="529" spans="5:10" x14ac:dyDescent="0.2">
      <c r="E529" s="61"/>
      <c r="F529" s="686"/>
      <c r="G529" s="686"/>
      <c r="H529" s="56"/>
      <c r="I529" s="56"/>
      <c r="J529" s="56"/>
    </row>
    <row r="530" spans="5:10" x14ac:dyDescent="0.2">
      <c r="E530" s="61"/>
      <c r="F530" s="686"/>
      <c r="G530" s="686"/>
      <c r="H530" s="56"/>
      <c r="I530" s="56"/>
      <c r="J530" s="56"/>
    </row>
    <row r="531" spans="5:10" x14ac:dyDescent="0.2">
      <c r="E531" s="61"/>
      <c r="F531" s="686"/>
      <c r="G531" s="686"/>
      <c r="H531" s="56"/>
      <c r="I531" s="56"/>
      <c r="J531" s="56"/>
    </row>
    <row r="532" spans="5:10" x14ac:dyDescent="0.2">
      <c r="E532" s="61"/>
      <c r="F532" s="686"/>
      <c r="G532" s="686"/>
      <c r="H532" s="56"/>
      <c r="I532" s="56"/>
      <c r="J532" s="56"/>
    </row>
    <row r="533" spans="5:10" x14ac:dyDescent="0.2">
      <c r="E533" s="61"/>
      <c r="F533" s="686"/>
      <c r="G533" s="686"/>
      <c r="H533" s="56"/>
      <c r="I533" s="56"/>
      <c r="J533" s="56"/>
    </row>
    <row r="534" spans="5:10" x14ac:dyDescent="0.2">
      <c r="E534" s="61"/>
      <c r="F534" s="686"/>
      <c r="G534" s="686"/>
      <c r="H534" s="56"/>
      <c r="I534" s="56"/>
      <c r="J534" s="56"/>
    </row>
    <row r="535" spans="5:10" x14ac:dyDescent="0.2">
      <c r="E535" s="61"/>
      <c r="F535" s="686"/>
      <c r="G535" s="686"/>
      <c r="H535" s="56"/>
      <c r="I535" s="56"/>
      <c r="J535" s="56"/>
    </row>
    <row r="536" spans="5:10" x14ac:dyDescent="0.2">
      <c r="E536" s="61"/>
      <c r="F536" s="686"/>
      <c r="G536" s="686"/>
      <c r="H536" s="56"/>
      <c r="I536" s="56"/>
      <c r="J536" s="56"/>
    </row>
    <row r="537" spans="5:10" x14ac:dyDescent="0.2">
      <c r="E537" s="61"/>
      <c r="F537" s="686"/>
      <c r="G537" s="686"/>
      <c r="H537" s="56"/>
      <c r="I537" s="56"/>
      <c r="J537" s="56"/>
    </row>
    <row r="538" spans="5:10" x14ac:dyDescent="0.2">
      <c r="E538" s="61"/>
      <c r="F538" s="686"/>
      <c r="G538" s="686"/>
      <c r="H538" s="56"/>
      <c r="I538" s="56"/>
      <c r="J538" s="56"/>
    </row>
    <row r="539" spans="5:10" x14ac:dyDescent="0.2">
      <c r="E539" s="61"/>
      <c r="F539" s="686"/>
      <c r="G539" s="686"/>
      <c r="H539" s="56"/>
      <c r="I539" s="56"/>
      <c r="J539" s="56"/>
    </row>
    <row r="540" spans="5:10" x14ac:dyDescent="0.2">
      <c r="E540" s="61"/>
      <c r="F540" s="686"/>
      <c r="G540" s="686"/>
      <c r="H540" s="56"/>
      <c r="I540" s="56"/>
      <c r="J540" s="56"/>
    </row>
    <row r="541" spans="5:10" x14ac:dyDescent="0.2">
      <c r="E541" s="61"/>
      <c r="F541" s="686"/>
      <c r="G541" s="686"/>
      <c r="H541" s="56"/>
      <c r="I541" s="56"/>
      <c r="J541" s="56"/>
    </row>
    <row r="542" spans="5:10" x14ac:dyDescent="0.2">
      <c r="E542" s="61"/>
      <c r="F542" s="686"/>
      <c r="G542" s="686"/>
      <c r="H542" s="56"/>
      <c r="I542" s="56"/>
      <c r="J542" s="56"/>
    </row>
    <row r="543" spans="5:10" x14ac:dyDescent="0.2">
      <c r="E543" s="61"/>
      <c r="F543" s="686"/>
      <c r="G543" s="686"/>
      <c r="H543" s="56"/>
      <c r="I543" s="56"/>
      <c r="J543" s="56"/>
    </row>
    <row r="544" spans="5:10" x14ac:dyDescent="0.2">
      <c r="E544" s="61"/>
      <c r="F544" s="686"/>
      <c r="G544" s="686"/>
      <c r="H544" s="56"/>
      <c r="I544" s="56"/>
      <c r="J544" s="56"/>
    </row>
    <row r="545" spans="5:10" x14ac:dyDescent="0.2">
      <c r="E545" s="61"/>
      <c r="F545" s="686"/>
      <c r="G545" s="686"/>
      <c r="H545" s="56"/>
      <c r="I545" s="56"/>
      <c r="J545" s="56"/>
    </row>
    <row r="546" spans="5:10" x14ac:dyDescent="0.2">
      <c r="E546" s="61"/>
      <c r="F546" s="686"/>
      <c r="G546" s="686"/>
      <c r="H546" s="56"/>
      <c r="I546" s="56"/>
      <c r="J546" s="56"/>
    </row>
    <row r="547" spans="5:10" x14ac:dyDescent="0.2">
      <c r="E547" s="61"/>
      <c r="F547" s="686"/>
      <c r="G547" s="686"/>
      <c r="H547" s="56"/>
      <c r="I547" s="56"/>
      <c r="J547" s="56"/>
    </row>
    <row r="548" spans="5:10" x14ac:dyDescent="0.2">
      <c r="E548" s="61"/>
      <c r="F548" s="686"/>
      <c r="G548" s="686"/>
      <c r="H548" s="56"/>
      <c r="I548" s="56"/>
      <c r="J548" s="56"/>
    </row>
    <row r="549" spans="5:10" x14ac:dyDescent="0.2">
      <c r="E549" s="61"/>
      <c r="F549" s="686"/>
      <c r="G549" s="686"/>
      <c r="H549" s="56"/>
      <c r="I549" s="56"/>
      <c r="J549" s="56"/>
    </row>
    <row r="550" spans="5:10" x14ac:dyDescent="0.2">
      <c r="E550" s="61"/>
      <c r="F550" s="686"/>
      <c r="G550" s="686"/>
      <c r="H550" s="56"/>
      <c r="I550" s="56"/>
      <c r="J550" s="56"/>
    </row>
    <row r="551" spans="5:10" x14ac:dyDescent="0.2">
      <c r="E551" s="61"/>
      <c r="F551" s="686"/>
      <c r="G551" s="686"/>
      <c r="H551" s="56"/>
      <c r="I551" s="56"/>
      <c r="J551" s="56"/>
    </row>
    <row r="552" spans="5:10" x14ac:dyDescent="0.2">
      <c r="E552" s="61"/>
      <c r="F552" s="686"/>
      <c r="G552" s="686"/>
      <c r="H552" s="56"/>
      <c r="I552" s="56"/>
      <c r="J552" s="56"/>
    </row>
    <row r="553" spans="5:10" x14ac:dyDescent="0.2">
      <c r="E553" s="61"/>
      <c r="F553" s="686"/>
      <c r="G553" s="686"/>
      <c r="H553" s="56"/>
      <c r="I553" s="56"/>
      <c r="J553" s="56"/>
    </row>
    <row r="554" spans="5:10" x14ac:dyDescent="0.2">
      <c r="E554" s="61"/>
      <c r="F554" s="686"/>
      <c r="G554" s="686"/>
      <c r="H554" s="56"/>
      <c r="I554" s="56"/>
      <c r="J554" s="56"/>
    </row>
    <row r="555" spans="5:10" x14ac:dyDescent="0.2">
      <c r="E555" s="61"/>
      <c r="F555" s="686"/>
      <c r="G555" s="686"/>
      <c r="H555" s="56"/>
      <c r="I555" s="56"/>
      <c r="J555" s="56"/>
    </row>
    <row r="556" spans="5:10" x14ac:dyDescent="0.2">
      <c r="E556" s="61"/>
      <c r="F556" s="686"/>
      <c r="G556" s="686"/>
      <c r="H556" s="56"/>
      <c r="I556" s="56"/>
      <c r="J556" s="56"/>
    </row>
    <row r="557" spans="5:10" x14ac:dyDescent="0.2">
      <c r="E557" s="61"/>
      <c r="F557" s="686"/>
      <c r="G557" s="686"/>
      <c r="H557" s="56"/>
      <c r="I557" s="56"/>
      <c r="J557" s="56"/>
    </row>
    <row r="558" spans="5:10" x14ac:dyDescent="0.2">
      <c r="E558" s="61"/>
      <c r="F558" s="686"/>
      <c r="G558" s="686"/>
      <c r="H558" s="56"/>
      <c r="I558" s="56"/>
      <c r="J558" s="56"/>
    </row>
    <row r="559" spans="5:10" x14ac:dyDescent="0.2">
      <c r="E559" s="61"/>
      <c r="F559" s="686"/>
      <c r="G559" s="686"/>
      <c r="H559" s="56"/>
      <c r="I559" s="56"/>
      <c r="J559" s="56"/>
    </row>
    <row r="560" spans="5:10" x14ac:dyDescent="0.2">
      <c r="E560" s="61"/>
      <c r="F560" s="686"/>
      <c r="G560" s="686"/>
      <c r="H560" s="56"/>
      <c r="I560" s="56"/>
      <c r="J560" s="56"/>
    </row>
    <row r="561" spans="5:10" x14ac:dyDescent="0.2">
      <c r="E561" s="61"/>
      <c r="F561" s="686"/>
      <c r="G561" s="686"/>
      <c r="H561" s="56"/>
      <c r="I561" s="56"/>
      <c r="J561" s="56"/>
    </row>
    <row r="562" spans="5:10" x14ac:dyDescent="0.2">
      <c r="E562" s="61"/>
      <c r="F562" s="686"/>
      <c r="G562" s="686"/>
      <c r="H562" s="56"/>
      <c r="I562" s="56"/>
      <c r="J562" s="56"/>
    </row>
    <row r="563" spans="5:10" x14ac:dyDescent="0.2">
      <c r="E563" s="61"/>
      <c r="F563" s="686"/>
      <c r="G563" s="686"/>
      <c r="H563" s="56"/>
      <c r="I563" s="56"/>
      <c r="J563" s="56"/>
    </row>
    <row r="564" spans="5:10" x14ac:dyDescent="0.2">
      <c r="E564" s="61"/>
      <c r="F564" s="686"/>
      <c r="G564" s="686"/>
      <c r="H564" s="56"/>
      <c r="I564" s="56"/>
      <c r="J564" s="56"/>
    </row>
    <row r="565" spans="5:10" x14ac:dyDescent="0.2">
      <c r="E565" s="61"/>
      <c r="F565" s="686"/>
      <c r="G565" s="686"/>
      <c r="H565" s="56"/>
      <c r="I565" s="56"/>
      <c r="J565" s="56"/>
    </row>
    <row r="566" spans="5:10" x14ac:dyDescent="0.2">
      <c r="E566" s="61"/>
      <c r="F566" s="686"/>
      <c r="G566" s="686"/>
      <c r="H566" s="56"/>
      <c r="I566" s="56"/>
      <c r="J566" s="56"/>
    </row>
    <row r="567" spans="5:10" x14ac:dyDescent="0.2">
      <c r="E567" s="61"/>
      <c r="F567" s="686"/>
      <c r="G567" s="686"/>
      <c r="H567" s="56"/>
      <c r="I567" s="56"/>
      <c r="J567" s="56"/>
    </row>
    <row r="568" spans="5:10" x14ac:dyDescent="0.2">
      <c r="E568" s="61"/>
      <c r="F568" s="686"/>
      <c r="G568" s="686"/>
      <c r="H568" s="56"/>
      <c r="I568" s="56"/>
      <c r="J568" s="56"/>
    </row>
    <row r="569" spans="5:10" x14ac:dyDescent="0.2">
      <c r="E569" s="61"/>
      <c r="F569" s="686"/>
      <c r="G569" s="686"/>
      <c r="H569" s="56"/>
      <c r="I569" s="56"/>
      <c r="J569" s="56"/>
    </row>
    <row r="570" spans="5:10" x14ac:dyDescent="0.2">
      <c r="E570" s="61"/>
      <c r="F570" s="686"/>
      <c r="G570" s="686"/>
      <c r="H570" s="56"/>
      <c r="I570" s="56"/>
      <c r="J570" s="56"/>
    </row>
    <row r="571" spans="5:10" x14ac:dyDescent="0.2">
      <c r="E571" s="61"/>
      <c r="F571" s="686"/>
      <c r="G571" s="686"/>
      <c r="H571" s="56"/>
      <c r="I571" s="56"/>
      <c r="J571" s="56"/>
    </row>
    <row r="572" spans="5:10" x14ac:dyDescent="0.2">
      <c r="E572" s="61"/>
      <c r="F572" s="686"/>
      <c r="G572" s="686"/>
      <c r="H572" s="56"/>
      <c r="I572" s="56"/>
      <c r="J572" s="56"/>
    </row>
    <row r="573" spans="5:10" x14ac:dyDescent="0.2">
      <c r="E573" s="61"/>
      <c r="F573" s="686"/>
      <c r="G573" s="686"/>
      <c r="H573" s="56"/>
      <c r="I573" s="56"/>
      <c r="J573" s="56"/>
    </row>
    <row r="574" spans="5:10" x14ac:dyDescent="0.2">
      <c r="E574" s="61"/>
      <c r="F574" s="686"/>
      <c r="G574" s="686"/>
      <c r="H574" s="56"/>
      <c r="I574" s="56"/>
      <c r="J574" s="56"/>
    </row>
    <row r="575" spans="5:10" x14ac:dyDescent="0.2">
      <c r="E575" s="61"/>
      <c r="F575" s="686"/>
      <c r="G575" s="686"/>
      <c r="H575" s="56"/>
      <c r="I575" s="56"/>
      <c r="J575" s="56"/>
    </row>
    <row r="576" spans="5:10" x14ac:dyDescent="0.2">
      <c r="E576" s="61"/>
      <c r="F576" s="686"/>
      <c r="G576" s="686"/>
      <c r="H576" s="56"/>
      <c r="I576" s="56"/>
      <c r="J576" s="56"/>
    </row>
    <row r="577" spans="5:10" x14ac:dyDescent="0.2">
      <c r="E577" s="61"/>
      <c r="F577" s="686"/>
      <c r="G577" s="686"/>
      <c r="H577" s="56"/>
      <c r="I577" s="56"/>
      <c r="J577" s="56"/>
    </row>
    <row r="578" spans="5:10" x14ac:dyDescent="0.2">
      <c r="E578" s="61"/>
      <c r="F578" s="686"/>
      <c r="G578" s="686"/>
      <c r="H578" s="56"/>
      <c r="I578" s="56"/>
      <c r="J578" s="56"/>
    </row>
    <row r="579" spans="5:10" x14ac:dyDescent="0.2">
      <c r="E579" s="61"/>
      <c r="F579" s="686"/>
      <c r="G579" s="686"/>
      <c r="H579" s="56"/>
      <c r="I579" s="56"/>
      <c r="J579" s="56"/>
    </row>
    <row r="580" spans="5:10" x14ac:dyDescent="0.2">
      <c r="E580" s="61"/>
      <c r="F580" s="686"/>
      <c r="G580" s="686"/>
      <c r="H580" s="56"/>
      <c r="I580" s="56"/>
      <c r="J580" s="56"/>
    </row>
    <row r="581" spans="5:10" x14ac:dyDescent="0.2">
      <c r="E581" s="61"/>
      <c r="F581" s="686"/>
      <c r="G581" s="686"/>
      <c r="H581" s="56"/>
      <c r="I581" s="56"/>
      <c r="J581" s="56"/>
    </row>
    <row r="582" spans="5:10" x14ac:dyDescent="0.2">
      <c r="E582" s="61"/>
      <c r="F582" s="686"/>
      <c r="G582" s="686"/>
      <c r="H582" s="56"/>
      <c r="I582" s="56"/>
      <c r="J582" s="56"/>
    </row>
    <row r="583" spans="5:10" x14ac:dyDescent="0.2">
      <c r="E583" s="61"/>
      <c r="F583" s="686"/>
      <c r="G583" s="686"/>
      <c r="H583" s="56"/>
      <c r="I583" s="56"/>
      <c r="J583" s="56"/>
    </row>
    <row r="584" spans="5:10" x14ac:dyDescent="0.2">
      <c r="E584" s="61"/>
      <c r="F584" s="686"/>
      <c r="G584" s="686"/>
      <c r="H584" s="56"/>
      <c r="I584" s="56"/>
      <c r="J584" s="56"/>
    </row>
    <row r="585" spans="5:10" x14ac:dyDescent="0.2">
      <c r="E585" s="61"/>
      <c r="F585" s="686"/>
      <c r="G585" s="686"/>
      <c r="H585" s="56"/>
      <c r="I585" s="56"/>
      <c r="J585" s="56"/>
    </row>
    <row r="586" spans="5:10" x14ac:dyDescent="0.2">
      <c r="E586" s="61"/>
      <c r="F586" s="686"/>
      <c r="G586" s="686"/>
      <c r="H586" s="56"/>
      <c r="I586" s="56"/>
      <c r="J586" s="56"/>
    </row>
    <row r="587" spans="5:10" x14ac:dyDescent="0.2">
      <c r="E587" s="61"/>
      <c r="F587" s="686"/>
      <c r="G587" s="686"/>
      <c r="H587" s="56"/>
      <c r="I587" s="56"/>
      <c r="J587" s="56"/>
    </row>
    <row r="588" spans="5:10" x14ac:dyDescent="0.2">
      <c r="E588" s="61"/>
      <c r="F588" s="686"/>
      <c r="G588" s="686"/>
      <c r="H588" s="56"/>
      <c r="I588" s="56"/>
      <c r="J588" s="56"/>
    </row>
    <row r="589" spans="5:10" x14ac:dyDescent="0.2">
      <c r="E589" s="61"/>
      <c r="F589" s="686"/>
      <c r="G589" s="686"/>
      <c r="H589" s="56"/>
      <c r="I589" s="56"/>
      <c r="J589" s="56"/>
    </row>
    <row r="590" spans="5:10" x14ac:dyDescent="0.2">
      <c r="E590" s="61"/>
      <c r="F590" s="686"/>
      <c r="G590" s="686"/>
      <c r="H590" s="56"/>
      <c r="I590" s="56"/>
      <c r="J590" s="56"/>
    </row>
    <row r="591" spans="5:10" x14ac:dyDescent="0.2">
      <c r="E591" s="61"/>
      <c r="F591" s="686"/>
      <c r="G591" s="686"/>
      <c r="H591" s="56"/>
      <c r="I591" s="56"/>
      <c r="J591" s="56"/>
    </row>
    <row r="592" spans="5:10" x14ac:dyDescent="0.2">
      <c r="E592" s="61"/>
      <c r="F592" s="686"/>
      <c r="G592" s="686"/>
      <c r="H592" s="56"/>
      <c r="I592" s="56"/>
      <c r="J592" s="56"/>
    </row>
    <row r="593" spans="5:10" x14ac:dyDescent="0.2">
      <c r="E593" s="61"/>
      <c r="F593" s="686"/>
      <c r="G593" s="686"/>
      <c r="H593" s="56"/>
      <c r="I593" s="56"/>
      <c r="J593" s="56"/>
    </row>
    <row r="594" spans="5:10" x14ac:dyDescent="0.2">
      <c r="E594" s="61"/>
      <c r="F594" s="686"/>
      <c r="G594" s="686"/>
      <c r="H594" s="56"/>
      <c r="I594" s="56"/>
      <c r="J594" s="56"/>
    </row>
    <row r="595" spans="5:10" x14ac:dyDescent="0.2">
      <c r="E595" s="61"/>
      <c r="F595" s="686"/>
      <c r="G595" s="686"/>
      <c r="H595" s="56"/>
      <c r="I595" s="56"/>
      <c r="J595" s="56"/>
    </row>
    <row r="596" spans="5:10" x14ac:dyDescent="0.2">
      <c r="E596" s="61"/>
      <c r="F596" s="686"/>
      <c r="G596" s="686"/>
      <c r="H596" s="56"/>
      <c r="I596" s="56"/>
      <c r="J596" s="56"/>
    </row>
    <row r="597" spans="5:10" x14ac:dyDescent="0.2">
      <c r="E597" s="61"/>
      <c r="F597" s="686"/>
      <c r="G597" s="686"/>
      <c r="H597" s="56"/>
      <c r="I597" s="56"/>
      <c r="J597" s="56"/>
    </row>
    <row r="598" spans="5:10" x14ac:dyDescent="0.2">
      <c r="E598" s="61"/>
      <c r="F598" s="686"/>
      <c r="G598" s="686"/>
      <c r="H598" s="56"/>
      <c r="I598" s="56"/>
      <c r="J598" s="56"/>
    </row>
    <row r="599" spans="5:10" x14ac:dyDescent="0.2">
      <c r="E599" s="61"/>
      <c r="F599" s="686"/>
      <c r="G599" s="686"/>
      <c r="H599" s="56"/>
      <c r="I599" s="56"/>
      <c r="J599" s="56"/>
    </row>
    <row r="600" spans="5:10" x14ac:dyDescent="0.2">
      <c r="E600" s="61"/>
      <c r="F600" s="686"/>
      <c r="G600" s="686"/>
      <c r="H600" s="56"/>
      <c r="I600" s="56"/>
      <c r="J600" s="56"/>
    </row>
    <row r="601" spans="5:10" x14ac:dyDescent="0.2">
      <c r="E601" s="61"/>
      <c r="F601" s="686"/>
      <c r="G601" s="686"/>
      <c r="H601" s="56"/>
      <c r="I601" s="56"/>
      <c r="J601" s="56"/>
    </row>
    <row r="602" spans="5:10" x14ac:dyDescent="0.2">
      <c r="E602" s="61"/>
      <c r="F602" s="686"/>
      <c r="G602" s="686"/>
      <c r="H602" s="56"/>
      <c r="I602" s="56"/>
      <c r="J602" s="56"/>
    </row>
    <row r="603" spans="5:10" x14ac:dyDescent="0.2">
      <c r="E603" s="61"/>
      <c r="F603" s="686"/>
      <c r="G603" s="686"/>
      <c r="H603" s="56"/>
      <c r="I603" s="56"/>
      <c r="J603" s="56"/>
    </row>
    <row r="604" spans="5:10" x14ac:dyDescent="0.2">
      <c r="E604" s="61"/>
      <c r="F604" s="686"/>
      <c r="G604" s="686"/>
      <c r="H604" s="56"/>
      <c r="I604" s="56"/>
      <c r="J604" s="56"/>
    </row>
    <row r="605" spans="5:10" x14ac:dyDescent="0.2">
      <c r="E605" s="61"/>
      <c r="F605" s="686"/>
      <c r="G605" s="686"/>
      <c r="H605" s="56"/>
      <c r="I605" s="56"/>
      <c r="J605" s="56"/>
    </row>
    <row r="606" spans="5:10" x14ac:dyDescent="0.2">
      <c r="E606" s="61"/>
      <c r="F606" s="686"/>
      <c r="G606" s="686"/>
      <c r="H606" s="56"/>
      <c r="I606" s="56"/>
      <c r="J606" s="56"/>
    </row>
    <row r="607" spans="5:10" x14ac:dyDescent="0.2">
      <c r="E607" s="61"/>
      <c r="F607" s="686"/>
      <c r="G607" s="686"/>
      <c r="H607" s="56"/>
      <c r="I607" s="56"/>
      <c r="J607" s="56"/>
    </row>
    <row r="608" spans="5:10" x14ac:dyDescent="0.2">
      <c r="E608" s="61"/>
      <c r="F608" s="686"/>
      <c r="G608" s="686"/>
      <c r="H608" s="56"/>
      <c r="I608" s="56"/>
      <c r="J608" s="56"/>
    </row>
    <row r="609" spans="5:10" x14ac:dyDescent="0.2">
      <c r="E609" s="61"/>
      <c r="F609" s="686"/>
      <c r="G609" s="686"/>
      <c r="H609" s="56"/>
      <c r="I609" s="56"/>
      <c r="J609" s="56"/>
    </row>
    <row r="610" spans="5:10" x14ac:dyDescent="0.2">
      <c r="E610" s="61"/>
      <c r="F610" s="686"/>
      <c r="G610" s="686"/>
      <c r="H610" s="56"/>
      <c r="I610" s="56"/>
      <c r="J610" s="56"/>
    </row>
    <row r="611" spans="5:10" x14ac:dyDescent="0.2">
      <c r="E611" s="61"/>
      <c r="F611" s="686"/>
      <c r="G611" s="686"/>
      <c r="H611" s="56"/>
      <c r="I611" s="56"/>
      <c r="J611" s="56"/>
    </row>
    <row r="612" spans="5:10" x14ac:dyDescent="0.2">
      <c r="E612" s="61"/>
      <c r="F612" s="686"/>
      <c r="G612" s="686"/>
      <c r="H612" s="56"/>
      <c r="I612" s="56"/>
      <c r="J612" s="56"/>
    </row>
    <row r="613" spans="5:10" x14ac:dyDescent="0.2">
      <c r="E613" s="61"/>
      <c r="F613" s="686"/>
      <c r="G613" s="686"/>
      <c r="H613" s="56"/>
      <c r="I613" s="56"/>
      <c r="J613" s="56"/>
    </row>
    <row r="614" spans="5:10" x14ac:dyDescent="0.2">
      <c r="E614" s="61"/>
      <c r="F614" s="686"/>
      <c r="G614" s="686"/>
      <c r="H614" s="56"/>
      <c r="I614" s="56"/>
      <c r="J614" s="56"/>
    </row>
    <row r="615" spans="5:10" x14ac:dyDescent="0.2">
      <c r="E615" s="61"/>
      <c r="F615" s="686"/>
      <c r="G615" s="686"/>
      <c r="H615" s="56"/>
      <c r="I615" s="56"/>
      <c r="J615" s="56"/>
    </row>
    <row r="616" spans="5:10" x14ac:dyDescent="0.2">
      <c r="E616" s="61"/>
      <c r="F616" s="686"/>
      <c r="G616" s="686"/>
      <c r="H616" s="56"/>
      <c r="I616" s="56"/>
      <c r="J616" s="56"/>
    </row>
    <row r="617" spans="5:10" x14ac:dyDescent="0.2">
      <c r="E617" s="61"/>
      <c r="F617" s="686"/>
      <c r="G617" s="686"/>
      <c r="H617" s="56"/>
      <c r="I617" s="56"/>
      <c r="J617" s="56"/>
    </row>
    <row r="618" spans="5:10" x14ac:dyDescent="0.2">
      <c r="E618" s="61"/>
      <c r="F618" s="686"/>
      <c r="G618" s="686"/>
      <c r="H618" s="56"/>
      <c r="I618" s="56"/>
      <c r="J618" s="56"/>
    </row>
    <row r="619" spans="5:10" x14ac:dyDescent="0.2">
      <c r="E619" s="61"/>
      <c r="F619" s="686"/>
      <c r="G619" s="686"/>
      <c r="H619" s="56"/>
      <c r="I619" s="56"/>
      <c r="J619" s="56"/>
    </row>
    <row r="620" spans="5:10" x14ac:dyDescent="0.2">
      <c r="E620" s="61"/>
      <c r="F620" s="686"/>
      <c r="G620" s="686"/>
      <c r="H620" s="56"/>
      <c r="I620" s="56"/>
      <c r="J620" s="56"/>
    </row>
    <row r="621" spans="5:10" x14ac:dyDescent="0.2">
      <c r="E621" s="61"/>
      <c r="F621" s="686"/>
      <c r="G621" s="686"/>
      <c r="H621" s="56"/>
      <c r="I621" s="56"/>
      <c r="J621" s="56"/>
    </row>
    <row r="622" spans="5:10" x14ac:dyDescent="0.2">
      <c r="E622" s="61"/>
      <c r="F622" s="686"/>
      <c r="G622" s="686"/>
      <c r="H622" s="56"/>
      <c r="I622" s="56"/>
      <c r="J622" s="56"/>
    </row>
    <row r="623" spans="5:10" x14ac:dyDescent="0.2">
      <c r="E623" s="61"/>
      <c r="F623" s="686"/>
      <c r="G623" s="686"/>
      <c r="H623" s="56"/>
      <c r="I623" s="56"/>
      <c r="J623" s="56"/>
    </row>
    <row r="624" spans="5:10" x14ac:dyDescent="0.2">
      <c r="E624" s="61"/>
      <c r="F624" s="686"/>
      <c r="G624" s="686"/>
      <c r="H624" s="56"/>
      <c r="I624" s="56"/>
      <c r="J624" s="56"/>
    </row>
    <row r="625" spans="5:10" x14ac:dyDescent="0.2">
      <c r="E625" s="61"/>
      <c r="F625" s="686"/>
      <c r="G625" s="686"/>
      <c r="H625" s="56"/>
      <c r="I625" s="56"/>
      <c r="J625" s="56"/>
    </row>
    <row r="626" spans="5:10" x14ac:dyDescent="0.2">
      <c r="E626" s="61"/>
      <c r="F626" s="686"/>
      <c r="G626" s="686"/>
      <c r="H626" s="56"/>
      <c r="I626" s="56"/>
      <c r="J626" s="56"/>
    </row>
    <row r="627" spans="5:10" x14ac:dyDescent="0.2">
      <c r="E627" s="61"/>
      <c r="F627" s="686"/>
      <c r="G627" s="686"/>
      <c r="H627" s="56"/>
      <c r="I627" s="56"/>
      <c r="J627" s="56"/>
    </row>
    <row r="628" spans="5:10" x14ac:dyDescent="0.2">
      <c r="E628" s="61"/>
      <c r="F628" s="686"/>
      <c r="G628" s="686"/>
      <c r="H628" s="56"/>
      <c r="I628" s="56"/>
      <c r="J628" s="56"/>
    </row>
    <row r="629" spans="5:10" x14ac:dyDescent="0.2">
      <c r="E629" s="61"/>
      <c r="F629" s="686"/>
      <c r="G629" s="686"/>
      <c r="H629" s="56"/>
      <c r="I629" s="56"/>
      <c r="J629" s="56"/>
    </row>
    <row r="630" spans="5:10" x14ac:dyDescent="0.2">
      <c r="E630" s="61"/>
      <c r="F630" s="686"/>
      <c r="G630" s="686"/>
      <c r="H630" s="56"/>
      <c r="I630" s="56"/>
      <c r="J630" s="56"/>
    </row>
    <row r="631" spans="5:10" x14ac:dyDescent="0.2">
      <c r="E631" s="61"/>
      <c r="F631" s="686"/>
      <c r="G631" s="686"/>
      <c r="H631" s="56"/>
      <c r="I631" s="56"/>
      <c r="J631" s="56"/>
    </row>
    <row r="632" spans="5:10" x14ac:dyDescent="0.2">
      <c r="E632" s="61"/>
      <c r="F632" s="686"/>
      <c r="G632" s="686"/>
      <c r="H632" s="56"/>
      <c r="I632" s="56"/>
      <c r="J632" s="56"/>
    </row>
    <row r="633" spans="5:10" x14ac:dyDescent="0.2">
      <c r="E633" s="61"/>
      <c r="F633" s="686"/>
      <c r="G633" s="686"/>
      <c r="H633" s="56"/>
      <c r="I633" s="56"/>
      <c r="J633" s="56"/>
    </row>
    <row r="634" spans="5:10" x14ac:dyDescent="0.2">
      <c r="E634" s="61"/>
      <c r="F634" s="686"/>
      <c r="G634" s="686"/>
      <c r="H634" s="56"/>
      <c r="I634" s="56"/>
      <c r="J634" s="56"/>
    </row>
    <row r="635" spans="5:10" x14ac:dyDescent="0.2">
      <c r="E635" s="61"/>
      <c r="F635" s="686"/>
      <c r="G635" s="686"/>
      <c r="H635" s="56"/>
      <c r="I635" s="56"/>
      <c r="J635" s="56"/>
    </row>
    <row r="636" spans="5:10" x14ac:dyDescent="0.2">
      <c r="E636" s="61"/>
      <c r="F636" s="686"/>
      <c r="G636" s="686"/>
      <c r="H636" s="56"/>
      <c r="I636" s="56"/>
      <c r="J636" s="56"/>
    </row>
    <row r="637" spans="5:10" x14ac:dyDescent="0.2">
      <c r="E637" s="61"/>
      <c r="F637" s="686"/>
      <c r="G637" s="686"/>
      <c r="H637" s="56"/>
      <c r="I637" s="56"/>
      <c r="J637" s="56"/>
    </row>
    <row r="638" spans="5:10" x14ac:dyDescent="0.2">
      <c r="E638" s="61"/>
      <c r="F638" s="686"/>
      <c r="G638" s="686"/>
      <c r="H638" s="56"/>
      <c r="I638" s="56"/>
      <c r="J638" s="56"/>
    </row>
    <row r="639" spans="5:10" x14ac:dyDescent="0.2">
      <c r="E639" s="61"/>
      <c r="F639" s="686"/>
      <c r="G639" s="686"/>
      <c r="H639" s="56"/>
      <c r="I639" s="56"/>
      <c r="J639" s="56"/>
    </row>
    <row r="640" spans="5:10" x14ac:dyDescent="0.2">
      <c r="E640" s="61"/>
      <c r="F640" s="686"/>
      <c r="G640" s="686"/>
      <c r="H640" s="56"/>
      <c r="I640" s="56"/>
      <c r="J640" s="56"/>
    </row>
    <row r="641" spans="5:10" x14ac:dyDescent="0.2">
      <c r="E641" s="61"/>
      <c r="F641" s="686"/>
      <c r="G641" s="686"/>
      <c r="H641" s="56"/>
      <c r="I641" s="56"/>
      <c r="J641" s="56"/>
    </row>
    <row r="642" spans="5:10" x14ac:dyDescent="0.2">
      <c r="E642" s="61"/>
      <c r="F642" s="686"/>
      <c r="G642" s="686"/>
      <c r="H642" s="56"/>
      <c r="I642" s="56"/>
      <c r="J642" s="56"/>
    </row>
    <row r="643" spans="5:10" x14ac:dyDescent="0.2">
      <c r="E643" s="61"/>
      <c r="F643" s="686"/>
      <c r="G643" s="686"/>
      <c r="H643" s="56"/>
      <c r="I643" s="56"/>
      <c r="J643" s="56"/>
    </row>
    <row r="644" spans="5:10" x14ac:dyDescent="0.2">
      <c r="E644" s="61"/>
      <c r="F644" s="686"/>
      <c r="G644" s="686"/>
      <c r="H644" s="56"/>
      <c r="I644" s="56"/>
      <c r="J644" s="56"/>
    </row>
    <row r="645" spans="5:10" x14ac:dyDescent="0.2">
      <c r="E645" s="61"/>
      <c r="F645" s="686"/>
      <c r="G645" s="686"/>
      <c r="H645" s="56"/>
      <c r="I645" s="56"/>
      <c r="J645" s="56"/>
    </row>
    <row r="646" spans="5:10" x14ac:dyDescent="0.2">
      <c r="E646" s="61"/>
      <c r="F646" s="686"/>
      <c r="G646" s="686"/>
      <c r="H646" s="56"/>
      <c r="I646" s="56"/>
      <c r="J646" s="56"/>
    </row>
    <row r="647" spans="5:10" x14ac:dyDescent="0.2">
      <c r="E647" s="61"/>
      <c r="F647" s="686"/>
      <c r="G647" s="686"/>
      <c r="H647" s="56"/>
      <c r="I647" s="56"/>
      <c r="J647" s="56"/>
    </row>
    <row r="648" spans="5:10" x14ac:dyDescent="0.2">
      <c r="E648" s="61"/>
      <c r="F648" s="686"/>
      <c r="G648" s="686"/>
      <c r="H648" s="56"/>
      <c r="I648" s="56"/>
      <c r="J648" s="56"/>
    </row>
    <row r="649" spans="5:10" x14ac:dyDescent="0.2">
      <c r="E649" s="61"/>
      <c r="F649" s="686"/>
      <c r="G649" s="686"/>
      <c r="H649" s="56"/>
      <c r="I649" s="56"/>
      <c r="J649" s="56"/>
    </row>
    <row r="650" spans="5:10" x14ac:dyDescent="0.2">
      <c r="E650" s="61"/>
      <c r="F650" s="686"/>
      <c r="G650" s="686"/>
      <c r="H650" s="56"/>
      <c r="I650" s="56"/>
      <c r="J650" s="56"/>
    </row>
    <row r="651" spans="5:10" x14ac:dyDescent="0.2">
      <c r="E651" s="61"/>
      <c r="F651" s="686"/>
      <c r="G651" s="686"/>
      <c r="H651" s="56"/>
      <c r="I651" s="56"/>
      <c r="J651" s="56"/>
    </row>
    <row r="652" spans="5:10" x14ac:dyDescent="0.2">
      <c r="E652" s="61"/>
      <c r="F652" s="686"/>
      <c r="G652" s="686"/>
      <c r="H652" s="56"/>
      <c r="I652" s="56"/>
      <c r="J652" s="56"/>
    </row>
    <row r="653" spans="5:10" x14ac:dyDescent="0.2">
      <c r="E653" s="61"/>
      <c r="F653" s="686"/>
      <c r="G653" s="686"/>
      <c r="H653" s="56"/>
      <c r="I653" s="56"/>
      <c r="J653" s="56"/>
    </row>
    <row r="654" spans="5:10" x14ac:dyDescent="0.2">
      <c r="E654" s="61"/>
      <c r="F654" s="686"/>
      <c r="G654" s="686"/>
      <c r="H654" s="56"/>
      <c r="I654" s="56"/>
      <c r="J654" s="56"/>
    </row>
    <row r="655" spans="5:10" x14ac:dyDescent="0.2">
      <c r="E655" s="61"/>
      <c r="F655" s="686"/>
      <c r="G655" s="686"/>
      <c r="H655" s="56"/>
      <c r="I655" s="56"/>
      <c r="J655" s="56"/>
    </row>
    <row r="656" spans="5:10" x14ac:dyDescent="0.2">
      <c r="E656" s="61"/>
      <c r="F656" s="686"/>
      <c r="G656" s="686"/>
      <c r="H656" s="56"/>
      <c r="I656" s="56"/>
      <c r="J656" s="56"/>
    </row>
    <row r="657" spans="5:10" x14ac:dyDescent="0.2">
      <c r="E657" s="61"/>
      <c r="F657" s="686"/>
      <c r="G657" s="686"/>
      <c r="H657" s="56"/>
      <c r="I657" s="56"/>
      <c r="J657" s="56"/>
    </row>
    <row r="658" spans="5:10" x14ac:dyDescent="0.2">
      <c r="E658" s="61"/>
      <c r="F658" s="686"/>
      <c r="G658" s="686"/>
      <c r="H658" s="56"/>
      <c r="I658" s="56"/>
      <c r="J658" s="56"/>
    </row>
    <row r="659" spans="5:10" x14ac:dyDescent="0.2">
      <c r="E659" s="61"/>
      <c r="F659" s="686"/>
      <c r="G659" s="686"/>
      <c r="H659" s="56"/>
      <c r="I659" s="56"/>
      <c r="J659" s="56"/>
    </row>
    <row r="660" spans="5:10" x14ac:dyDescent="0.2">
      <c r="E660" s="61"/>
      <c r="F660" s="686"/>
      <c r="G660" s="686"/>
      <c r="H660" s="56"/>
      <c r="I660" s="56"/>
      <c r="J660" s="56"/>
    </row>
    <row r="661" spans="5:10" x14ac:dyDescent="0.2">
      <c r="E661" s="61"/>
      <c r="F661" s="686"/>
      <c r="G661" s="686"/>
      <c r="H661" s="56"/>
      <c r="I661" s="56"/>
      <c r="J661" s="56"/>
    </row>
    <row r="662" spans="5:10" x14ac:dyDescent="0.2">
      <c r="E662" s="61"/>
      <c r="F662" s="686"/>
      <c r="G662" s="686"/>
      <c r="H662" s="56"/>
      <c r="I662" s="56"/>
      <c r="J662" s="56"/>
    </row>
    <row r="663" spans="5:10" x14ac:dyDescent="0.2">
      <c r="E663" s="61"/>
      <c r="F663" s="686"/>
      <c r="G663" s="686"/>
      <c r="H663" s="56"/>
      <c r="I663" s="56"/>
      <c r="J663" s="56"/>
    </row>
    <row r="664" spans="5:10" x14ac:dyDescent="0.2">
      <c r="E664" s="61"/>
      <c r="F664" s="686"/>
      <c r="G664" s="686"/>
      <c r="H664" s="56"/>
      <c r="I664" s="56"/>
      <c r="J664" s="56"/>
    </row>
    <row r="665" spans="5:10" x14ac:dyDescent="0.2">
      <c r="E665" s="61"/>
      <c r="F665" s="686"/>
      <c r="G665" s="686"/>
      <c r="H665" s="56"/>
      <c r="I665" s="56"/>
      <c r="J665" s="56"/>
    </row>
    <row r="666" spans="5:10" x14ac:dyDescent="0.2">
      <c r="E666" s="61"/>
      <c r="F666" s="686"/>
      <c r="G666" s="686"/>
      <c r="H666" s="56"/>
      <c r="I666" s="56"/>
      <c r="J666" s="56"/>
    </row>
    <row r="667" spans="5:10" x14ac:dyDescent="0.2">
      <c r="E667" s="61"/>
      <c r="F667" s="686"/>
      <c r="G667" s="686"/>
      <c r="H667" s="56"/>
      <c r="I667" s="56"/>
      <c r="J667" s="56"/>
    </row>
    <row r="668" spans="5:10" x14ac:dyDescent="0.2">
      <c r="E668" s="61"/>
      <c r="F668" s="686"/>
      <c r="G668" s="686"/>
      <c r="H668" s="56"/>
      <c r="I668" s="56"/>
      <c r="J668" s="56"/>
    </row>
    <row r="669" spans="5:10" x14ac:dyDescent="0.2">
      <c r="E669" s="61"/>
      <c r="F669" s="686"/>
      <c r="G669" s="686"/>
      <c r="H669" s="56"/>
      <c r="I669" s="56"/>
      <c r="J669" s="56"/>
    </row>
    <row r="670" spans="5:10" x14ac:dyDescent="0.2">
      <c r="E670" s="61"/>
      <c r="F670" s="686"/>
      <c r="G670" s="686"/>
      <c r="H670" s="56"/>
      <c r="I670" s="56"/>
      <c r="J670" s="56"/>
    </row>
    <row r="671" spans="5:10" x14ac:dyDescent="0.2">
      <c r="E671" s="61"/>
      <c r="F671" s="686"/>
      <c r="G671" s="686"/>
      <c r="H671" s="56"/>
      <c r="I671" s="56"/>
      <c r="J671" s="56"/>
    </row>
    <row r="672" spans="5:10" x14ac:dyDescent="0.2">
      <c r="E672" s="61"/>
      <c r="F672" s="686"/>
      <c r="G672" s="686"/>
      <c r="H672" s="56"/>
      <c r="I672" s="56"/>
      <c r="J672" s="56"/>
    </row>
    <row r="673" spans="5:10" x14ac:dyDescent="0.2">
      <c r="E673" s="61"/>
      <c r="F673" s="686"/>
      <c r="G673" s="686"/>
      <c r="H673" s="56"/>
      <c r="I673" s="56"/>
      <c r="J673" s="56"/>
    </row>
    <row r="674" spans="5:10" x14ac:dyDescent="0.2">
      <c r="E674" s="61"/>
      <c r="F674" s="686"/>
      <c r="G674" s="686"/>
      <c r="H674" s="56"/>
      <c r="I674" s="56"/>
      <c r="J674" s="56"/>
    </row>
    <row r="675" spans="5:10" x14ac:dyDescent="0.2">
      <c r="E675" s="61"/>
      <c r="F675" s="686"/>
      <c r="G675" s="686"/>
      <c r="H675" s="56"/>
      <c r="I675" s="56"/>
      <c r="J675" s="56"/>
    </row>
    <row r="676" spans="5:10" x14ac:dyDescent="0.2">
      <c r="E676" s="61"/>
      <c r="F676" s="686"/>
      <c r="G676" s="686"/>
      <c r="H676" s="56"/>
      <c r="I676" s="56"/>
      <c r="J676" s="56"/>
    </row>
    <row r="677" spans="5:10" x14ac:dyDescent="0.2">
      <c r="E677" s="61"/>
      <c r="F677" s="686"/>
      <c r="G677" s="686"/>
      <c r="H677" s="56"/>
      <c r="I677" s="56"/>
      <c r="J677" s="56"/>
    </row>
    <row r="678" spans="5:10" x14ac:dyDescent="0.2">
      <c r="E678" s="61"/>
      <c r="F678" s="686"/>
      <c r="G678" s="686"/>
      <c r="H678" s="56"/>
      <c r="I678" s="56"/>
      <c r="J678" s="56"/>
    </row>
    <row r="679" spans="5:10" x14ac:dyDescent="0.2">
      <c r="E679" s="61"/>
      <c r="F679" s="686"/>
      <c r="G679" s="686"/>
      <c r="H679" s="56"/>
      <c r="I679" s="56"/>
      <c r="J679" s="56"/>
    </row>
    <row r="680" spans="5:10" x14ac:dyDescent="0.2">
      <c r="E680" s="61"/>
      <c r="F680" s="686"/>
      <c r="G680" s="686"/>
      <c r="H680" s="56"/>
      <c r="I680" s="56"/>
      <c r="J680" s="56"/>
    </row>
    <row r="681" spans="5:10" x14ac:dyDescent="0.2">
      <c r="E681" s="61"/>
      <c r="F681" s="686"/>
      <c r="G681" s="686"/>
      <c r="H681" s="56"/>
      <c r="I681" s="56"/>
      <c r="J681" s="56"/>
    </row>
    <row r="682" spans="5:10" x14ac:dyDescent="0.2">
      <c r="E682" s="61"/>
      <c r="F682" s="686"/>
      <c r="G682" s="686"/>
      <c r="H682" s="56"/>
      <c r="I682" s="56"/>
      <c r="J682" s="56"/>
    </row>
    <row r="683" spans="5:10" x14ac:dyDescent="0.2">
      <c r="E683" s="61"/>
      <c r="F683" s="686"/>
      <c r="G683" s="686"/>
      <c r="H683" s="56"/>
      <c r="I683" s="56"/>
      <c r="J683" s="56"/>
    </row>
    <row r="684" spans="5:10" x14ac:dyDescent="0.2">
      <c r="E684" s="61"/>
      <c r="F684" s="686"/>
      <c r="G684" s="686"/>
      <c r="H684" s="56"/>
      <c r="I684" s="56"/>
      <c r="J684" s="56"/>
    </row>
    <row r="685" spans="5:10" x14ac:dyDescent="0.2">
      <c r="E685" s="61"/>
      <c r="F685" s="686"/>
      <c r="G685" s="686"/>
      <c r="H685" s="56"/>
      <c r="I685" s="56"/>
      <c r="J685" s="56"/>
    </row>
    <row r="686" spans="5:10" x14ac:dyDescent="0.2">
      <c r="E686" s="61"/>
      <c r="F686" s="686"/>
      <c r="G686" s="686"/>
      <c r="H686" s="56"/>
      <c r="I686" s="56"/>
      <c r="J686" s="56"/>
    </row>
    <row r="687" spans="5:10" x14ac:dyDescent="0.2">
      <c r="E687" s="61"/>
      <c r="F687" s="686"/>
      <c r="G687" s="686"/>
      <c r="H687" s="56"/>
      <c r="I687" s="56"/>
      <c r="J687" s="56"/>
    </row>
    <row r="688" spans="5:10" x14ac:dyDescent="0.2">
      <c r="E688" s="61"/>
      <c r="F688" s="686"/>
      <c r="G688" s="686"/>
      <c r="H688" s="56"/>
      <c r="I688" s="56"/>
      <c r="J688" s="56"/>
    </row>
    <row r="689" spans="5:10" x14ac:dyDescent="0.2">
      <c r="E689" s="61"/>
      <c r="F689" s="686"/>
      <c r="G689" s="686"/>
      <c r="H689" s="56"/>
      <c r="I689" s="56"/>
      <c r="J689" s="56"/>
    </row>
    <row r="690" spans="5:10" x14ac:dyDescent="0.2">
      <c r="E690" s="61"/>
      <c r="F690" s="686"/>
      <c r="G690" s="686"/>
      <c r="H690" s="56"/>
      <c r="I690" s="56"/>
      <c r="J690" s="56"/>
    </row>
    <row r="691" spans="5:10" x14ac:dyDescent="0.2">
      <c r="E691" s="61"/>
      <c r="F691" s="686"/>
      <c r="G691" s="686"/>
      <c r="H691" s="56"/>
      <c r="I691" s="56"/>
      <c r="J691" s="56"/>
    </row>
    <row r="692" spans="5:10" x14ac:dyDescent="0.2">
      <c r="E692" s="61"/>
      <c r="F692" s="686"/>
      <c r="G692" s="686"/>
      <c r="H692" s="56"/>
      <c r="I692" s="56"/>
      <c r="J692" s="56"/>
    </row>
    <row r="693" spans="5:10" x14ac:dyDescent="0.2">
      <c r="E693" s="61"/>
      <c r="F693" s="686"/>
      <c r="G693" s="686"/>
      <c r="H693" s="56"/>
      <c r="I693" s="56"/>
      <c r="J693" s="56"/>
    </row>
    <row r="694" spans="5:10" x14ac:dyDescent="0.2">
      <c r="E694" s="61"/>
      <c r="F694" s="686"/>
      <c r="G694" s="686"/>
      <c r="H694" s="56"/>
      <c r="I694" s="56"/>
      <c r="J694" s="56"/>
    </row>
    <row r="695" spans="5:10" x14ac:dyDescent="0.2">
      <c r="E695" s="61"/>
      <c r="F695" s="686"/>
      <c r="G695" s="686"/>
      <c r="H695" s="56"/>
      <c r="I695" s="56"/>
      <c r="J695" s="56"/>
    </row>
    <row r="696" spans="5:10" x14ac:dyDescent="0.2">
      <c r="E696" s="61"/>
      <c r="F696" s="686"/>
      <c r="G696" s="686"/>
      <c r="H696" s="56"/>
      <c r="I696" s="56"/>
      <c r="J696" s="56"/>
    </row>
    <row r="697" spans="5:10" x14ac:dyDescent="0.2">
      <c r="E697" s="61"/>
      <c r="F697" s="686"/>
      <c r="G697" s="686"/>
      <c r="H697" s="56"/>
      <c r="I697" s="56"/>
      <c r="J697" s="56"/>
    </row>
    <row r="698" spans="5:10" x14ac:dyDescent="0.2">
      <c r="E698" s="61"/>
      <c r="F698" s="686"/>
      <c r="G698" s="686"/>
      <c r="H698" s="56"/>
      <c r="I698" s="56"/>
      <c r="J698" s="56"/>
    </row>
    <row r="699" spans="5:10" x14ac:dyDescent="0.2">
      <c r="E699" s="61"/>
      <c r="F699" s="686"/>
      <c r="G699" s="686"/>
      <c r="H699" s="56"/>
      <c r="I699" s="56"/>
      <c r="J699" s="56"/>
    </row>
    <row r="700" spans="5:10" x14ac:dyDescent="0.2">
      <c r="E700" s="61"/>
      <c r="F700" s="686"/>
      <c r="G700" s="686"/>
      <c r="H700" s="56"/>
      <c r="I700" s="56"/>
      <c r="J700" s="56"/>
    </row>
    <row r="701" spans="5:10" x14ac:dyDescent="0.2">
      <c r="E701" s="61"/>
      <c r="F701" s="686"/>
      <c r="G701" s="686"/>
      <c r="H701" s="56"/>
      <c r="I701" s="56"/>
      <c r="J701" s="56"/>
    </row>
    <row r="702" spans="5:10" x14ac:dyDescent="0.2">
      <c r="E702" s="61"/>
      <c r="F702" s="686"/>
      <c r="G702" s="686"/>
      <c r="H702" s="56"/>
      <c r="I702" s="56"/>
      <c r="J702" s="56"/>
    </row>
    <row r="703" spans="5:10" x14ac:dyDescent="0.2">
      <c r="E703" s="61"/>
      <c r="F703" s="686"/>
      <c r="G703" s="686"/>
      <c r="H703" s="56"/>
      <c r="I703" s="56"/>
      <c r="J703" s="56"/>
    </row>
    <row r="704" spans="5:10" x14ac:dyDescent="0.2">
      <c r="E704" s="61"/>
      <c r="F704" s="686"/>
      <c r="G704" s="686"/>
      <c r="H704" s="56"/>
      <c r="I704" s="56"/>
      <c r="J704" s="56"/>
    </row>
    <row r="705" spans="5:10" x14ac:dyDescent="0.2">
      <c r="E705" s="61"/>
      <c r="F705" s="686"/>
      <c r="G705" s="686"/>
      <c r="H705" s="56"/>
      <c r="I705" s="56"/>
      <c r="J705" s="56"/>
    </row>
    <row r="706" spans="5:10" x14ac:dyDescent="0.2">
      <c r="E706" s="61"/>
      <c r="F706" s="686"/>
      <c r="G706" s="686"/>
      <c r="H706" s="56"/>
      <c r="I706" s="56"/>
      <c r="J706" s="56"/>
    </row>
    <row r="707" spans="5:10" x14ac:dyDescent="0.2">
      <c r="E707" s="61"/>
      <c r="F707" s="686"/>
      <c r="G707" s="686"/>
      <c r="H707" s="56"/>
      <c r="I707" s="56"/>
      <c r="J707" s="56"/>
    </row>
    <row r="708" spans="5:10" x14ac:dyDescent="0.2">
      <c r="E708" s="61"/>
      <c r="F708" s="686"/>
      <c r="G708" s="686"/>
      <c r="H708" s="56"/>
      <c r="I708" s="56"/>
      <c r="J708" s="56"/>
    </row>
    <row r="709" spans="5:10" x14ac:dyDescent="0.2">
      <c r="E709" s="61"/>
      <c r="F709" s="686"/>
      <c r="G709" s="686"/>
      <c r="H709" s="56"/>
      <c r="I709" s="56"/>
      <c r="J709" s="56"/>
    </row>
    <row r="710" spans="5:10" x14ac:dyDescent="0.2">
      <c r="E710" s="61"/>
      <c r="F710" s="686"/>
      <c r="G710" s="686"/>
      <c r="H710" s="56"/>
      <c r="I710" s="56"/>
      <c r="J710" s="56"/>
    </row>
    <row r="711" spans="5:10" x14ac:dyDescent="0.2">
      <c r="E711" s="61"/>
      <c r="F711" s="686"/>
      <c r="G711" s="686"/>
      <c r="H711" s="56"/>
      <c r="I711" s="56"/>
      <c r="J711" s="56"/>
    </row>
    <row r="712" spans="5:10" x14ac:dyDescent="0.2">
      <c r="E712" s="61"/>
      <c r="F712" s="686"/>
      <c r="G712" s="686"/>
      <c r="H712" s="56"/>
      <c r="I712" s="56"/>
      <c r="J712" s="56"/>
    </row>
    <row r="713" spans="5:10" x14ac:dyDescent="0.2">
      <c r="E713" s="61"/>
      <c r="F713" s="686"/>
      <c r="G713" s="686"/>
      <c r="H713" s="56"/>
      <c r="I713" s="56"/>
      <c r="J713" s="56"/>
    </row>
    <row r="714" spans="5:10" x14ac:dyDescent="0.2">
      <c r="E714" s="61"/>
      <c r="F714" s="686"/>
      <c r="G714" s="686"/>
      <c r="H714" s="56"/>
      <c r="I714" s="56"/>
      <c r="J714" s="56"/>
    </row>
    <row r="715" spans="5:10" x14ac:dyDescent="0.2">
      <c r="E715" s="61"/>
      <c r="F715" s="686"/>
      <c r="G715" s="686"/>
      <c r="H715" s="56"/>
      <c r="I715" s="56"/>
      <c r="J715" s="56"/>
    </row>
    <row r="716" spans="5:10" x14ac:dyDescent="0.2">
      <c r="E716" s="61"/>
      <c r="F716" s="686"/>
      <c r="G716" s="686"/>
      <c r="H716" s="56"/>
      <c r="I716" s="56"/>
      <c r="J716" s="56"/>
    </row>
    <row r="717" spans="5:10" x14ac:dyDescent="0.2">
      <c r="E717" s="61"/>
      <c r="F717" s="686"/>
      <c r="G717" s="686"/>
      <c r="H717" s="56"/>
      <c r="I717" s="56"/>
      <c r="J717" s="56"/>
    </row>
    <row r="718" spans="5:10" x14ac:dyDescent="0.2">
      <c r="E718" s="61"/>
      <c r="F718" s="686"/>
      <c r="G718" s="686"/>
      <c r="H718" s="56"/>
      <c r="I718" s="56"/>
      <c r="J718" s="56"/>
    </row>
    <row r="719" spans="5:10" x14ac:dyDescent="0.2">
      <c r="E719" s="61"/>
      <c r="F719" s="686"/>
      <c r="G719" s="686"/>
      <c r="H719" s="56"/>
      <c r="I719" s="56"/>
      <c r="J719" s="56"/>
    </row>
    <row r="720" spans="5:10" x14ac:dyDescent="0.2">
      <c r="E720" s="61"/>
      <c r="F720" s="686"/>
      <c r="G720" s="686"/>
      <c r="H720" s="56"/>
      <c r="I720" s="56"/>
      <c r="J720" s="56"/>
    </row>
    <row r="721" spans="5:10" x14ac:dyDescent="0.2">
      <c r="E721" s="61"/>
      <c r="F721" s="686"/>
      <c r="G721" s="686"/>
      <c r="H721" s="56"/>
      <c r="I721" s="56"/>
      <c r="J721" s="56"/>
    </row>
    <row r="722" spans="5:10" x14ac:dyDescent="0.2">
      <c r="E722" s="61"/>
      <c r="F722" s="686"/>
      <c r="G722" s="686"/>
      <c r="H722" s="56"/>
      <c r="I722" s="56"/>
      <c r="J722" s="56"/>
    </row>
    <row r="723" spans="5:10" x14ac:dyDescent="0.2">
      <c r="E723" s="61"/>
      <c r="F723" s="686"/>
      <c r="G723" s="686"/>
      <c r="H723" s="56"/>
      <c r="I723" s="56"/>
      <c r="J723" s="56"/>
    </row>
    <row r="724" spans="5:10" x14ac:dyDescent="0.2">
      <c r="E724" s="61"/>
      <c r="F724" s="686"/>
      <c r="G724" s="686"/>
      <c r="H724" s="56"/>
      <c r="I724" s="56"/>
      <c r="J724" s="56"/>
    </row>
    <row r="725" spans="5:10" x14ac:dyDescent="0.2">
      <c r="E725" s="61"/>
      <c r="F725" s="686"/>
      <c r="G725" s="686"/>
      <c r="H725" s="56"/>
      <c r="I725" s="56"/>
      <c r="J725" s="56"/>
    </row>
    <row r="726" spans="5:10" x14ac:dyDescent="0.2">
      <c r="E726" s="61"/>
      <c r="F726" s="686"/>
      <c r="G726" s="686"/>
      <c r="H726" s="56"/>
      <c r="I726" s="56"/>
      <c r="J726" s="56"/>
    </row>
    <row r="727" spans="5:10" x14ac:dyDescent="0.2">
      <c r="E727" s="61"/>
      <c r="F727" s="686"/>
      <c r="G727" s="686"/>
      <c r="H727" s="56"/>
      <c r="I727" s="56"/>
      <c r="J727" s="56"/>
    </row>
    <row r="728" spans="5:10" x14ac:dyDescent="0.2">
      <c r="E728" s="61"/>
      <c r="F728" s="686"/>
      <c r="G728" s="686"/>
      <c r="H728" s="56"/>
      <c r="I728" s="56"/>
      <c r="J728" s="56"/>
    </row>
    <row r="729" spans="5:10" x14ac:dyDescent="0.2">
      <c r="E729" s="61"/>
      <c r="F729" s="686"/>
      <c r="G729" s="686"/>
      <c r="H729" s="56"/>
      <c r="I729" s="56"/>
      <c r="J729" s="56"/>
    </row>
    <row r="730" spans="5:10" x14ac:dyDescent="0.2">
      <c r="E730" s="61"/>
      <c r="F730" s="686"/>
      <c r="G730" s="686"/>
      <c r="H730" s="56"/>
      <c r="I730" s="56"/>
      <c r="J730" s="56"/>
    </row>
    <row r="731" spans="5:10" x14ac:dyDescent="0.2">
      <c r="E731" s="61"/>
      <c r="F731" s="686"/>
      <c r="G731" s="686"/>
      <c r="H731" s="56"/>
      <c r="I731" s="56"/>
      <c r="J731" s="56"/>
    </row>
    <row r="732" spans="5:10" x14ac:dyDescent="0.2">
      <c r="E732" s="61"/>
      <c r="F732" s="686"/>
      <c r="G732" s="686"/>
      <c r="H732" s="56"/>
      <c r="I732" s="56"/>
      <c r="J732" s="56"/>
    </row>
    <row r="733" spans="5:10" x14ac:dyDescent="0.2">
      <c r="E733" s="61"/>
      <c r="F733" s="686"/>
      <c r="G733" s="686"/>
      <c r="H733" s="56"/>
      <c r="I733" s="56"/>
      <c r="J733" s="56"/>
    </row>
    <row r="734" spans="5:10" x14ac:dyDescent="0.2">
      <c r="E734" s="61"/>
      <c r="F734" s="686"/>
      <c r="G734" s="686"/>
      <c r="H734" s="56"/>
      <c r="I734" s="56"/>
      <c r="J734" s="56"/>
    </row>
    <row r="735" spans="5:10" x14ac:dyDescent="0.2">
      <c r="E735" s="61"/>
      <c r="F735" s="686"/>
      <c r="G735" s="686"/>
      <c r="H735" s="56"/>
      <c r="I735" s="56"/>
      <c r="J735" s="56"/>
    </row>
    <row r="736" spans="5:10" x14ac:dyDescent="0.2">
      <c r="E736" s="61"/>
      <c r="F736" s="686"/>
      <c r="G736" s="686"/>
      <c r="H736" s="56"/>
      <c r="I736" s="56"/>
      <c r="J736" s="56"/>
    </row>
    <row r="737" spans="5:10" x14ac:dyDescent="0.2">
      <c r="E737" s="61"/>
      <c r="F737" s="686"/>
      <c r="G737" s="686"/>
      <c r="H737" s="56"/>
      <c r="I737" s="56"/>
      <c r="J737" s="56"/>
    </row>
    <row r="738" spans="5:10" x14ac:dyDescent="0.2">
      <c r="E738" s="61"/>
      <c r="F738" s="686"/>
      <c r="G738" s="686"/>
      <c r="H738" s="56"/>
      <c r="I738" s="56"/>
      <c r="J738" s="56"/>
    </row>
    <row r="739" spans="5:10" x14ac:dyDescent="0.2">
      <c r="E739" s="61"/>
      <c r="F739" s="686"/>
      <c r="G739" s="686"/>
      <c r="H739" s="56"/>
      <c r="I739" s="56"/>
      <c r="J739" s="56"/>
    </row>
    <row r="740" spans="5:10" x14ac:dyDescent="0.2">
      <c r="E740" s="61"/>
      <c r="F740" s="686"/>
      <c r="G740" s="686"/>
      <c r="H740" s="56"/>
      <c r="I740" s="56"/>
      <c r="J740" s="56"/>
    </row>
    <row r="741" spans="5:10" x14ac:dyDescent="0.2">
      <c r="E741" s="61"/>
      <c r="F741" s="686"/>
      <c r="G741" s="686"/>
      <c r="H741" s="56"/>
      <c r="I741" s="56"/>
      <c r="J741" s="56"/>
    </row>
    <row r="742" spans="5:10" x14ac:dyDescent="0.2">
      <c r="E742" s="61"/>
      <c r="F742" s="686"/>
      <c r="G742" s="686"/>
      <c r="H742" s="56"/>
      <c r="I742" s="56"/>
      <c r="J742" s="56"/>
    </row>
    <row r="743" spans="5:10" x14ac:dyDescent="0.2">
      <c r="E743" s="61"/>
      <c r="F743" s="686"/>
      <c r="G743" s="686"/>
      <c r="H743" s="56"/>
      <c r="I743" s="56"/>
      <c r="J743" s="56"/>
    </row>
    <row r="744" spans="5:10" x14ac:dyDescent="0.2">
      <c r="E744" s="61"/>
      <c r="F744" s="686"/>
      <c r="G744" s="686"/>
      <c r="H744" s="56"/>
      <c r="I744" s="56"/>
      <c r="J744" s="56"/>
    </row>
    <row r="745" spans="5:10" x14ac:dyDescent="0.2">
      <c r="E745" s="61"/>
      <c r="F745" s="686"/>
      <c r="G745" s="686"/>
      <c r="H745" s="56"/>
      <c r="I745" s="56"/>
      <c r="J745" s="56"/>
    </row>
    <row r="746" spans="5:10" x14ac:dyDescent="0.2">
      <c r="E746" s="61"/>
      <c r="F746" s="686"/>
      <c r="G746" s="686"/>
      <c r="H746" s="56"/>
      <c r="I746" s="56"/>
      <c r="J746" s="56"/>
    </row>
    <row r="747" spans="5:10" x14ac:dyDescent="0.2">
      <c r="E747" s="61"/>
      <c r="F747" s="686"/>
      <c r="G747" s="686"/>
      <c r="H747" s="56"/>
      <c r="I747" s="56"/>
      <c r="J747" s="56"/>
    </row>
    <row r="748" spans="5:10" x14ac:dyDescent="0.2">
      <c r="E748" s="61"/>
      <c r="F748" s="686"/>
      <c r="G748" s="686"/>
      <c r="H748" s="56"/>
      <c r="I748" s="56"/>
      <c r="J748" s="56"/>
    </row>
    <row r="749" spans="5:10" x14ac:dyDescent="0.2">
      <c r="E749" s="61"/>
      <c r="F749" s="686"/>
      <c r="G749" s="686"/>
      <c r="H749" s="56"/>
      <c r="I749" s="56"/>
      <c r="J749" s="56"/>
    </row>
    <row r="750" spans="5:10" x14ac:dyDescent="0.2">
      <c r="E750" s="61"/>
      <c r="F750" s="686"/>
      <c r="G750" s="686"/>
      <c r="H750" s="56"/>
      <c r="I750" s="56"/>
      <c r="J750" s="56"/>
    </row>
    <row r="751" spans="5:10" x14ac:dyDescent="0.2">
      <c r="E751" s="61"/>
      <c r="F751" s="686"/>
      <c r="G751" s="686"/>
      <c r="H751" s="56"/>
      <c r="I751" s="56"/>
      <c r="J751" s="56"/>
    </row>
    <row r="752" spans="5:10" x14ac:dyDescent="0.2">
      <c r="E752" s="61"/>
      <c r="F752" s="686"/>
      <c r="G752" s="686"/>
      <c r="H752" s="56"/>
      <c r="I752" s="56"/>
      <c r="J752" s="56"/>
    </row>
    <row r="753" spans="5:10" x14ac:dyDescent="0.2">
      <c r="E753" s="61"/>
      <c r="F753" s="686"/>
      <c r="G753" s="686"/>
      <c r="H753" s="56"/>
      <c r="I753" s="56"/>
      <c r="J753" s="56"/>
    </row>
    <row r="754" spans="5:10" x14ac:dyDescent="0.2">
      <c r="E754" s="61"/>
      <c r="F754" s="686"/>
      <c r="G754" s="686"/>
      <c r="H754" s="56"/>
      <c r="I754" s="56"/>
      <c r="J754" s="56"/>
    </row>
    <row r="755" spans="5:10" x14ac:dyDescent="0.2">
      <c r="E755" s="61"/>
      <c r="F755" s="686"/>
      <c r="G755" s="686"/>
      <c r="H755" s="56"/>
      <c r="I755" s="56"/>
      <c r="J755" s="56"/>
    </row>
    <row r="756" spans="5:10" x14ac:dyDescent="0.2">
      <c r="E756" s="61"/>
      <c r="F756" s="686"/>
      <c r="G756" s="686"/>
      <c r="H756" s="56"/>
      <c r="I756" s="56"/>
      <c r="J756" s="56"/>
    </row>
    <row r="757" spans="5:10" x14ac:dyDescent="0.2">
      <c r="E757" s="61"/>
      <c r="F757" s="686"/>
      <c r="G757" s="686"/>
      <c r="H757" s="56"/>
      <c r="I757" s="56"/>
      <c r="J757" s="56"/>
    </row>
    <row r="758" spans="5:10" x14ac:dyDescent="0.2">
      <c r="E758" s="61"/>
      <c r="F758" s="686"/>
      <c r="G758" s="686"/>
      <c r="H758" s="56"/>
      <c r="I758" s="56"/>
      <c r="J758" s="56"/>
    </row>
    <row r="759" spans="5:10" x14ac:dyDescent="0.2">
      <c r="E759" s="61"/>
      <c r="F759" s="686"/>
      <c r="G759" s="686"/>
      <c r="H759" s="56"/>
      <c r="I759" s="56"/>
      <c r="J759" s="56"/>
    </row>
    <row r="760" spans="5:10" x14ac:dyDescent="0.2">
      <c r="E760" s="61"/>
      <c r="F760" s="686"/>
      <c r="G760" s="686"/>
      <c r="H760" s="56"/>
      <c r="I760" s="56"/>
      <c r="J760" s="56"/>
    </row>
    <row r="761" spans="5:10" x14ac:dyDescent="0.2">
      <c r="E761" s="61"/>
      <c r="F761" s="686"/>
      <c r="G761" s="686"/>
      <c r="H761" s="56"/>
      <c r="I761" s="56"/>
      <c r="J761" s="56"/>
    </row>
    <row r="762" spans="5:10" x14ac:dyDescent="0.2">
      <c r="E762" s="61"/>
      <c r="F762" s="686"/>
      <c r="G762" s="686"/>
      <c r="H762" s="56"/>
      <c r="I762" s="56"/>
      <c r="J762" s="56"/>
    </row>
    <row r="763" spans="5:10" x14ac:dyDescent="0.2">
      <c r="E763" s="61"/>
      <c r="F763" s="686"/>
      <c r="G763" s="686"/>
      <c r="H763" s="56"/>
      <c r="I763" s="56"/>
      <c r="J763" s="56"/>
    </row>
    <row r="764" spans="5:10" x14ac:dyDescent="0.2">
      <c r="E764" s="61"/>
      <c r="F764" s="686"/>
      <c r="G764" s="686"/>
      <c r="H764" s="56"/>
      <c r="I764" s="56"/>
      <c r="J764" s="56"/>
    </row>
    <row r="765" spans="5:10" x14ac:dyDescent="0.2">
      <c r="E765" s="61"/>
      <c r="F765" s="686"/>
      <c r="G765" s="686"/>
      <c r="H765" s="56"/>
      <c r="I765" s="56"/>
      <c r="J765" s="56"/>
    </row>
    <row r="766" spans="5:10" x14ac:dyDescent="0.2">
      <c r="E766" s="61"/>
      <c r="F766" s="686"/>
      <c r="G766" s="686"/>
      <c r="H766" s="56"/>
      <c r="I766" s="56"/>
      <c r="J766" s="56"/>
    </row>
    <row r="767" spans="5:10" x14ac:dyDescent="0.2">
      <c r="E767" s="61"/>
      <c r="F767" s="686"/>
      <c r="G767" s="686"/>
      <c r="H767" s="56"/>
      <c r="I767" s="56"/>
      <c r="J767" s="56"/>
    </row>
    <row r="768" spans="5:10" x14ac:dyDescent="0.2">
      <c r="E768" s="61"/>
      <c r="F768" s="686"/>
      <c r="G768" s="686"/>
      <c r="H768" s="56"/>
      <c r="I768" s="56"/>
      <c r="J768" s="56"/>
    </row>
    <row r="769" spans="5:10" x14ac:dyDescent="0.2">
      <c r="E769" s="61"/>
      <c r="F769" s="686"/>
      <c r="G769" s="686"/>
      <c r="H769" s="56"/>
      <c r="I769" s="56"/>
      <c r="J769" s="56"/>
    </row>
    <row r="770" spans="5:10" x14ac:dyDescent="0.2">
      <c r="E770" s="61"/>
      <c r="F770" s="686"/>
      <c r="G770" s="686"/>
      <c r="H770" s="56"/>
      <c r="I770" s="56"/>
      <c r="J770" s="56"/>
    </row>
    <row r="771" spans="5:10" x14ac:dyDescent="0.2">
      <c r="E771" s="61"/>
      <c r="F771" s="686"/>
      <c r="G771" s="686"/>
      <c r="H771" s="56"/>
      <c r="I771" s="56"/>
      <c r="J771" s="56"/>
    </row>
    <row r="772" spans="5:10" x14ac:dyDescent="0.2">
      <c r="E772" s="61"/>
      <c r="F772" s="686"/>
      <c r="G772" s="686"/>
      <c r="H772" s="56"/>
      <c r="I772" s="56"/>
      <c r="J772" s="56"/>
    </row>
    <row r="773" spans="5:10" x14ac:dyDescent="0.2">
      <c r="E773" s="61"/>
      <c r="F773" s="686"/>
      <c r="G773" s="686"/>
      <c r="H773" s="56"/>
      <c r="I773" s="56"/>
      <c r="J773" s="56"/>
    </row>
    <row r="774" spans="5:10" x14ac:dyDescent="0.2">
      <c r="E774" s="61"/>
      <c r="F774" s="686"/>
      <c r="G774" s="686"/>
      <c r="H774" s="56"/>
      <c r="I774" s="56"/>
      <c r="J774" s="56"/>
    </row>
    <row r="775" spans="5:10" x14ac:dyDescent="0.2">
      <c r="E775" s="61"/>
      <c r="F775" s="686"/>
      <c r="G775" s="686"/>
      <c r="H775" s="56"/>
      <c r="I775" s="56"/>
      <c r="J775" s="56"/>
    </row>
    <row r="776" spans="5:10" x14ac:dyDescent="0.2">
      <c r="E776" s="61"/>
      <c r="F776" s="686"/>
      <c r="G776" s="686"/>
      <c r="H776" s="56"/>
      <c r="I776" s="56"/>
      <c r="J776" s="56"/>
    </row>
    <row r="777" spans="5:10" x14ac:dyDescent="0.2">
      <c r="E777" s="61"/>
      <c r="F777" s="686"/>
      <c r="G777" s="686"/>
      <c r="H777" s="56"/>
      <c r="I777" s="56"/>
      <c r="J777" s="56"/>
    </row>
    <row r="778" spans="5:10" x14ac:dyDescent="0.2">
      <c r="E778" s="61"/>
      <c r="F778" s="686"/>
      <c r="G778" s="686"/>
      <c r="H778" s="56"/>
      <c r="I778" s="56"/>
      <c r="J778" s="56"/>
    </row>
    <row r="779" spans="5:10" x14ac:dyDescent="0.2">
      <c r="E779" s="61"/>
      <c r="F779" s="686"/>
      <c r="G779" s="686"/>
      <c r="H779" s="56"/>
      <c r="I779" s="56"/>
      <c r="J779" s="56"/>
    </row>
    <row r="780" spans="5:10" x14ac:dyDescent="0.2">
      <c r="E780" s="61"/>
      <c r="F780" s="686"/>
      <c r="G780" s="686"/>
      <c r="H780" s="56"/>
      <c r="I780" s="56"/>
      <c r="J780" s="56"/>
    </row>
    <row r="781" spans="5:10" x14ac:dyDescent="0.2">
      <c r="E781" s="61"/>
      <c r="F781" s="686"/>
      <c r="G781" s="686"/>
      <c r="H781" s="56"/>
      <c r="I781" s="56"/>
      <c r="J781" s="56"/>
    </row>
    <row r="782" spans="5:10" x14ac:dyDescent="0.2">
      <c r="E782" s="61"/>
      <c r="F782" s="686"/>
      <c r="G782" s="686"/>
      <c r="H782" s="56"/>
      <c r="I782" s="56"/>
      <c r="J782" s="56"/>
    </row>
    <row r="783" spans="5:10" x14ac:dyDescent="0.2">
      <c r="E783" s="61"/>
      <c r="F783" s="686"/>
      <c r="G783" s="686"/>
      <c r="H783" s="56"/>
      <c r="I783" s="56"/>
      <c r="J783" s="56"/>
    </row>
    <row r="784" spans="5:10" x14ac:dyDescent="0.2">
      <c r="E784" s="61"/>
      <c r="F784" s="686"/>
      <c r="G784" s="686"/>
      <c r="H784" s="56"/>
      <c r="I784" s="56"/>
      <c r="J784" s="56"/>
    </row>
    <row r="785" spans="5:10" x14ac:dyDescent="0.2">
      <c r="E785" s="61"/>
      <c r="F785" s="686"/>
      <c r="G785" s="686"/>
      <c r="H785" s="56"/>
      <c r="I785" s="56"/>
      <c r="J785" s="56"/>
    </row>
    <row r="786" spans="5:10" x14ac:dyDescent="0.2">
      <c r="E786" s="61"/>
      <c r="F786" s="686"/>
      <c r="G786" s="686"/>
      <c r="H786" s="56"/>
      <c r="I786" s="56"/>
      <c r="J786" s="56"/>
    </row>
    <row r="787" spans="5:10" x14ac:dyDescent="0.2">
      <c r="E787" s="61"/>
      <c r="F787" s="686"/>
      <c r="G787" s="686"/>
      <c r="H787" s="56"/>
      <c r="I787" s="56"/>
      <c r="J787" s="56"/>
    </row>
    <row r="788" spans="5:10" x14ac:dyDescent="0.2">
      <c r="E788" s="61"/>
      <c r="F788" s="686"/>
      <c r="G788" s="686"/>
      <c r="H788" s="56"/>
      <c r="I788" s="56"/>
      <c r="J788" s="56"/>
    </row>
    <row r="789" spans="5:10" x14ac:dyDescent="0.2">
      <c r="E789" s="61"/>
      <c r="F789" s="686"/>
      <c r="G789" s="686"/>
      <c r="H789" s="56"/>
      <c r="I789" s="56"/>
      <c r="J789" s="56"/>
    </row>
    <row r="790" spans="5:10" x14ac:dyDescent="0.2">
      <c r="E790" s="61"/>
      <c r="F790" s="686"/>
      <c r="G790" s="686"/>
      <c r="H790" s="56"/>
      <c r="I790" s="56"/>
      <c r="J790" s="56"/>
    </row>
    <row r="791" spans="5:10" x14ac:dyDescent="0.2">
      <c r="E791" s="61"/>
      <c r="F791" s="686"/>
      <c r="G791" s="686"/>
      <c r="H791" s="56"/>
      <c r="I791" s="56"/>
      <c r="J791" s="56"/>
    </row>
    <row r="792" spans="5:10" x14ac:dyDescent="0.2">
      <c r="E792" s="61"/>
      <c r="F792" s="686"/>
      <c r="G792" s="686"/>
      <c r="H792" s="56"/>
      <c r="I792" s="56"/>
      <c r="J792" s="56"/>
    </row>
    <row r="793" spans="5:10" x14ac:dyDescent="0.2">
      <c r="E793" s="61"/>
      <c r="F793" s="686"/>
      <c r="G793" s="686"/>
      <c r="H793" s="56"/>
      <c r="I793" s="56"/>
      <c r="J793" s="56"/>
    </row>
    <row r="794" spans="5:10" x14ac:dyDescent="0.2">
      <c r="E794" s="61"/>
      <c r="F794" s="686"/>
      <c r="G794" s="686"/>
      <c r="H794" s="56"/>
      <c r="I794" s="56"/>
      <c r="J794" s="56"/>
    </row>
    <row r="795" spans="5:10" x14ac:dyDescent="0.2">
      <c r="E795" s="61"/>
      <c r="F795" s="686"/>
      <c r="G795" s="686"/>
      <c r="H795" s="56"/>
      <c r="I795" s="56"/>
      <c r="J795" s="56"/>
    </row>
    <row r="796" spans="5:10" x14ac:dyDescent="0.2">
      <c r="E796" s="61"/>
      <c r="F796" s="686"/>
      <c r="G796" s="686"/>
      <c r="H796" s="56"/>
      <c r="I796" s="56"/>
      <c r="J796" s="56"/>
    </row>
    <row r="797" spans="5:10" x14ac:dyDescent="0.2">
      <c r="E797" s="61"/>
      <c r="F797" s="686"/>
      <c r="G797" s="686"/>
      <c r="H797" s="56"/>
      <c r="I797" s="56"/>
      <c r="J797" s="56"/>
    </row>
    <row r="798" spans="5:10" x14ac:dyDescent="0.2">
      <c r="E798" s="61"/>
      <c r="F798" s="686"/>
      <c r="G798" s="686"/>
      <c r="H798" s="56"/>
      <c r="I798" s="56"/>
      <c r="J798" s="56"/>
    </row>
    <row r="799" spans="5:10" x14ac:dyDescent="0.2">
      <c r="E799" s="61"/>
      <c r="F799" s="686"/>
      <c r="G799" s="686"/>
      <c r="H799" s="56"/>
      <c r="I799" s="56"/>
      <c r="J799" s="56"/>
    </row>
    <row r="800" spans="5:10" x14ac:dyDescent="0.2">
      <c r="E800" s="61"/>
      <c r="F800" s="686"/>
      <c r="G800" s="686"/>
      <c r="H800" s="56"/>
      <c r="I800" s="56"/>
      <c r="J800" s="56"/>
    </row>
    <row r="801" spans="5:10" x14ac:dyDescent="0.2">
      <c r="E801" s="61"/>
      <c r="F801" s="686"/>
      <c r="G801" s="686"/>
      <c r="H801" s="56"/>
      <c r="I801" s="56"/>
      <c r="J801" s="56"/>
    </row>
    <row r="802" spans="5:10" x14ac:dyDescent="0.2">
      <c r="E802" s="61"/>
      <c r="F802" s="686"/>
      <c r="G802" s="686"/>
      <c r="H802" s="56"/>
      <c r="I802" s="56"/>
      <c r="J802" s="56"/>
    </row>
    <row r="803" spans="5:10" x14ac:dyDescent="0.2">
      <c r="E803" s="61"/>
      <c r="F803" s="686"/>
      <c r="G803" s="686"/>
      <c r="H803" s="56"/>
      <c r="I803" s="56"/>
      <c r="J803" s="56"/>
    </row>
    <row r="804" spans="5:10" x14ac:dyDescent="0.2">
      <c r="E804" s="61"/>
      <c r="F804" s="686"/>
      <c r="G804" s="686"/>
      <c r="H804" s="56"/>
      <c r="I804" s="56"/>
      <c r="J804" s="56"/>
    </row>
    <row r="805" spans="5:10" x14ac:dyDescent="0.2">
      <c r="E805" s="61"/>
      <c r="F805" s="686"/>
      <c r="G805" s="686"/>
      <c r="H805" s="56"/>
      <c r="I805" s="56"/>
      <c r="J805" s="56"/>
    </row>
    <row r="806" spans="5:10" x14ac:dyDescent="0.2">
      <c r="E806" s="61"/>
      <c r="F806" s="686"/>
      <c r="G806" s="686"/>
      <c r="H806" s="56"/>
      <c r="I806" s="56"/>
      <c r="J806" s="56"/>
    </row>
    <row r="807" spans="5:10" x14ac:dyDescent="0.2">
      <c r="E807" s="61"/>
      <c r="F807" s="686"/>
      <c r="G807" s="686"/>
      <c r="H807" s="56"/>
      <c r="I807" s="56"/>
      <c r="J807" s="56"/>
    </row>
    <row r="808" spans="5:10" x14ac:dyDescent="0.2">
      <c r="E808" s="61"/>
      <c r="F808" s="686"/>
      <c r="G808" s="686"/>
      <c r="H808" s="56"/>
      <c r="I808" s="56"/>
      <c r="J808" s="56"/>
    </row>
    <row r="809" spans="5:10" x14ac:dyDescent="0.2">
      <c r="E809" s="61"/>
      <c r="F809" s="686"/>
      <c r="G809" s="686"/>
      <c r="H809" s="56"/>
      <c r="I809" s="56"/>
      <c r="J809" s="56"/>
    </row>
    <row r="810" spans="5:10" x14ac:dyDescent="0.2">
      <c r="E810" s="61"/>
      <c r="F810" s="686"/>
      <c r="G810" s="686"/>
      <c r="H810" s="56"/>
      <c r="I810" s="56"/>
      <c r="J810" s="56"/>
    </row>
    <row r="811" spans="5:10" x14ac:dyDescent="0.2">
      <c r="E811" s="61"/>
      <c r="F811" s="686"/>
      <c r="G811" s="686"/>
      <c r="H811" s="56"/>
      <c r="I811" s="56"/>
      <c r="J811" s="56"/>
    </row>
    <row r="812" spans="5:10" x14ac:dyDescent="0.2">
      <c r="E812" s="61"/>
      <c r="F812" s="686"/>
      <c r="G812" s="686"/>
      <c r="H812" s="56"/>
      <c r="I812" s="56"/>
      <c r="J812" s="56"/>
    </row>
    <row r="813" spans="5:10" x14ac:dyDescent="0.2">
      <c r="E813" s="61"/>
      <c r="F813" s="686"/>
      <c r="G813" s="686"/>
      <c r="H813" s="56"/>
      <c r="I813" s="56"/>
      <c r="J813" s="56"/>
    </row>
    <row r="814" spans="5:10" x14ac:dyDescent="0.2">
      <c r="E814" s="61"/>
      <c r="F814" s="686"/>
      <c r="G814" s="686"/>
      <c r="H814" s="56"/>
      <c r="I814" s="56"/>
      <c r="J814" s="56"/>
    </row>
    <row r="815" spans="5:10" x14ac:dyDescent="0.2">
      <c r="E815" s="61"/>
      <c r="F815" s="686"/>
      <c r="G815" s="686"/>
      <c r="H815" s="56"/>
      <c r="I815" s="56"/>
      <c r="J815" s="56"/>
    </row>
    <row r="816" spans="5:10" x14ac:dyDescent="0.2">
      <c r="E816" s="61"/>
      <c r="F816" s="686"/>
      <c r="G816" s="686"/>
      <c r="H816" s="56"/>
      <c r="I816" s="56"/>
      <c r="J816" s="56"/>
    </row>
    <row r="817" spans="5:10" x14ac:dyDescent="0.2">
      <c r="E817" s="61"/>
      <c r="F817" s="686"/>
      <c r="G817" s="686"/>
      <c r="H817" s="56"/>
      <c r="I817" s="56"/>
      <c r="J817" s="56"/>
    </row>
    <row r="818" spans="5:10" x14ac:dyDescent="0.2">
      <c r="E818" s="61"/>
      <c r="F818" s="686"/>
      <c r="G818" s="686"/>
      <c r="H818" s="56"/>
      <c r="I818" s="56"/>
      <c r="J818" s="56"/>
    </row>
    <row r="819" spans="5:10" x14ac:dyDescent="0.2">
      <c r="E819" s="61"/>
      <c r="F819" s="686"/>
      <c r="G819" s="686"/>
      <c r="H819" s="56"/>
      <c r="I819" s="56"/>
      <c r="J819" s="56"/>
    </row>
    <row r="820" spans="5:10" x14ac:dyDescent="0.2">
      <c r="E820" s="61"/>
      <c r="F820" s="686"/>
      <c r="G820" s="686"/>
      <c r="H820" s="56"/>
      <c r="I820" s="56"/>
      <c r="J820" s="56"/>
    </row>
    <row r="821" spans="5:10" x14ac:dyDescent="0.2">
      <c r="E821" s="61"/>
      <c r="F821" s="686"/>
      <c r="G821" s="686"/>
      <c r="H821" s="56"/>
      <c r="I821" s="56"/>
      <c r="J821" s="56"/>
    </row>
    <row r="822" spans="5:10" x14ac:dyDescent="0.2">
      <c r="E822" s="61"/>
      <c r="F822" s="686"/>
      <c r="G822" s="686"/>
      <c r="H822" s="56"/>
      <c r="I822" s="56"/>
      <c r="J822" s="56"/>
    </row>
    <row r="823" spans="5:10" x14ac:dyDescent="0.2">
      <c r="E823" s="61"/>
      <c r="F823" s="686"/>
      <c r="G823" s="686"/>
      <c r="H823" s="56"/>
      <c r="I823" s="56"/>
      <c r="J823" s="56"/>
    </row>
    <row r="824" spans="5:10" x14ac:dyDescent="0.2">
      <c r="E824" s="61"/>
      <c r="F824" s="686"/>
      <c r="G824" s="686"/>
      <c r="H824" s="56"/>
      <c r="I824" s="56"/>
      <c r="J824" s="56"/>
    </row>
    <row r="825" spans="5:10" x14ac:dyDescent="0.2">
      <c r="E825" s="61"/>
      <c r="F825" s="686"/>
      <c r="G825" s="686"/>
      <c r="H825" s="56"/>
      <c r="I825" s="56"/>
      <c r="J825" s="56"/>
    </row>
    <row r="826" spans="5:10" x14ac:dyDescent="0.2">
      <c r="E826" s="61"/>
      <c r="F826" s="686"/>
      <c r="G826" s="686"/>
      <c r="H826" s="56"/>
      <c r="I826" s="56"/>
      <c r="J826" s="56"/>
    </row>
    <row r="827" spans="5:10" x14ac:dyDescent="0.2">
      <c r="E827" s="61"/>
      <c r="F827" s="686"/>
      <c r="G827" s="686"/>
      <c r="H827" s="56"/>
      <c r="I827" s="56"/>
      <c r="J827" s="56"/>
    </row>
    <row r="828" spans="5:10" x14ac:dyDescent="0.2">
      <c r="E828" s="61"/>
      <c r="F828" s="686"/>
      <c r="G828" s="686"/>
      <c r="H828" s="56"/>
      <c r="I828" s="56"/>
      <c r="J828" s="56"/>
    </row>
    <row r="829" spans="5:10" x14ac:dyDescent="0.2">
      <c r="E829" s="61"/>
      <c r="F829" s="686"/>
      <c r="G829" s="686"/>
      <c r="H829" s="56"/>
      <c r="I829" s="56"/>
      <c r="J829" s="56"/>
    </row>
    <row r="830" spans="5:10" x14ac:dyDescent="0.2">
      <c r="E830" s="61"/>
      <c r="F830" s="686"/>
      <c r="G830" s="686"/>
      <c r="H830" s="56"/>
      <c r="I830" s="56"/>
      <c r="J830" s="56"/>
    </row>
    <row r="831" spans="5:10" x14ac:dyDescent="0.2">
      <c r="E831" s="61"/>
      <c r="F831" s="686"/>
      <c r="G831" s="686"/>
      <c r="H831" s="56"/>
      <c r="I831" s="56"/>
      <c r="J831" s="56"/>
    </row>
    <row r="832" spans="5:10" x14ac:dyDescent="0.2">
      <c r="E832" s="61"/>
      <c r="F832" s="686"/>
      <c r="G832" s="686"/>
      <c r="H832" s="56"/>
      <c r="I832" s="56"/>
      <c r="J832" s="56"/>
    </row>
    <row r="833" spans="5:10" x14ac:dyDescent="0.2">
      <c r="E833" s="61"/>
      <c r="F833" s="686"/>
      <c r="G833" s="686"/>
      <c r="H833" s="56"/>
      <c r="I833" s="56"/>
      <c r="J833" s="56"/>
    </row>
    <row r="834" spans="5:10" x14ac:dyDescent="0.2">
      <c r="E834" s="61"/>
      <c r="F834" s="686"/>
      <c r="G834" s="686"/>
      <c r="H834" s="56"/>
      <c r="I834" s="56"/>
      <c r="J834" s="56"/>
    </row>
    <row r="835" spans="5:10" x14ac:dyDescent="0.2">
      <c r="E835" s="61"/>
      <c r="F835" s="686"/>
      <c r="G835" s="686"/>
      <c r="H835" s="56"/>
      <c r="I835" s="56"/>
      <c r="J835" s="56"/>
    </row>
    <row r="836" spans="5:10" x14ac:dyDescent="0.2">
      <c r="E836" s="61"/>
      <c r="F836" s="686"/>
      <c r="G836" s="686"/>
      <c r="H836" s="56"/>
      <c r="I836" s="56"/>
      <c r="J836" s="56"/>
    </row>
    <row r="837" spans="5:10" x14ac:dyDescent="0.2">
      <c r="E837" s="61"/>
      <c r="F837" s="686"/>
      <c r="G837" s="686"/>
      <c r="H837" s="56"/>
      <c r="I837" s="56"/>
      <c r="J837" s="56"/>
    </row>
    <row r="838" spans="5:10" x14ac:dyDescent="0.2">
      <c r="E838" s="61"/>
      <c r="F838" s="686"/>
      <c r="G838" s="686"/>
      <c r="H838" s="56"/>
      <c r="I838" s="56"/>
      <c r="J838" s="56"/>
    </row>
    <row r="839" spans="5:10" x14ac:dyDescent="0.2">
      <c r="E839" s="61"/>
      <c r="F839" s="686"/>
      <c r="G839" s="686"/>
      <c r="H839" s="56"/>
      <c r="I839" s="56"/>
      <c r="J839" s="56"/>
    </row>
    <row r="840" spans="5:10" x14ac:dyDescent="0.2">
      <c r="E840" s="61"/>
      <c r="F840" s="686"/>
      <c r="G840" s="686"/>
      <c r="H840" s="56"/>
      <c r="I840" s="56"/>
      <c r="J840" s="56"/>
    </row>
    <row r="841" spans="5:10" x14ac:dyDescent="0.2">
      <c r="E841" s="61"/>
      <c r="F841" s="686"/>
      <c r="G841" s="686"/>
      <c r="H841" s="56"/>
      <c r="I841" s="56"/>
      <c r="J841" s="56"/>
    </row>
    <row r="842" spans="5:10" x14ac:dyDescent="0.2">
      <c r="E842" s="61"/>
      <c r="F842" s="686"/>
      <c r="G842" s="686"/>
      <c r="H842" s="56"/>
      <c r="I842" s="56"/>
      <c r="J842" s="56"/>
    </row>
    <row r="843" spans="5:10" x14ac:dyDescent="0.2">
      <c r="E843" s="61"/>
      <c r="F843" s="686"/>
      <c r="G843" s="686"/>
      <c r="H843" s="56"/>
      <c r="I843" s="56"/>
      <c r="J843" s="56"/>
    </row>
    <row r="844" spans="5:10" x14ac:dyDescent="0.2">
      <c r="E844" s="61"/>
      <c r="F844" s="686"/>
      <c r="G844" s="686"/>
      <c r="H844" s="56"/>
      <c r="I844" s="56"/>
      <c r="J844" s="56"/>
    </row>
    <row r="845" spans="5:10" x14ac:dyDescent="0.2">
      <c r="E845" s="61"/>
      <c r="F845" s="686"/>
      <c r="G845" s="686"/>
      <c r="H845" s="56"/>
      <c r="I845" s="56"/>
      <c r="J845" s="56"/>
    </row>
    <row r="846" spans="5:10" x14ac:dyDescent="0.2">
      <c r="E846" s="61"/>
      <c r="F846" s="686"/>
      <c r="G846" s="686"/>
      <c r="H846" s="56"/>
      <c r="I846" s="56"/>
      <c r="J846" s="56"/>
    </row>
    <row r="847" spans="5:10" x14ac:dyDescent="0.2">
      <c r="E847" s="61"/>
      <c r="F847" s="686"/>
      <c r="G847" s="686"/>
      <c r="H847" s="56"/>
      <c r="I847" s="56"/>
      <c r="J847" s="56"/>
    </row>
    <row r="848" spans="5:10" x14ac:dyDescent="0.2">
      <c r="E848" s="61"/>
      <c r="F848" s="686"/>
      <c r="G848" s="686"/>
      <c r="H848" s="56"/>
      <c r="I848" s="56"/>
      <c r="J848" s="56"/>
    </row>
    <row r="849" spans="5:10" x14ac:dyDescent="0.2">
      <c r="E849" s="61"/>
      <c r="F849" s="686"/>
      <c r="G849" s="686"/>
      <c r="H849" s="56"/>
      <c r="I849" s="56"/>
      <c r="J849" s="56"/>
    </row>
    <row r="850" spans="5:10" x14ac:dyDescent="0.2">
      <c r="E850" s="61"/>
      <c r="F850" s="686"/>
      <c r="G850" s="686"/>
      <c r="H850" s="56"/>
      <c r="I850" s="56"/>
      <c r="J850" s="56"/>
    </row>
    <row r="851" spans="5:10" x14ac:dyDescent="0.2">
      <c r="E851" s="61"/>
      <c r="F851" s="686"/>
      <c r="G851" s="686"/>
      <c r="H851" s="56"/>
      <c r="I851" s="56"/>
      <c r="J851" s="56"/>
    </row>
    <row r="852" spans="5:10" x14ac:dyDescent="0.2">
      <c r="E852" s="61"/>
      <c r="F852" s="686"/>
      <c r="G852" s="686"/>
      <c r="H852" s="56"/>
      <c r="I852" s="56"/>
      <c r="J852" s="56"/>
    </row>
    <row r="853" spans="5:10" x14ac:dyDescent="0.2">
      <c r="E853" s="61"/>
      <c r="F853" s="686"/>
      <c r="G853" s="686"/>
      <c r="H853" s="56"/>
      <c r="I853" s="56"/>
      <c r="J853" s="56"/>
    </row>
    <row r="854" spans="5:10" x14ac:dyDescent="0.2">
      <c r="E854" s="61"/>
      <c r="F854" s="686"/>
      <c r="G854" s="686"/>
      <c r="H854" s="56"/>
      <c r="I854" s="56"/>
      <c r="J854" s="56"/>
    </row>
    <row r="855" spans="5:10" x14ac:dyDescent="0.2">
      <c r="E855" s="61"/>
      <c r="F855" s="686"/>
      <c r="G855" s="686"/>
      <c r="H855" s="56"/>
      <c r="I855" s="56"/>
      <c r="J855" s="56"/>
    </row>
    <row r="856" spans="5:10" x14ac:dyDescent="0.2">
      <c r="E856" s="61"/>
      <c r="F856" s="686"/>
      <c r="G856" s="686"/>
      <c r="H856" s="56"/>
      <c r="I856" s="56"/>
      <c r="J856" s="56"/>
    </row>
    <row r="857" spans="5:10" x14ac:dyDescent="0.2">
      <c r="E857" s="61"/>
      <c r="F857" s="686"/>
      <c r="G857" s="686"/>
      <c r="H857" s="56"/>
      <c r="I857" s="56"/>
      <c r="J857" s="56"/>
    </row>
    <row r="858" spans="5:10" x14ac:dyDescent="0.2">
      <c r="E858" s="61"/>
      <c r="F858" s="686"/>
      <c r="G858" s="686"/>
      <c r="H858" s="56"/>
      <c r="I858" s="56"/>
      <c r="J858" s="56"/>
    </row>
    <row r="859" spans="5:10" x14ac:dyDescent="0.2">
      <c r="E859" s="61"/>
      <c r="F859" s="686"/>
      <c r="G859" s="686"/>
      <c r="H859" s="56"/>
      <c r="I859" s="56"/>
      <c r="J859" s="56"/>
    </row>
    <row r="860" spans="5:10" x14ac:dyDescent="0.2">
      <c r="E860" s="61"/>
      <c r="F860" s="686"/>
      <c r="G860" s="686"/>
      <c r="H860" s="56"/>
      <c r="I860" s="56"/>
      <c r="J860" s="56"/>
    </row>
    <row r="861" spans="5:10" x14ac:dyDescent="0.2">
      <c r="E861" s="61"/>
      <c r="F861" s="686"/>
      <c r="G861" s="686"/>
      <c r="H861" s="56"/>
      <c r="I861" s="56"/>
      <c r="J861" s="56"/>
    </row>
    <row r="862" spans="5:10" x14ac:dyDescent="0.2">
      <c r="E862" s="61"/>
      <c r="F862" s="686"/>
      <c r="G862" s="686"/>
      <c r="H862" s="56"/>
      <c r="I862" s="56"/>
      <c r="J862" s="56"/>
    </row>
    <row r="863" spans="5:10" x14ac:dyDescent="0.2">
      <c r="E863" s="61"/>
      <c r="F863" s="686"/>
      <c r="G863" s="686"/>
      <c r="H863" s="56"/>
      <c r="I863" s="56"/>
      <c r="J863" s="56"/>
    </row>
    <row r="864" spans="5:10" x14ac:dyDescent="0.2">
      <c r="E864" s="61"/>
      <c r="F864" s="686"/>
      <c r="G864" s="686"/>
      <c r="H864" s="56"/>
      <c r="I864" s="56"/>
      <c r="J864" s="56"/>
    </row>
    <row r="865" spans="5:10" x14ac:dyDescent="0.2">
      <c r="E865" s="61"/>
      <c r="F865" s="686"/>
      <c r="G865" s="686"/>
      <c r="H865" s="56"/>
      <c r="I865" s="56"/>
      <c r="J865" s="56"/>
    </row>
    <row r="866" spans="5:10" x14ac:dyDescent="0.2">
      <c r="E866" s="61"/>
      <c r="F866" s="686"/>
      <c r="G866" s="686"/>
      <c r="H866" s="56"/>
      <c r="I866" s="56"/>
      <c r="J866" s="56"/>
    </row>
    <row r="867" spans="5:10" x14ac:dyDescent="0.2">
      <c r="E867" s="61"/>
      <c r="F867" s="686"/>
      <c r="G867" s="686"/>
      <c r="H867" s="56"/>
      <c r="I867" s="56"/>
      <c r="J867" s="56"/>
    </row>
    <row r="868" spans="5:10" x14ac:dyDescent="0.2">
      <c r="E868" s="61"/>
      <c r="F868" s="686"/>
      <c r="G868" s="686"/>
      <c r="H868" s="56"/>
      <c r="I868" s="56"/>
      <c r="J868" s="56"/>
    </row>
    <row r="869" spans="5:10" x14ac:dyDescent="0.2">
      <c r="E869" s="61"/>
      <c r="F869" s="686"/>
      <c r="G869" s="686"/>
      <c r="H869" s="56"/>
      <c r="I869" s="56"/>
      <c r="J869" s="56"/>
    </row>
    <row r="870" spans="5:10" x14ac:dyDescent="0.2">
      <c r="E870" s="61"/>
      <c r="F870" s="686"/>
      <c r="G870" s="686"/>
      <c r="H870" s="56"/>
      <c r="I870" s="56"/>
      <c r="J870" s="56"/>
    </row>
    <row r="871" spans="5:10" x14ac:dyDescent="0.2">
      <c r="E871" s="61"/>
      <c r="F871" s="686"/>
      <c r="G871" s="686"/>
      <c r="H871" s="56"/>
      <c r="I871" s="56"/>
      <c r="J871" s="56"/>
    </row>
    <row r="872" spans="5:10" x14ac:dyDescent="0.2">
      <c r="E872" s="61"/>
      <c r="F872" s="686"/>
      <c r="G872" s="686"/>
      <c r="H872" s="56"/>
      <c r="I872" s="56"/>
      <c r="J872" s="56"/>
    </row>
    <row r="873" spans="5:10" x14ac:dyDescent="0.2">
      <c r="E873" s="61"/>
      <c r="F873" s="686"/>
      <c r="G873" s="686"/>
      <c r="H873" s="56"/>
      <c r="I873" s="56"/>
      <c r="J873" s="56"/>
    </row>
    <row r="874" spans="5:10" x14ac:dyDescent="0.2">
      <c r="E874" s="61"/>
      <c r="F874" s="686"/>
      <c r="G874" s="686"/>
      <c r="H874" s="56"/>
      <c r="I874" s="56"/>
      <c r="J874" s="56"/>
    </row>
    <row r="875" spans="5:10" x14ac:dyDescent="0.2">
      <c r="E875" s="61"/>
      <c r="F875" s="686"/>
      <c r="G875" s="686"/>
      <c r="H875" s="56"/>
      <c r="I875" s="56"/>
      <c r="J875" s="56"/>
    </row>
    <row r="876" spans="5:10" x14ac:dyDescent="0.2">
      <c r="E876" s="61"/>
      <c r="F876" s="686"/>
      <c r="G876" s="686"/>
      <c r="H876" s="56"/>
      <c r="I876" s="56"/>
      <c r="J876" s="56"/>
    </row>
    <row r="877" spans="5:10" x14ac:dyDescent="0.2">
      <c r="E877" s="61"/>
      <c r="F877" s="686"/>
      <c r="G877" s="686"/>
      <c r="H877" s="56"/>
      <c r="I877" s="56"/>
      <c r="J877" s="56"/>
    </row>
    <row r="878" spans="5:10" x14ac:dyDescent="0.2">
      <c r="E878" s="61"/>
      <c r="F878" s="686"/>
      <c r="G878" s="686"/>
      <c r="H878" s="56"/>
      <c r="I878" s="56"/>
      <c r="J878" s="56"/>
    </row>
    <row r="879" spans="5:10" x14ac:dyDescent="0.2">
      <c r="E879" s="61"/>
      <c r="F879" s="686"/>
      <c r="G879" s="686"/>
      <c r="H879" s="56"/>
      <c r="I879" s="56"/>
      <c r="J879" s="56"/>
    </row>
    <row r="880" spans="5:10" x14ac:dyDescent="0.2">
      <c r="E880" s="61"/>
      <c r="F880" s="686"/>
      <c r="G880" s="686"/>
      <c r="H880" s="56"/>
      <c r="I880" s="56"/>
      <c r="J880" s="56"/>
    </row>
    <row r="881" spans="5:10" x14ac:dyDescent="0.2">
      <c r="E881" s="61"/>
      <c r="F881" s="686"/>
      <c r="G881" s="686"/>
      <c r="H881" s="56"/>
      <c r="I881" s="56"/>
      <c r="J881" s="56"/>
    </row>
    <row r="882" spans="5:10" x14ac:dyDescent="0.2">
      <c r="E882" s="61"/>
      <c r="F882" s="686"/>
      <c r="G882" s="686"/>
      <c r="H882" s="56"/>
      <c r="I882" s="56"/>
      <c r="J882" s="56"/>
    </row>
    <row r="883" spans="5:10" x14ac:dyDescent="0.2">
      <c r="E883" s="61"/>
      <c r="F883" s="686"/>
      <c r="G883" s="686"/>
      <c r="H883" s="56"/>
      <c r="I883" s="56"/>
      <c r="J883" s="56"/>
    </row>
    <row r="884" spans="5:10" x14ac:dyDescent="0.2">
      <c r="E884" s="61"/>
      <c r="F884" s="686"/>
      <c r="G884" s="686"/>
      <c r="H884" s="56"/>
      <c r="I884" s="56"/>
      <c r="J884" s="56"/>
    </row>
    <row r="885" spans="5:10" x14ac:dyDescent="0.2">
      <c r="E885" s="61"/>
      <c r="F885" s="686"/>
      <c r="G885" s="686"/>
      <c r="H885" s="56"/>
      <c r="I885" s="56"/>
      <c r="J885" s="56"/>
    </row>
    <row r="886" spans="5:10" x14ac:dyDescent="0.2">
      <c r="E886" s="61"/>
      <c r="F886" s="686"/>
      <c r="G886" s="686"/>
      <c r="H886" s="56"/>
      <c r="I886" s="56"/>
      <c r="J886" s="56"/>
    </row>
    <row r="887" spans="5:10" x14ac:dyDescent="0.2">
      <c r="E887" s="61"/>
      <c r="F887" s="686"/>
      <c r="G887" s="686"/>
      <c r="H887" s="56"/>
      <c r="I887" s="56"/>
      <c r="J887" s="56"/>
    </row>
    <row r="888" spans="5:10" x14ac:dyDescent="0.2">
      <c r="E888" s="61"/>
      <c r="F888" s="686"/>
      <c r="G888" s="686"/>
      <c r="H888" s="56"/>
      <c r="I888" s="56"/>
      <c r="J888" s="56"/>
    </row>
    <row r="889" spans="5:10" x14ac:dyDescent="0.2">
      <c r="E889" s="61"/>
      <c r="F889" s="686"/>
      <c r="G889" s="686"/>
      <c r="H889" s="56"/>
      <c r="I889" s="56"/>
      <c r="J889" s="56"/>
    </row>
    <row r="890" spans="5:10" x14ac:dyDescent="0.2">
      <c r="E890" s="61"/>
      <c r="F890" s="686"/>
      <c r="G890" s="686"/>
      <c r="H890" s="56"/>
      <c r="I890" s="56"/>
      <c r="J890" s="56"/>
    </row>
    <row r="891" spans="5:10" x14ac:dyDescent="0.2">
      <c r="E891" s="61"/>
      <c r="F891" s="686"/>
      <c r="G891" s="686"/>
      <c r="H891" s="56"/>
      <c r="I891" s="56"/>
      <c r="J891" s="56"/>
    </row>
    <row r="892" spans="5:10" x14ac:dyDescent="0.2">
      <c r="E892" s="61"/>
      <c r="F892" s="686"/>
      <c r="G892" s="686"/>
      <c r="H892" s="56"/>
      <c r="I892" s="56"/>
      <c r="J892" s="56"/>
    </row>
    <row r="893" spans="5:10" x14ac:dyDescent="0.2">
      <c r="E893" s="61"/>
      <c r="F893" s="686"/>
      <c r="G893" s="686"/>
      <c r="H893" s="56"/>
      <c r="I893" s="56"/>
      <c r="J893" s="56"/>
    </row>
    <row r="894" spans="5:10" x14ac:dyDescent="0.2">
      <c r="E894" s="61"/>
      <c r="F894" s="686"/>
      <c r="G894" s="686"/>
      <c r="H894" s="56"/>
      <c r="I894" s="56"/>
      <c r="J894" s="56"/>
    </row>
    <row r="895" spans="5:10" x14ac:dyDescent="0.2">
      <c r="E895" s="61"/>
      <c r="F895" s="686"/>
      <c r="G895" s="686"/>
      <c r="H895" s="56"/>
      <c r="I895" s="56"/>
      <c r="J895" s="56"/>
    </row>
    <row r="896" spans="5:10" x14ac:dyDescent="0.2">
      <c r="E896" s="61"/>
      <c r="F896" s="686"/>
      <c r="G896" s="686"/>
      <c r="H896" s="56"/>
      <c r="I896" s="56"/>
      <c r="J896" s="56"/>
    </row>
    <row r="897" spans="5:10" x14ac:dyDescent="0.2">
      <c r="E897" s="61"/>
      <c r="F897" s="686"/>
      <c r="G897" s="686"/>
      <c r="H897" s="56"/>
      <c r="I897" s="56"/>
      <c r="J897" s="56"/>
    </row>
    <row r="898" spans="5:10" x14ac:dyDescent="0.2">
      <c r="E898" s="61"/>
      <c r="F898" s="686"/>
      <c r="G898" s="686"/>
      <c r="H898" s="56"/>
      <c r="I898" s="56"/>
      <c r="J898" s="56"/>
    </row>
    <row r="899" spans="5:10" x14ac:dyDescent="0.2">
      <c r="E899" s="61"/>
      <c r="F899" s="686"/>
      <c r="G899" s="686"/>
      <c r="H899" s="56"/>
      <c r="I899" s="56"/>
      <c r="J899" s="56"/>
    </row>
    <row r="900" spans="5:10" x14ac:dyDescent="0.2">
      <c r="E900" s="61"/>
      <c r="F900" s="686"/>
      <c r="G900" s="686"/>
      <c r="H900" s="56"/>
      <c r="I900" s="56"/>
      <c r="J900" s="56"/>
    </row>
    <row r="901" spans="5:10" x14ac:dyDescent="0.2">
      <c r="E901" s="61"/>
      <c r="F901" s="686"/>
      <c r="G901" s="686"/>
      <c r="H901" s="56"/>
      <c r="I901" s="56"/>
      <c r="J901" s="56"/>
    </row>
    <row r="902" spans="5:10" x14ac:dyDescent="0.2">
      <c r="E902" s="61"/>
      <c r="F902" s="686"/>
      <c r="G902" s="686"/>
      <c r="H902" s="56"/>
      <c r="I902" s="56"/>
      <c r="J902" s="56"/>
    </row>
    <row r="903" spans="5:10" x14ac:dyDescent="0.2">
      <c r="E903" s="61"/>
      <c r="F903" s="686"/>
      <c r="G903" s="686"/>
      <c r="H903" s="56"/>
      <c r="I903" s="56"/>
      <c r="J903" s="56"/>
    </row>
    <row r="904" spans="5:10" x14ac:dyDescent="0.2">
      <c r="E904" s="61"/>
      <c r="F904" s="686"/>
      <c r="G904" s="686"/>
      <c r="H904" s="56"/>
      <c r="I904" s="56"/>
      <c r="J904" s="56"/>
    </row>
    <row r="905" spans="5:10" x14ac:dyDescent="0.2">
      <c r="E905" s="61"/>
      <c r="F905" s="686"/>
      <c r="G905" s="686"/>
      <c r="H905" s="56"/>
      <c r="I905" s="56"/>
      <c r="J905" s="56"/>
    </row>
    <row r="906" spans="5:10" x14ac:dyDescent="0.2">
      <c r="E906" s="61"/>
      <c r="F906" s="686"/>
      <c r="G906" s="686"/>
      <c r="H906" s="56"/>
      <c r="I906" s="56"/>
      <c r="J906" s="56"/>
    </row>
    <row r="907" spans="5:10" x14ac:dyDescent="0.2">
      <c r="E907" s="61"/>
      <c r="F907" s="686"/>
      <c r="G907" s="686"/>
      <c r="H907" s="56"/>
      <c r="I907" s="56"/>
      <c r="J907" s="56"/>
    </row>
    <row r="908" spans="5:10" x14ac:dyDescent="0.2">
      <c r="E908" s="61"/>
      <c r="F908" s="686"/>
      <c r="G908" s="686"/>
      <c r="H908" s="56"/>
      <c r="I908" s="56"/>
      <c r="J908" s="56"/>
    </row>
    <row r="909" spans="5:10" x14ac:dyDescent="0.2">
      <c r="E909" s="61"/>
      <c r="F909" s="686"/>
      <c r="G909" s="686"/>
      <c r="H909" s="56"/>
      <c r="I909" s="56"/>
      <c r="J909" s="56"/>
    </row>
    <row r="910" spans="5:10" x14ac:dyDescent="0.2">
      <c r="E910" s="61"/>
      <c r="F910" s="686"/>
      <c r="G910" s="686"/>
      <c r="H910" s="56"/>
      <c r="I910" s="56"/>
      <c r="J910" s="56"/>
    </row>
    <row r="911" spans="5:10" x14ac:dyDescent="0.2">
      <c r="E911" s="61"/>
      <c r="F911" s="686"/>
      <c r="G911" s="686"/>
      <c r="H911" s="56"/>
      <c r="I911" s="56"/>
      <c r="J911" s="56"/>
    </row>
    <row r="912" spans="5:10" x14ac:dyDescent="0.2">
      <c r="E912" s="61"/>
      <c r="F912" s="686"/>
      <c r="G912" s="686"/>
      <c r="H912" s="56"/>
      <c r="I912" s="56"/>
      <c r="J912" s="56"/>
    </row>
    <row r="913" spans="5:10" x14ac:dyDescent="0.2">
      <c r="E913" s="61"/>
      <c r="F913" s="686"/>
      <c r="G913" s="686"/>
      <c r="H913" s="56"/>
      <c r="I913" s="56"/>
      <c r="J913" s="56"/>
    </row>
    <row r="914" spans="5:10" x14ac:dyDescent="0.2">
      <c r="E914" s="61"/>
      <c r="F914" s="686"/>
      <c r="G914" s="686"/>
      <c r="H914" s="56"/>
      <c r="I914" s="56"/>
      <c r="J914" s="56"/>
    </row>
    <row r="915" spans="5:10" x14ac:dyDescent="0.2">
      <c r="E915" s="61"/>
      <c r="F915" s="686"/>
      <c r="G915" s="686"/>
      <c r="H915" s="56"/>
      <c r="I915" s="56"/>
      <c r="J915" s="56"/>
    </row>
    <row r="916" spans="5:10" x14ac:dyDescent="0.2">
      <c r="E916" s="61"/>
      <c r="F916" s="686"/>
      <c r="G916" s="686"/>
      <c r="H916" s="56"/>
      <c r="I916" s="56"/>
      <c r="J916" s="56"/>
    </row>
    <row r="917" spans="5:10" x14ac:dyDescent="0.2">
      <c r="E917" s="61"/>
      <c r="F917" s="686"/>
      <c r="G917" s="686"/>
      <c r="H917" s="56"/>
      <c r="I917" s="56"/>
      <c r="J917" s="56"/>
    </row>
    <row r="918" spans="5:10" x14ac:dyDescent="0.2">
      <c r="E918" s="61"/>
      <c r="F918" s="686"/>
      <c r="G918" s="686"/>
      <c r="H918" s="56"/>
      <c r="I918" s="56"/>
      <c r="J918" s="56"/>
    </row>
    <row r="919" spans="5:10" x14ac:dyDescent="0.2">
      <c r="E919" s="61"/>
      <c r="F919" s="686"/>
      <c r="G919" s="686"/>
      <c r="H919" s="56"/>
      <c r="I919" s="56"/>
      <c r="J919" s="56"/>
    </row>
    <row r="920" spans="5:10" x14ac:dyDescent="0.2">
      <c r="E920" s="61"/>
      <c r="F920" s="686"/>
      <c r="G920" s="686"/>
      <c r="H920" s="56"/>
      <c r="I920" s="56"/>
      <c r="J920" s="56"/>
    </row>
    <row r="921" spans="5:10" x14ac:dyDescent="0.2">
      <c r="E921" s="61"/>
      <c r="F921" s="686"/>
      <c r="G921" s="686"/>
      <c r="H921" s="56"/>
      <c r="I921" s="56"/>
      <c r="J921" s="56"/>
    </row>
    <row r="922" spans="5:10" x14ac:dyDescent="0.2">
      <c r="E922" s="61"/>
      <c r="F922" s="686"/>
      <c r="G922" s="686"/>
      <c r="H922" s="56"/>
      <c r="I922" s="56"/>
      <c r="J922" s="56"/>
    </row>
    <row r="923" spans="5:10" x14ac:dyDescent="0.2">
      <c r="E923" s="61"/>
      <c r="F923" s="686"/>
      <c r="G923" s="686"/>
      <c r="H923" s="56"/>
      <c r="I923" s="56"/>
      <c r="J923" s="56"/>
    </row>
    <row r="924" spans="5:10" x14ac:dyDescent="0.2">
      <c r="E924" s="61"/>
      <c r="F924" s="686"/>
      <c r="G924" s="686"/>
      <c r="H924" s="56"/>
      <c r="I924" s="56"/>
      <c r="J924" s="56"/>
    </row>
    <row r="925" spans="5:10" x14ac:dyDescent="0.2">
      <c r="E925" s="61"/>
      <c r="F925" s="686"/>
      <c r="G925" s="686"/>
      <c r="H925" s="56"/>
      <c r="I925" s="56"/>
      <c r="J925" s="56"/>
    </row>
    <row r="926" spans="5:10" x14ac:dyDescent="0.2">
      <c r="E926" s="61"/>
      <c r="F926" s="686"/>
      <c r="G926" s="686"/>
      <c r="H926" s="56"/>
      <c r="I926" s="56"/>
      <c r="J926" s="56"/>
    </row>
    <row r="927" spans="5:10" x14ac:dyDescent="0.2">
      <c r="E927" s="61"/>
      <c r="F927" s="686"/>
      <c r="G927" s="686"/>
      <c r="H927" s="56"/>
      <c r="I927" s="56"/>
      <c r="J927" s="56"/>
    </row>
    <row r="928" spans="5:10" x14ac:dyDescent="0.2">
      <c r="E928" s="61"/>
      <c r="F928" s="686"/>
      <c r="G928" s="686"/>
      <c r="H928" s="56"/>
      <c r="I928" s="56"/>
      <c r="J928" s="56"/>
    </row>
    <row r="929" spans="5:10" x14ac:dyDescent="0.2">
      <c r="E929" s="61"/>
      <c r="F929" s="686"/>
      <c r="G929" s="686"/>
      <c r="H929" s="56"/>
      <c r="I929" s="56"/>
      <c r="J929" s="56"/>
    </row>
    <row r="930" spans="5:10" x14ac:dyDescent="0.2">
      <c r="E930" s="61"/>
      <c r="F930" s="686"/>
      <c r="G930" s="686"/>
      <c r="H930" s="56"/>
      <c r="I930" s="56"/>
      <c r="J930" s="56"/>
    </row>
    <row r="931" spans="5:10" x14ac:dyDescent="0.2">
      <c r="E931" s="61"/>
      <c r="F931" s="686"/>
      <c r="G931" s="686"/>
      <c r="H931" s="56"/>
      <c r="I931" s="56"/>
      <c r="J931" s="56"/>
    </row>
    <row r="932" spans="5:10" x14ac:dyDescent="0.2">
      <c r="E932" s="61"/>
      <c r="F932" s="686"/>
      <c r="G932" s="686"/>
      <c r="H932" s="56"/>
      <c r="I932" s="56"/>
      <c r="J932" s="56"/>
    </row>
    <row r="933" spans="5:10" x14ac:dyDescent="0.2">
      <c r="E933" s="61"/>
      <c r="F933" s="686"/>
      <c r="G933" s="686"/>
      <c r="H933" s="56"/>
      <c r="I933" s="56"/>
      <c r="J933" s="56"/>
    </row>
    <row r="934" spans="5:10" x14ac:dyDescent="0.2">
      <c r="E934" s="61"/>
      <c r="F934" s="686"/>
      <c r="G934" s="686"/>
      <c r="H934" s="56"/>
      <c r="I934" s="56"/>
      <c r="J934" s="56"/>
    </row>
    <row r="935" spans="5:10" x14ac:dyDescent="0.2">
      <c r="E935" s="61"/>
      <c r="F935" s="686"/>
      <c r="G935" s="686"/>
      <c r="H935" s="56"/>
      <c r="I935" s="56"/>
      <c r="J935" s="56"/>
    </row>
    <row r="936" spans="5:10" x14ac:dyDescent="0.2">
      <c r="E936" s="61"/>
      <c r="F936" s="686"/>
      <c r="G936" s="686"/>
      <c r="H936" s="56"/>
      <c r="I936" s="56"/>
      <c r="J936" s="56"/>
    </row>
    <row r="937" spans="5:10" x14ac:dyDescent="0.2">
      <c r="E937" s="61"/>
      <c r="F937" s="686"/>
      <c r="G937" s="686"/>
      <c r="H937" s="56"/>
      <c r="I937" s="56"/>
      <c r="J937" s="56"/>
    </row>
    <row r="938" spans="5:10" x14ac:dyDescent="0.2">
      <c r="E938" s="61"/>
      <c r="F938" s="686"/>
      <c r="G938" s="686"/>
      <c r="H938" s="56"/>
      <c r="I938" s="56"/>
      <c r="J938" s="56"/>
    </row>
    <row r="939" spans="5:10" x14ac:dyDescent="0.2">
      <c r="E939" s="61"/>
      <c r="F939" s="686"/>
      <c r="G939" s="686"/>
      <c r="H939" s="56"/>
      <c r="I939" s="56"/>
      <c r="J939" s="56"/>
    </row>
    <row r="940" spans="5:10" x14ac:dyDescent="0.2">
      <c r="E940" s="61"/>
      <c r="F940" s="686"/>
      <c r="G940" s="686"/>
      <c r="H940" s="56"/>
      <c r="I940" s="56"/>
      <c r="J940" s="56"/>
    </row>
    <row r="941" spans="5:10" x14ac:dyDescent="0.2">
      <c r="E941" s="61"/>
      <c r="F941" s="686"/>
      <c r="G941" s="686"/>
      <c r="H941" s="56"/>
      <c r="I941" s="56"/>
      <c r="J941" s="56"/>
    </row>
    <row r="942" spans="5:10" x14ac:dyDescent="0.2">
      <c r="E942" s="61"/>
      <c r="F942" s="686"/>
      <c r="G942" s="686"/>
      <c r="H942" s="56"/>
      <c r="I942" s="56"/>
      <c r="J942" s="56"/>
    </row>
    <row r="943" spans="5:10" x14ac:dyDescent="0.2">
      <c r="E943" s="61"/>
      <c r="F943" s="686"/>
      <c r="G943" s="686"/>
      <c r="H943" s="56"/>
      <c r="I943" s="56"/>
      <c r="J943" s="56"/>
    </row>
    <row r="944" spans="5:10" x14ac:dyDescent="0.2">
      <c r="E944" s="61"/>
      <c r="F944" s="686"/>
      <c r="G944" s="686"/>
      <c r="H944" s="56"/>
      <c r="I944" s="56"/>
      <c r="J944" s="56"/>
    </row>
    <row r="945" spans="5:10" x14ac:dyDescent="0.2">
      <c r="E945" s="61"/>
      <c r="F945" s="686"/>
      <c r="G945" s="686"/>
      <c r="H945" s="56"/>
      <c r="I945" s="56"/>
      <c r="J945" s="56"/>
    </row>
    <row r="946" spans="5:10" x14ac:dyDescent="0.2">
      <c r="E946" s="61"/>
      <c r="F946" s="686"/>
      <c r="G946" s="686"/>
      <c r="H946" s="56"/>
      <c r="I946" s="56"/>
      <c r="J946" s="56"/>
    </row>
    <row r="947" spans="5:10" x14ac:dyDescent="0.2">
      <c r="E947" s="61"/>
      <c r="F947" s="686"/>
      <c r="G947" s="686"/>
      <c r="H947" s="56"/>
      <c r="I947" s="56"/>
      <c r="J947" s="56"/>
    </row>
    <row r="948" spans="5:10" x14ac:dyDescent="0.2">
      <c r="E948" s="61"/>
      <c r="F948" s="686"/>
      <c r="G948" s="686"/>
      <c r="H948" s="56"/>
      <c r="I948" s="56"/>
      <c r="J948" s="56"/>
    </row>
    <row r="949" spans="5:10" x14ac:dyDescent="0.2">
      <c r="E949" s="61"/>
      <c r="F949" s="686"/>
      <c r="G949" s="686"/>
      <c r="H949" s="56"/>
      <c r="I949" s="56"/>
      <c r="J949" s="56"/>
    </row>
    <row r="950" spans="5:10" x14ac:dyDescent="0.2">
      <c r="E950" s="61"/>
      <c r="F950" s="686"/>
      <c r="G950" s="686"/>
      <c r="H950" s="56"/>
      <c r="I950" s="56"/>
      <c r="J950" s="56"/>
    </row>
    <row r="951" spans="5:10" x14ac:dyDescent="0.2">
      <c r="E951" s="61"/>
      <c r="F951" s="686"/>
      <c r="G951" s="686"/>
      <c r="H951" s="56"/>
      <c r="I951" s="56"/>
      <c r="J951" s="56"/>
    </row>
    <row r="952" spans="5:10" x14ac:dyDescent="0.2">
      <c r="E952" s="61"/>
      <c r="F952" s="686"/>
      <c r="G952" s="686"/>
      <c r="H952" s="56"/>
      <c r="I952" s="56"/>
      <c r="J952" s="56"/>
    </row>
    <row r="953" spans="5:10" x14ac:dyDescent="0.2">
      <c r="E953" s="61"/>
      <c r="F953" s="686"/>
      <c r="G953" s="686"/>
      <c r="H953" s="56"/>
      <c r="I953" s="56"/>
      <c r="J953" s="56"/>
    </row>
    <row r="954" spans="5:10" x14ac:dyDescent="0.2">
      <c r="E954" s="61"/>
      <c r="F954" s="686"/>
      <c r="G954" s="686"/>
      <c r="H954" s="56"/>
      <c r="I954" s="56"/>
      <c r="J954" s="56"/>
    </row>
    <row r="955" spans="5:10" x14ac:dyDescent="0.2">
      <c r="E955" s="61"/>
      <c r="F955" s="686"/>
      <c r="G955" s="686"/>
      <c r="H955" s="56"/>
      <c r="I955" s="56"/>
      <c r="J955" s="56"/>
    </row>
    <row r="956" spans="5:10" x14ac:dyDescent="0.2">
      <c r="E956" s="61"/>
      <c r="F956" s="686"/>
      <c r="G956" s="686"/>
      <c r="H956" s="56"/>
      <c r="I956" s="56"/>
      <c r="J956" s="56"/>
    </row>
    <row r="957" spans="5:10" x14ac:dyDescent="0.2">
      <c r="E957" s="61"/>
      <c r="F957" s="686"/>
      <c r="G957" s="686"/>
      <c r="H957" s="56"/>
      <c r="I957" s="56"/>
      <c r="J957" s="56"/>
    </row>
    <row r="958" spans="5:10" x14ac:dyDescent="0.2">
      <c r="E958" s="61"/>
      <c r="F958" s="686"/>
      <c r="G958" s="686"/>
      <c r="H958" s="56"/>
      <c r="I958" s="56"/>
      <c r="J958" s="56"/>
    </row>
    <row r="959" spans="5:10" x14ac:dyDescent="0.2">
      <c r="E959" s="61"/>
      <c r="F959" s="686"/>
      <c r="G959" s="686"/>
      <c r="H959" s="56"/>
      <c r="I959" s="56"/>
      <c r="J959" s="56"/>
    </row>
    <row r="960" spans="5:10" x14ac:dyDescent="0.2">
      <c r="E960" s="61"/>
      <c r="F960" s="686"/>
      <c r="G960" s="686"/>
      <c r="H960" s="56"/>
      <c r="I960" s="56"/>
      <c r="J960" s="56"/>
    </row>
    <row r="961" spans="5:10" x14ac:dyDescent="0.2">
      <c r="E961" s="61"/>
      <c r="F961" s="686"/>
      <c r="G961" s="686"/>
      <c r="H961" s="56"/>
      <c r="I961" s="56"/>
      <c r="J961" s="56"/>
    </row>
    <row r="962" spans="5:10" x14ac:dyDescent="0.2">
      <c r="E962" s="61"/>
      <c r="F962" s="686"/>
      <c r="G962" s="686"/>
      <c r="H962" s="56"/>
      <c r="I962" s="56"/>
      <c r="J962" s="56"/>
    </row>
    <row r="963" spans="5:10" x14ac:dyDescent="0.2">
      <c r="E963" s="61"/>
      <c r="F963" s="686"/>
      <c r="G963" s="686"/>
      <c r="H963" s="56"/>
      <c r="I963" s="56"/>
      <c r="J963" s="56"/>
    </row>
    <row r="964" spans="5:10" x14ac:dyDescent="0.2">
      <c r="E964" s="61"/>
      <c r="F964" s="686"/>
      <c r="G964" s="686"/>
      <c r="H964" s="56"/>
      <c r="I964" s="56"/>
      <c r="J964" s="56"/>
    </row>
    <row r="965" spans="5:10" x14ac:dyDescent="0.2">
      <c r="E965" s="61"/>
      <c r="F965" s="686"/>
      <c r="G965" s="686"/>
      <c r="H965" s="56"/>
      <c r="I965" s="56"/>
      <c r="J965" s="56"/>
    </row>
    <row r="966" spans="5:10" x14ac:dyDescent="0.2">
      <c r="E966" s="61"/>
      <c r="F966" s="686"/>
      <c r="G966" s="686"/>
      <c r="H966" s="56"/>
      <c r="I966" s="56"/>
      <c r="J966" s="56"/>
    </row>
    <row r="967" spans="5:10" x14ac:dyDescent="0.2">
      <c r="E967" s="61"/>
      <c r="F967" s="686"/>
      <c r="G967" s="686"/>
      <c r="H967" s="56"/>
      <c r="I967" s="56"/>
      <c r="J967" s="56"/>
    </row>
    <row r="968" spans="5:10" x14ac:dyDescent="0.2">
      <c r="E968" s="61"/>
      <c r="F968" s="686"/>
      <c r="G968" s="686"/>
      <c r="H968" s="56"/>
      <c r="I968" s="56"/>
      <c r="J968" s="56"/>
    </row>
    <row r="969" spans="5:10" x14ac:dyDescent="0.2">
      <c r="E969" s="61"/>
      <c r="F969" s="686"/>
      <c r="G969" s="686"/>
      <c r="H969" s="56"/>
      <c r="I969" s="56"/>
      <c r="J969" s="56"/>
    </row>
    <row r="970" spans="5:10" x14ac:dyDescent="0.2">
      <c r="E970" s="61"/>
      <c r="F970" s="686"/>
      <c r="G970" s="686"/>
      <c r="H970" s="56"/>
      <c r="I970" s="56"/>
      <c r="J970" s="56"/>
    </row>
    <row r="971" spans="5:10" x14ac:dyDescent="0.2">
      <c r="E971" s="61"/>
      <c r="F971" s="686"/>
      <c r="G971" s="686"/>
      <c r="H971" s="56"/>
      <c r="I971" s="56"/>
      <c r="J971" s="56"/>
    </row>
    <row r="972" spans="5:10" x14ac:dyDescent="0.2">
      <c r="E972" s="61"/>
      <c r="F972" s="686"/>
      <c r="G972" s="686"/>
      <c r="H972" s="56"/>
      <c r="I972" s="56"/>
      <c r="J972" s="56"/>
    </row>
    <row r="973" spans="5:10" x14ac:dyDescent="0.2">
      <c r="E973" s="61"/>
      <c r="F973" s="686"/>
      <c r="G973" s="686"/>
      <c r="H973" s="56"/>
      <c r="I973" s="56"/>
      <c r="J973" s="56"/>
    </row>
    <row r="974" spans="5:10" x14ac:dyDescent="0.2">
      <c r="E974" s="61"/>
      <c r="F974" s="686"/>
      <c r="G974" s="686"/>
      <c r="H974" s="56"/>
      <c r="I974" s="56"/>
      <c r="J974" s="56"/>
    </row>
    <row r="975" spans="5:10" x14ac:dyDescent="0.2">
      <c r="E975" s="61"/>
      <c r="F975" s="686"/>
      <c r="G975" s="686"/>
      <c r="H975" s="56"/>
      <c r="I975" s="56"/>
      <c r="J975" s="56"/>
    </row>
    <row r="976" spans="5:10" x14ac:dyDescent="0.2">
      <c r="E976" s="61"/>
      <c r="F976" s="686"/>
      <c r="G976" s="686"/>
      <c r="H976" s="56"/>
      <c r="I976" s="56"/>
      <c r="J976" s="56"/>
    </row>
    <row r="977" spans="5:10" x14ac:dyDescent="0.2">
      <c r="E977" s="61"/>
      <c r="F977" s="686"/>
      <c r="G977" s="686"/>
      <c r="H977" s="56"/>
      <c r="I977" s="56"/>
      <c r="J977" s="56"/>
    </row>
    <row r="978" spans="5:10" x14ac:dyDescent="0.2">
      <c r="E978" s="61"/>
      <c r="F978" s="686"/>
      <c r="G978" s="686"/>
      <c r="H978" s="56"/>
      <c r="I978" s="56"/>
      <c r="J978" s="56"/>
    </row>
    <row r="979" spans="5:10" x14ac:dyDescent="0.2">
      <c r="E979" s="61"/>
      <c r="F979" s="686"/>
      <c r="G979" s="686"/>
      <c r="H979" s="56"/>
      <c r="I979" s="56"/>
      <c r="J979" s="56"/>
    </row>
    <row r="980" spans="5:10" x14ac:dyDescent="0.2">
      <c r="E980" s="61"/>
      <c r="F980" s="686"/>
      <c r="G980" s="686"/>
      <c r="H980" s="56"/>
      <c r="I980" s="56"/>
      <c r="J980" s="56"/>
    </row>
    <row r="981" spans="5:10" x14ac:dyDescent="0.2">
      <c r="E981" s="61"/>
      <c r="F981" s="686"/>
      <c r="G981" s="686"/>
      <c r="H981" s="56"/>
      <c r="I981" s="56"/>
      <c r="J981" s="56"/>
    </row>
    <row r="982" spans="5:10" x14ac:dyDescent="0.2">
      <c r="E982" s="61"/>
      <c r="F982" s="686"/>
      <c r="G982" s="686"/>
      <c r="H982" s="56"/>
      <c r="I982" s="56"/>
      <c r="J982" s="56"/>
    </row>
    <row r="983" spans="5:10" x14ac:dyDescent="0.2">
      <c r="E983" s="61"/>
      <c r="F983" s="686"/>
      <c r="G983" s="686"/>
      <c r="H983" s="56"/>
      <c r="I983" s="56"/>
      <c r="J983" s="56"/>
    </row>
    <row r="984" spans="5:10" x14ac:dyDescent="0.2">
      <c r="E984" s="61"/>
      <c r="F984" s="686"/>
      <c r="G984" s="686"/>
      <c r="H984" s="56"/>
      <c r="I984" s="56"/>
      <c r="J984" s="56"/>
    </row>
    <row r="985" spans="5:10" x14ac:dyDescent="0.2">
      <c r="E985" s="61"/>
      <c r="F985" s="686"/>
      <c r="G985" s="686"/>
      <c r="H985" s="56"/>
      <c r="I985" s="56"/>
      <c r="J985" s="56"/>
    </row>
    <row r="986" spans="5:10" x14ac:dyDescent="0.2">
      <c r="E986" s="61"/>
      <c r="F986" s="686"/>
      <c r="G986" s="686"/>
      <c r="H986" s="56"/>
      <c r="I986" s="56"/>
      <c r="J986" s="56"/>
    </row>
    <row r="987" spans="5:10" x14ac:dyDescent="0.2">
      <c r="E987" s="61"/>
      <c r="F987" s="686"/>
      <c r="G987" s="686"/>
      <c r="H987" s="56"/>
      <c r="I987" s="56"/>
      <c r="J987" s="56"/>
    </row>
    <row r="988" spans="5:10" x14ac:dyDescent="0.2">
      <c r="E988" s="61"/>
      <c r="F988" s="686"/>
      <c r="G988" s="686"/>
      <c r="H988" s="56"/>
      <c r="I988" s="56"/>
      <c r="J988" s="56"/>
    </row>
    <row r="989" spans="5:10" x14ac:dyDescent="0.2">
      <c r="E989" s="61"/>
      <c r="F989" s="686"/>
      <c r="G989" s="686"/>
      <c r="H989" s="56"/>
      <c r="I989" s="56"/>
      <c r="J989" s="56"/>
    </row>
    <row r="990" spans="5:10" x14ac:dyDescent="0.2">
      <c r="E990" s="61"/>
      <c r="F990" s="686"/>
      <c r="G990" s="686"/>
      <c r="H990" s="56"/>
      <c r="I990" s="56"/>
      <c r="J990" s="56"/>
    </row>
    <row r="991" spans="5:10" x14ac:dyDescent="0.2">
      <c r="E991" s="61"/>
      <c r="F991" s="686"/>
      <c r="G991" s="686"/>
      <c r="H991" s="56"/>
      <c r="I991" s="56"/>
      <c r="J991" s="56"/>
    </row>
    <row r="992" spans="5:10" x14ac:dyDescent="0.2">
      <c r="E992" s="61"/>
      <c r="F992" s="686"/>
      <c r="G992" s="686"/>
      <c r="H992" s="56"/>
      <c r="I992" s="56"/>
      <c r="J992" s="56"/>
    </row>
    <row r="993" spans="5:10" x14ac:dyDescent="0.2">
      <c r="E993" s="61"/>
      <c r="F993" s="686"/>
      <c r="G993" s="686"/>
      <c r="H993" s="56"/>
      <c r="I993" s="56"/>
      <c r="J993" s="56"/>
    </row>
    <row r="994" spans="5:10" x14ac:dyDescent="0.2">
      <c r="E994" s="61"/>
      <c r="F994" s="686"/>
      <c r="G994" s="686"/>
      <c r="H994" s="56"/>
      <c r="I994" s="56"/>
      <c r="J994" s="56"/>
    </row>
    <row r="995" spans="5:10" x14ac:dyDescent="0.2">
      <c r="E995" s="61"/>
      <c r="F995" s="686"/>
      <c r="G995" s="686"/>
      <c r="H995" s="56"/>
      <c r="I995" s="56"/>
      <c r="J995" s="56"/>
    </row>
    <row r="996" spans="5:10" x14ac:dyDescent="0.2">
      <c r="E996" s="61"/>
      <c r="F996" s="686"/>
      <c r="G996" s="686"/>
      <c r="H996" s="56"/>
      <c r="I996" s="56"/>
      <c r="J996" s="56"/>
    </row>
    <row r="997" spans="5:10" x14ac:dyDescent="0.2">
      <c r="E997" s="61"/>
      <c r="F997" s="686"/>
      <c r="G997" s="686"/>
      <c r="H997" s="56"/>
      <c r="I997" s="56"/>
      <c r="J997" s="56"/>
    </row>
    <row r="998" spans="5:10" x14ac:dyDescent="0.2">
      <c r="E998" s="61"/>
      <c r="F998" s="686"/>
      <c r="G998" s="686"/>
      <c r="H998" s="56"/>
      <c r="I998" s="56"/>
      <c r="J998" s="56"/>
    </row>
    <row r="999" spans="5:10" x14ac:dyDescent="0.2">
      <c r="E999" s="61"/>
      <c r="F999" s="686"/>
      <c r="G999" s="686"/>
      <c r="H999" s="56"/>
      <c r="I999" s="56"/>
      <c r="J999" s="56"/>
    </row>
    <row r="1000" spans="5:10" x14ac:dyDescent="0.2">
      <c r="E1000" s="61"/>
      <c r="F1000" s="686"/>
      <c r="G1000" s="686"/>
      <c r="H1000" s="56"/>
      <c r="I1000" s="56"/>
      <c r="J1000" s="56"/>
    </row>
    <row r="1001" spans="5:10" x14ac:dyDescent="0.2">
      <c r="E1001" s="61"/>
      <c r="F1001" s="686"/>
      <c r="G1001" s="686"/>
      <c r="H1001" s="56"/>
      <c r="I1001" s="56"/>
      <c r="J1001" s="56"/>
    </row>
    <row r="1002" spans="5:10" x14ac:dyDescent="0.2">
      <c r="E1002" s="61"/>
      <c r="F1002" s="686"/>
      <c r="G1002" s="686"/>
      <c r="H1002" s="56"/>
      <c r="I1002" s="56"/>
      <c r="J1002" s="56"/>
    </row>
    <row r="1003" spans="5:10" x14ac:dyDescent="0.2">
      <c r="E1003" s="61"/>
      <c r="F1003" s="686"/>
      <c r="G1003" s="686"/>
      <c r="H1003" s="56"/>
      <c r="I1003" s="56"/>
      <c r="J1003" s="56"/>
    </row>
    <row r="1004" spans="5:10" x14ac:dyDescent="0.2">
      <c r="E1004" s="61"/>
      <c r="F1004" s="686"/>
      <c r="G1004" s="686"/>
      <c r="H1004" s="56"/>
      <c r="I1004" s="56"/>
      <c r="J1004" s="56"/>
    </row>
    <row r="1005" spans="5:10" x14ac:dyDescent="0.2">
      <c r="E1005" s="61"/>
      <c r="F1005" s="686"/>
      <c r="G1005" s="686"/>
      <c r="H1005" s="56"/>
      <c r="I1005" s="56"/>
      <c r="J1005" s="56"/>
    </row>
    <row r="1006" spans="5:10" x14ac:dyDescent="0.2">
      <c r="E1006" s="61"/>
      <c r="F1006" s="686"/>
      <c r="G1006" s="686"/>
      <c r="H1006" s="56"/>
      <c r="I1006" s="56"/>
      <c r="J1006" s="56"/>
    </row>
    <row r="1007" spans="5:10" x14ac:dyDescent="0.2">
      <c r="E1007" s="61"/>
      <c r="F1007" s="686"/>
      <c r="G1007" s="686"/>
      <c r="H1007" s="56"/>
      <c r="I1007" s="56"/>
      <c r="J1007" s="56"/>
    </row>
    <row r="1008" spans="5:10" x14ac:dyDescent="0.2">
      <c r="E1008" s="61"/>
      <c r="F1008" s="686"/>
      <c r="G1008" s="686"/>
      <c r="H1008" s="56"/>
      <c r="I1008" s="56"/>
      <c r="J1008" s="56"/>
    </row>
    <row r="1009" spans="5:10" x14ac:dyDescent="0.2">
      <c r="E1009" s="61"/>
      <c r="F1009" s="686"/>
      <c r="G1009" s="686"/>
      <c r="H1009" s="56"/>
      <c r="I1009" s="56"/>
      <c r="J1009" s="56"/>
    </row>
    <row r="1010" spans="5:10" x14ac:dyDescent="0.2">
      <c r="E1010" s="61"/>
      <c r="F1010" s="686"/>
      <c r="G1010" s="686"/>
      <c r="H1010" s="56"/>
      <c r="I1010" s="56"/>
      <c r="J1010" s="56"/>
    </row>
    <row r="1011" spans="5:10" x14ac:dyDescent="0.2">
      <c r="E1011" s="61"/>
      <c r="F1011" s="686"/>
      <c r="G1011" s="686"/>
      <c r="H1011" s="56"/>
      <c r="I1011" s="56"/>
      <c r="J1011" s="56"/>
    </row>
    <row r="1012" spans="5:10" x14ac:dyDescent="0.2">
      <c r="E1012" s="61"/>
      <c r="F1012" s="686"/>
      <c r="G1012" s="686"/>
      <c r="H1012" s="56"/>
      <c r="I1012" s="56"/>
      <c r="J1012" s="56"/>
    </row>
    <row r="1013" spans="5:10" x14ac:dyDescent="0.2">
      <c r="E1013" s="61"/>
      <c r="F1013" s="686"/>
      <c r="G1013" s="686"/>
      <c r="H1013" s="56"/>
      <c r="I1013" s="56"/>
      <c r="J1013" s="56"/>
    </row>
    <row r="1014" spans="5:10" x14ac:dyDescent="0.2">
      <c r="E1014" s="61"/>
      <c r="F1014" s="686"/>
      <c r="G1014" s="686"/>
      <c r="H1014" s="56"/>
      <c r="I1014" s="56"/>
      <c r="J1014" s="56"/>
    </row>
    <row r="1015" spans="5:10" x14ac:dyDescent="0.2">
      <c r="E1015" s="61"/>
      <c r="F1015" s="686"/>
      <c r="G1015" s="686"/>
      <c r="H1015" s="56"/>
      <c r="I1015" s="56"/>
      <c r="J1015" s="56"/>
    </row>
    <row r="1016" spans="5:10" x14ac:dyDescent="0.2">
      <c r="E1016" s="61"/>
      <c r="F1016" s="686"/>
      <c r="G1016" s="686"/>
      <c r="H1016" s="56"/>
      <c r="I1016" s="56"/>
      <c r="J1016" s="56"/>
    </row>
    <row r="1017" spans="5:10" x14ac:dyDescent="0.2">
      <c r="E1017" s="61"/>
      <c r="F1017" s="686"/>
      <c r="G1017" s="686"/>
      <c r="H1017" s="56"/>
      <c r="I1017" s="56"/>
      <c r="J1017" s="56"/>
    </row>
    <row r="1018" spans="5:10" x14ac:dyDescent="0.2">
      <c r="E1018" s="61"/>
      <c r="F1018" s="686"/>
      <c r="G1018" s="686"/>
      <c r="H1018" s="56"/>
      <c r="I1018" s="56"/>
      <c r="J1018" s="56"/>
    </row>
    <row r="1019" spans="5:10" x14ac:dyDescent="0.2">
      <c r="E1019" s="61"/>
      <c r="F1019" s="686"/>
      <c r="G1019" s="686"/>
      <c r="H1019" s="56"/>
      <c r="I1019" s="56"/>
      <c r="J1019" s="56"/>
    </row>
    <row r="1020" spans="5:10" x14ac:dyDescent="0.2">
      <c r="E1020" s="61"/>
      <c r="F1020" s="686"/>
      <c r="G1020" s="686"/>
      <c r="H1020" s="56"/>
      <c r="I1020" s="56"/>
      <c r="J1020" s="56"/>
    </row>
    <row r="1021" spans="5:10" x14ac:dyDescent="0.2">
      <c r="E1021" s="61"/>
      <c r="F1021" s="686"/>
      <c r="G1021" s="686"/>
      <c r="H1021" s="56"/>
      <c r="I1021" s="56"/>
      <c r="J1021" s="56"/>
    </row>
    <row r="1022" spans="5:10" x14ac:dyDescent="0.2">
      <c r="E1022" s="61"/>
      <c r="F1022" s="686"/>
      <c r="G1022" s="686"/>
      <c r="H1022" s="56"/>
      <c r="I1022" s="56"/>
      <c r="J1022" s="56"/>
    </row>
    <row r="1023" spans="5:10" x14ac:dyDescent="0.2">
      <c r="E1023" s="61"/>
      <c r="F1023" s="686"/>
      <c r="G1023" s="686"/>
      <c r="H1023" s="56"/>
      <c r="I1023" s="56"/>
      <c r="J1023" s="56"/>
    </row>
    <row r="1024" spans="5:10" x14ac:dyDescent="0.2">
      <c r="E1024" s="61"/>
      <c r="F1024" s="686"/>
      <c r="G1024" s="686"/>
      <c r="H1024" s="56"/>
      <c r="I1024" s="56"/>
      <c r="J1024" s="56"/>
    </row>
    <row r="1025" spans="5:10" x14ac:dyDescent="0.2">
      <c r="E1025" s="61"/>
      <c r="F1025" s="686"/>
      <c r="G1025" s="686"/>
      <c r="H1025" s="56"/>
      <c r="I1025" s="56"/>
      <c r="J1025" s="56"/>
    </row>
    <row r="1026" spans="5:10" x14ac:dyDescent="0.2">
      <c r="E1026" s="61"/>
      <c r="F1026" s="686"/>
      <c r="G1026" s="686"/>
      <c r="H1026" s="56"/>
      <c r="I1026" s="56"/>
      <c r="J1026" s="56"/>
    </row>
    <row r="1027" spans="5:10" x14ac:dyDescent="0.2">
      <c r="E1027" s="61"/>
      <c r="F1027" s="686"/>
      <c r="G1027" s="686"/>
      <c r="H1027" s="56"/>
      <c r="I1027" s="56"/>
      <c r="J1027" s="56"/>
    </row>
    <row r="1028" spans="5:10" x14ac:dyDescent="0.2">
      <c r="E1028" s="61"/>
      <c r="F1028" s="686"/>
      <c r="G1028" s="686"/>
      <c r="H1028" s="56"/>
      <c r="I1028" s="56"/>
      <c r="J1028" s="56"/>
    </row>
    <row r="1029" spans="5:10" x14ac:dyDescent="0.2">
      <c r="E1029" s="61"/>
      <c r="F1029" s="686"/>
      <c r="G1029" s="686"/>
      <c r="H1029" s="56"/>
      <c r="I1029" s="56"/>
      <c r="J1029" s="56"/>
    </row>
    <row r="1030" spans="5:10" x14ac:dyDescent="0.2">
      <c r="E1030" s="61"/>
      <c r="F1030" s="686"/>
      <c r="G1030" s="686"/>
      <c r="H1030" s="56"/>
      <c r="I1030" s="56"/>
      <c r="J1030" s="56"/>
    </row>
    <row r="1031" spans="5:10" x14ac:dyDescent="0.2">
      <c r="E1031" s="61"/>
      <c r="F1031" s="686"/>
      <c r="G1031" s="686"/>
      <c r="H1031" s="56"/>
      <c r="I1031" s="56"/>
      <c r="J1031" s="56"/>
    </row>
    <row r="1032" spans="5:10" x14ac:dyDescent="0.2">
      <c r="E1032" s="61"/>
      <c r="F1032" s="686"/>
      <c r="G1032" s="686"/>
      <c r="H1032" s="56"/>
      <c r="I1032" s="56"/>
      <c r="J1032" s="56"/>
    </row>
    <row r="1033" spans="5:10" x14ac:dyDescent="0.2">
      <c r="E1033" s="61"/>
      <c r="F1033" s="686"/>
      <c r="G1033" s="686"/>
      <c r="H1033" s="56"/>
      <c r="I1033" s="56"/>
      <c r="J1033" s="56"/>
    </row>
    <row r="1034" spans="5:10" x14ac:dyDescent="0.2">
      <c r="E1034" s="61"/>
      <c r="F1034" s="686"/>
      <c r="G1034" s="686"/>
      <c r="H1034" s="56"/>
      <c r="I1034" s="56"/>
      <c r="J1034" s="56"/>
    </row>
    <row r="1035" spans="5:10" x14ac:dyDescent="0.2">
      <c r="E1035" s="61"/>
      <c r="F1035" s="686"/>
      <c r="G1035" s="686"/>
      <c r="H1035" s="56"/>
      <c r="I1035" s="56"/>
      <c r="J1035" s="56"/>
    </row>
    <row r="1036" spans="5:10" x14ac:dyDescent="0.2">
      <c r="E1036" s="61"/>
      <c r="F1036" s="686"/>
      <c r="G1036" s="686"/>
      <c r="H1036" s="56"/>
      <c r="I1036" s="56"/>
      <c r="J1036" s="56"/>
    </row>
    <row r="1037" spans="5:10" x14ac:dyDescent="0.2">
      <c r="E1037" s="61"/>
      <c r="F1037" s="686"/>
      <c r="G1037" s="686"/>
      <c r="H1037" s="56"/>
      <c r="I1037" s="56"/>
      <c r="J1037" s="56"/>
    </row>
    <row r="1038" spans="5:10" x14ac:dyDescent="0.2">
      <c r="E1038" s="61"/>
      <c r="F1038" s="686"/>
      <c r="G1038" s="686"/>
      <c r="H1038" s="56"/>
      <c r="I1038" s="56"/>
      <c r="J1038" s="56"/>
    </row>
    <row r="1039" spans="5:10" x14ac:dyDescent="0.2">
      <c r="E1039" s="61"/>
      <c r="F1039" s="686"/>
      <c r="G1039" s="686"/>
      <c r="H1039" s="56"/>
      <c r="I1039" s="56"/>
      <c r="J1039" s="56"/>
    </row>
    <row r="1040" spans="5:10" x14ac:dyDescent="0.2">
      <c r="E1040" s="61"/>
      <c r="F1040" s="686"/>
      <c r="G1040" s="686"/>
      <c r="H1040" s="56"/>
      <c r="I1040" s="56"/>
      <c r="J1040" s="56"/>
    </row>
    <row r="1041" spans="5:10" x14ac:dyDescent="0.2">
      <c r="E1041" s="61"/>
      <c r="F1041" s="686"/>
      <c r="G1041" s="686"/>
      <c r="H1041" s="56"/>
      <c r="I1041" s="56"/>
      <c r="J1041" s="56"/>
    </row>
    <row r="1042" spans="5:10" x14ac:dyDescent="0.2">
      <c r="E1042" s="61"/>
      <c r="F1042" s="686"/>
      <c r="G1042" s="686"/>
      <c r="H1042" s="56"/>
      <c r="I1042" s="56"/>
      <c r="J1042" s="56"/>
    </row>
    <row r="1043" spans="5:10" x14ac:dyDescent="0.2">
      <c r="E1043" s="61"/>
      <c r="F1043" s="686"/>
      <c r="G1043" s="686"/>
      <c r="H1043" s="56"/>
      <c r="I1043" s="56"/>
      <c r="J1043" s="56"/>
    </row>
    <row r="1044" spans="5:10" x14ac:dyDescent="0.2">
      <c r="E1044" s="61"/>
      <c r="F1044" s="686"/>
      <c r="G1044" s="686"/>
      <c r="H1044" s="56"/>
      <c r="I1044" s="56"/>
      <c r="J1044" s="56"/>
    </row>
    <row r="1045" spans="5:10" x14ac:dyDescent="0.2">
      <c r="E1045" s="61"/>
      <c r="F1045" s="686"/>
      <c r="G1045" s="686"/>
      <c r="H1045" s="56"/>
      <c r="I1045" s="56"/>
      <c r="J1045" s="56"/>
    </row>
    <row r="1046" spans="5:10" x14ac:dyDescent="0.2">
      <c r="E1046" s="61"/>
      <c r="F1046" s="686"/>
      <c r="G1046" s="686"/>
      <c r="H1046" s="56"/>
      <c r="I1046" s="56"/>
      <c r="J1046" s="56"/>
    </row>
    <row r="1047" spans="5:10" x14ac:dyDescent="0.2">
      <c r="E1047" s="61"/>
      <c r="F1047" s="686"/>
      <c r="G1047" s="686"/>
      <c r="H1047" s="56"/>
      <c r="I1047" s="56"/>
      <c r="J1047" s="56"/>
    </row>
    <row r="1048" spans="5:10" x14ac:dyDescent="0.2">
      <c r="E1048" s="61"/>
      <c r="F1048" s="686"/>
      <c r="G1048" s="686"/>
      <c r="H1048" s="56"/>
      <c r="I1048" s="56"/>
      <c r="J1048" s="56"/>
    </row>
    <row r="1049" spans="5:10" x14ac:dyDescent="0.2">
      <c r="E1049" s="61"/>
      <c r="F1049" s="686"/>
      <c r="G1049" s="686"/>
      <c r="H1049" s="56"/>
      <c r="I1049" s="56"/>
      <c r="J1049" s="56"/>
    </row>
    <row r="1050" spans="5:10" x14ac:dyDescent="0.2">
      <c r="E1050" s="61"/>
      <c r="F1050" s="686"/>
      <c r="G1050" s="686"/>
      <c r="H1050" s="56"/>
      <c r="I1050" s="56"/>
      <c r="J1050" s="56"/>
    </row>
    <row r="1051" spans="5:10" x14ac:dyDescent="0.2">
      <c r="E1051" s="61"/>
      <c r="F1051" s="686"/>
      <c r="G1051" s="686"/>
      <c r="H1051" s="56"/>
      <c r="I1051" s="56"/>
      <c r="J1051" s="56"/>
    </row>
    <row r="1052" spans="5:10" x14ac:dyDescent="0.2">
      <c r="E1052" s="61"/>
      <c r="F1052" s="686"/>
      <c r="G1052" s="686"/>
      <c r="H1052" s="56"/>
      <c r="I1052" s="56"/>
      <c r="J1052" s="56"/>
    </row>
    <row r="1053" spans="5:10" x14ac:dyDescent="0.2">
      <c r="E1053" s="61"/>
      <c r="F1053" s="686"/>
      <c r="G1053" s="686"/>
      <c r="H1053" s="56"/>
      <c r="I1053" s="56"/>
      <c r="J1053" s="56"/>
    </row>
    <row r="1054" spans="5:10" x14ac:dyDescent="0.2">
      <c r="E1054" s="61"/>
      <c r="F1054" s="686"/>
      <c r="G1054" s="686"/>
      <c r="H1054" s="56"/>
      <c r="I1054" s="56"/>
      <c r="J1054" s="56"/>
    </row>
    <row r="1055" spans="5:10" x14ac:dyDescent="0.2">
      <c r="E1055" s="61"/>
      <c r="F1055" s="686"/>
      <c r="G1055" s="686"/>
      <c r="H1055" s="56"/>
      <c r="I1055" s="56"/>
      <c r="J1055" s="56"/>
    </row>
    <row r="1056" spans="5:10" x14ac:dyDescent="0.2">
      <c r="E1056" s="61"/>
      <c r="F1056" s="686"/>
      <c r="G1056" s="686"/>
      <c r="H1056" s="56"/>
      <c r="I1056" s="56"/>
      <c r="J1056" s="56"/>
    </row>
    <row r="1057" spans="5:10" x14ac:dyDescent="0.2">
      <c r="E1057" s="61"/>
      <c r="F1057" s="686"/>
      <c r="G1057" s="686"/>
      <c r="H1057" s="56"/>
      <c r="I1057" s="56"/>
      <c r="J1057" s="56"/>
    </row>
    <row r="1058" spans="5:10" x14ac:dyDescent="0.2">
      <c r="E1058" s="61"/>
      <c r="F1058" s="686"/>
      <c r="G1058" s="686"/>
      <c r="H1058" s="56"/>
      <c r="I1058" s="56"/>
      <c r="J1058" s="56"/>
    </row>
    <row r="1059" spans="5:10" x14ac:dyDescent="0.2">
      <c r="E1059" s="61"/>
      <c r="F1059" s="686"/>
      <c r="G1059" s="686"/>
      <c r="H1059" s="56"/>
      <c r="I1059" s="56"/>
      <c r="J1059" s="56"/>
    </row>
    <row r="1060" spans="5:10" x14ac:dyDescent="0.2">
      <c r="E1060" s="61"/>
      <c r="F1060" s="686"/>
      <c r="G1060" s="686"/>
      <c r="H1060" s="56"/>
      <c r="I1060" s="56"/>
      <c r="J1060" s="56"/>
    </row>
    <row r="1061" spans="5:10" x14ac:dyDescent="0.2">
      <c r="E1061" s="61"/>
      <c r="F1061" s="686"/>
      <c r="G1061" s="686"/>
      <c r="H1061" s="56"/>
      <c r="I1061" s="56"/>
      <c r="J1061" s="56"/>
    </row>
    <row r="1062" spans="5:10" x14ac:dyDescent="0.2">
      <c r="E1062" s="61"/>
      <c r="F1062" s="686"/>
      <c r="G1062" s="686"/>
      <c r="H1062" s="56"/>
      <c r="I1062" s="56"/>
      <c r="J1062" s="56"/>
    </row>
    <row r="1063" spans="5:10" x14ac:dyDescent="0.2">
      <c r="E1063" s="61"/>
      <c r="F1063" s="686"/>
      <c r="G1063" s="686"/>
      <c r="H1063" s="56"/>
      <c r="I1063" s="56"/>
      <c r="J1063" s="56"/>
    </row>
    <row r="1064" spans="5:10" x14ac:dyDescent="0.2">
      <c r="E1064" s="61"/>
      <c r="F1064" s="686"/>
      <c r="G1064" s="686"/>
      <c r="H1064" s="56"/>
      <c r="I1064" s="56"/>
      <c r="J1064" s="56"/>
    </row>
    <row r="1065" spans="5:10" x14ac:dyDescent="0.2">
      <c r="E1065" s="61"/>
      <c r="F1065" s="686"/>
      <c r="G1065" s="686"/>
      <c r="H1065" s="56"/>
      <c r="I1065" s="56"/>
      <c r="J1065" s="56"/>
    </row>
    <row r="1066" spans="5:10" x14ac:dyDescent="0.2">
      <c r="E1066" s="61"/>
      <c r="F1066" s="686"/>
      <c r="G1066" s="686"/>
      <c r="H1066" s="56"/>
      <c r="I1066" s="56"/>
      <c r="J1066" s="56"/>
    </row>
    <row r="1067" spans="5:10" x14ac:dyDescent="0.2">
      <c r="E1067" s="61"/>
      <c r="F1067" s="686"/>
      <c r="G1067" s="686"/>
      <c r="H1067" s="56"/>
      <c r="I1067" s="56"/>
      <c r="J1067" s="56"/>
    </row>
    <row r="1068" spans="5:10" x14ac:dyDescent="0.2">
      <c r="E1068" s="61"/>
      <c r="F1068" s="686"/>
      <c r="G1068" s="686"/>
      <c r="H1068" s="56"/>
      <c r="I1068" s="56"/>
      <c r="J1068" s="56"/>
    </row>
    <row r="1069" spans="5:10" x14ac:dyDescent="0.2">
      <c r="E1069" s="61"/>
      <c r="F1069" s="686"/>
      <c r="G1069" s="686"/>
      <c r="H1069" s="56"/>
      <c r="I1069" s="56"/>
      <c r="J1069" s="56"/>
    </row>
    <row r="1070" spans="5:10" x14ac:dyDescent="0.2">
      <c r="E1070" s="61"/>
      <c r="F1070" s="686"/>
      <c r="G1070" s="686"/>
      <c r="H1070" s="56"/>
      <c r="I1070" s="56"/>
      <c r="J1070" s="56"/>
    </row>
    <row r="1071" spans="5:10" x14ac:dyDescent="0.2">
      <c r="E1071" s="61"/>
      <c r="F1071" s="686"/>
      <c r="G1071" s="686"/>
      <c r="H1071" s="56"/>
      <c r="I1071" s="56"/>
      <c r="J1071" s="56"/>
    </row>
    <row r="1072" spans="5:10" x14ac:dyDescent="0.2">
      <c r="E1072" s="61"/>
      <c r="F1072" s="686"/>
      <c r="G1072" s="686"/>
      <c r="H1072" s="56"/>
      <c r="I1072" s="56"/>
      <c r="J1072" s="56"/>
    </row>
    <row r="1073" spans="5:10" x14ac:dyDescent="0.2">
      <c r="E1073" s="61"/>
      <c r="F1073" s="686"/>
      <c r="G1073" s="686"/>
      <c r="H1073" s="56"/>
      <c r="I1073" s="56"/>
      <c r="J1073" s="56"/>
    </row>
    <row r="1074" spans="5:10" x14ac:dyDescent="0.2">
      <c r="E1074" s="61"/>
      <c r="F1074" s="686"/>
      <c r="G1074" s="686"/>
      <c r="H1074" s="56"/>
      <c r="I1074" s="56"/>
      <c r="J1074" s="56"/>
    </row>
    <row r="1075" spans="5:10" x14ac:dyDescent="0.2">
      <c r="E1075" s="61"/>
      <c r="F1075" s="686"/>
      <c r="G1075" s="686"/>
      <c r="H1075" s="56"/>
      <c r="I1075" s="56"/>
      <c r="J1075" s="56"/>
    </row>
    <row r="1076" spans="5:10" x14ac:dyDescent="0.2">
      <c r="E1076" s="61"/>
      <c r="F1076" s="686"/>
      <c r="G1076" s="686"/>
      <c r="H1076" s="56"/>
      <c r="I1076" s="56"/>
      <c r="J1076" s="56"/>
    </row>
    <row r="1077" spans="5:10" x14ac:dyDescent="0.2">
      <c r="E1077" s="61"/>
      <c r="F1077" s="686"/>
      <c r="G1077" s="686"/>
      <c r="H1077" s="56"/>
      <c r="I1077" s="56"/>
      <c r="J1077" s="56"/>
    </row>
    <row r="1078" spans="5:10" x14ac:dyDescent="0.2">
      <c r="E1078" s="61"/>
      <c r="F1078" s="686"/>
      <c r="G1078" s="686"/>
      <c r="H1078" s="56"/>
      <c r="I1078" s="56"/>
      <c r="J1078" s="56"/>
    </row>
    <row r="1079" spans="5:10" x14ac:dyDescent="0.2">
      <c r="E1079" s="61"/>
      <c r="F1079" s="686"/>
      <c r="G1079" s="686"/>
      <c r="H1079" s="56"/>
      <c r="I1079" s="56"/>
      <c r="J1079" s="56"/>
    </row>
    <row r="1080" spans="5:10" x14ac:dyDescent="0.2">
      <c r="E1080" s="61"/>
      <c r="F1080" s="686"/>
      <c r="G1080" s="686"/>
      <c r="H1080" s="56"/>
      <c r="I1080" s="56"/>
      <c r="J1080" s="56"/>
    </row>
    <row r="1081" spans="5:10" x14ac:dyDescent="0.2">
      <c r="E1081" s="61"/>
      <c r="F1081" s="686"/>
      <c r="G1081" s="686"/>
      <c r="H1081" s="56"/>
      <c r="I1081" s="56"/>
      <c r="J1081" s="56"/>
    </row>
    <row r="1082" spans="5:10" x14ac:dyDescent="0.2">
      <c r="E1082" s="61"/>
      <c r="F1082" s="686"/>
      <c r="G1082" s="686"/>
      <c r="H1082" s="56"/>
      <c r="I1082" s="56"/>
      <c r="J1082" s="56"/>
    </row>
    <row r="1083" spans="5:10" x14ac:dyDescent="0.2">
      <c r="E1083" s="61"/>
      <c r="F1083" s="686"/>
      <c r="G1083" s="686"/>
      <c r="H1083" s="56"/>
      <c r="I1083" s="56"/>
      <c r="J1083" s="56"/>
    </row>
    <row r="1084" spans="5:10" x14ac:dyDescent="0.2">
      <c r="E1084" s="61"/>
      <c r="F1084" s="686"/>
      <c r="G1084" s="686"/>
      <c r="H1084" s="56"/>
      <c r="I1084" s="56"/>
      <c r="J1084" s="56"/>
    </row>
    <row r="1085" spans="5:10" x14ac:dyDescent="0.2">
      <c r="E1085" s="61"/>
      <c r="F1085" s="686"/>
      <c r="G1085" s="686"/>
      <c r="H1085" s="56"/>
      <c r="I1085" s="56"/>
      <c r="J1085" s="56"/>
    </row>
    <row r="1086" spans="5:10" x14ac:dyDescent="0.2">
      <c r="E1086" s="61"/>
      <c r="F1086" s="686"/>
      <c r="G1086" s="686"/>
      <c r="H1086" s="56"/>
      <c r="I1086" s="56"/>
      <c r="J1086" s="56"/>
    </row>
    <row r="1087" spans="5:10" x14ac:dyDescent="0.2">
      <c r="E1087" s="61"/>
      <c r="F1087" s="686"/>
      <c r="G1087" s="686"/>
      <c r="H1087" s="56"/>
      <c r="I1087" s="56"/>
      <c r="J1087" s="56"/>
    </row>
    <row r="1088" spans="5:10" x14ac:dyDescent="0.2">
      <c r="E1088" s="61"/>
      <c r="F1088" s="686"/>
      <c r="G1088" s="686"/>
      <c r="H1088" s="56"/>
      <c r="I1088" s="56"/>
      <c r="J1088" s="56"/>
    </row>
    <row r="1089" spans="5:10" x14ac:dyDescent="0.2">
      <c r="E1089" s="61"/>
      <c r="F1089" s="686"/>
      <c r="G1089" s="686"/>
      <c r="H1089" s="56"/>
      <c r="I1089" s="56"/>
      <c r="J1089" s="56"/>
    </row>
    <row r="1090" spans="5:10" x14ac:dyDescent="0.2">
      <c r="E1090" s="61"/>
      <c r="F1090" s="686"/>
      <c r="G1090" s="686"/>
      <c r="H1090" s="56"/>
      <c r="I1090" s="56"/>
      <c r="J1090" s="56"/>
    </row>
    <row r="1091" spans="5:10" x14ac:dyDescent="0.2">
      <c r="E1091" s="61"/>
      <c r="F1091" s="686"/>
      <c r="G1091" s="686"/>
      <c r="H1091" s="56"/>
      <c r="I1091" s="56"/>
      <c r="J1091" s="56"/>
    </row>
    <row r="1092" spans="5:10" x14ac:dyDescent="0.2">
      <c r="E1092" s="61"/>
      <c r="F1092" s="686"/>
      <c r="G1092" s="686"/>
      <c r="H1092" s="56"/>
      <c r="I1092" s="56"/>
      <c r="J1092" s="56"/>
    </row>
    <row r="1093" spans="5:10" x14ac:dyDescent="0.2">
      <c r="E1093" s="61"/>
      <c r="F1093" s="686"/>
      <c r="G1093" s="686"/>
      <c r="H1093" s="56"/>
      <c r="I1093" s="56"/>
      <c r="J1093" s="56"/>
    </row>
    <row r="1094" spans="5:10" x14ac:dyDescent="0.2">
      <c r="E1094" s="61"/>
      <c r="F1094" s="686"/>
      <c r="G1094" s="686"/>
      <c r="H1094" s="56"/>
      <c r="I1094" s="56"/>
      <c r="J1094" s="56"/>
    </row>
    <row r="1095" spans="5:10" x14ac:dyDescent="0.2">
      <c r="E1095" s="61"/>
      <c r="F1095" s="686"/>
      <c r="G1095" s="686"/>
      <c r="H1095" s="56"/>
      <c r="I1095" s="56"/>
      <c r="J1095" s="56"/>
    </row>
    <row r="1096" spans="5:10" x14ac:dyDescent="0.2">
      <c r="E1096" s="61"/>
      <c r="F1096" s="686"/>
      <c r="G1096" s="686"/>
      <c r="H1096" s="56"/>
      <c r="I1096" s="56"/>
      <c r="J1096" s="56"/>
    </row>
    <row r="1097" spans="5:10" x14ac:dyDescent="0.2">
      <c r="E1097" s="61"/>
      <c r="F1097" s="686"/>
      <c r="G1097" s="686"/>
      <c r="H1097" s="56"/>
      <c r="I1097" s="56"/>
      <c r="J1097" s="56"/>
    </row>
    <row r="1098" spans="5:10" x14ac:dyDescent="0.2">
      <c r="E1098" s="61"/>
      <c r="F1098" s="686"/>
      <c r="G1098" s="686"/>
      <c r="H1098" s="56"/>
      <c r="I1098" s="56"/>
      <c r="J1098" s="56"/>
    </row>
    <row r="1099" spans="5:10" x14ac:dyDescent="0.2">
      <c r="E1099" s="61"/>
      <c r="F1099" s="686"/>
      <c r="G1099" s="686"/>
      <c r="H1099" s="56"/>
      <c r="I1099" s="56"/>
      <c r="J1099" s="56"/>
    </row>
    <row r="1100" spans="5:10" x14ac:dyDescent="0.2">
      <c r="E1100" s="61"/>
      <c r="F1100" s="686"/>
      <c r="G1100" s="686"/>
      <c r="H1100" s="56"/>
      <c r="I1100" s="56"/>
      <c r="J1100" s="56"/>
    </row>
    <row r="1101" spans="5:10" x14ac:dyDescent="0.2">
      <c r="E1101" s="61"/>
      <c r="F1101" s="686"/>
      <c r="G1101" s="686"/>
      <c r="H1101" s="56"/>
      <c r="I1101" s="56"/>
      <c r="J1101" s="56"/>
    </row>
    <row r="1102" spans="5:10" x14ac:dyDescent="0.2">
      <c r="E1102" s="61"/>
      <c r="F1102" s="686"/>
      <c r="G1102" s="686"/>
      <c r="H1102" s="56"/>
      <c r="I1102" s="56"/>
      <c r="J1102" s="56"/>
    </row>
    <row r="1103" spans="5:10" x14ac:dyDescent="0.2">
      <c r="E1103" s="61"/>
      <c r="F1103" s="686"/>
      <c r="G1103" s="686"/>
      <c r="H1103" s="56"/>
      <c r="I1103" s="56"/>
      <c r="J1103" s="56"/>
    </row>
    <row r="1104" spans="5:10" x14ac:dyDescent="0.2">
      <c r="E1104" s="61"/>
      <c r="F1104" s="686"/>
      <c r="G1104" s="686"/>
      <c r="H1104" s="56"/>
      <c r="I1104" s="56"/>
      <c r="J1104" s="56"/>
    </row>
    <row r="1105" spans="5:10" x14ac:dyDescent="0.2">
      <c r="E1105" s="61"/>
      <c r="F1105" s="686"/>
      <c r="G1105" s="686"/>
      <c r="H1105" s="56"/>
      <c r="I1105" s="56"/>
      <c r="J1105" s="56"/>
    </row>
    <row r="1106" spans="5:10" x14ac:dyDescent="0.2">
      <c r="E1106" s="61"/>
      <c r="F1106" s="686"/>
      <c r="G1106" s="686"/>
      <c r="H1106" s="56"/>
      <c r="I1106" s="56"/>
      <c r="J1106" s="56"/>
    </row>
    <row r="1107" spans="5:10" x14ac:dyDescent="0.2">
      <c r="E1107" s="61"/>
      <c r="F1107" s="686"/>
      <c r="G1107" s="686"/>
      <c r="H1107" s="56"/>
      <c r="I1107" s="56"/>
      <c r="J1107" s="56"/>
    </row>
    <row r="1108" spans="5:10" x14ac:dyDescent="0.2">
      <c r="E1108" s="61"/>
      <c r="F1108" s="686"/>
      <c r="G1108" s="686"/>
      <c r="H1108" s="56"/>
      <c r="I1108" s="56"/>
      <c r="J1108" s="56"/>
    </row>
    <row r="1109" spans="5:10" x14ac:dyDescent="0.2">
      <c r="E1109" s="61"/>
      <c r="F1109" s="686"/>
      <c r="G1109" s="686"/>
      <c r="H1109" s="56"/>
      <c r="I1109" s="56"/>
      <c r="J1109" s="56"/>
    </row>
    <row r="1110" spans="5:10" x14ac:dyDescent="0.2">
      <c r="E1110" s="61"/>
      <c r="F1110" s="686"/>
      <c r="G1110" s="686"/>
      <c r="H1110" s="56"/>
      <c r="I1110" s="56"/>
      <c r="J1110" s="56"/>
    </row>
    <row r="1111" spans="5:10" x14ac:dyDescent="0.2">
      <c r="E1111" s="61"/>
      <c r="F1111" s="686"/>
      <c r="G1111" s="686"/>
      <c r="H1111" s="56"/>
      <c r="I1111" s="56"/>
      <c r="J1111" s="56"/>
    </row>
    <row r="1112" spans="5:10" x14ac:dyDescent="0.2">
      <c r="E1112" s="61"/>
      <c r="F1112" s="686"/>
      <c r="G1112" s="686"/>
      <c r="H1112" s="56"/>
      <c r="I1112" s="56"/>
      <c r="J1112" s="56"/>
    </row>
    <row r="1113" spans="5:10" x14ac:dyDescent="0.2">
      <c r="E1113" s="61"/>
      <c r="F1113" s="686"/>
      <c r="G1113" s="686"/>
      <c r="H1113" s="56"/>
      <c r="I1113" s="56"/>
      <c r="J1113" s="56"/>
    </row>
    <row r="1114" spans="5:10" x14ac:dyDescent="0.2">
      <c r="E1114" s="61"/>
      <c r="F1114" s="686"/>
      <c r="G1114" s="686"/>
      <c r="H1114" s="56"/>
      <c r="I1114" s="56"/>
      <c r="J1114" s="56"/>
    </row>
    <row r="1115" spans="5:10" x14ac:dyDescent="0.2">
      <c r="E1115" s="61"/>
      <c r="F1115" s="686"/>
      <c r="G1115" s="686"/>
      <c r="H1115" s="56"/>
      <c r="I1115" s="56"/>
      <c r="J1115" s="56"/>
    </row>
    <row r="1116" spans="5:10" x14ac:dyDescent="0.2">
      <c r="E1116" s="61"/>
      <c r="F1116" s="686"/>
      <c r="G1116" s="686"/>
      <c r="H1116" s="56"/>
      <c r="I1116" s="56"/>
      <c r="J1116" s="56"/>
    </row>
    <row r="1117" spans="5:10" x14ac:dyDescent="0.2">
      <c r="E1117" s="61"/>
      <c r="F1117" s="686"/>
      <c r="G1117" s="686"/>
      <c r="H1117" s="56"/>
      <c r="I1117" s="56"/>
      <c r="J1117" s="56"/>
    </row>
    <row r="1118" spans="5:10" x14ac:dyDescent="0.2">
      <c r="E1118" s="61"/>
      <c r="F1118" s="686"/>
      <c r="G1118" s="686"/>
      <c r="H1118" s="56"/>
      <c r="I1118" s="56"/>
      <c r="J1118" s="56"/>
    </row>
    <row r="1119" spans="5:10" x14ac:dyDescent="0.2">
      <c r="E1119" s="61"/>
      <c r="F1119" s="686"/>
      <c r="G1119" s="686"/>
      <c r="H1119" s="56"/>
      <c r="I1119" s="56"/>
      <c r="J1119" s="56"/>
    </row>
    <row r="1120" spans="5:10" x14ac:dyDescent="0.2">
      <c r="E1120" s="61"/>
      <c r="F1120" s="686"/>
      <c r="G1120" s="686"/>
      <c r="H1120" s="56"/>
      <c r="I1120" s="56"/>
      <c r="J1120" s="56"/>
    </row>
    <row r="1121" spans="5:10" x14ac:dyDescent="0.2">
      <c r="E1121" s="61"/>
      <c r="F1121" s="686"/>
      <c r="G1121" s="686"/>
      <c r="H1121" s="56"/>
      <c r="I1121" s="56"/>
      <c r="J1121" s="56"/>
    </row>
    <row r="1122" spans="5:10" x14ac:dyDescent="0.2">
      <c r="E1122" s="61"/>
      <c r="F1122" s="686"/>
      <c r="G1122" s="686"/>
      <c r="H1122" s="56"/>
      <c r="I1122" s="56"/>
      <c r="J1122" s="56"/>
    </row>
    <row r="1123" spans="5:10" x14ac:dyDescent="0.2">
      <c r="E1123" s="61"/>
      <c r="F1123" s="686"/>
      <c r="G1123" s="686"/>
      <c r="H1123" s="56"/>
      <c r="I1123" s="56"/>
      <c r="J1123" s="56"/>
    </row>
    <row r="1124" spans="5:10" x14ac:dyDescent="0.2">
      <c r="E1124" s="61"/>
      <c r="F1124" s="686"/>
      <c r="G1124" s="686"/>
      <c r="H1124" s="56"/>
      <c r="I1124" s="56"/>
      <c r="J1124" s="56"/>
    </row>
    <row r="1125" spans="5:10" x14ac:dyDescent="0.2">
      <c r="E1125" s="61"/>
      <c r="F1125" s="686"/>
      <c r="G1125" s="686"/>
      <c r="H1125" s="56"/>
      <c r="I1125" s="56"/>
      <c r="J1125" s="56"/>
    </row>
    <row r="1126" spans="5:10" x14ac:dyDescent="0.2">
      <c r="E1126" s="61"/>
      <c r="F1126" s="686"/>
      <c r="G1126" s="686"/>
      <c r="H1126" s="56"/>
      <c r="I1126" s="56"/>
      <c r="J1126" s="56"/>
    </row>
    <row r="1127" spans="5:10" x14ac:dyDescent="0.2">
      <c r="E1127" s="61"/>
      <c r="F1127" s="686"/>
      <c r="G1127" s="686"/>
      <c r="H1127" s="56"/>
      <c r="I1127" s="56"/>
      <c r="J1127" s="56"/>
    </row>
    <row r="1128" spans="5:10" x14ac:dyDescent="0.2">
      <c r="E1128" s="61"/>
      <c r="F1128" s="686"/>
      <c r="G1128" s="686"/>
      <c r="H1128" s="56"/>
      <c r="I1128" s="56"/>
      <c r="J1128" s="56"/>
    </row>
    <row r="1129" spans="5:10" x14ac:dyDescent="0.2">
      <c r="E1129" s="61"/>
      <c r="F1129" s="686"/>
      <c r="G1129" s="686"/>
      <c r="H1129" s="56"/>
      <c r="I1129" s="56"/>
      <c r="J1129" s="56"/>
    </row>
    <row r="1130" spans="5:10" x14ac:dyDescent="0.2">
      <c r="E1130" s="61"/>
      <c r="F1130" s="686"/>
      <c r="G1130" s="686"/>
      <c r="H1130" s="56"/>
      <c r="I1130" s="56"/>
      <c r="J1130" s="56"/>
    </row>
    <row r="1131" spans="5:10" x14ac:dyDescent="0.2">
      <c r="E1131" s="61"/>
      <c r="F1131" s="686"/>
      <c r="G1131" s="686"/>
      <c r="H1131" s="56"/>
      <c r="I1131" s="56"/>
      <c r="J1131" s="56"/>
    </row>
    <row r="1132" spans="5:10" x14ac:dyDescent="0.2">
      <c r="E1132" s="61"/>
      <c r="F1132" s="686"/>
      <c r="G1132" s="686"/>
      <c r="H1132" s="56"/>
      <c r="I1132" s="56"/>
      <c r="J1132" s="56"/>
    </row>
    <row r="1133" spans="5:10" x14ac:dyDescent="0.2">
      <c r="E1133" s="61"/>
      <c r="F1133" s="686"/>
      <c r="G1133" s="686"/>
      <c r="H1133" s="56"/>
      <c r="I1133" s="56"/>
      <c r="J1133" s="56"/>
    </row>
    <row r="1134" spans="5:10" x14ac:dyDescent="0.2">
      <c r="E1134" s="61"/>
      <c r="F1134" s="686"/>
      <c r="G1134" s="686"/>
      <c r="H1134" s="56"/>
      <c r="I1134" s="56"/>
      <c r="J1134" s="56"/>
    </row>
    <row r="1135" spans="5:10" x14ac:dyDescent="0.2">
      <c r="E1135" s="61"/>
      <c r="F1135" s="686"/>
      <c r="G1135" s="686"/>
      <c r="H1135" s="56"/>
      <c r="I1135" s="56"/>
      <c r="J1135" s="56"/>
    </row>
    <row r="1136" spans="5:10" x14ac:dyDescent="0.2">
      <c r="E1136" s="61"/>
      <c r="F1136" s="686"/>
      <c r="G1136" s="686"/>
      <c r="H1136" s="56"/>
      <c r="I1136" s="56"/>
      <c r="J1136" s="56"/>
    </row>
    <row r="1137" spans="5:10" x14ac:dyDescent="0.2">
      <c r="E1137" s="61"/>
      <c r="F1137" s="686"/>
      <c r="G1137" s="686"/>
      <c r="H1137" s="56"/>
      <c r="I1137" s="56"/>
      <c r="J1137" s="56"/>
    </row>
    <row r="1138" spans="5:10" x14ac:dyDescent="0.2">
      <c r="E1138" s="61"/>
      <c r="F1138" s="686"/>
      <c r="G1138" s="686"/>
      <c r="H1138" s="56"/>
      <c r="I1138" s="56"/>
      <c r="J1138" s="56"/>
    </row>
    <row r="1139" spans="5:10" x14ac:dyDescent="0.2">
      <c r="E1139" s="61"/>
      <c r="F1139" s="686"/>
      <c r="G1139" s="686"/>
      <c r="H1139" s="56"/>
      <c r="I1139" s="56"/>
      <c r="J1139" s="56"/>
    </row>
    <row r="1140" spans="5:10" x14ac:dyDescent="0.2">
      <c r="E1140" s="61"/>
      <c r="F1140" s="686"/>
      <c r="G1140" s="686"/>
      <c r="H1140" s="56"/>
      <c r="I1140" s="56"/>
      <c r="J1140" s="56"/>
    </row>
    <row r="1141" spans="5:10" x14ac:dyDescent="0.2">
      <c r="E1141" s="61"/>
      <c r="F1141" s="686"/>
      <c r="G1141" s="686"/>
      <c r="H1141" s="56"/>
      <c r="I1141" s="56"/>
      <c r="J1141" s="56"/>
    </row>
    <row r="1142" spans="5:10" x14ac:dyDescent="0.2">
      <c r="E1142" s="61"/>
      <c r="F1142" s="686"/>
      <c r="G1142" s="686"/>
      <c r="H1142" s="56"/>
      <c r="I1142" s="56"/>
      <c r="J1142" s="56"/>
    </row>
    <row r="1143" spans="5:10" x14ac:dyDescent="0.2">
      <c r="E1143" s="61"/>
      <c r="F1143" s="686"/>
      <c r="G1143" s="686"/>
      <c r="H1143" s="56"/>
      <c r="I1143" s="56"/>
      <c r="J1143" s="56"/>
    </row>
    <row r="1144" spans="5:10" x14ac:dyDescent="0.2">
      <c r="E1144" s="61"/>
      <c r="F1144" s="686"/>
      <c r="G1144" s="686"/>
      <c r="H1144" s="56"/>
      <c r="I1144" s="56"/>
      <c r="J1144" s="56"/>
    </row>
    <row r="1145" spans="5:10" x14ac:dyDescent="0.2">
      <c r="E1145" s="61"/>
      <c r="F1145" s="686"/>
      <c r="G1145" s="686"/>
      <c r="H1145" s="56"/>
      <c r="I1145" s="56"/>
      <c r="J1145" s="56"/>
    </row>
    <row r="1146" spans="5:10" x14ac:dyDescent="0.2">
      <c r="E1146" s="61"/>
      <c r="F1146" s="686"/>
      <c r="G1146" s="686"/>
      <c r="H1146" s="56"/>
      <c r="I1146" s="56"/>
      <c r="J1146" s="56"/>
    </row>
    <row r="1147" spans="5:10" x14ac:dyDescent="0.2">
      <c r="E1147" s="61"/>
      <c r="F1147" s="686"/>
      <c r="G1147" s="686"/>
      <c r="H1147" s="56"/>
      <c r="I1147" s="56"/>
      <c r="J1147" s="56"/>
    </row>
    <row r="1148" spans="5:10" x14ac:dyDescent="0.2">
      <c r="E1148" s="61"/>
      <c r="F1148" s="686"/>
      <c r="G1148" s="686"/>
      <c r="H1148" s="56"/>
      <c r="I1148" s="56"/>
      <c r="J1148" s="56"/>
    </row>
    <row r="1149" spans="5:10" x14ac:dyDescent="0.2">
      <c r="E1149" s="61"/>
      <c r="F1149" s="686"/>
      <c r="G1149" s="686"/>
      <c r="H1149" s="56"/>
      <c r="I1149" s="56"/>
      <c r="J1149" s="56"/>
    </row>
    <row r="1150" spans="5:10" x14ac:dyDescent="0.2">
      <c r="E1150" s="61"/>
      <c r="F1150" s="686"/>
      <c r="G1150" s="686"/>
      <c r="H1150" s="56"/>
      <c r="I1150" s="56"/>
      <c r="J1150" s="56"/>
    </row>
    <row r="1151" spans="5:10" x14ac:dyDescent="0.2">
      <c r="E1151" s="61"/>
      <c r="F1151" s="686"/>
      <c r="G1151" s="686"/>
      <c r="H1151" s="56"/>
      <c r="I1151" s="56"/>
      <c r="J1151" s="56"/>
    </row>
    <row r="1152" spans="5:10" x14ac:dyDescent="0.2">
      <c r="E1152" s="61"/>
      <c r="F1152" s="686"/>
      <c r="G1152" s="686"/>
      <c r="H1152" s="56"/>
      <c r="I1152" s="56"/>
      <c r="J1152" s="56"/>
    </row>
    <row r="1153" spans="5:10" x14ac:dyDescent="0.2">
      <c r="E1153" s="61"/>
      <c r="F1153" s="686"/>
      <c r="G1153" s="686"/>
      <c r="H1153" s="56"/>
      <c r="I1153" s="56"/>
      <c r="J1153" s="56"/>
    </row>
    <row r="1154" spans="5:10" x14ac:dyDescent="0.2">
      <c r="E1154" s="61"/>
      <c r="F1154" s="686"/>
      <c r="G1154" s="686"/>
      <c r="H1154" s="56"/>
      <c r="I1154" s="56"/>
      <c r="J1154" s="56"/>
    </row>
    <row r="1155" spans="5:10" x14ac:dyDescent="0.2">
      <c r="E1155" s="61"/>
      <c r="F1155" s="686"/>
      <c r="G1155" s="686"/>
      <c r="H1155" s="56"/>
      <c r="I1155" s="56"/>
      <c r="J1155" s="56"/>
    </row>
    <row r="1156" spans="5:10" x14ac:dyDescent="0.2">
      <c r="E1156" s="61"/>
      <c r="F1156" s="686"/>
      <c r="G1156" s="686"/>
      <c r="H1156" s="56"/>
      <c r="I1156" s="56"/>
      <c r="J1156" s="56"/>
    </row>
    <row r="1157" spans="5:10" x14ac:dyDescent="0.2">
      <c r="E1157" s="61"/>
      <c r="F1157" s="686"/>
      <c r="G1157" s="686"/>
      <c r="H1157" s="56"/>
      <c r="I1157" s="56"/>
      <c r="J1157" s="56"/>
    </row>
    <row r="1158" spans="5:10" x14ac:dyDescent="0.2">
      <c r="E1158" s="61"/>
      <c r="F1158" s="686"/>
      <c r="G1158" s="686"/>
      <c r="H1158" s="56"/>
      <c r="I1158" s="56"/>
      <c r="J1158" s="56"/>
    </row>
    <row r="1159" spans="5:10" x14ac:dyDescent="0.2">
      <c r="E1159" s="61"/>
      <c r="F1159" s="686"/>
      <c r="G1159" s="686"/>
      <c r="H1159" s="56"/>
      <c r="I1159" s="56"/>
      <c r="J1159" s="56"/>
    </row>
    <row r="1160" spans="5:10" x14ac:dyDescent="0.2">
      <c r="E1160" s="61"/>
      <c r="F1160" s="686"/>
      <c r="G1160" s="686"/>
      <c r="H1160" s="56"/>
      <c r="I1160" s="56"/>
      <c r="J1160" s="56"/>
    </row>
    <row r="1161" spans="5:10" x14ac:dyDescent="0.2">
      <c r="E1161" s="61"/>
      <c r="F1161" s="686"/>
      <c r="G1161" s="686"/>
      <c r="H1161" s="56"/>
      <c r="I1161" s="56"/>
      <c r="J1161" s="56"/>
    </row>
    <row r="1162" spans="5:10" x14ac:dyDescent="0.2">
      <c r="E1162" s="61"/>
      <c r="F1162" s="686"/>
      <c r="G1162" s="686"/>
      <c r="H1162" s="56"/>
      <c r="I1162" s="56"/>
      <c r="J1162" s="56"/>
    </row>
    <row r="1163" spans="5:10" x14ac:dyDescent="0.2">
      <c r="E1163" s="61"/>
      <c r="F1163" s="686"/>
      <c r="G1163" s="686"/>
      <c r="H1163" s="56"/>
      <c r="I1163" s="56"/>
      <c r="J1163" s="56"/>
    </row>
    <row r="1164" spans="5:10" x14ac:dyDescent="0.2">
      <c r="E1164" s="61"/>
      <c r="F1164" s="686"/>
      <c r="G1164" s="686"/>
      <c r="H1164" s="56"/>
      <c r="I1164" s="56"/>
      <c r="J1164" s="56"/>
    </row>
    <row r="1165" spans="5:10" x14ac:dyDescent="0.2">
      <c r="E1165" s="61"/>
      <c r="F1165" s="686"/>
      <c r="G1165" s="686"/>
      <c r="H1165" s="56"/>
      <c r="I1165" s="56"/>
      <c r="J1165" s="56"/>
    </row>
    <row r="1166" spans="5:10" x14ac:dyDescent="0.2">
      <c r="E1166" s="61"/>
      <c r="F1166" s="686"/>
      <c r="G1166" s="686"/>
      <c r="H1166" s="56"/>
      <c r="I1166" s="56"/>
      <c r="J1166" s="56"/>
    </row>
    <row r="1167" spans="5:10" x14ac:dyDescent="0.2">
      <c r="E1167" s="61"/>
      <c r="F1167" s="686"/>
      <c r="G1167" s="686"/>
      <c r="H1167" s="56"/>
      <c r="I1167" s="56"/>
      <c r="J1167" s="56"/>
    </row>
    <row r="1168" spans="5:10" x14ac:dyDescent="0.2">
      <c r="E1168" s="61"/>
      <c r="F1168" s="686"/>
      <c r="G1168" s="686"/>
      <c r="H1168" s="56"/>
      <c r="I1168" s="56"/>
      <c r="J1168" s="56"/>
    </row>
    <row r="1169" spans="5:10" x14ac:dyDescent="0.2">
      <c r="E1169" s="61"/>
      <c r="F1169" s="686"/>
      <c r="G1169" s="686"/>
      <c r="H1169" s="56"/>
      <c r="I1169" s="56"/>
      <c r="J1169" s="56"/>
    </row>
    <row r="1170" spans="5:10" x14ac:dyDescent="0.2">
      <c r="E1170" s="61"/>
      <c r="F1170" s="686"/>
      <c r="G1170" s="686"/>
      <c r="H1170" s="56"/>
      <c r="I1170" s="56"/>
      <c r="J1170" s="56"/>
    </row>
    <row r="1171" spans="5:10" x14ac:dyDescent="0.2">
      <c r="E1171" s="61"/>
      <c r="F1171" s="686"/>
      <c r="G1171" s="686"/>
      <c r="H1171" s="56"/>
      <c r="I1171" s="56"/>
      <c r="J1171" s="56"/>
    </row>
    <row r="1172" spans="5:10" x14ac:dyDescent="0.2">
      <c r="E1172" s="61"/>
      <c r="F1172" s="686"/>
      <c r="G1172" s="686"/>
      <c r="H1172" s="56"/>
      <c r="I1172" s="56"/>
      <c r="J1172" s="56"/>
    </row>
    <row r="1173" spans="5:10" x14ac:dyDescent="0.2">
      <c r="E1173" s="61"/>
      <c r="F1173" s="686"/>
      <c r="G1173" s="686"/>
      <c r="H1173" s="56"/>
      <c r="I1173" s="56"/>
      <c r="J1173" s="56"/>
    </row>
    <row r="1174" spans="5:10" x14ac:dyDescent="0.2">
      <c r="E1174" s="61"/>
      <c r="F1174" s="686"/>
      <c r="G1174" s="686"/>
      <c r="H1174" s="56"/>
      <c r="I1174" s="56"/>
      <c r="J1174" s="56"/>
    </row>
    <row r="1175" spans="5:10" x14ac:dyDescent="0.2">
      <c r="E1175" s="61"/>
      <c r="F1175" s="686"/>
      <c r="G1175" s="686"/>
      <c r="H1175" s="56"/>
      <c r="I1175" s="56"/>
      <c r="J1175" s="56"/>
    </row>
    <row r="1176" spans="5:10" x14ac:dyDescent="0.2">
      <c r="E1176" s="61"/>
      <c r="F1176" s="686"/>
      <c r="G1176" s="686"/>
      <c r="H1176" s="56"/>
      <c r="I1176" s="56"/>
      <c r="J1176" s="56"/>
    </row>
    <row r="1177" spans="5:10" x14ac:dyDescent="0.2">
      <c r="E1177" s="61"/>
      <c r="F1177" s="686"/>
      <c r="G1177" s="686"/>
      <c r="H1177" s="56"/>
      <c r="I1177" s="56"/>
      <c r="J1177" s="56"/>
    </row>
    <row r="1178" spans="5:10" x14ac:dyDescent="0.2">
      <c r="E1178" s="61"/>
      <c r="F1178" s="686"/>
      <c r="G1178" s="686"/>
      <c r="H1178" s="56"/>
      <c r="I1178" s="56"/>
      <c r="J1178" s="56"/>
    </row>
    <row r="1179" spans="5:10" x14ac:dyDescent="0.2">
      <c r="E1179" s="61"/>
      <c r="F1179" s="686"/>
      <c r="G1179" s="686"/>
      <c r="H1179" s="56"/>
      <c r="I1179" s="56"/>
      <c r="J1179" s="56"/>
    </row>
    <row r="1180" spans="5:10" x14ac:dyDescent="0.2">
      <c r="E1180" s="61"/>
      <c r="F1180" s="686"/>
      <c r="G1180" s="686"/>
      <c r="H1180" s="56"/>
      <c r="I1180" s="56"/>
      <c r="J1180" s="56"/>
    </row>
    <row r="1181" spans="5:10" x14ac:dyDescent="0.2">
      <c r="E1181" s="61"/>
      <c r="F1181" s="686"/>
      <c r="G1181" s="686"/>
      <c r="H1181" s="56"/>
      <c r="I1181" s="56"/>
      <c r="J1181" s="56"/>
    </row>
    <row r="1182" spans="5:10" x14ac:dyDescent="0.2">
      <c r="E1182" s="61"/>
      <c r="F1182" s="686"/>
      <c r="G1182" s="686"/>
      <c r="H1182" s="56"/>
      <c r="I1182" s="56"/>
      <c r="J1182" s="56"/>
    </row>
    <row r="1183" spans="5:10" x14ac:dyDescent="0.2">
      <c r="E1183" s="61"/>
      <c r="F1183" s="686"/>
      <c r="G1183" s="686"/>
      <c r="H1183" s="56"/>
      <c r="I1183" s="56"/>
      <c r="J1183" s="56"/>
    </row>
    <row r="1184" spans="5:10" x14ac:dyDescent="0.2">
      <c r="E1184" s="61"/>
      <c r="F1184" s="686"/>
      <c r="G1184" s="686"/>
      <c r="H1184" s="56"/>
      <c r="I1184" s="56"/>
      <c r="J1184" s="56"/>
    </row>
    <row r="1185" spans="5:10" x14ac:dyDescent="0.2">
      <c r="E1185" s="61"/>
      <c r="F1185" s="686"/>
      <c r="G1185" s="686"/>
      <c r="H1185" s="56"/>
      <c r="I1185" s="56"/>
      <c r="J1185" s="56"/>
    </row>
    <row r="1186" spans="5:10" x14ac:dyDescent="0.2">
      <c r="E1186" s="61"/>
      <c r="F1186" s="686"/>
      <c r="G1186" s="686"/>
      <c r="H1186" s="56"/>
      <c r="I1186" s="56"/>
      <c r="J1186" s="56"/>
    </row>
    <row r="1187" spans="5:10" x14ac:dyDescent="0.2">
      <c r="E1187" s="61"/>
      <c r="F1187" s="686"/>
      <c r="G1187" s="686"/>
      <c r="H1187" s="56"/>
      <c r="I1187" s="56"/>
      <c r="J1187" s="56"/>
    </row>
    <row r="1188" spans="5:10" x14ac:dyDescent="0.2">
      <c r="E1188" s="61"/>
      <c r="F1188" s="686"/>
      <c r="G1188" s="686"/>
      <c r="H1188" s="56"/>
      <c r="I1188" s="56"/>
      <c r="J1188" s="56"/>
    </row>
    <row r="1189" spans="5:10" x14ac:dyDescent="0.2">
      <c r="E1189" s="61"/>
      <c r="F1189" s="686"/>
      <c r="G1189" s="686"/>
      <c r="H1189" s="56"/>
      <c r="I1189" s="56"/>
      <c r="J1189" s="56"/>
    </row>
    <row r="1190" spans="5:10" x14ac:dyDescent="0.2">
      <c r="E1190" s="61"/>
      <c r="F1190" s="686"/>
      <c r="G1190" s="686"/>
      <c r="H1190" s="56"/>
      <c r="I1190" s="56"/>
      <c r="J1190" s="56"/>
    </row>
    <row r="1191" spans="5:10" x14ac:dyDescent="0.2">
      <c r="E1191" s="61"/>
      <c r="F1191" s="686"/>
      <c r="G1191" s="686"/>
      <c r="H1191" s="56"/>
      <c r="I1191" s="56"/>
      <c r="J1191" s="56"/>
    </row>
    <row r="1192" spans="5:10" x14ac:dyDescent="0.2">
      <c r="E1192" s="61"/>
      <c r="F1192" s="686"/>
      <c r="G1192" s="686"/>
      <c r="H1192" s="56"/>
      <c r="I1192" s="56"/>
      <c r="J1192" s="56"/>
    </row>
    <row r="1193" spans="5:10" x14ac:dyDescent="0.2">
      <c r="E1193" s="61"/>
      <c r="F1193" s="686"/>
      <c r="G1193" s="686"/>
      <c r="H1193" s="56"/>
      <c r="I1193" s="56"/>
      <c r="J1193" s="56"/>
    </row>
    <row r="1194" spans="5:10" x14ac:dyDescent="0.2">
      <c r="E1194" s="61"/>
      <c r="F1194" s="686"/>
      <c r="G1194" s="686"/>
      <c r="H1194" s="56"/>
      <c r="I1194" s="56"/>
      <c r="J1194" s="56"/>
    </row>
    <row r="1195" spans="5:10" x14ac:dyDescent="0.2">
      <c r="E1195" s="61"/>
      <c r="F1195" s="686"/>
      <c r="G1195" s="686"/>
      <c r="H1195" s="56"/>
      <c r="I1195" s="56"/>
      <c r="J1195" s="56"/>
    </row>
    <row r="1196" spans="5:10" x14ac:dyDescent="0.2">
      <c r="E1196" s="61"/>
      <c r="F1196" s="686"/>
      <c r="G1196" s="686"/>
      <c r="H1196" s="56"/>
      <c r="I1196" s="56"/>
      <c r="J1196" s="56"/>
    </row>
    <row r="1197" spans="5:10" x14ac:dyDescent="0.2">
      <c r="E1197" s="61"/>
      <c r="F1197" s="686"/>
      <c r="G1197" s="686"/>
      <c r="H1197" s="56"/>
      <c r="I1197" s="56"/>
      <c r="J1197" s="56"/>
    </row>
    <row r="1198" spans="5:10" x14ac:dyDescent="0.2">
      <c r="E1198" s="61"/>
      <c r="F1198" s="686"/>
      <c r="G1198" s="686"/>
      <c r="H1198" s="56"/>
      <c r="I1198" s="56"/>
      <c r="J1198" s="56"/>
    </row>
    <row r="1199" spans="5:10" x14ac:dyDescent="0.2">
      <c r="E1199" s="61"/>
      <c r="F1199" s="686"/>
      <c r="G1199" s="686"/>
      <c r="H1199" s="56"/>
      <c r="I1199" s="56"/>
      <c r="J1199" s="56"/>
    </row>
    <row r="1200" spans="5:10" x14ac:dyDescent="0.2">
      <c r="E1200" s="61"/>
      <c r="F1200" s="686"/>
      <c r="G1200" s="686"/>
      <c r="H1200" s="56"/>
      <c r="I1200" s="56"/>
      <c r="J1200" s="56"/>
    </row>
    <row r="1201" spans="5:10" x14ac:dyDescent="0.2">
      <c r="E1201" s="61"/>
      <c r="F1201" s="686"/>
      <c r="G1201" s="686"/>
      <c r="H1201" s="56"/>
      <c r="I1201" s="56"/>
      <c r="J1201" s="56"/>
    </row>
    <row r="1202" spans="5:10" x14ac:dyDescent="0.2">
      <c r="E1202" s="61"/>
      <c r="F1202" s="686"/>
      <c r="G1202" s="686"/>
      <c r="H1202" s="56"/>
      <c r="I1202" s="56"/>
      <c r="J1202" s="56"/>
    </row>
    <row r="1203" spans="5:10" x14ac:dyDescent="0.2">
      <c r="E1203" s="61"/>
      <c r="F1203" s="686"/>
      <c r="G1203" s="686"/>
      <c r="H1203" s="56"/>
      <c r="I1203" s="56"/>
      <c r="J1203" s="56"/>
    </row>
    <row r="1204" spans="5:10" x14ac:dyDescent="0.2">
      <c r="E1204" s="61"/>
      <c r="F1204" s="686"/>
      <c r="G1204" s="686"/>
      <c r="H1204" s="56"/>
      <c r="I1204" s="56"/>
      <c r="J1204" s="56"/>
    </row>
    <row r="1205" spans="5:10" x14ac:dyDescent="0.2">
      <c r="E1205" s="61"/>
      <c r="F1205" s="686"/>
      <c r="G1205" s="686"/>
      <c r="H1205" s="56"/>
      <c r="I1205" s="56"/>
      <c r="J1205" s="56"/>
    </row>
    <row r="1206" spans="5:10" x14ac:dyDescent="0.2">
      <c r="E1206" s="61"/>
      <c r="F1206" s="686"/>
      <c r="G1206" s="686"/>
      <c r="H1206" s="56"/>
      <c r="I1206" s="56"/>
      <c r="J1206" s="56"/>
    </row>
    <row r="1207" spans="5:10" x14ac:dyDescent="0.2">
      <c r="E1207" s="61"/>
      <c r="F1207" s="686"/>
      <c r="G1207" s="686"/>
      <c r="H1207" s="56"/>
      <c r="I1207" s="56"/>
      <c r="J1207" s="56"/>
    </row>
    <row r="1208" spans="5:10" x14ac:dyDescent="0.2">
      <c r="E1208" s="61"/>
      <c r="F1208" s="686"/>
      <c r="G1208" s="686"/>
      <c r="H1208" s="56"/>
      <c r="I1208" s="56"/>
      <c r="J1208" s="56"/>
    </row>
    <row r="1209" spans="5:10" x14ac:dyDescent="0.2">
      <c r="E1209" s="61"/>
      <c r="F1209" s="686"/>
      <c r="G1209" s="686"/>
      <c r="H1209" s="56"/>
      <c r="I1209" s="56"/>
      <c r="J1209" s="56"/>
    </row>
    <row r="1210" spans="5:10" x14ac:dyDescent="0.2">
      <c r="E1210" s="61"/>
      <c r="F1210" s="686"/>
      <c r="G1210" s="686"/>
      <c r="H1210" s="56"/>
      <c r="I1210" s="56"/>
      <c r="J1210" s="56"/>
    </row>
    <row r="1211" spans="5:10" x14ac:dyDescent="0.2">
      <c r="E1211" s="61"/>
      <c r="F1211" s="686"/>
      <c r="G1211" s="686"/>
      <c r="H1211" s="56"/>
      <c r="I1211" s="56"/>
      <c r="J1211" s="56"/>
    </row>
    <row r="1212" spans="5:10" x14ac:dyDescent="0.2">
      <c r="E1212" s="61"/>
      <c r="F1212" s="686"/>
      <c r="G1212" s="686"/>
      <c r="H1212" s="56"/>
      <c r="I1212" s="56"/>
      <c r="J1212" s="56"/>
    </row>
    <row r="1213" spans="5:10" x14ac:dyDescent="0.2">
      <c r="E1213" s="61"/>
      <c r="F1213" s="686"/>
      <c r="G1213" s="686"/>
      <c r="H1213" s="56"/>
      <c r="I1213" s="56"/>
      <c r="J1213" s="56"/>
    </row>
    <row r="1214" spans="5:10" x14ac:dyDescent="0.2">
      <c r="E1214" s="61"/>
      <c r="F1214" s="686"/>
      <c r="G1214" s="686"/>
      <c r="H1214" s="56"/>
      <c r="I1214" s="56"/>
      <c r="J1214" s="56"/>
    </row>
    <row r="1215" spans="5:10" x14ac:dyDescent="0.2">
      <c r="E1215" s="61"/>
      <c r="F1215" s="686"/>
      <c r="G1215" s="686"/>
      <c r="H1215" s="56"/>
      <c r="I1215" s="56"/>
      <c r="J1215" s="56"/>
    </row>
    <row r="1216" spans="5:10" x14ac:dyDescent="0.2">
      <c r="E1216" s="61"/>
      <c r="F1216" s="686"/>
      <c r="G1216" s="686"/>
      <c r="H1216" s="56"/>
      <c r="I1216" s="56"/>
      <c r="J1216" s="56"/>
    </row>
    <row r="1217" spans="5:10" x14ac:dyDescent="0.2">
      <c r="E1217" s="61"/>
      <c r="F1217" s="686"/>
      <c r="G1217" s="686"/>
      <c r="H1217" s="56"/>
      <c r="I1217" s="56"/>
      <c r="J1217" s="56"/>
    </row>
    <row r="1218" spans="5:10" x14ac:dyDescent="0.2">
      <c r="E1218" s="61"/>
      <c r="F1218" s="686"/>
      <c r="G1218" s="686"/>
      <c r="H1218" s="56"/>
      <c r="I1218" s="56"/>
      <c r="J1218" s="56"/>
    </row>
    <row r="1219" spans="5:10" x14ac:dyDescent="0.2">
      <c r="E1219" s="61"/>
      <c r="F1219" s="686"/>
      <c r="G1219" s="686"/>
      <c r="H1219" s="56"/>
      <c r="I1219" s="56"/>
      <c r="J1219" s="56"/>
    </row>
    <row r="1220" spans="5:10" x14ac:dyDescent="0.2">
      <c r="E1220" s="61"/>
      <c r="F1220" s="686"/>
      <c r="G1220" s="686"/>
      <c r="H1220" s="56"/>
      <c r="I1220" s="56"/>
      <c r="J1220" s="56"/>
    </row>
    <row r="1221" spans="5:10" x14ac:dyDescent="0.2">
      <c r="E1221" s="61"/>
      <c r="F1221" s="686"/>
      <c r="G1221" s="686"/>
      <c r="H1221" s="56"/>
      <c r="I1221" s="56"/>
      <c r="J1221" s="56"/>
    </row>
    <row r="1222" spans="5:10" x14ac:dyDescent="0.2">
      <c r="E1222" s="61"/>
      <c r="F1222" s="686"/>
      <c r="G1222" s="686"/>
      <c r="H1222" s="56"/>
      <c r="I1222" s="56"/>
      <c r="J1222" s="56"/>
    </row>
    <row r="1223" spans="5:10" x14ac:dyDescent="0.2">
      <c r="E1223" s="61"/>
      <c r="F1223" s="686"/>
      <c r="G1223" s="686"/>
      <c r="H1223" s="56"/>
      <c r="I1223" s="56"/>
      <c r="J1223" s="56"/>
    </row>
    <row r="1224" spans="5:10" x14ac:dyDescent="0.2">
      <c r="E1224" s="61"/>
      <c r="F1224" s="686"/>
      <c r="G1224" s="686"/>
      <c r="H1224" s="56"/>
      <c r="I1224" s="56"/>
      <c r="J1224" s="56"/>
    </row>
    <row r="1225" spans="5:10" x14ac:dyDescent="0.2">
      <c r="E1225" s="61"/>
      <c r="F1225" s="686"/>
      <c r="G1225" s="686"/>
      <c r="H1225" s="56"/>
      <c r="I1225" s="56"/>
      <c r="J1225" s="56"/>
    </row>
    <row r="1226" spans="5:10" x14ac:dyDescent="0.2">
      <c r="E1226" s="61"/>
      <c r="F1226" s="686"/>
      <c r="G1226" s="686"/>
      <c r="H1226" s="56"/>
      <c r="I1226" s="56"/>
      <c r="J1226" s="56"/>
    </row>
    <row r="1227" spans="5:10" x14ac:dyDescent="0.2">
      <c r="E1227" s="61"/>
      <c r="F1227" s="686"/>
      <c r="G1227" s="686"/>
      <c r="H1227" s="56"/>
      <c r="I1227" s="56"/>
      <c r="J1227" s="56"/>
    </row>
    <row r="1228" spans="5:10" x14ac:dyDescent="0.2">
      <c r="E1228" s="61"/>
      <c r="F1228" s="686"/>
      <c r="G1228" s="686"/>
      <c r="H1228" s="56"/>
      <c r="I1228" s="56"/>
      <c r="J1228" s="56"/>
    </row>
    <row r="1229" spans="5:10" x14ac:dyDescent="0.2">
      <c r="E1229" s="61"/>
      <c r="F1229" s="686"/>
      <c r="G1229" s="686"/>
      <c r="H1229" s="56"/>
      <c r="I1229" s="56"/>
      <c r="J1229" s="56"/>
    </row>
    <row r="1230" spans="5:10" x14ac:dyDescent="0.2">
      <c r="E1230" s="61"/>
      <c r="F1230" s="686"/>
      <c r="G1230" s="686"/>
      <c r="H1230" s="56"/>
      <c r="I1230" s="56"/>
      <c r="J1230" s="56"/>
    </row>
    <row r="1231" spans="5:10" x14ac:dyDescent="0.2">
      <c r="E1231" s="61"/>
      <c r="F1231" s="686"/>
      <c r="G1231" s="686"/>
      <c r="H1231" s="56"/>
      <c r="I1231" s="56"/>
      <c r="J1231" s="56"/>
    </row>
    <row r="1232" spans="5:10" x14ac:dyDescent="0.2">
      <c r="E1232" s="61"/>
      <c r="F1232" s="686"/>
      <c r="G1232" s="686"/>
      <c r="H1232" s="56"/>
      <c r="I1232" s="56"/>
      <c r="J1232" s="56"/>
    </row>
    <row r="1233" spans="5:10" x14ac:dyDescent="0.2">
      <c r="E1233" s="61"/>
      <c r="F1233" s="686"/>
      <c r="G1233" s="686"/>
      <c r="H1233" s="56"/>
      <c r="I1233" s="56"/>
      <c r="J1233" s="56"/>
    </row>
    <row r="1234" spans="5:10" x14ac:dyDescent="0.2">
      <c r="E1234" s="61"/>
      <c r="F1234" s="686"/>
      <c r="G1234" s="686"/>
      <c r="H1234" s="56"/>
      <c r="I1234" s="56"/>
      <c r="J1234" s="56"/>
    </row>
    <row r="1235" spans="5:10" x14ac:dyDescent="0.2">
      <c r="E1235" s="61"/>
      <c r="F1235" s="686"/>
      <c r="G1235" s="686"/>
      <c r="H1235" s="56"/>
      <c r="I1235" s="56"/>
      <c r="J1235" s="56"/>
    </row>
    <row r="1236" spans="5:10" x14ac:dyDescent="0.2">
      <c r="E1236" s="61"/>
      <c r="F1236" s="686"/>
      <c r="G1236" s="686"/>
      <c r="H1236" s="56"/>
      <c r="I1236" s="56"/>
      <c r="J1236" s="56"/>
    </row>
    <row r="1237" spans="5:10" x14ac:dyDescent="0.2">
      <c r="E1237" s="61"/>
      <c r="F1237" s="686"/>
      <c r="G1237" s="686"/>
      <c r="H1237" s="56"/>
      <c r="I1237" s="56"/>
      <c r="J1237" s="56"/>
    </row>
    <row r="1238" spans="5:10" x14ac:dyDescent="0.2">
      <c r="E1238" s="61"/>
      <c r="F1238" s="686"/>
      <c r="G1238" s="686"/>
      <c r="H1238" s="56"/>
      <c r="I1238" s="56"/>
      <c r="J1238" s="56"/>
    </row>
    <row r="1239" spans="5:10" x14ac:dyDescent="0.2">
      <c r="E1239" s="61"/>
      <c r="F1239" s="686"/>
      <c r="G1239" s="686"/>
      <c r="H1239" s="56"/>
      <c r="I1239" s="56"/>
      <c r="J1239" s="56"/>
    </row>
    <row r="1240" spans="5:10" x14ac:dyDescent="0.2">
      <c r="E1240" s="61"/>
      <c r="F1240" s="686"/>
      <c r="G1240" s="686"/>
      <c r="H1240" s="56"/>
      <c r="I1240" s="56"/>
      <c r="J1240" s="56"/>
    </row>
    <row r="1241" spans="5:10" x14ac:dyDescent="0.2">
      <c r="E1241" s="61"/>
      <c r="F1241" s="686"/>
      <c r="G1241" s="686"/>
      <c r="H1241" s="56"/>
      <c r="I1241" s="56"/>
      <c r="J1241" s="56"/>
    </row>
    <row r="1242" spans="5:10" x14ac:dyDescent="0.2">
      <c r="E1242" s="61"/>
      <c r="F1242" s="686"/>
      <c r="G1242" s="686"/>
      <c r="H1242" s="56"/>
      <c r="I1242" s="56"/>
      <c r="J1242" s="56"/>
    </row>
    <row r="1243" spans="5:10" x14ac:dyDescent="0.2">
      <c r="E1243" s="61"/>
      <c r="F1243" s="686"/>
      <c r="G1243" s="686"/>
      <c r="H1243" s="56"/>
      <c r="I1243" s="56"/>
      <c r="J1243" s="56"/>
    </row>
    <row r="1244" spans="5:10" x14ac:dyDescent="0.2">
      <c r="E1244" s="61"/>
      <c r="F1244" s="686"/>
      <c r="G1244" s="686"/>
      <c r="H1244" s="56"/>
      <c r="I1244" s="56"/>
      <c r="J1244" s="56"/>
    </row>
    <row r="1245" spans="5:10" x14ac:dyDescent="0.2">
      <c r="E1245" s="61"/>
      <c r="F1245" s="686"/>
      <c r="G1245" s="686"/>
      <c r="H1245" s="56"/>
      <c r="I1245" s="56"/>
      <c r="J1245" s="56"/>
    </row>
    <row r="1246" spans="5:10" x14ac:dyDescent="0.2">
      <c r="E1246" s="61"/>
      <c r="F1246" s="686"/>
      <c r="G1246" s="686"/>
      <c r="H1246" s="56"/>
      <c r="I1246" s="56"/>
      <c r="J1246" s="56"/>
    </row>
    <row r="1247" spans="5:10" x14ac:dyDescent="0.2">
      <c r="E1247" s="61"/>
      <c r="F1247" s="686"/>
      <c r="G1247" s="686"/>
      <c r="H1247" s="56"/>
      <c r="I1247" s="56"/>
      <c r="J1247" s="56"/>
    </row>
    <row r="1248" spans="5:10" x14ac:dyDescent="0.2">
      <c r="E1248" s="61"/>
      <c r="F1248" s="686"/>
      <c r="G1248" s="686"/>
      <c r="H1248" s="56"/>
      <c r="I1248" s="56"/>
      <c r="J1248" s="56"/>
    </row>
    <row r="1249" spans="5:10" x14ac:dyDescent="0.2">
      <c r="E1249" s="61"/>
      <c r="F1249" s="686"/>
      <c r="G1249" s="686"/>
      <c r="H1249" s="56"/>
      <c r="I1249" s="56"/>
      <c r="J1249" s="56"/>
    </row>
    <row r="1250" spans="5:10" x14ac:dyDescent="0.2">
      <c r="E1250" s="61"/>
      <c r="F1250" s="686"/>
      <c r="G1250" s="686"/>
      <c r="H1250" s="56"/>
      <c r="I1250" s="56"/>
      <c r="J1250" s="56"/>
    </row>
    <row r="1251" spans="5:10" x14ac:dyDescent="0.2">
      <c r="E1251" s="61"/>
      <c r="F1251" s="686"/>
      <c r="G1251" s="686"/>
      <c r="H1251" s="56"/>
      <c r="I1251" s="56"/>
      <c r="J1251" s="56"/>
    </row>
    <row r="1252" spans="5:10" x14ac:dyDescent="0.2">
      <c r="E1252" s="61"/>
      <c r="F1252" s="686"/>
      <c r="G1252" s="686"/>
      <c r="H1252" s="56"/>
      <c r="I1252" s="56"/>
      <c r="J1252" s="56"/>
    </row>
    <row r="1253" spans="5:10" x14ac:dyDescent="0.2">
      <c r="E1253" s="61"/>
      <c r="F1253" s="686"/>
      <c r="G1253" s="686"/>
      <c r="H1253" s="56"/>
      <c r="I1253" s="56"/>
      <c r="J1253" s="56"/>
    </row>
    <row r="1254" spans="5:10" x14ac:dyDescent="0.2">
      <c r="E1254" s="61"/>
      <c r="F1254" s="686"/>
      <c r="G1254" s="686"/>
      <c r="H1254" s="56"/>
      <c r="I1254" s="56"/>
      <c r="J1254" s="56"/>
    </row>
    <row r="1255" spans="5:10" x14ac:dyDescent="0.2">
      <c r="E1255" s="61"/>
      <c r="F1255" s="686"/>
      <c r="G1255" s="686"/>
      <c r="H1255" s="56"/>
      <c r="I1255" s="56"/>
      <c r="J1255" s="56"/>
    </row>
    <row r="1256" spans="5:10" x14ac:dyDescent="0.2">
      <c r="E1256" s="61"/>
      <c r="F1256" s="686"/>
      <c r="G1256" s="686"/>
      <c r="H1256" s="56"/>
      <c r="I1256" s="56"/>
      <c r="J1256" s="56"/>
    </row>
    <row r="1257" spans="5:10" x14ac:dyDescent="0.2">
      <c r="E1257" s="61"/>
      <c r="F1257" s="686"/>
      <c r="G1257" s="686"/>
      <c r="H1257" s="56"/>
      <c r="I1257" s="56"/>
      <c r="J1257" s="56"/>
    </row>
    <row r="1258" spans="5:10" x14ac:dyDescent="0.2">
      <c r="E1258" s="61"/>
      <c r="F1258" s="686"/>
      <c r="G1258" s="686"/>
      <c r="H1258" s="56"/>
      <c r="I1258" s="56"/>
      <c r="J1258" s="56"/>
    </row>
    <row r="1259" spans="5:10" x14ac:dyDescent="0.2">
      <c r="E1259" s="61"/>
      <c r="F1259" s="686"/>
      <c r="G1259" s="686"/>
      <c r="H1259" s="56"/>
      <c r="I1259" s="56"/>
      <c r="J1259" s="56"/>
    </row>
    <row r="1260" spans="5:10" x14ac:dyDescent="0.2">
      <c r="E1260" s="61"/>
      <c r="F1260" s="686"/>
      <c r="G1260" s="686"/>
      <c r="H1260" s="56"/>
      <c r="I1260" s="56"/>
      <c r="J1260" s="56"/>
    </row>
    <row r="1261" spans="5:10" x14ac:dyDescent="0.2">
      <c r="E1261" s="61"/>
      <c r="F1261" s="686"/>
      <c r="G1261" s="686"/>
      <c r="H1261" s="56"/>
      <c r="I1261" s="56"/>
      <c r="J1261" s="56"/>
    </row>
    <row r="1262" spans="5:10" x14ac:dyDescent="0.2">
      <c r="E1262" s="61"/>
      <c r="F1262" s="686"/>
      <c r="G1262" s="686"/>
      <c r="H1262" s="56"/>
      <c r="I1262" s="56"/>
      <c r="J1262" s="56"/>
    </row>
    <row r="1263" spans="5:10" x14ac:dyDescent="0.2">
      <c r="E1263" s="61"/>
      <c r="F1263" s="686"/>
      <c r="G1263" s="686"/>
      <c r="H1263" s="56"/>
      <c r="I1263" s="56"/>
      <c r="J1263" s="56"/>
    </row>
    <row r="1264" spans="5:10" x14ac:dyDescent="0.2">
      <c r="E1264" s="61"/>
      <c r="F1264" s="686"/>
      <c r="G1264" s="686"/>
      <c r="H1264" s="56"/>
      <c r="I1264" s="56"/>
      <c r="J1264" s="56"/>
    </row>
    <row r="1265" spans="5:10" x14ac:dyDescent="0.2">
      <c r="E1265" s="61"/>
      <c r="F1265" s="686"/>
      <c r="G1265" s="686"/>
      <c r="H1265" s="56"/>
      <c r="I1265" s="56"/>
      <c r="J1265" s="56"/>
    </row>
    <row r="1266" spans="5:10" x14ac:dyDescent="0.2">
      <c r="E1266" s="61"/>
      <c r="F1266" s="686"/>
      <c r="G1266" s="686"/>
      <c r="H1266" s="56"/>
      <c r="I1266" s="56"/>
      <c r="J1266" s="56"/>
    </row>
    <row r="1267" spans="5:10" x14ac:dyDescent="0.2">
      <c r="E1267" s="61"/>
      <c r="F1267" s="686"/>
      <c r="G1267" s="686"/>
      <c r="H1267" s="56"/>
      <c r="I1267" s="56"/>
      <c r="J1267" s="56"/>
    </row>
    <row r="1268" spans="5:10" x14ac:dyDescent="0.2">
      <c r="E1268" s="61"/>
      <c r="F1268" s="686"/>
      <c r="G1268" s="686"/>
      <c r="H1268" s="56"/>
      <c r="I1268" s="56"/>
      <c r="J1268" s="56"/>
    </row>
    <row r="1269" spans="5:10" x14ac:dyDescent="0.2">
      <c r="E1269" s="61"/>
      <c r="F1269" s="686"/>
      <c r="G1269" s="686"/>
      <c r="H1269" s="56"/>
      <c r="I1269" s="56"/>
      <c r="J1269" s="56"/>
    </row>
    <row r="1270" spans="5:10" x14ac:dyDescent="0.2">
      <c r="E1270" s="61"/>
      <c r="F1270" s="686"/>
      <c r="G1270" s="686"/>
      <c r="H1270" s="56"/>
      <c r="I1270" s="56"/>
      <c r="J1270" s="56"/>
    </row>
    <row r="1271" spans="5:10" x14ac:dyDescent="0.2">
      <c r="E1271" s="61"/>
      <c r="F1271" s="686"/>
      <c r="G1271" s="686"/>
      <c r="H1271" s="56"/>
      <c r="I1271" s="56"/>
      <c r="J1271" s="56"/>
    </row>
    <row r="1272" spans="5:10" x14ac:dyDescent="0.2">
      <c r="E1272" s="61"/>
      <c r="F1272" s="686"/>
      <c r="G1272" s="686"/>
      <c r="H1272" s="56"/>
      <c r="I1272" s="56"/>
      <c r="J1272" s="56"/>
    </row>
    <row r="1273" spans="5:10" x14ac:dyDescent="0.2">
      <c r="E1273" s="61"/>
      <c r="F1273" s="686"/>
      <c r="G1273" s="686"/>
      <c r="H1273" s="56"/>
      <c r="I1273" s="56"/>
      <c r="J1273" s="56"/>
    </row>
    <row r="1274" spans="5:10" x14ac:dyDescent="0.2">
      <c r="E1274" s="61"/>
      <c r="F1274" s="686"/>
      <c r="G1274" s="686"/>
      <c r="H1274" s="56"/>
      <c r="I1274" s="56"/>
      <c r="J1274" s="56"/>
    </row>
    <row r="1275" spans="5:10" x14ac:dyDescent="0.2">
      <c r="E1275" s="61"/>
      <c r="F1275" s="686"/>
      <c r="G1275" s="686"/>
      <c r="H1275" s="56"/>
      <c r="I1275" s="56"/>
      <c r="J1275" s="56"/>
    </row>
    <row r="1276" spans="5:10" x14ac:dyDescent="0.2">
      <c r="E1276" s="61"/>
      <c r="F1276" s="686"/>
      <c r="G1276" s="686"/>
      <c r="H1276" s="56"/>
      <c r="I1276" s="56"/>
      <c r="J1276" s="56"/>
    </row>
  </sheetData>
  <mergeCells count="3">
    <mergeCell ref="E2:E3"/>
    <mergeCell ref="B8:B9"/>
    <mergeCell ref="C8:C9"/>
  </mergeCells>
  <pageMargins left="0.7" right="0.7" top="0.75" bottom="0.75" header="0.3" footer="0.3"/>
  <pageSetup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
  <dimension ref="B1:I11"/>
  <sheetViews>
    <sheetView showGridLines="0" workbookViewId="0">
      <selection activeCell="G15" sqref="G15"/>
    </sheetView>
  </sheetViews>
  <sheetFormatPr defaultColWidth="9.33203125" defaultRowHeight="12" x14ac:dyDescent="0.2"/>
  <cols>
    <col min="2" max="2" width="8.5" style="20" customWidth="1"/>
    <col min="3" max="3" width="33.5" customWidth="1"/>
    <col min="4" max="4" width="14.33203125" style="20" customWidth="1"/>
    <col min="5" max="9" width="14.33203125" style="1" customWidth="1"/>
  </cols>
  <sheetData>
    <row r="1" spans="2:9" ht="17.45" customHeight="1" x14ac:dyDescent="0.2">
      <c r="C1" s="45" t="s">
        <v>36</v>
      </c>
      <c r="D1" s="46">
        <v>0</v>
      </c>
      <c r="E1" s="47" t="s">
        <v>37</v>
      </c>
      <c r="F1" s="75">
        <v>0</v>
      </c>
    </row>
    <row r="2" spans="2:9" ht="17.45" customHeight="1" x14ac:dyDescent="0.2">
      <c r="C2" s="37" t="s">
        <v>27</v>
      </c>
      <c r="D2" s="23" t="s">
        <v>35</v>
      </c>
      <c r="E2" s="30"/>
      <c r="F2" s="64">
        <v>0</v>
      </c>
      <c r="H2"/>
      <c r="I2"/>
    </row>
    <row r="3" spans="2:9" ht="17.45" customHeight="1" x14ac:dyDescent="0.2">
      <c r="C3" s="38" t="s">
        <v>28</v>
      </c>
      <c r="D3" s="26" t="s">
        <v>438</v>
      </c>
      <c r="E3" s="31"/>
      <c r="F3" s="65">
        <v>4</v>
      </c>
      <c r="H3"/>
      <c r="I3"/>
    </row>
    <row r="4" spans="2:9" ht="17.45" customHeight="1" x14ac:dyDescent="0.2">
      <c r="C4" s="38" t="s">
        <v>29</v>
      </c>
      <c r="D4" s="26">
        <v>80</v>
      </c>
      <c r="E4" s="31" t="s">
        <v>31</v>
      </c>
      <c r="F4" s="65"/>
    </row>
    <row r="5" spans="2:9" ht="17.45" customHeight="1" x14ac:dyDescent="0.2">
      <c r="C5" s="39" t="s">
        <v>30</v>
      </c>
      <c r="D5" s="34">
        <v>2.5</v>
      </c>
      <c r="E5" s="32" t="s">
        <v>32</v>
      </c>
      <c r="F5" s="66"/>
    </row>
    <row r="7" spans="2:9" x14ac:dyDescent="0.2">
      <c r="B7" s="11" t="s">
        <v>25</v>
      </c>
      <c r="C7" s="40"/>
      <c r="D7" s="41"/>
      <c r="E7" s="42"/>
      <c r="F7" s="42"/>
      <c r="G7" s="42"/>
      <c r="H7" s="42"/>
      <c r="I7" s="42"/>
    </row>
    <row r="8" spans="2:9" x14ac:dyDescent="0.2">
      <c r="B8" s="43" t="s">
        <v>8</v>
      </c>
      <c r="C8" s="22" t="s">
        <v>9</v>
      </c>
      <c r="D8" s="23" t="s">
        <v>10</v>
      </c>
      <c r="E8" s="3" t="s">
        <v>26</v>
      </c>
      <c r="F8" s="3" t="s">
        <v>2</v>
      </c>
      <c r="G8" s="3" t="s">
        <v>16</v>
      </c>
      <c r="H8" s="3" t="s">
        <v>19</v>
      </c>
      <c r="I8" s="4" t="s">
        <v>14</v>
      </c>
    </row>
    <row r="9" spans="2:9" x14ac:dyDescent="0.2">
      <c r="B9" s="44"/>
      <c r="C9" s="33"/>
      <c r="D9" s="34"/>
      <c r="E9" s="35" t="s">
        <v>705</v>
      </c>
      <c r="F9" s="35" t="s">
        <v>705</v>
      </c>
      <c r="G9" s="35" t="s">
        <v>24</v>
      </c>
      <c r="H9" s="35" t="s">
        <v>24</v>
      </c>
      <c r="I9" s="36"/>
    </row>
    <row r="10" spans="2:9" x14ac:dyDescent="0.2">
      <c r="B10" s="20">
        <v>0</v>
      </c>
      <c r="C10" t="s">
        <v>23</v>
      </c>
      <c r="D10" s="20" t="s">
        <v>33</v>
      </c>
      <c r="F10" s="1">
        <v>0</v>
      </c>
    </row>
    <row r="11" spans="2:9" x14ac:dyDescent="0.2">
      <c r="B11" s="20">
        <v>1</v>
      </c>
      <c r="D11" s="20" t="s">
        <v>34</v>
      </c>
      <c r="G11" s="1">
        <v>0.5</v>
      </c>
      <c r="I11" s="1">
        <v>1</v>
      </c>
    </row>
  </sheetData>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iconSet" priority="1" id="{E7A59AC4-8DAE-41AC-950B-6677D1EE462B}">
            <x14:iconSet iconSet="3Symbols2" showValue="0" custom="1">
              <x14:cfvo type="percent">
                <xm:f>0</xm:f>
              </x14:cfvo>
              <x14:cfvo type="num">
                <xm:f>0</xm:f>
              </x14:cfvo>
              <x14:cfvo type="num" gte="0">
                <xm:f>0</xm:f>
              </x14:cfvo>
              <x14:cfIcon iconSet="NoIcons" iconId="0"/>
              <x14:cfIcon iconSet="3Symbols2" iconId="2"/>
              <x14:cfIcon iconSet="3Symbols2" iconId="0"/>
            </x14:iconSet>
          </x14:cfRule>
          <xm:sqref>D1</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
  <dimension ref="A6:L44"/>
  <sheetViews>
    <sheetView showGridLines="0" workbookViewId="0">
      <selection activeCell="I25" sqref="I25"/>
    </sheetView>
  </sheetViews>
  <sheetFormatPr defaultColWidth="9.33203125" defaultRowHeight="12" x14ac:dyDescent="0.2"/>
  <cols>
    <col min="1" max="1" width="6.5" style="49" customWidth="1"/>
    <col min="2" max="2" width="49.1640625" style="20" customWidth="1"/>
    <col min="3" max="3" width="10.1640625" customWidth="1"/>
    <col min="4" max="4" width="17.6640625" style="20" customWidth="1"/>
    <col min="5" max="12" width="13.1640625" style="1" customWidth="1"/>
  </cols>
  <sheetData>
    <row r="6" spans="1:12" x14ac:dyDescent="0.2">
      <c r="B6" s="11" t="s">
        <v>7</v>
      </c>
    </row>
    <row r="7" spans="1:12" x14ac:dyDescent="0.2">
      <c r="A7" s="723"/>
      <c r="B7" s="22"/>
      <c r="C7" s="273" t="s">
        <v>8</v>
      </c>
      <c r="D7" s="270" t="s">
        <v>326</v>
      </c>
      <c r="E7" s="3" t="s">
        <v>17</v>
      </c>
      <c r="F7" s="3" t="s">
        <v>15</v>
      </c>
      <c r="G7" s="3" t="s">
        <v>11</v>
      </c>
      <c r="H7" s="3" t="s">
        <v>15</v>
      </c>
      <c r="I7" s="3" t="s">
        <v>12</v>
      </c>
      <c r="J7" s="3" t="s">
        <v>21</v>
      </c>
      <c r="K7" s="3" t="s">
        <v>13</v>
      </c>
      <c r="L7" s="4" t="s">
        <v>14</v>
      </c>
    </row>
    <row r="8" spans="1:12" x14ac:dyDescent="0.2">
      <c r="A8" s="59" t="s">
        <v>8</v>
      </c>
      <c r="B8" s="25" t="s">
        <v>9</v>
      </c>
      <c r="C8" s="274" t="s">
        <v>10</v>
      </c>
      <c r="D8" s="271" t="s">
        <v>10</v>
      </c>
      <c r="E8" s="5" t="s">
        <v>18</v>
      </c>
      <c r="F8" s="5" t="s">
        <v>16</v>
      </c>
      <c r="G8" s="5" t="s">
        <v>19</v>
      </c>
      <c r="H8" s="5" t="s">
        <v>20</v>
      </c>
      <c r="I8" s="5" t="s">
        <v>19</v>
      </c>
      <c r="J8" s="5" t="s">
        <v>16</v>
      </c>
      <c r="K8" s="5" t="s">
        <v>19</v>
      </c>
      <c r="L8" s="6" t="s">
        <v>22</v>
      </c>
    </row>
    <row r="9" spans="1:12" x14ac:dyDescent="0.2">
      <c r="A9" s="705"/>
      <c r="B9" s="27"/>
      <c r="C9" s="275"/>
      <c r="D9" s="272"/>
      <c r="E9" s="28" t="s">
        <v>0</v>
      </c>
      <c r="F9" s="28" t="s">
        <v>24</v>
      </c>
      <c r="G9" s="28" t="s">
        <v>24</v>
      </c>
      <c r="H9" s="28" t="s">
        <v>24</v>
      </c>
      <c r="I9" s="28" t="s">
        <v>24</v>
      </c>
      <c r="J9" s="28" t="s">
        <v>24</v>
      </c>
      <c r="K9" s="28" t="s">
        <v>24</v>
      </c>
      <c r="L9" s="29"/>
    </row>
    <row r="10" spans="1:12" ht="13.9" customHeight="1" x14ac:dyDescent="0.25">
      <c r="A10" s="49">
        <v>0</v>
      </c>
      <c r="C10" s="276">
        <v>0</v>
      </c>
      <c r="D10" s="20" t="s">
        <v>147</v>
      </c>
      <c r="E10" s="801">
        <v>0</v>
      </c>
      <c r="F10" s="7"/>
    </row>
    <row r="11" spans="1:12" ht="13.9" customHeight="1" x14ac:dyDescent="0.25">
      <c r="A11" s="49">
        <v>1</v>
      </c>
      <c r="B11" s="20" t="s">
        <v>642</v>
      </c>
      <c r="C11" s="276">
        <v>1</v>
      </c>
      <c r="D11" s="20" t="s">
        <v>15</v>
      </c>
      <c r="E11" s="801">
        <v>1.1247100000000001</v>
      </c>
      <c r="F11" s="7">
        <v>2.992</v>
      </c>
      <c r="G11" s="1">
        <v>5.9999999999999995E-4</v>
      </c>
      <c r="L11" s="1">
        <v>1</v>
      </c>
    </row>
    <row r="12" spans="1:12" ht="13.9" customHeight="1" x14ac:dyDescent="0.25">
      <c r="A12" s="49">
        <v>2</v>
      </c>
      <c r="B12" s="20" t="s">
        <v>630</v>
      </c>
      <c r="C12" s="276">
        <v>1</v>
      </c>
      <c r="D12" s="20" t="s">
        <v>15</v>
      </c>
      <c r="E12" s="801">
        <v>1.48438</v>
      </c>
      <c r="F12" s="7">
        <v>2.992</v>
      </c>
      <c r="G12" s="1">
        <v>5.9999999999999995E-4</v>
      </c>
      <c r="H12" s="91"/>
      <c r="L12" s="1">
        <v>1</v>
      </c>
    </row>
    <row r="13" spans="1:12" ht="15" x14ac:dyDescent="0.25">
      <c r="A13" s="49">
        <v>3</v>
      </c>
      <c r="B13" s="20" t="s">
        <v>631</v>
      </c>
      <c r="C13" s="276">
        <v>1</v>
      </c>
      <c r="D13" s="20" t="s">
        <v>15</v>
      </c>
      <c r="E13" s="801">
        <v>4.3037799999999997</v>
      </c>
      <c r="F13" s="1">
        <v>2.992</v>
      </c>
      <c r="G13" s="1">
        <v>5.9999999999999995E-4</v>
      </c>
      <c r="L13" s="1">
        <v>1</v>
      </c>
    </row>
    <row r="14" spans="1:12" ht="15" x14ac:dyDescent="0.25">
      <c r="A14" s="49">
        <v>4</v>
      </c>
      <c r="B14" s="20" t="s">
        <v>632</v>
      </c>
      <c r="C14" s="276">
        <v>1</v>
      </c>
      <c r="D14" s="20" t="s">
        <v>15</v>
      </c>
      <c r="E14" s="801">
        <v>4.4409400000000003</v>
      </c>
      <c r="F14" s="1">
        <v>2.992</v>
      </c>
      <c r="G14" s="1">
        <v>5.9999999999999995E-4</v>
      </c>
      <c r="L14" s="1">
        <v>1</v>
      </c>
    </row>
    <row r="15" spans="1:12" ht="15" x14ac:dyDescent="0.25">
      <c r="A15" s="49">
        <v>5</v>
      </c>
      <c r="B15" s="20" t="s">
        <v>633</v>
      </c>
      <c r="C15" s="276">
        <v>1</v>
      </c>
      <c r="D15" s="20" t="s">
        <v>15</v>
      </c>
      <c r="E15" s="801">
        <v>5.7058600000000004</v>
      </c>
      <c r="F15" s="1">
        <v>2.992</v>
      </c>
      <c r="G15" s="1">
        <v>5.9999999999999995E-4</v>
      </c>
      <c r="L15" s="1">
        <v>1</v>
      </c>
    </row>
    <row r="16" spans="1:12" ht="15" x14ac:dyDescent="0.25">
      <c r="A16" s="49">
        <v>6</v>
      </c>
      <c r="B16" s="20" t="s">
        <v>634</v>
      </c>
      <c r="C16" s="276">
        <v>1</v>
      </c>
      <c r="D16" s="20" t="s">
        <v>15</v>
      </c>
      <c r="E16" s="801">
        <v>25.831800000000001</v>
      </c>
      <c r="F16" s="1">
        <v>2.992</v>
      </c>
      <c r="G16" s="1">
        <v>5.9999999999999995E-4</v>
      </c>
      <c r="L16" s="1">
        <v>1</v>
      </c>
    </row>
    <row r="17" spans="1:12" ht="15" x14ac:dyDescent="0.25">
      <c r="A17" s="49">
        <v>7</v>
      </c>
      <c r="B17" s="20" t="s">
        <v>635</v>
      </c>
      <c r="C17" s="276">
        <v>1</v>
      </c>
      <c r="D17" s="20" t="s">
        <v>15</v>
      </c>
      <c r="E17" s="801">
        <v>25.898900000000001</v>
      </c>
      <c r="F17" s="1">
        <v>2.92</v>
      </c>
      <c r="G17" s="1">
        <v>5.9999999999999995E-4</v>
      </c>
      <c r="L17" s="1">
        <v>1</v>
      </c>
    </row>
    <row r="18" spans="1:12" ht="15" x14ac:dyDescent="0.25">
      <c r="A18" s="49">
        <v>8</v>
      </c>
      <c r="B18" s="20" t="s">
        <v>636</v>
      </c>
      <c r="C18" s="276">
        <v>1</v>
      </c>
      <c r="D18" s="20" t="s">
        <v>15</v>
      </c>
      <c r="E18" s="801">
        <v>26.478000000000002</v>
      </c>
      <c r="F18" s="1">
        <v>2.5619999999999998</v>
      </c>
      <c r="G18" s="1">
        <v>5.9999999999999995E-4</v>
      </c>
      <c r="L18" s="1">
        <v>1</v>
      </c>
    </row>
    <row r="19" spans="1:12" ht="15" x14ac:dyDescent="0.25">
      <c r="A19" s="49">
        <v>9</v>
      </c>
      <c r="B19" s="20" t="s">
        <v>637</v>
      </c>
      <c r="C19" s="276">
        <v>1</v>
      </c>
      <c r="D19" s="20" t="s">
        <v>15</v>
      </c>
      <c r="E19" s="801">
        <v>26.575500000000002</v>
      </c>
      <c r="F19" s="1">
        <v>2.92</v>
      </c>
      <c r="G19" s="1">
        <v>5.9999999999999995E-4</v>
      </c>
      <c r="L19" s="1">
        <v>1</v>
      </c>
    </row>
    <row r="20" spans="1:12" ht="15" x14ac:dyDescent="0.25">
      <c r="A20" s="49">
        <v>10</v>
      </c>
      <c r="B20" s="20" t="s">
        <v>638</v>
      </c>
      <c r="C20" s="276">
        <v>1</v>
      </c>
      <c r="D20" s="20" t="s">
        <v>15</v>
      </c>
      <c r="E20" s="801">
        <v>1219.27</v>
      </c>
      <c r="F20" s="1">
        <v>2.992</v>
      </c>
      <c r="G20" s="1">
        <v>5.9999999999999995E-4</v>
      </c>
      <c r="L20" s="1">
        <v>1</v>
      </c>
    </row>
    <row r="21" spans="1:12" ht="15" x14ac:dyDescent="0.25">
      <c r="A21" s="49">
        <v>11</v>
      </c>
      <c r="B21" s="20" t="s">
        <v>639</v>
      </c>
      <c r="C21" s="276">
        <v>1</v>
      </c>
      <c r="D21" s="20" t="s">
        <v>15</v>
      </c>
      <c r="E21" s="801">
        <v>1219.6500000000001</v>
      </c>
      <c r="F21" s="1">
        <v>2.5619999999999998</v>
      </c>
      <c r="G21" s="1">
        <v>5.9999999999999995E-4</v>
      </c>
      <c r="L21" s="1">
        <v>1</v>
      </c>
    </row>
    <row r="22" spans="1:12" ht="15" x14ac:dyDescent="0.25">
      <c r="A22" s="49">
        <v>12</v>
      </c>
      <c r="B22" s="20" t="s">
        <v>640</v>
      </c>
      <c r="C22" s="276">
        <v>1</v>
      </c>
      <c r="D22" s="20" t="s">
        <v>15</v>
      </c>
      <c r="E22" s="801">
        <v>1222.56</v>
      </c>
      <c r="F22" s="1">
        <v>2.992</v>
      </c>
      <c r="G22" s="1">
        <v>5.9999999999999995E-4</v>
      </c>
      <c r="L22" s="1">
        <v>1</v>
      </c>
    </row>
    <row r="23" spans="1:12" ht="15" x14ac:dyDescent="0.25">
      <c r="A23" s="49">
        <v>13</v>
      </c>
      <c r="B23" s="20" t="s">
        <v>641</v>
      </c>
      <c r="C23" s="276">
        <v>1</v>
      </c>
      <c r="D23" s="20" t="s">
        <v>15</v>
      </c>
      <c r="E23" s="801">
        <v>2900</v>
      </c>
      <c r="F23" s="1">
        <v>2.3290000000000002</v>
      </c>
      <c r="G23" s="1">
        <v>5.9999999999999995E-4</v>
      </c>
      <c r="L23" s="1">
        <v>1</v>
      </c>
    </row>
    <row r="24" spans="1:12" ht="15" x14ac:dyDescent="0.25">
      <c r="E24" s="801"/>
    </row>
    <row r="25" spans="1:12" ht="15" x14ac:dyDescent="0.25">
      <c r="E25" s="801"/>
    </row>
    <row r="26" spans="1:12" ht="15" x14ac:dyDescent="0.25">
      <c r="E26" s="801"/>
    </row>
    <row r="27" spans="1:12" ht="15" x14ac:dyDescent="0.25">
      <c r="E27" s="801"/>
    </row>
    <row r="28" spans="1:12" ht="15" x14ac:dyDescent="0.25">
      <c r="E28" s="801"/>
    </row>
    <row r="29" spans="1:12" ht="15" x14ac:dyDescent="0.25">
      <c r="E29" s="801"/>
    </row>
    <row r="30" spans="1:12" ht="15" x14ac:dyDescent="0.25">
      <c r="E30" s="801"/>
    </row>
    <row r="31" spans="1:12" ht="15" x14ac:dyDescent="0.25">
      <c r="E31" s="801"/>
    </row>
    <row r="32" spans="1:12" ht="15" x14ac:dyDescent="0.25">
      <c r="E32" s="801"/>
    </row>
    <row r="33" spans="5:5" ht="15" x14ac:dyDescent="0.25">
      <c r="E33" s="801"/>
    </row>
    <row r="34" spans="5:5" ht="15" x14ac:dyDescent="0.25">
      <c r="E34" s="801"/>
    </row>
    <row r="35" spans="5:5" ht="15" x14ac:dyDescent="0.25">
      <c r="E35" s="801"/>
    </row>
    <row r="36" spans="5:5" ht="15" x14ac:dyDescent="0.25">
      <c r="E36" s="801"/>
    </row>
    <row r="37" spans="5:5" ht="15" x14ac:dyDescent="0.25">
      <c r="E37" s="801"/>
    </row>
    <row r="38" spans="5:5" ht="15" x14ac:dyDescent="0.25">
      <c r="E38" s="801"/>
    </row>
    <row r="39" spans="5:5" ht="15" x14ac:dyDescent="0.25">
      <c r="E39" s="801"/>
    </row>
    <row r="40" spans="5:5" ht="15" x14ac:dyDescent="0.25">
      <c r="E40" s="801"/>
    </row>
    <row r="41" spans="5:5" ht="15" x14ac:dyDescent="0.25">
      <c r="E41" s="801"/>
    </row>
    <row r="42" spans="5:5" ht="15" x14ac:dyDescent="0.25">
      <c r="E42" s="801"/>
    </row>
    <row r="43" spans="5:5" ht="15" x14ac:dyDescent="0.25">
      <c r="E43" s="801"/>
    </row>
    <row r="44" spans="5:5" ht="15" x14ac:dyDescent="0.25">
      <c r="E44" s="801"/>
    </row>
  </sheetData>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4"/>
  <dimension ref="B2:E100"/>
  <sheetViews>
    <sheetView showGridLines="0" workbookViewId="0">
      <selection activeCell="K36" sqref="K36"/>
    </sheetView>
  </sheetViews>
  <sheetFormatPr defaultColWidth="9.33203125" defaultRowHeight="12" x14ac:dyDescent="0.2"/>
  <cols>
    <col min="1" max="1" width="4.1640625" customWidth="1"/>
    <col min="2" max="2" width="8" style="49" customWidth="1"/>
    <col min="3" max="3" width="17.5" customWidth="1"/>
    <col min="4" max="5" width="18.33203125" customWidth="1"/>
    <col min="6" max="6" width="3.33203125" customWidth="1"/>
  </cols>
  <sheetData>
    <row r="2" spans="2:5" x14ac:dyDescent="0.2">
      <c r="B2" s="62" t="s">
        <v>40</v>
      </c>
      <c r="C2" s="51"/>
      <c r="D2" s="54">
        <v>11.000585556000001</v>
      </c>
      <c r="E2" s="53" t="s">
        <v>32</v>
      </c>
    </row>
    <row r="3" spans="2:5" x14ac:dyDescent="0.2">
      <c r="B3" s="20"/>
      <c r="D3" s="55"/>
    </row>
    <row r="4" spans="2:5" x14ac:dyDescent="0.2">
      <c r="B4" s="62" t="s">
        <v>41</v>
      </c>
      <c r="C4" s="51"/>
      <c r="D4" s="50" t="s">
        <v>439</v>
      </c>
      <c r="E4" s="52">
        <v>1</v>
      </c>
    </row>
    <row r="6" spans="2:5" x14ac:dyDescent="0.2">
      <c r="B6" s="57"/>
      <c r="C6" s="11"/>
      <c r="D6" s="1"/>
      <c r="E6" s="1"/>
    </row>
    <row r="7" spans="2:5" x14ac:dyDescent="0.2">
      <c r="B7" s="58"/>
      <c r="C7" s="3"/>
      <c r="D7" s="3"/>
      <c r="E7" s="4" t="s">
        <v>38</v>
      </c>
    </row>
    <row r="8" spans="2:5" x14ac:dyDescent="0.2">
      <c r="B8" s="59" t="s">
        <v>8</v>
      </c>
      <c r="C8" s="5" t="s">
        <v>2</v>
      </c>
      <c r="D8" s="5" t="s">
        <v>1</v>
      </c>
      <c r="E8" s="6" t="s">
        <v>39</v>
      </c>
    </row>
    <row r="9" spans="2:5" x14ac:dyDescent="0.2">
      <c r="B9" s="60"/>
      <c r="C9" s="9" t="s">
        <v>0</v>
      </c>
      <c r="D9" s="9" t="s">
        <v>0</v>
      </c>
      <c r="E9" s="10" t="s">
        <v>31</v>
      </c>
    </row>
    <row r="10" spans="2:5" x14ac:dyDescent="0.2">
      <c r="B10" s="61">
        <v>0</v>
      </c>
      <c r="C10" s="56">
        <v>0</v>
      </c>
      <c r="D10" s="56">
        <v>0</v>
      </c>
      <c r="E10" s="56">
        <v>80</v>
      </c>
    </row>
    <row r="11" spans="2:5" x14ac:dyDescent="0.2">
      <c r="B11" s="61">
        <v>1</v>
      </c>
      <c r="C11" s="56">
        <v>2760.32</v>
      </c>
      <c r="D11" s="56">
        <v>2990</v>
      </c>
      <c r="E11" s="56">
        <v>150</v>
      </c>
    </row>
    <row r="12" spans="2:5" x14ac:dyDescent="0.2">
      <c r="B12" s="61"/>
      <c r="C12" s="56"/>
      <c r="D12" s="56"/>
      <c r="E12" s="56"/>
    </row>
    <row r="13" spans="2:5" x14ac:dyDescent="0.2">
      <c r="B13" s="61"/>
      <c r="C13" s="56"/>
      <c r="D13" s="56"/>
      <c r="E13" s="56"/>
    </row>
    <row r="14" spans="2:5" x14ac:dyDescent="0.2">
      <c r="B14" s="61"/>
      <c r="C14" s="56"/>
      <c r="D14" s="56"/>
      <c r="E14" s="56"/>
    </row>
    <row r="15" spans="2:5" x14ac:dyDescent="0.2">
      <c r="B15" s="61"/>
      <c r="C15" s="56"/>
      <c r="D15" s="56"/>
      <c r="E15" s="56"/>
    </row>
    <row r="16" spans="2:5" x14ac:dyDescent="0.2">
      <c r="B16" s="61"/>
      <c r="C16" s="56"/>
      <c r="D16" s="56"/>
      <c r="E16" s="56"/>
    </row>
    <row r="17" spans="2:5" x14ac:dyDescent="0.2">
      <c r="B17" s="61"/>
      <c r="C17" s="56"/>
      <c r="D17" s="56"/>
      <c r="E17" s="56"/>
    </row>
    <row r="18" spans="2:5" x14ac:dyDescent="0.2">
      <c r="B18" s="61"/>
      <c r="C18" s="56"/>
      <c r="D18" s="56"/>
      <c r="E18" s="56"/>
    </row>
    <row r="19" spans="2:5" x14ac:dyDescent="0.2">
      <c r="B19" s="61"/>
      <c r="C19" s="56"/>
      <c r="D19" s="56"/>
      <c r="E19" s="56"/>
    </row>
    <row r="20" spans="2:5" x14ac:dyDescent="0.2">
      <c r="B20" s="61"/>
      <c r="C20" s="56"/>
      <c r="D20" s="56"/>
      <c r="E20" s="56"/>
    </row>
    <row r="21" spans="2:5" x14ac:dyDescent="0.2">
      <c r="B21" s="61"/>
      <c r="C21" s="56"/>
      <c r="D21" s="56"/>
      <c r="E21" s="56"/>
    </row>
    <row r="22" spans="2:5" x14ac:dyDescent="0.2">
      <c r="B22" s="61"/>
      <c r="C22" s="56"/>
      <c r="D22" s="56"/>
      <c r="E22" s="56"/>
    </row>
    <row r="23" spans="2:5" x14ac:dyDescent="0.2">
      <c r="B23" s="61"/>
      <c r="C23" s="56"/>
      <c r="D23" s="56"/>
      <c r="E23" s="56"/>
    </row>
    <row r="24" spans="2:5" x14ac:dyDescent="0.2">
      <c r="B24" s="61"/>
      <c r="C24" s="56"/>
      <c r="D24" s="56"/>
      <c r="E24" s="56"/>
    </row>
    <row r="25" spans="2:5" x14ac:dyDescent="0.2">
      <c r="B25" s="61"/>
      <c r="C25" s="56"/>
      <c r="D25" s="56"/>
      <c r="E25" s="56"/>
    </row>
    <row r="26" spans="2:5" x14ac:dyDescent="0.2">
      <c r="B26" s="61"/>
      <c r="C26" s="56"/>
      <c r="D26" s="56"/>
      <c r="E26" s="56"/>
    </row>
    <row r="27" spans="2:5" x14ac:dyDescent="0.2">
      <c r="B27" s="61"/>
      <c r="C27" s="56"/>
      <c r="D27" s="56"/>
      <c r="E27" s="56"/>
    </row>
    <row r="28" spans="2:5" x14ac:dyDescent="0.2">
      <c r="B28" s="61"/>
      <c r="C28" s="56"/>
      <c r="D28" s="56"/>
      <c r="E28" s="56"/>
    </row>
    <row r="29" spans="2:5" x14ac:dyDescent="0.2">
      <c r="B29" s="61"/>
      <c r="C29" s="56"/>
      <c r="D29" s="56"/>
      <c r="E29" s="56"/>
    </row>
    <row r="30" spans="2:5" x14ac:dyDescent="0.2">
      <c r="B30" s="61"/>
      <c r="C30" s="56"/>
      <c r="D30" s="56"/>
      <c r="E30" s="56"/>
    </row>
    <row r="31" spans="2:5" x14ac:dyDescent="0.2">
      <c r="B31" s="61"/>
      <c r="C31" s="56"/>
      <c r="D31" s="56"/>
      <c r="E31" s="56"/>
    </row>
    <row r="32" spans="2:5" x14ac:dyDescent="0.2">
      <c r="B32" s="61"/>
      <c r="C32" s="56"/>
      <c r="D32" s="56"/>
      <c r="E32" s="56"/>
    </row>
    <row r="33" spans="2:5" x14ac:dyDescent="0.2">
      <c r="B33" s="61"/>
      <c r="C33" s="56"/>
      <c r="D33" s="56"/>
      <c r="E33" s="56"/>
    </row>
    <row r="34" spans="2:5" x14ac:dyDescent="0.2">
      <c r="B34" s="61"/>
      <c r="C34" s="56"/>
      <c r="D34" s="56"/>
      <c r="E34" s="56"/>
    </row>
    <row r="35" spans="2:5" x14ac:dyDescent="0.2">
      <c r="B35" s="61"/>
      <c r="C35" s="56"/>
      <c r="D35" s="56"/>
      <c r="E35" s="56"/>
    </row>
    <row r="36" spans="2:5" x14ac:dyDescent="0.2">
      <c r="B36" s="61"/>
      <c r="C36" s="56"/>
      <c r="D36" s="56"/>
      <c r="E36" s="56"/>
    </row>
    <row r="37" spans="2:5" x14ac:dyDescent="0.2">
      <c r="B37" s="61"/>
      <c r="C37" s="56"/>
      <c r="D37" s="56"/>
      <c r="E37" s="56"/>
    </row>
    <row r="38" spans="2:5" x14ac:dyDescent="0.2">
      <c r="B38" s="61"/>
      <c r="C38" s="56"/>
      <c r="D38" s="56"/>
      <c r="E38" s="56"/>
    </row>
    <row r="39" spans="2:5" x14ac:dyDescent="0.2">
      <c r="B39" s="61"/>
      <c r="C39" s="56"/>
      <c r="D39" s="56"/>
      <c r="E39" s="56"/>
    </row>
    <row r="40" spans="2:5" x14ac:dyDescent="0.2">
      <c r="B40" s="61"/>
      <c r="C40" s="56"/>
      <c r="D40" s="56"/>
      <c r="E40" s="56"/>
    </row>
    <row r="41" spans="2:5" x14ac:dyDescent="0.2">
      <c r="B41" s="61"/>
      <c r="C41" s="56"/>
      <c r="D41" s="56"/>
      <c r="E41" s="56"/>
    </row>
    <row r="42" spans="2:5" x14ac:dyDescent="0.2">
      <c r="B42" s="61"/>
      <c r="C42" s="56"/>
      <c r="D42" s="56"/>
      <c r="E42" s="56"/>
    </row>
    <row r="43" spans="2:5" x14ac:dyDescent="0.2">
      <c r="B43" s="61"/>
      <c r="C43" s="56"/>
      <c r="D43" s="56"/>
      <c r="E43" s="56"/>
    </row>
    <row r="44" spans="2:5" x14ac:dyDescent="0.2">
      <c r="B44" s="61"/>
      <c r="C44" s="56"/>
      <c r="D44" s="56"/>
      <c r="E44" s="56"/>
    </row>
    <row r="45" spans="2:5" x14ac:dyDescent="0.2">
      <c r="B45" s="61"/>
      <c r="C45" s="56"/>
      <c r="D45" s="56"/>
      <c r="E45" s="56"/>
    </row>
    <row r="46" spans="2:5" x14ac:dyDescent="0.2">
      <c r="B46" s="61"/>
      <c r="C46" s="56"/>
      <c r="D46" s="56"/>
      <c r="E46" s="56"/>
    </row>
    <row r="47" spans="2:5" x14ac:dyDescent="0.2">
      <c r="B47" s="61"/>
      <c r="C47" s="56"/>
      <c r="D47" s="56"/>
      <c r="E47" s="56"/>
    </row>
    <row r="48" spans="2:5" x14ac:dyDescent="0.2">
      <c r="B48" s="61"/>
      <c r="C48" s="56"/>
      <c r="D48" s="56"/>
      <c r="E48" s="56"/>
    </row>
    <row r="49" spans="2:5" x14ac:dyDescent="0.2">
      <c r="B49" s="61"/>
      <c r="C49" s="56"/>
      <c r="D49" s="56"/>
      <c r="E49" s="56"/>
    </row>
    <row r="50" spans="2:5" x14ac:dyDescent="0.2">
      <c r="B50" s="61"/>
      <c r="C50" s="56"/>
      <c r="D50" s="56"/>
      <c r="E50" s="56"/>
    </row>
    <row r="51" spans="2:5" x14ac:dyDescent="0.2">
      <c r="B51" s="61"/>
      <c r="C51" s="56"/>
      <c r="D51" s="56"/>
      <c r="E51" s="56"/>
    </row>
    <row r="52" spans="2:5" x14ac:dyDescent="0.2">
      <c r="B52" s="61"/>
      <c r="C52" s="56"/>
      <c r="D52" s="56"/>
      <c r="E52" s="56"/>
    </row>
    <row r="53" spans="2:5" x14ac:dyDescent="0.2">
      <c r="B53" s="61"/>
      <c r="C53" s="56"/>
      <c r="D53" s="56"/>
      <c r="E53" s="56"/>
    </row>
    <row r="54" spans="2:5" x14ac:dyDescent="0.2">
      <c r="B54" s="61"/>
      <c r="C54" s="56"/>
      <c r="D54" s="56"/>
      <c r="E54" s="56"/>
    </row>
    <row r="55" spans="2:5" x14ac:dyDescent="0.2">
      <c r="B55" s="61"/>
      <c r="C55" s="56"/>
      <c r="D55" s="56"/>
      <c r="E55" s="56"/>
    </row>
    <row r="56" spans="2:5" x14ac:dyDescent="0.2">
      <c r="B56" s="61"/>
      <c r="C56" s="56"/>
      <c r="D56" s="56"/>
      <c r="E56" s="56"/>
    </row>
    <row r="57" spans="2:5" x14ac:dyDescent="0.2">
      <c r="B57" s="61"/>
      <c r="C57" s="56"/>
      <c r="D57" s="56"/>
      <c r="E57" s="56"/>
    </row>
    <row r="58" spans="2:5" x14ac:dyDescent="0.2">
      <c r="B58" s="61"/>
      <c r="C58" s="56"/>
      <c r="D58" s="56"/>
      <c r="E58" s="56"/>
    </row>
    <row r="59" spans="2:5" x14ac:dyDescent="0.2">
      <c r="B59" s="61"/>
      <c r="C59" s="56"/>
      <c r="D59" s="56"/>
      <c r="E59" s="56"/>
    </row>
    <row r="60" spans="2:5" x14ac:dyDescent="0.2">
      <c r="B60" s="61"/>
      <c r="C60" s="56"/>
      <c r="D60" s="56"/>
      <c r="E60" s="56"/>
    </row>
    <row r="61" spans="2:5" x14ac:dyDescent="0.2">
      <c r="B61" s="61"/>
      <c r="C61" s="56"/>
      <c r="D61" s="56"/>
      <c r="E61" s="56"/>
    </row>
    <row r="62" spans="2:5" x14ac:dyDescent="0.2">
      <c r="B62" s="61"/>
      <c r="C62" s="56"/>
      <c r="D62" s="56"/>
      <c r="E62" s="56"/>
    </row>
    <row r="63" spans="2:5" x14ac:dyDescent="0.2">
      <c r="B63" s="61"/>
      <c r="C63" s="56"/>
      <c r="D63" s="56"/>
      <c r="E63" s="56"/>
    </row>
    <row r="64" spans="2:5" x14ac:dyDescent="0.2">
      <c r="B64" s="61"/>
      <c r="C64" s="56"/>
      <c r="D64" s="56"/>
      <c r="E64" s="56"/>
    </row>
    <row r="65" spans="2:5" x14ac:dyDescent="0.2">
      <c r="B65" s="61"/>
      <c r="C65" s="56"/>
      <c r="D65" s="56"/>
      <c r="E65" s="56"/>
    </row>
    <row r="66" spans="2:5" x14ac:dyDescent="0.2">
      <c r="B66" s="61"/>
      <c r="C66" s="56"/>
      <c r="D66" s="56"/>
      <c r="E66" s="56"/>
    </row>
    <row r="67" spans="2:5" x14ac:dyDescent="0.2">
      <c r="B67" s="61"/>
      <c r="C67" s="56"/>
      <c r="D67" s="56"/>
      <c r="E67" s="56"/>
    </row>
    <row r="68" spans="2:5" x14ac:dyDescent="0.2">
      <c r="B68" s="61"/>
      <c r="C68" s="56"/>
      <c r="D68" s="56"/>
      <c r="E68" s="56"/>
    </row>
    <row r="69" spans="2:5" x14ac:dyDescent="0.2">
      <c r="B69" s="61"/>
      <c r="C69" s="56"/>
      <c r="D69" s="56"/>
      <c r="E69" s="56"/>
    </row>
    <row r="70" spans="2:5" x14ac:dyDescent="0.2">
      <c r="B70" s="61"/>
      <c r="C70" s="56"/>
      <c r="D70" s="56"/>
      <c r="E70" s="56"/>
    </row>
    <row r="71" spans="2:5" x14ac:dyDescent="0.2">
      <c r="B71" s="61"/>
      <c r="C71" s="56"/>
      <c r="D71" s="56"/>
      <c r="E71" s="56"/>
    </row>
    <row r="72" spans="2:5" x14ac:dyDescent="0.2">
      <c r="B72" s="61"/>
      <c r="C72" s="56"/>
      <c r="D72" s="56"/>
      <c r="E72" s="56"/>
    </row>
    <row r="73" spans="2:5" x14ac:dyDescent="0.2">
      <c r="B73" s="61"/>
      <c r="C73" s="56"/>
      <c r="D73" s="56"/>
      <c r="E73" s="56"/>
    </row>
    <row r="74" spans="2:5" x14ac:dyDescent="0.2">
      <c r="B74" s="61"/>
      <c r="C74" s="56"/>
      <c r="D74" s="56"/>
      <c r="E74" s="56"/>
    </row>
    <row r="75" spans="2:5" x14ac:dyDescent="0.2">
      <c r="B75" s="61"/>
      <c r="C75" s="56"/>
      <c r="D75" s="56"/>
      <c r="E75" s="56"/>
    </row>
    <row r="76" spans="2:5" x14ac:dyDescent="0.2">
      <c r="B76" s="61"/>
      <c r="C76" s="56"/>
      <c r="D76" s="56"/>
      <c r="E76" s="56"/>
    </row>
    <row r="77" spans="2:5" x14ac:dyDescent="0.2">
      <c r="B77" s="61"/>
      <c r="C77" s="56"/>
      <c r="D77" s="56"/>
      <c r="E77" s="56"/>
    </row>
    <row r="78" spans="2:5" x14ac:dyDescent="0.2">
      <c r="B78" s="61"/>
      <c r="C78" s="56"/>
      <c r="D78" s="56"/>
      <c r="E78" s="56"/>
    </row>
    <row r="79" spans="2:5" x14ac:dyDescent="0.2">
      <c r="B79" s="61"/>
      <c r="C79" s="56"/>
      <c r="D79" s="56"/>
      <c r="E79" s="56"/>
    </row>
    <row r="80" spans="2:5" x14ac:dyDescent="0.2">
      <c r="B80" s="61"/>
      <c r="C80" s="56"/>
      <c r="D80" s="56"/>
      <c r="E80" s="56"/>
    </row>
    <row r="81" spans="2:5" x14ac:dyDescent="0.2">
      <c r="B81" s="61"/>
      <c r="C81" s="56"/>
      <c r="D81" s="56"/>
      <c r="E81" s="56"/>
    </row>
    <row r="82" spans="2:5" x14ac:dyDescent="0.2">
      <c r="B82" s="61"/>
      <c r="C82" s="56"/>
      <c r="D82" s="56"/>
      <c r="E82" s="56"/>
    </row>
    <row r="83" spans="2:5" x14ac:dyDescent="0.2">
      <c r="B83" s="61"/>
      <c r="C83" s="56"/>
      <c r="D83" s="56"/>
      <c r="E83" s="56"/>
    </row>
    <row r="84" spans="2:5" x14ac:dyDescent="0.2">
      <c r="B84" s="61"/>
      <c r="C84" s="56"/>
      <c r="D84" s="56"/>
      <c r="E84" s="56"/>
    </row>
    <row r="85" spans="2:5" x14ac:dyDescent="0.2">
      <c r="B85" s="61"/>
      <c r="C85" s="56"/>
      <c r="D85" s="56"/>
      <c r="E85" s="56"/>
    </row>
    <row r="86" spans="2:5" x14ac:dyDescent="0.2">
      <c r="B86" s="61"/>
      <c r="C86" s="56"/>
      <c r="D86" s="56"/>
      <c r="E86" s="56"/>
    </row>
    <row r="87" spans="2:5" x14ac:dyDescent="0.2">
      <c r="B87" s="61"/>
      <c r="C87" s="56"/>
      <c r="D87" s="56"/>
      <c r="E87" s="56"/>
    </row>
    <row r="88" spans="2:5" x14ac:dyDescent="0.2">
      <c r="B88" s="61"/>
      <c r="C88" s="56"/>
      <c r="D88" s="56"/>
      <c r="E88" s="56"/>
    </row>
    <row r="89" spans="2:5" x14ac:dyDescent="0.2">
      <c r="B89" s="61"/>
      <c r="C89" s="56"/>
      <c r="D89" s="56"/>
      <c r="E89" s="56"/>
    </row>
    <row r="90" spans="2:5" x14ac:dyDescent="0.2">
      <c r="B90" s="61"/>
      <c r="C90" s="56"/>
      <c r="D90" s="56"/>
      <c r="E90" s="56"/>
    </row>
    <row r="91" spans="2:5" x14ac:dyDescent="0.2">
      <c r="B91" s="61"/>
      <c r="C91" s="56"/>
      <c r="D91" s="56"/>
      <c r="E91" s="56"/>
    </row>
    <row r="92" spans="2:5" x14ac:dyDescent="0.2">
      <c r="B92" s="61"/>
      <c r="C92" s="56"/>
      <c r="D92" s="56"/>
      <c r="E92" s="56"/>
    </row>
    <row r="93" spans="2:5" x14ac:dyDescent="0.2">
      <c r="B93" s="61"/>
      <c r="C93" s="56"/>
      <c r="D93" s="56"/>
      <c r="E93" s="56"/>
    </row>
    <row r="94" spans="2:5" x14ac:dyDescent="0.2">
      <c r="B94" s="61"/>
      <c r="C94" s="56"/>
      <c r="D94" s="56"/>
      <c r="E94" s="56"/>
    </row>
    <row r="95" spans="2:5" x14ac:dyDescent="0.2">
      <c r="B95" s="61"/>
      <c r="C95" s="56"/>
      <c r="D95" s="56"/>
      <c r="E95" s="56"/>
    </row>
    <row r="96" spans="2:5" x14ac:dyDescent="0.2">
      <c r="B96" s="61"/>
      <c r="C96" s="56"/>
      <c r="D96" s="56"/>
      <c r="E96" s="56"/>
    </row>
    <row r="97" spans="2:5" x14ac:dyDescent="0.2">
      <c r="B97" s="61"/>
      <c r="C97" s="56"/>
      <c r="D97" s="56"/>
      <c r="E97" s="56"/>
    </row>
    <row r="98" spans="2:5" x14ac:dyDescent="0.2">
      <c r="B98" s="61"/>
      <c r="C98" s="56"/>
      <c r="D98" s="56"/>
      <c r="E98" s="56"/>
    </row>
    <row r="99" spans="2:5" x14ac:dyDescent="0.2">
      <c r="B99" s="61"/>
      <c r="C99" s="56"/>
      <c r="D99" s="56"/>
      <c r="E99" s="56"/>
    </row>
    <row r="100" spans="2:5" x14ac:dyDescent="0.2">
      <c r="B100" s="61"/>
      <c r="C100" s="56"/>
      <c r="D100" s="56"/>
      <c r="E100" s="56"/>
    </row>
  </sheetData>
  <pageMargins left="0.7" right="0.7" top="0.75" bottom="0.75" header="0.3" footer="0.3"/>
  <drawing r:id="rId1"/>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5">
    <tabColor rgb="FF0000FF"/>
  </sheetPr>
  <dimension ref="B1:P41"/>
  <sheetViews>
    <sheetView showGridLines="0" workbookViewId="0">
      <selection activeCell="P32" sqref="P32"/>
    </sheetView>
  </sheetViews>
  <sheetFormatPr defaultColWidth="9.33203125" defaultRowHeight="12" x14ac:dyDescent="0.2"/>
  <cols>
    <col min="1" max="1" width="3.33203125" customWidth="1"/>
    <col min="2" max="2" width="16.83203125" style="74" customWidth="1"/>
    <col min="3" max="3" width="12.6640625" style="20" customWidth="1"/>
    <col min="4" max="6" width="15.5" style="12" customWidth="1"/>
    <col min="7" max="7" width="17.33203125" style="12" customWidth="1"/>
    <col min="8" max="8" width="15.5" style="12" customWidth="1"/>
    <col min="9" max="10" width="12" style="12" customWidth="1"/>
    <col min="11" max="11" width="15.5" style="12" customWidth="1"/>
    <col min="12" max="12" width="12.6640625" customWidth="1"/>
    <col min="13" max="13" width="3" customWidth="1"/>
  </cols>
  <sheetData>
    <row r="1" spans="2:16" ht="18.75" x14ac:dyDescent="0.3">
      <c r="B1" s="785" t="s">
        <v>683</v>
      </c>
    </row>
    <row r="5" spans="2:16" ht="15" x14ac:dyDescent="0.25">
      <c r="B5" s="800" t="s">
        <v>153</v>
      </c>
    </row>
    <row r="6" spans="2:16" x14ac:dyDescent="0.2">
      <c r="B6" s="72"/>
      <c r="C6" s="67"/>
      <c r="D6" s="68" t="s">
        <v>15</v>
      </c>
      <c r="E6" s="68" t="s">
        <v>15</v>
      </c>
      <c r="F6" s="68" t="s">
        <v>48</v>
      </c>
      <c r="G6" s="68" t="s">
        <v>51</v>
      </c>
      <c r="H6" s="68" t="s">
        <v>53</v>
      </c>
      <c r="I6" s="68"/>
      <c r="J6" s="68"/>
      <c r="K6" s="69" t="s">
        <v>58</v>
      </c>
      <c r="L6" s="214"/>
    </row>
    <row r="7" spans="2:16" x14ac:dyDescent="0.2">
      <c r="B7" s="73"/>
      <c r="C7" s="41"/>
      <c r="D7" s="70" t="s">
        <v>45</v>
      </c>
      <c r="E7" s="70" t="s">
        <v>47</v>
      </c>
      <c r="F7" s="70" t="s">
        <v>49</v>
      </c>
      <c r="G7" s="70" t="s">
        <v>49</v>
      </c>
      <c r="H7" s="70" t="s">
        <v>14</v>
      </c>
      <c r="I7" s="70" t="s">
        <v>55</v>
      </c>
      <c r="J7" s="70" t="s">
        <v>56</v>
      </c>
      <c r="K7" s="71" t="s">
        <v>57</v>
      </c>
      <c r="L7" s="215" t="s">
        <v>154</v>
      </c>
      <c r="N7" s="70" t="s">
        <v>155</v>
      </c>
      <c r="O7" s="70" t="s">
        <v>157</v>
      </c>
      <c r="P7" s="70" t="s">
        <v>159</v>
      </c>
    </row>
    <row r="8" spans="2:16" x14ac:dyDescent="0.2">
      <c r="B8" s="73" t="s">
        <v>42</v>
      </c>
      <c r="C8" s="41" t="s">
        <v>43</v>
      </c>
      <c r="D8" s="70" t="s">
        <v>46</v>
      </c>
      <c r="E8" s="70" t="s">
        <v>39</v>
      </c>
      <c r="F8" s="70" t="s">
        <v>50</v>
      </c>
      <c r="G8" s="70" t="s">
        <v>52</v>
      </c>
      <c r="H8" s="70" t="s">
        <v>54</v>
      </c>
      <c r="I8" s="70" t="s">
        <v>18</v>
      </c>
      <c r="J8" s="70" t="s">
        <v>57</v>
      </c>
      <c r="K8" s="71" t="s">
        <v>59</v>
      </c>
      <c r="L8" s="215" t="s">
        <v>80</v>
      </c>
      <c r="N8" s="70" t="s">
        <v>156</v>
      </c>
      <c r="O8" s="70" t="s">
        <v>158</v>
      </c>
      <c r="P8" s="70" t="s">
        <v>160</v>
      </c>
    </row>
    <row r="9" spans="2:16" x14ac:dyDescent="0.2">
      <c r="B9" s="149" t="s">
        <v>492</v>
      </c>
      <c r="C9" s="150"/>
      <c r="D9" s="151" t="s">
        <v>44</v>
      </c>
      <c r="E9" s="151"/>
      <c r="F9" s="151"/>
      <c r="G9" s="151"/>
      <c r="H9" s="151" t="s">
        <v>60</v>
      </c>
      <c r="I9" s="151" t="s">
        <v>0</v>
      </c>
      <c r="J9" s="151"/>
      <c r="K9" s="152"/>
      <c r="L9" s="216" t="s">
        <v>32</v>
      </c>
    </row>
    <row r="10" spans="2:16" ht="16.5" customHeight="1" x14ac:dyDescent="0.25">
      <c r="B10" s="155">
        <v>45658</v>
      </c>
      <c r="C10" s="156" t="s">
        <v>61</v>
      </c>
      <c r="D10" s="63">
        <v>2956</v>
      </c>
      <c r="E10" s="63">
        <v>93</v>
      </c>
      <c r="F10" s="63">
        <v>0.75968992248062017</v>
      </c>
      <c r="G10" s="63">
        <v>25</v>
      </c>
      <c r="H10" s="786">
        <v>8.42</v>
      </c>
      <c r="I10" s="790">
        <v>2400</v>
      </c>
      <c r="J10" s="791">
        <v>4110</v>
      </c>
      <c r="K10" s="792">
        <v>4400</v>
      </c>
      <c r="L10" s="153">
        <v>8.0371100000000002</v>
      </c>
    </row>
    <row r="11" spans="2:16" ht="16.5" customHeight="1" x14ac:dyDescent="0.25">
      <c r="B11" s="159">
        <v>45659</v>
      </c>
      <c r="C11" s="160" t="s">
        <v>62</v>
      </c>
      <c r="D11" s="161">
        <v>2605</v>
      </c>
      <c r="E11" s="161">
        <v>94.9</v>
      </c>
      <c r="F11" s="161">
        <v>0.39715762273901806</v>
      </c>
      <c r="G11" s="161">
        <v>26.877033181522449</v>
      </c>
      <c r="H11" s="787">
        <v>14.15</v>
      </c>
      <c r="I11" s="793">
        <v>2400</v>
      </c>
      <c r="J11" s="794">
        <v>3975</v>
      </c>
      <c r="K11" s="795">
        <v>4400</v>
      </c>
      <c r="L11" s="162">
        <v>11.8047</v>
      </c>
    </row>
    <row r="12" spans="2:16" ht="16.5" customHeight="1" x14ac:dyDescent="0.25">
      <c r="B12" s="157">
        <v>45660</v>
      </c>
      <c r="C12" s="20" t="s">
        <v>63</v>
      </c>
      <c r="D12" s="19">
        <v>2385</v>
      </c>
      <c r="E12" s="19">
        <v>101.9</v>
      </c>
      <c r="F12" s="19">
        <v>0.37445692883895132</v>
      </c>
      <c r="G12" s="19">
        <v>28.205641128225647</v>
      </c>
      <c r="H12" s="788">
        <v>23.89</v>
      </c>
      <c r="I12" s="796">
        <v>2400</v>
      </c>
      <c r="J12" s="797">
        <v>3631</v>
      </c>
      <c r="K12" s="798">
        <v>4400</v>
      </c>
      <c r="L12" s="154">
        <v>13.16</v>
      </c>
    </row>
    <row r="13" spans="2:16" ht="15" x14ac:dyDescent="0.25">
      <c r="B13" s="159"/>
      <c r="C13" s="160"/>
      <c r="D13" s="161"/>
      <c r="E13" s="161"/>
      <c r="F13" s="161"/>
      <c r="G13" s="161"/>
      <c r="H13" s="787"/>
      <c r="I13" s="793"/>
      <c r="J13" s="794"/>
      <c r="K13" s="795"/>
      <c r="L13" s="162"/>
    </row>
    <row r="14" spans="2:16" ht="15" x14ac:dyDescent="0.25">
      <c r="B14" s="157"/>
      <c r="D14" s="19"/>
      <c r="E14" s="19"/>
      <c r="F14" s="19"/>
      <c r="G14" s="19"/>
      <c r="H14" s="788"/>
      <c r="I14" s="796"/>
      <c r="J14" s="797"/>
      <c r="K14" s="798"/>
      <c r="L14" s="154"/>
    </row>
    <row r="15" spans="2:16" ht="15" x14ac:dyDescent="0.25">
      <c r="B15" s="159"/>
      <c r="C15" s="160"/>
      <c r="D15" s="161"/>
      <c r="E15" s="161"/>
      <c r="F15" s="161"/>
      <c r="G15" s="161"/>
      <c r="H15" s="787"/>
      <c r="I15" s="793"/>
      <c r="J15" s="794"/>
      <c r="K15" s="795"/>
      <c r="L15" s="162"/>
    </row>
    <row r="16" spans="2:16" ht="15" x14ac:dyDescent="0.25">
      <c r="B16" s="157"/>
      <c r="D16" s="19"/>
      <c r="E16" s="19"/>
      <c r="F16" s="19"/>
      <c r="G16" s="19"/>
      <c r="H16" s="788"/>
      <c r="I16" s="796"/>
      <c r="J16" s="797"/>
      <c r="K16" s="798"/>
      <c r="L16" s="154"/>
    </row>
    <row r="17" spans="2:12" ht="15" x14ac:dyDescent="0.25">
      <c r="B17" s="159"/>
      <c r="C17" s="160"/>
      <c r="D17" s="161"/>
      <c r="E17" s="161"/>
      <c r="F17" s="161"/>
      <c r="G17" s="161"/>
      <c r="H17" s="787"/>
      <c r="I17" s="793"/>
      <c r="J17" s="794"/>
      <c r="K17" s="795"/>
      <c r="L17" s="162"/>
    </row>
    <row r="18" spans="2:12" ht="15" x14ac:dyDescent="0.25">
      <c r="B18" s="157"/>
      <c r="D18" s="19"/>
      <c r="E18" s="19"/>
      <c r="F18" s="19"/>
      <c r="G18" s="19"/>
      <c r="H18" s="788"/>
      <c r="I18" s="796"/>
      <c r="J18" s="797"/>
      <c r="K18" s="798"/>
      <c r="L18" s="154"/>
    </row>
    <row r="19" spans="2:12" ht="15" x14ac:dyDescent="0.25">
      <c r="B19" s="159"/>
      <c r="C19" s="160"/>
      <c r="D19" s="161"/>
      <c r="E19" s="161"/>
      <c r="F19" s="161"/>
      <c r="G19" s="161"/>
      <c r="H19" s="787"/>
      <c r="I19" s="793"/>
      <c r="J19" s="794"/>
      <c r="K19" s="795"/>
      <c r="L19" s="162"/>
    </row>
    <row r="20" spans="2:12" ht="15" x14ac:dyDescent="0.25">
      <c r="B20" s="157"/>
      <c r="D20" s="19"/>
      <c r="E20" s="19"/>
      <c r="F20" s="19"/>
      <c r="G20" s="19"/>
      <c r="H20" s="788"/>
      <c r="I20" s="796"/>
      <c r="J20" s="797"/>
      <c r="K20" s="798"/>
      <c r="L20" s="154"/>
    </row>
    <row r="21" spans="2:12" ht="15" x14ac:dyDescent="0.25">
      <c r="B21" s="159"/>
      <c r="C21" s="160"/>
      <c r="D21" s="161"/>
      <c r="E21" s="161"/>
      <c r="F21" s="161"/>
      <c r="G21" s="161"/>
      <c r="H21" s="787"/>
      <c r="I21" s="793"/>
      <c r="J21" s="794"/>
      <c r="K21" s="795"/>
      <c r="L21" s="162"/>
    </row>
    <row r="22" spans="2:12" ht="15" x14ac:dyDescent="0.25">
      <c r="B22" s="157"/>
      <c r="D22" s="19"/>
      <c r="E22" s="19"/>
      <c r="F22" s="19"/>
      <c r="G22" s="19"/>
      <c r="H22" s="788"/>
      <c r="I22" s="796"/>
      <c r="J22" s="797"/>
      <c r="K22" s="798"/>
      <c r="L22" s="154"/>
    </row>
    <row r="23" spans="2:12" ht="15" x14ac:dyDescent="0.25">
      <c r="B23" s="159"/>
      <c r="C23" s="160"/>
      <c r="D23" s="161"/>
      <c r="E23" s="161"/>
      <c r="F23" s="161"/>
      <c r="G23" s="161"/>
      <c r="H23" s="787"/>
      <c r="I23" s="793"/>
      <c r="J23" s="794"/>
      <c r="K23" s="795"/>
      <c r="L23" s="162"/>
    </row>
    <row r="24" spans="2:12" ht="15" x14ac:dyDescent="0.25">
      <c r="B24" s="157"/>
      <c r="D24" s="19"/>
      <c r="E24" s="19"/>
      <c r="F24" s="19"/>
      <c r="G24" s="19"/>
      <c r="H24" s="788"/>
      <c r="I24" s="796"/>
      <c r="J24" s="797"/>
      <c r="K24" s="798"/>
      <c r="L24" s="154"/>
    </row>
    <row r="25" spans="2:12" ht="15" x14ac:dyDescent="0.25">
      <c r="B25" s="159"/>
      <c r="C25" s="160"/>
      <c r="D25" s="161"/>
      <c r="E25" s="161"/>
      <c r="F25" s="161"/>
      <c r="G25" s="161"/>
      <c r="H25" s="787"/>
      <c r="I25" s="793"/>
      <c r="J25" s="794"/>
      <c r="K25" s="795"/>
      <c r="L25" s="162"/>
    </row>
    <row r="26" spans="2:12" ht="15" x14ac:dyDescent="0.25">
      <c r="B26" s="157"/>
      <c r="D26" s="19"/>
      <c r="E26" s="19"/>
      <c r="F26" s="19"/>
      <c r="G26" s="19"/>
      <c r="H26" s="788"/>
      <c r="I26" s="796"/>
      <c r="J26" s="797"/>
      <c r="K26" s="798"/>
      <c r="L26" s="154"/>
    </row>
    <row r="27" spans="2:12" ht="15" x14ac:dyDescent="0.25">
      <c r="B27" s="159"/>
      <c r="C27" s="160"/>
      <c r="D27" s="161"/>
      <c r="E27" s="161"/>
      <c r="F27" s="161"/>
      <c r="G27" s="161"/>
      <c r="H27" s="787"/>
      <c r="I27" s="793"/>
      <c r="J27" s="794"/>
      <c r="K27" s="795"/>
      <c r="L27" s="162"/>
    </row>
    <row r="28" spans="2:12" ht="15" x14ac:dyDescent="0.25">
      <c r="B28" s="157"/>
      <c r="D28" s="19"/>
      <c r="E28" s="19"/>
      <c r="F28" s="19"/>
      <c r="G28" s="19"/>
      <c r="H28" s="788"/>
      <c r="I28" s="796"/>
      <c r="J28" s="797"/>
      <c r="K28" s="798"/>
      <c r="L28" s="154"/>
    </row>
    <row r="29" spans="2:12" ht="15" x14ac:dyDescent="0.25">
      <c r="B29" s="159"/>
      <c r="C29" s="160"/>
      <c r="D29" s="161"/>
      <c r="E29" s="161"/>
      <c r="F29" s="161"/>
      <c r="G29" s="161"/>
      <c r="H29" s="787"/>
      <c r="I29" s="793"/>
      <c r="J29" s="794"/>
      <c r="K29" s="795"/>
      <c r="L29" s="162"/>
    </row>
    <row r="30" spans="2:12" ht="15" x14ac:dyDescent="0.25">
      <c r="B30" s="157"/>
      <c r="D30" s="19"/>
      <c r="E30" s="19"/>
      <c r="F30" s="19"/>
      <c r="G30" s="19"/>
      <c r="H30" s="788"/>
      <c r="I30" s="796"/>
      <c r="J30" s="797"/>
      <c r="K30" s="798"/>
      <c r="L30" s="154"/>
    </row>
    <row r="31" spans="2:12" ht="15" x14ac:dyDescent="0.25">
      <c r="H31" s="789"/>
      <c r="I31" s="799"/>
      <c r="J31" s="797"/>
      <c r="K31" s="799"/>
    </row>
    <row r="32" spans="2:12" ht="15" x14ac:dyDescent="0.25">
      <c r="H32" s="789"/>
      <c r="I32" s="799"/>
      <c r="J32" s="797"/>
      <c r="K32" s="799"/>
    </row>
    <row r="33" spans="8:11" ht="15" x14ac:dyDescent="0.25">
      <c r="H33" s="789"/>
      <c r="I33" s="799"/>
      <c r="J33" s="797"/>
      <c r="K33" s="799"/>
    </row>
    <row r="34" spans="8:11" ht="15" x14ac:dyDescent="0.25">
      <c r="H34" s="789"/>
      <c r="I34" s="799"/>
      <c r="J34" s="797"/>
      <c r="K34" s="799"/>
    </row>
    <row r="35" spans="8:11" ht="15" x14ac:dyDescent="0.25">
      <c r="H35" s="789"/>
      <c r="I35" s="799"/>
      <c r="J35" s="797"/>
      <c r="K35" s="799"/>
    </row>
    <row r="36" spans="8:11" ht="15" x14ac:dyDescent="0.25">
      <c r="H36" s="789"/>
      <c r="I36" s="799"/>
      <c r="J36" s="797"/>
      <c r="K36" s="799"/>
    </row>
    <row r="37" spans="8:11" ht="15" x14ac:dyDescent="0.25">
      <c r="H37" s="789"/>
      <c r="I37" s="799"/>
      <c r="J37" s="799"/>
      <c r="K37" s="799"/>
    </row>
    <row r="38" spans="8:11" ht="15" x14ac:dyDescent="0.25">
      <c r="H38" s="789"/>
      <c r="I38" s="799"/>
      <c r="J38" s="799"/>
      <c r="K38" s="799"/>
    </row>
    <row r="39" spans="8:11" ht="15" x14ac:dyDescent="0.25">
      <c r="H39" s="789"/>
    </row>
    <row r="40" spans="8:11" ht="15" x14ac:dyDescent="0.25">
      <c r="H40" s="789"/>
    </row>
    <row r="41" spans="8:11" ht="15" x14ac:dyDescent="0.25">
      <c r="H41" s="789"/>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1">
    <tabColor rgb="FFFFFF00"/>
  </sheetPr>
  <dimension ref="A3:Z28"/>
  <sheetViews>
    <sheetView showGridLines="0" workbookViewId="0">
      <selection activeCell="H35" sqref="H35"/>
    </sheetView>
  </sheetViews>
  <sheetFormatPr defaultColWidth="9.33203125" defaultRowHeight="12" x14ac:dyDescent="0.2"/>
  <cols>
    <col min="2" max="2" width="16" customWidth="1"/>
    <col min="3" max="3" width="12.33203125" customWidth="1"/>
    <col min="4" max="4" width="12" customWidth="1"/>
    <col min="5" max="5" width="4" customWidth="1"/>
    <col min="6" max="6" width="29.5" customWidth="1"/>
    <col min="9" max="9" width="10.83203125" customWidth="1"/>
    <col min="10" max="10" width="3.5" customWidth="1"/>
    <col min="20" max="24" width="9.33203125" style="1"/>
    <col min="25" max="25" width="10.5" style="1" bestFit="1" customWidth="1"/>
    <col min="26" max="26" width="9.33203125" style="1"/>
  </cols>
  <sheetData>
    <row r="3" spans="1:9" x14ac:dyDescent="0.2">
      <c r="B3" s="871" t="s">
        <v>161</v>
      </c>
      <c r="C3" s="872"/>
      <c r="D3" s="873"/>
    </row>
    <row r="4" spans="1:9" x14ac:dyDescent="0.2">
      <c r="A4" s="178" t="s">
        <v>168</v>
      </c>
      <c r="B4" s="164" t="s">
        <v>46</v>
      </c>
      <c r="C4" s="170">
        <v>1800</v>
      </c>
      <c r="D4" s="173" t="s">
        <v>44</v>
      </c>
    </row>
    <row r="5" spans="1:9" x14ac:dyDescent="0.2">
      <c r="A5" s="178" t="s">
        <v>169</v>
      </c>
      <c r="B5" s="165" t="s">
        <v>50</v>
      </c>
      <c r="C5" s="1">
        <v>10</v>
      </c>
      <c r="D5" s="174" t="s">
        <v>162</v>
      </c>
    </row>
    <row r="6" spans="1:9" x14ac:dyDescent="0.2">
      <c r="A6" s="178" t="s">
        <v>170</v>
      </c>
      <c r="B6" s="165" t="s">
        <v>52</v>
      </c>
      <c r="C6" s="1">
        <v>45</v>
      </c>
      <c r="D6" s="174"/>
    </row>
    <row r="7" spans="1:9" x14ac:dyDescent="0.2">
      <c r="B7" s="165" t="s">
        <v>163</v>
      </c>
      <c r="C7" s="1">
        <v>2.25</v>
      </c>
      <c r="D7" s="174"/>
    </row>
    <row r="8" spans="1:9" x14ac:dyDescent="0.2">
      <c r="B8" s="165" t="s">
        <v>164</v>
      </c>
      <c r="C8" s="876" t="s">
        <v>167</v>
      </c>
      <c r="D8" s="877"/>
    </row>
    <row r="9" spans="1:9" x14ac:dyDescent="0.2">
      <c r="B9" s="166" t="s">
        <v>165</v>
      </c>
      <c r="C9" s="874" t="s">
        <v>168</v>
      </c>
      <c r="D9" s="875"/>
    </row>
    <row r="11" spans="1:9" x14ac:dyDescent="0.2">
      <c r="B11" s="180" t="s">
        <v>166</v>
      </c>
      <c r="C11" s="181" t="s">
        <v>617</v>
      </c>
      <c r="D11" s="182" t="s">
        <v>57</v>
      </c>
      <c r="F11" s="40" t="s">
        <v>194</v>
      </c>
    </row>
    <row r="12" spans="1:9" x14ac:dyDescent="0.2">
      <c r="B12" s="183"/>
      <c r="C12" s="184" t="s">
        <v>0</v>
      </c>
      <c r="D12" s="185" t="s">
        <v>44</v>
      </c>
      <c r="F12" s="186" t="s">
        <v>171</v>
      </c>
      <c r="G12" s="187" t="s">
        <v>8</v>
      </c>
      <c r="H12" s="187" t="s">
        <v>177</v>
      </c>
      <c r="I12" s="188" t="s">
        <v>193</v>
      </c>
    </row>
    <row r="13" spans="1:9" ht="17.25" customHeight="1" x14ac:dyDescent="0.2">
      <c r="B13" s="168"/>
      <c r="C13" s="147">
        <v>500</v>
      </c>
      <c r="D13" s="171">
        <v>1702.17</v>
      </c>
      <c r="F13" s="165" t="s">
        <v>172</v>
      </c>
      <c r="G13" s="49">
        <v>0</v>
      </c>
      <c r="H13" s="49">
        <v>1</v>
      </c>
      <c r="I13" s="177">
        <v>1</v>
      </c>
    </row>
    <row r="14" spans="1:9" ht="17.25" customHeight="1" x14ac:dyDescent="0.2">
      <c r="B14" s="169"/>
      <c r="C14" s="148">
        <v>700</v>
      </c>
      <c r="D14" s="172">
        <v>1974.88</v>
      </c>
      <c r="F14" s="165" t="s">
        <v>173</v>
      </c>
      <c r="G14" s="49">
        <v>1</v>
      </c>
      <c r="H14" s="49">
        <v>1</v>
      </c>
      <c r="I14" s="177">
        <v>1</v>
      </c>
    </row>
    <row r="15" spans="1:9" ht="17.25" customHeight="1" x14ac:dyDescent="0.2">
      <c r="B15" s="169"/>
      <c r="C15" s="148">
        <v>900</v>
      </c>
      <c r="D15" s="172">
        <v>2105.2800000000002</v>
      </c>
      <c r="F15" s="165" t="s">
        <v>174</v>
      </c>
      <c r="G15" s="49">
        <v>3</v>
      </c>
      <c r="H15" s="49">
        <v>1</v>
      </c>
      <c r="I15" s="177">
        <v>0</v>
      </c>
    </row>
    <row r="16" spans="1:9" ht="17.25" customHeight="1" x14ac:dyDescent="0.2">
      <c r="B16" s="169"/>
      <c r="C16" s="158">
        <v>1000</v>
      </c>
      <c r="D16" s="172">
        <v>2402.6799999999998</v>
      </c>
      <c r="F16" s="165" t="s">
        <v>175</v>
      </c>
      <c r="G16" s="49">
        <v>4</v>
      </c>
      <c r="H16" s="49">
        <v>0</v>
      </c>
      <c r="I16" s="177">
        <v>0</v>
      </c>
    </row>
    <row r="17" spans="2:9" ht="17.25" customHeight="1" x14ac:dyDescent="0.2">
      <c r="B17" s="169"/>
      <c r="C17" s="158">
        <v>1200</v>
      </c>
      <c r="D17" s="172">
        <v>2634.17</v>
      </c>
      <c r="F17" s="165" t="s">
        <v>176</v>
      </c>
      <c r="G17" s="49">
        <v>5</v>
      </c>
      <c r="H17" s="49">
        <v>0</v>
      </c>
      <c r="I17" s="177">
        <v>1</v>
      </c>
    </row>
    <row r="18" spans="2:9" ht="17.25" customHeight="1" x14ac:dyDescent="0.2">
      <c r="B18" s="169"/>
      <c r="C18" s="158">
        <v>1400</v>
      </c>
      <c r="D18" s="172">
        <v>2693.41</v>
      </c>
      <c r="F18" s="165" t="s">
        <v>178</v>
      </c>
      <c r="G18" s="49">
        <v>8</v>
      </c>
      <c r="H18" s="49">
        <v>0</v>
      </c>
      <c r="I18" s="177">
        <v>0</v>
      </c>
    </row>
    <row r="19" spans="2:9" ht="17.25" customHeight="1" x14ac:dyDescent="0.2">
      <c r="B19" s="169"/>
      <c r="C19" s="158"/>
      <c r="D19" s="172"/>
      <c r="F19" s="165" t="s">
        <v>179</v>
      </c>
      <c r="G19" s="49">
        <v>9</v>
      </c>
      <c r="H19" s="49">
        <v>0</v>
      </c>
      <c r="I19" s="177">
        <v>1</v>
      </c>
    </row>
    <row r="20" spans="2:9" ht="17.25" customHeight="1" x14ac:dyDescent="0.2">
      <c r="B20" s="169"/>
      <c r="C20" s="148"/>
      <c r="D20" s="172"/>
      <c r="F20" s="165" t="s">
        <v>180</v>
      </c>
      <c r="G20" s="49">
        <v>10</v>
      </c>
      <c r="H20" s="49">
        <v>0</v>
      </c>
      <c r="I20" s="177">
        <v>1</v>
      </c>
    </row>
    <row r="21" spans="2:9" ht="17.25" customHeight="1" x14ac:dyDescent="0.2">
      <c r="B21" s="169"/>
      <c r="C21" s="148"/>
      <c r="D21" s="172"/>
      <c r="F21" s="165" t="s">
        <v>181</v>
      </c>
      <c r="G21" s="49">
        <v>11</v>
      </c>
      <c r="H21" s="49">
        <v>0</v>
      </c>
      <c r="I21" s="177">
        <v>0</v>
      </c>
    </row>
    <row r="22" spans="2:9" ht="17.25" customHeight="1" x14ac:dyDescent="0.2">
      <c r="B22" s="169"/>
      <c r="C22" s="148"/>
      <c r="D22" s="172"/>
      <c r="F22" s="165" t="s">
        <v>182</v>
      </c>
      <c r="G22" s="49">
        <v>12</v>
      </c>
      <c r="H22" s="49">
        <v>0</v>
      </c>
      <c r="I22" s="177">
        <v>0</v>
      </c>
    </row>
    <row r="23" spans="2:9" ht="17.25" customHeight="1" x14ac:dyDescent="0.2">
      <c r="B23" s="169"/>
      <c r="C23" s="148"/>
      <c r="D23" s="172"/>
      <c r="F23" s="165" t="s">
        <v>183</v>
      </c>
      <c r="G23" s="49">
        <v>14</v>
      </c>
      <c r="H23" s="49">
        <v>0</v>
      </c>
      <c r="I23" s="177">
        <v>0</v>
      </c>
    </row>
    <row r="24" spans="2:9" ht="17.25" customHeight="1" x14ac:dyDescent="0.2">
      <c r="B24" s="169"/>
      <c r="C24" s="148"/>
      <c r="D24" s="172"/>
      <c r="F24" s="165" t="s">
        <v>184</v>
      </c>
      <c r="G24" s="49">
        <v>18</v>
      </c>
      <c r="H24" s="49">
        <v>0</v>
      </c>
      <c r="I24" s="177">
        <v>0</v>
      </c>
    </row>
    <row r="25" spans="2:9" ht="17.25" customHeight="1" x14ac:dyDescent="0.2">
      <c r="B25" s="169"/>
      <c r="C25" s="148"/>
      <c r="D25" s="172"/>
      <c r="F25" s="165" t="s">
        <v>185</v>
      </c>
      <c r="G25" s="49">
        <v>19</v>
      </c>
      <c r="H25" s="49">
        <v>0</v>
      </c>
      <c r="I25" s="177">
        <v>0</v>
      </c>
    </row>
    <row r="26" spans="2:9" ht="17.25" customHeight="1" x14ac:dyDescent="0.2">
      <c r="B26" s="169"/>
      <c r="C26" s="148"/>
      <c r="D26" s="172"/>
      <c r="F26" s="165" t="s">
        <v>170</v>
      </c>
      <c r="G26" s="49">
        <v>20</v>
      </c>
      <c r="H26" s="49">
        <v>0</v>
      </c>
      <c r="I26" s="177">
        <v>0</v>
      </c>
    </row>
    <row r="27" spans="2:9" ht="17.25" customHeight="1" x14ac:dyDescent="0.2">
      <c r="B27" s="169"/>
      <c r="C27" s="148"/>
      <c r="D27" s="172"/>
      <c r="F27" s="165" t="s">
        <v>186</v>
      </c>
      <c r="G27" s="49">
        <v>25</v>
      </c>
      <c r="H27" s="49">
        <v>0</v>
      </c>
      <c r="I27" s="177">
        <v>0</v>
      </c>
    </row>
    <row r="28" spans="2:9" ht="17.25" customHeight="1" x14ac:dyDescent="0.2">
      <c r="B28" s="169"/>
      <c r="C28" s="148"/>
      <c r="D28" s="172"/>
      <c r="F28" s="166" t="s">
        <v>187</v>
      </c>
      <c r="G28" s="175">
        <v>26</v>
      </c>
      <c r="H28" s="175">
        <v>0</v>
      </c>
      <c r="I28" s="176">
        <v>0</v>
      </c>
    </row>
  </sheetData>
  <mergeCells count="3">
    <mergeCell ref="B3:D3"/>
    <mergeCell ref="C9:D9"/>
    <mergeCell ref="C8:D8"/>
  </mergeCells>
  <dataValidations count="1">
    <dataValidation type="list" allowBlank="1" showInputMessage="1" showErrorMessage="1" sqref="C9" xr:uid="{00000000-0002-0000-0F00-000000000000}">
      <formula1>$A$4:$A$6</formula1>
    </dataValidation>
  </dataValidations>
  <pageMargins left="0.7" right="0.7" top="0.75" bottom="0.75" header="0.3" footer="0.3"/>
  <drawing r:id="rId1"/>
  <legacyDrawing r:id="rId2"/>
  <controls>
    <mc:AlternateContent xmlns:mc="http://schemas.openxmlformats.org/markup-compatibility/2006">
      <mc:Choice Requires="x14">
        <control shapeId="18447" r:id="rId3" name="CommandButton4">
          <controlPr defaultSize="0" autoLine="0" r:id="rId4">
            <anchor moveWithCells="1">
              <from>
                <xdr:col>6</xdr:col>
                <xdr:colOff>514350</xdr:colOff>
                <xdr:row>1</xdr:row>
                <xdr:rowOff>123825</xdr:rowOff>
              </from>
              <to>
                <xdr:col>9</xdr:col>
                <xdr:colOff>66675</xdr:colOff>
                <xdr:row>4</xdr:row>
                <xdr:rowOff>114300</xdr:rowOff>
              </to>
            </anchor>
          </controlPr>
        </control>
      </mc:Choice>
      <mc:Fallback>
        <control shapeId="18447" r:id="rId3" name="CommandButton4"/>
      </mc:Fallback>
    </mc:AlternateContent>
    <mc:AlternateContent xmlns:mc="http://schemas.openxmlformats.org/markup-compatibility/2006">
      <mc:Choice Requires="x14">
        <control shapeId="18446" r:id="rId5" name="CommandButton3">
          <controlPr defaultSize="0" autoLine="0" autoPict="0" r:id="rId6">
            <anchor moveWithCells="1">
              <from>
                <xdr:col>6</xdr:col>
                <xdr:colOff>504825</xdr:colOff>
                <xdr:row>5</xdr:row>
                <xdr:rowOff>133350</xdr:rowOff>
              </from>
              <to>
                <xdr:col>9</xdr:col>
                <xdr:colOff>19050</xdr:colOff>
                <xdr:row>8</xdr:row>
                <xdr:rowOff>123825</xdr:rowOff>
              </to>
            </anchor>
          </controlPr>
        </control>
      </mc:Choice>
      <mc:Fallback>
        <control shapeId="18446" r:id="rId5" name="CommandButton3"/>
      </mc:Fallback>
    </mc:AlternateContent>
    <mc:AlternateContent xmlns:mc="http://schemas.openxmlformats.org/markup-compatibility/2006">
      <mc:Choice Requires="x14">
        <control shapeId="18445" r:id="rId7" name="CommandButton2">
          <controlPr defaultSize="0" autoLine="0" r:id="rId8">
            <anchor moveWithCells="1">
              <from>
                <xdr:col>5</xdr:col>
                <xdr:colOff>38100</xdr:colOff>
                <xdr:row>2</xdr:row>
                <xdr:rowOff>0</xdr:rowOff>
              </from>
              <to>
                <xdr:col>6</xdr:col>
                <xdr:colOff>409575</xdr:colOff>
                <xdr:row>4</xdr:row>
                <xdr:rowOff>47625</xdr:rowOff>
              </to>
            </anchor>
          </controlPr>
        </control>
      </mc:Choice>
      <mc:Fallback>
        <control shapeId="18445" r:id="rId7" name="CommandButton2"/>
      </mc:Fallback>
    </mc:AlternateContent>
    <mc:AlternateContent xmlns:mc="http://schemas.openxmlformats.org/markup-compatibility/2006">
      <mc:Choice Requires="x14">
        <control shapeId="18444" r:id="rId9" name="CommandButton1">
          <controlPr defaultSize="0" autoLine="0" r:id="rId10">
            <anchor moveWithCells="1">
              <from>
                <xdr:col>5</xdr:col>
                <xdr:colOff>28575</xdr:colOff>
                <xdr:row>5</xdr:row>
                <xdr:rowOff>76200</xdr:rowOff>
              </from>
              <to>
                <xdr:col>6</xdr:col>
                <xdr:colOff>400050</xdr:colOff>
                <xdr:row>7</xdr:row>
                <xdr:rowOff>123825</xdr:rowOff>
              </to>
            </anchor>
          </controlPr>
        </control>
      </mc:Choice>
      <mc:Fallback>
        <control shapeId="18444" r:id="rId9" name="CommandButton1"/>
      </mc:Fallback>
    </mc:AlternateContent>
  </controls>
  <extLst>
    <ext xmlns:x14="http://schemas.microsoft.com/office/spreadsheetml/2009/9/main" uri="{78C0D931-6437-407d-A8EE-F0AAD7539E65}">
      <x14:conditionalFormattings>
        <x14:conditionalFormatting xmlns:xm="http://schemas.microsoft.com/office/excel/2006/main">
          <x14:cfRule type="iconSet" priority="2" id="{F9CB8784-D9AB-4B0A-924D-38DB15A93634}">
            <x14:iconSet iconSet="3Symbols" custom="1">
              <x14:cfvo type="percent">
                <xm:f>0</xm:f>
              </x14:cfvo>
              <x14:cfvo type="num">
                <xm:f>0</xm:f>
              </x14:cfvo>
              <x14:cfvo type="num" gte="0">
                <xm:f>0</xm:f>
              </x14:cfvo>
              <x14:cfIcon iconSet="3Symbols" iconId="0"/>
              <x14:cfIcon iconSet="3Symbols2" iconId="0"/>
              <x14:cfIcon iconSet="3Symbols2" iconId="2"/>
            </x14:iconSet>
          </x14:cfRule>
          <xm:sqref>H13:H28</xm:sqref>
        </x14:conditionalFormatting>
        <x14:conditionalFormatting xmlns:xm="http://schemas.microsoft.com/office/excel/2006/main">
          <x14:cfRule type="iconSet" priority="1" id="{06E83C84-9CC2-4511-865A-3CEA20A5D402}">
            <x14:iconSet showValue="0" custom="1">
              <x14:cfvo type="percent">
                <xm:f>0</xm:f>
              </x14:cfvo>
              <x14:cfvo type="num">
                <xm:f>0</xm:f>
              </x14:cfvo>
              <x14:cfvo type="num">
                <xm:f>1</xm:f>
              </x14:cfvo>
              <x14:cfIcon iconSet="3TrafficLights1" iconId="0"/>
              <x14:cfIcon iconSet="3Symbols" iconId="0"/>
              <x14:cfIcon iconSet="5Rating" iconId="4"/>
            </x14:iconSet>
          </x14:cfRule>
          <xm:sqref>I13:I28</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2">
    <tabColor rgb="FFFFFF00"/>
  </sheetPr>
  <dimension ref="B10:EM85"/>
  <sheetViews>
    <sheetView showGridLines="0" workbookViewId="0">
      <selection activeCell="K37" sqref="K37"/>
    </sheetView>
  </sheetViews>
  <sheetFormatPr defaultColWidth="9.33203125" defaultRowHeight="12" x14ac:dyDescent="0.2"/>
  <sheetData>
    <row r="10" spans="2:143" x14ac:dyDescent="0.2">
      <c r="B10" t="s">
        <v>172</v>
      </c>
      <c r="K10" t="s">
        <v>173</v>
      </c>
      <c r="T10" t="s">
        <v>174</v>
      </c>
      <c r="AC10" t="s">
        <v>175</v>
      </c>
      <c r="AL10" t="s">
        <v>176</v>
      </c>
      <c r="AU10" t="s">
        <v>178</v>
      </c>
      <c r="BD10" t="s">
        <v>179</v>
      </c>
      <c r="BM10" t="s">
        <v>180</v>
      </c>
      <c r="BV10" t="s">
        <v>181</v>
      </c>
      <c r="CE10" t="s">
        <v>182</v>
      </c>
      <c r="CN10" t="s">
        <v>183</v>
      </c>
      <c r="CW10" t="s">
        <v>184</v>
      </c>
      <c r="DF10" t="s">
        <v>185</v>
      </c>
      <c r="DO10" t="s">
        <v>170</v>
      </c>
      <c r="DX10" t="s">
        <v>186</v>
      </c>
      <c r="EG10" t="s">
        <v>187</v>
      </c>
    </row>
    <row r="11" spans="2:143" x14ac:dyDescent="0.2">
      <c r="B11" s="42" t="s">
        <v>1</v>
      </c>
      <c r="C11" s="42" t="s">
        <v>2</v>
      </c>
      <c r="D11" s="42" t="s">
        <v>57</v>
      </c>
      <c r="E11" s="42" t="s">
        <v>122</v>
      </c>
      <c r="F11" s="42" t="s">
        <v>189</v>
      </c>
      <c r="G11" s="42" t="s">
        <v>191</v>
      </c>
      <c r="H11" s="42" t="s">
        <v>192</v>
      </c>
      <c r="I11" s="40"/>
      <c r="K11" s="42" t="s">
        <v>1</v>
      </c>
      <c r="L11" s="42" t="s">
        <v>2</v>
      </c>
      <c r="M11" s="42" t="s">
        <v>57</v>
      </c>
      <c r="N11" s="42" t="s">
        <v>122</v>
      </c>
      <c r="O11" s="42" t="s">
        <v>189</v>
      </c>
      <c r="P11" s="42" t="s">
        <v>191</v>
      </c>
      <c r="Q11" s="42" t="s">
        <v>192</v>
      </c>
      <c r="R11" s="40"/>
      <c r="T11" s="42" t="s">
        <v>1</v>
      </c>
      <c r="U11" s="42" t="s">
        <v>2</v>
      </c>
      <c r="V11" s="42" t="s">
        <v>57</v>
      </c>
      <c r="W11" s="42" t="s">
        <v>122</v>
      </c>
      <c r="X11" s="42" t="s">
        <v>189</v>
      </c>
      <c r="Y11" s="42" t="s">
        <v>191</v>
      </c>
      <c r="Z11" s="42" t="s">
        <v>192</v>
      </c>
      <c r="AA11" s="40"/>
      <c r="AC11" s="42" t="s">
        <v>1</v>
      </c>
      <c r="AD11" s="42" t="s">
        <v>2</v>
      </c>
      <c r="AE11" s="42" t="s">
        <v>57</v>
      </c>
      <c r="AF11" s="42" t="s">
        <v>122</v>
      </c>
      <c r="AG11" s="42" t="s">
        <v>189</v>
      </c>
      <c r="AH11" s="42" t="s">
        <v>191</v>
      </c>
      <c r="AI11" s="42" t="s">
        <v>192</v>
      </c>
      <c r="AJ11" s="40"/>
      <c r="AL11" s="42" t="s">
        <v>1</v>
      </c>
      <c r="AM11" s="42" t="s">
        <v>2</v>
      </c>
      <c r="AN11" s="42" t="s">
        <v>57</v>
      </c>
      <c r="AO11" s="42" t="s">
        <v>122</v>
      </c>
      <c r="AP11" s="42" t="s">
        <v>189</v>
      </c>
      <c r="AQ11" s="42" t="s">
        <v>191</v>
      </c>
      <c r="AR11" s="42" t="s">
        <v>192</v>
      </c>
      <c r="AS11" s="40"/>
      <c r="AU11" s="42" t="s">
        <v>1</v>
      </c>
      <c r="AV11" s="42" t="s">
        <v>2</v>
      </c>
      <c r="AW11" s="42" t="s">
        <v>57</v>
      </c>
      <c r="AX11" s="42" t="s">
        <v>122</v>
      </c>
      <c r="AY11" s="42" t="s">
        <v>189</v>
      </c>
      <c r="AZ11" s="42" t="s">
        <v>191</v>
      </c>
      <c r="BA11" s="42" t="s">
        <v>192</v>
      </c>
      <c r="BB11" s="40"/>
      <c r="BD11" s="42" t="s">
        <v>1</v>
      </c>
      <c r="BE11" s="42" t="s">
        <v>2</v>
      </c>
      <c r="BF11" s="42" t="s">
        <v>57</v>
      </c>
      <c r="BG11" s="42" t="s">
        <v>122</v>
      </c>
      <c r="BH11" s="42" t="s">
        <v>189</v>
      </c>
      <c r="BI11" s="42" t="s">
        <v>191</v>
      </c>
      <c r="BJ11" s="42" t="s">
        <v>192</v>
      </c>
      <c r="BK11" s="40"/>
      <c r="BM11" s="42" t="s">
        <v>1</v>
      </c>
      <c r="BN11" s="42" t="s">
        <v>2</v>
      </c>
      <c r="BO11" s="42" t="s">
        <v>57</v>
      </c>
      <c r="BP11" s="42" t="s">
        <v>122</v>
      </c>
      <c r="BQ11" s="42" t="s">
        <v>189</v>
      </c>
      <c r="BR11" s="42" t="s">
        <v>191</v>
      </c>
      <c r="BS11" s="42" t="s">
        <v>192</v>
      </c>
      <c r="BT11" s="40"/>
      <c r="BV11" s="42" t="s">
        <v>1</v>
      </c>
      <c r="BW11" s="42" t="s">
        <v>2</v>
      </c>
      <c r="BX11" s="42" t="s">
        <v>57</v>
      </c>
      <c r="BY11" s="42" t="s">
        <v>122</v>
      </c>
      <c r="BZ11" s="42" t="s">
        <v>189</v>
      </c>
      <c r="CA11" s="42" t="s">
        <v>191</v>
      </c>
      <c r="CB11" s="42" t="s">
        <v>192</v>
      </c>
      <c r="CC11" s="40"/>
      <c r="CE11" s="42" t="s">
        <v>1</v>
      </c>
      <c r="CF11" s="42" t="s">
        <v>2</v>
      </c>
      <c r="CG11" s="42" t="s">
        <v>57</v>
      </c>
      <c r="CH11" s="42" t="s">
        <v>122</v>
      </c>
      <c r="CI11" s="42" t="s">
        <v>189</v>
      </c>
      <c r="CJ11" s="42" t="s">
        <v>191</v>
      </c>
      <c r="CK11" s="42" t="s">
        <v>192</v>
      </c>
      <c r="CL11" s="40"/>
      <c r="CN11" s="42" t="s">
        <v>1</v>
      </c>
      <c r="CO11" s="42" t="s">
        <v>2</v>
      </c>
      <c r="CP11" s="42" t="s">
        <v>57</v>
      </c>
      <c r="CQ11" s="42" t="s">
        <v>122</v>
      </c>
      <c r="CR11" s="42" t="s">
        <v>189</v>
      </c>
      <c r="CS11" s="42" t="s">
        <v>191</v>
      </c>
      <c r="CT11" s="42" t="s">
        <v>192</v>
      </c>
      <c r="CU11" s="40"/>
      <c r="CW11" s="42" t="s">
        <v>1</v>
      </c>
      <c r="CX11" s="42" t="s">
        <v>2</v>
      </c>
      <c r="CY11" s="42" t="s">
        <v>57</v>
      </c>
      <c r="CZ11" s="42" t="s">
        <v>122</v>
      </c>
      <c r="DA11" s="42" t="s">
        <v>189</v>
      </c>
      <c r="DB11" s="42" t="s">
        <v>191</v>
      </c>
      <c r="DC11" s="42" t="s">
        <v>192</v>
      </c>
      <c r="DD11" s="40"/>
      <c r="DF11" s="42" t="s">
        <v>1</v>
      </c>
      <c r="DG11" s="42" t="s">
        <v>2</v>
      </c>
      <c r="DH11" s="42" t="s">
        <v>57</v>
      </c>
      <c r="DI11" s="42" t="s">
        <v>122</v>
      </c>
      <c r="DJ11" s="42" t="s">
        <v>189</v>
      </c>
      <c r="DK11" s="42" t="s">
        <v>191</v>
      </c>
      <c r="DL11" s="42" t="s">
        <v>192</v>
      </c>
      <c r="DM11" s="40"/>
      <c r="DO11" s="42" t="s">
        <v>1</v>
      </c>
      <c r="DP11" s="42" t="s">
        <v>2</v>
      </c>
      <c r="DQ11" s="42" t="s">
        <v>57</v>
      </c>
      <c r="DR11" s="42" t="s">
        <v>122</v>
      </c>
      <c r="DS11" s="42" t="s">
        <v>189</v>
      </c>
      <c r="DT11" s="42" t="s">
        <v>191</v>
      </c>
      <c r="DU11" s="42" t="s">
        <v>192</v>
      </c>
      <c r="DV11" s="40"/>
      <c r="DX11" s="42" t="s">
        <v>1</v>
      </c>
      <c r="DY11" s="42" t="s">
        <v>2</v>
      </c>
      <c r="DZ11" s="42" t="s">
        <v>57</v>
      </c>
      <c r="EA11" s="42" t="s">
        <v>122</v>
      </c>
      <c r="EB11" s="42" t="s">
        <v>189</v>
      </c>
      <c r="EC11" s="42" t="s">
        <v>191</v>
      </c>
      <c r="ED11" s="42" t="s">
        <v>192</v>
      </c>
      <c r="EE11" s="40"/>
      <c r="EG11" s="42" t="s">
        <v>1</v>
      </c>
      <c r="EH11" s="42" t="s">
        <v>2</v>
      </c>
      <c r="EI11" s="42" t="s">
        <v>57</v>
      </c>
      <c r="EJ11" s="42" t="s">
        <v>122</v>
      </c>
      <c r="EK11" s="42" t="s">
        <v>189</v>
      </c>
      <c r="EL11" s="42" t="s">
        <v>191</v>
      </c>
      <c r="EM11" s="42" t="s">
        <v>192</v>
      </c>
    </row>
    <row r="12" spans="2:143" x14ac:dyDescent="0.2">
      <c r="B12" s="88" t="s">
        <v>0</v>
      </c>
      <c r="C12" s="88" t="s">
        <v>0</v>
      </c>
      <c r="D12" s="88" t="s">
        <v>44</v>
      </c>
      <c r="E12" s="88" t="s">
        <v>188</v>
      </c>
      <c r="F12" s="88" t="s">
        <v>190</v>
      </c>
      <c r="G12" s="88"/>
      <c r="H12" s="88"/>
      <c r="I12" s="167"/>
      <c r="K12" s="88" t="s">
        <v>0</v>
      </c>
      <c r="L12" s="88" t="s">
        <v>0</v>
      </c>
      <c r="M12" s="88" t="s">
        <v>44</v>
      </c>
      <c r="N12" s="88" t="s">
        <v>188</v>
      </c>
      <c r="O12" s="88" t="s">
        <v>190</v>
      </c>
      <c r="P12" s="88"/>
      <c r="Q12" s="88"/>
      <c r="R12" s="167"/>
      <c r="T12" s="88" t="s">
        <v>0</v>
      </c>
      <c r="U12" s="88" t="s">
        <v>0</v>
      </c>
      <c r="V12" s="88" t="s">
        <v>44</v>
      </c>
      <c r="W12" s="88" t="s">
        <v>188</v>
      </c>
      <c r="X12" s="88" t="s">
        <v>190</v>
      </c>
      <c r="Y12" s="88"/>
      <c r="Z12" s="88"/>
      <c r="AA12" s="167"/>
      <c r="AC12" s="88" t="s">
        <v>0</v>
      </c>
      <c r="AD12" s="88" t="s">
        <v>0</v>
      </c>
      <c r="AE12" s="88" t="s">
        <v>44</v>
      </c>
      <c r="AF12" s="88" t="s">
        <v>188</v>
      </c>
      <c r="AG12" s="88" t="s">
        <v>190</v>
      </c>
      <c r="AH12" s="88"/>
      <c r="AI12" s="88"/>
      <c r="AJ12" s="167"/>
      <c r="AL12" s="88" t="s">
        <v>0</v>
      </c>
      <c r="AM12" s="88" t="s">
        <v>0</v>
      </c>
      <c r="AN12" s="88" t="s">
        <v>44</v>
      </c>
      <c r="AO12" s="88" t="s">
        <v>188</v>
      </c>
      <c r="AP12" s="88" t="s">
        <v>190</v>
      </c>
      <c r="AQ12" s="88"/>
      <c r="AR12" s="88"/>
      <c r="AS12" s="167"/>
      <c r="AU12" s="88" t="s">
        <v>0</v>
      </c>
      <c r="AV12" s="88" t="s">
        <v>0</v>
      </c>
      <c r="AW12" s="88" t="s">
        <v>44</v>
      </c>
      <c r="AX12" s="88" t="s">
        <v>188</v>
      </c>
      <c r="AY12" s="88" t="s">
        <v>190</v>
      </c>
      <c r="AZ12" s="88"/>
      <c r="BA12" s="88"/>
      <c r="BB12" s="167"/>
      <c r="BD12" s="88" t="s">
        <v>0</v>
      </c>
      <c r="BE12" s="88" t="s">
        <v>0</v>
      </c>
      <c r="BF12" s="88" t="s">
        <v>44</v>
      </c>
      <c r="BG12" s="88" t="s">
        <v>188</v>
      </c>
      <c r="BH12" s="88" t="s">
        <v>190</v>
      </c>
      <c r="BI12" s="88"/>
      <c r="BJ12" s="88"/>
      <c r="BK12" s="167"/>
      <c r="BM12" s="88" t="s">
        <v>0</v>
      </c>
      <c r="BN12" s="88" t="s">
        <v>0</v>
      </c>
      <c r="BO12" s="88" t="s">
        <v>44</v>
      </c>
      <c r="BP12" s="88" t="s">
        <v>188</v>
      </c>
      <c r="BQ12" s="88" t="s">
        <v>190</v>
      </c>
      <c r="BR12" s="88"/>
      <c r="BS12" s="88"/>
      <c r="BT12" s="167"/>
      <c r="BV12" s="88" t="s">
        <v>0</v>
      </c>
      <c r="BW12" s="88" t="s">
        <v>0</v>
      </c>
      <c r="BX12" s="88" t="s">
        <v>44</v>
      </c>
      <c r="BY12" s="88" t="s">
        <v>188</v>
      </c>
      <c r="BZ12" s="88" t="s">
        <v>190</v>
      </c>
      <c r="CA12" s="88"/>
      <c r="CB12" s="88"/>
      <c r="CC12" s="167"/>
      <c r="CE12" s="88" t="s">
        <v>0</v>
      </c>
      <c r="CF12" s="88" t="s">
        <v>0</v>
      </c>
      <c r="CG12" s="88" t="s">
        <v>44</v>
      </c>
      <c r="CH12" s="88" t="s">
        <v>188</v>
      </c>
      <c r="CI12" s="88" t="s">
        <v>190</v>
      </c>
      <c r="CJ12" s="88"/>
      <c r="CK12" s="88"/>
      <c r="CL12" s="167"/>
      <c r="CN12" s="88" t="s">
        <v>0</v>
      </c>
      <c r="CO12" s="88" t="s">
        <v>0</v>
      </c>
      <c r="CP12" s="88" t="s">
        <v>44</v>
      </c>
      <c r="CQ12" s="88" t="s">
        <v>188</v>
      </c>
      <c r="CR12" s="88" t="s">
        <v>190</v>
      </c>
      <c r="CS12" s="88"/>
      <c r="CT12" s="88"/>
      <c r="CU12" s="167"/>
      <c r="CW12" s="88" t="s">
        <v>0</v>
      </c>
      <c r="CX12" s="88" t="s">
        <v>0</v>
      </c>
      <c r="CY12" s="88" t="s">
        <v>44</v>
      </c>
      <c r="CZ12" s="88" t="s">
        <v>188</v>
      </c>
      <c r="DA12" s="88" t="s">
        <v>190</v>
      </c>
      <c r="DB12" s="88"/>
      <c r="DC12" s="88"/>
      <c r="DD12" s="167"/>
      <c r="DF12" s="88" t="s">
        <v>0</v>
      </c>
      <c r="DG12" s="88" t="s">
        <v>0</v>
      </c>
      <c r="DH12" s="88" t="s">
        <v>44</v>
      </c>
      <c r="DI12" s="88" t="s">
        <v>188</v>
      </c>
      <c r="DJ12" s="88" t="s">
        <v>190</v>
      </c>
      <c r="DK12" s="88"/>
      <c r="DL12" s="88"/>
      <c r="DM12" s="167"/>
      <c r="DO12" s="88" t="s">
        <v>0</v>
      </c>
      <c r="DP12" s="88" t="s">
        <v>0</v>
      </c>
      <c r="DQ12" s="88" t="s">
        <v>44</v>
      </c>
      <c r="DR12" s="88" t="s">
        <v>188</v>
      </c>
      <c r="DS12" s="88" t="s">
        <v>190</v>
      </c>
      <c r="DT12" s="88"/>
      <c r="DU12" s="88"/>
      <c r="DV12" s="167"/>
      <c r="DX12" s="88" t="s">
        <v>0</v>
      </c>
      <c r="DY12" s="88" t="s">
        <v>0</v>
      </c>
      <c r="DZ12" s="88" t="s">
        <v>44</v>
      </c>
      <c r="EA12" s="88" t="s">
        <v>188</v>
      </c>
      <c r="EB12" s="88" t="s">
        <v>190</v>
      </c>
      <c r="EC12" s="88"/>
      <c r="ED12" s="88"/>
      <c r="EE12" s="167"/>
      <c r="EG12" s="88" t="s">
        <v>0</v>
      </c>
      <c r="EH12" s="88" t="s">
        <v>0</v>
      </c>
      <c r="EI12" s="88" t="s">
        <v>44</v>
      </c>
      <c r="EJ12" s="88" t="s">
        <v>188</v>
      </c>
      <c r="EK12" s="88" t="s">
        <v>190</v>
      </c>
      <c r="EL12" s="88"/>
      <c r="EM12" s="88"/>
    </row>
    <row r="13" spans="2:143" x14ac:dyDescent="0.2">
      <c r="B13">
        <v>0</v>
      </c>
      <c r="C13">
        <v>0</v>
      </c>
      <c r="D13">
        <v>1800</v>
      </c>
      <c r="E13">
        <v>94.903700000000001</v>
      </c>
      <c r="F13">
        <v>0</v>
      </c>
      <c r="G13">
        <v>0</v>
      </c>
      <c r="H13">
        <v>-6</v>
      </c>
      <c r="K13">
        <v>0</v>
      </c>
      <c r="L13">
        <v>0</v>
      </c>
      <c r="M13">
        <v>1800</v>
      </c>
      <c r="N13">
        <v>94.903700000000001</v>
      </c>
      <c r="O13">
        <v>0</v>
      </c>
      <c r="P13">
        <v>0</v>
      </c>
      <c r="Q13">
        <v>-6</v>
      </c>
      <c r="T13">
        <v>0</v>
      </c>
      <c r="U13">
        <v>0</v>
      </c>
      <c r="V13">
        <v>1800</v>
      </c>
      <c r="W13">
        <v>94.903700000000001</v>
      </c>
      <c r="X13">
        <v>0</v>
      </c>
      <c r="Y13">
        <v>0</v>
      </c>
      <c r="Z13">
        <v>-6</v>
      </c>
    </row>
    <row r="14" spans="2:143" x14ac:dyDescent="0.2">
      <c r="B14">
        <v>71.428600000000003</v>
      </c>
      <c r="C14">
        <v>71.427999999999997</v>
      </c>
      <c r="D14">
        <v>1834.21</v>
      </c>
      <c r="E14">
        <v>98.631</v>
      </c>
      <c r="F14">
        <v>0.14596400000000001</v>
      </c>
      <c r="G14">
        <v>0.22799800000000001</v>
      </c>
      <c r="H14">
        <v>107</v>
      </c>
      <c r="K14">
        <v>71.428600000000003</v>
      </c>
      <c r="L14">
        <v>71.427999999999997</v>
      </c>
      <c r="M14">
        <v>1837.33</v>
      </c>
      <c r="N14">
        <v>98.631</v>
      </c>
      <c r="O14">
        <v>0.15928200000000001</v>
      </c>
      <c r="P14">
        <v>6.25E-2</v>
      </c>
      <c r="Q14">
        <v>100</v>
      </c>
      <c r="T14">
        <v>71.428600000000003</v>
      </c>
      <c r="U14">
        <v>71.427999999999997</v>
      </c>
      <c r="V14">
        <v>1838.8</v>
      </c>
      <c r="W14">
        <v>98.631</v>
      </c>
      <c r="X14">
        <v>0.16555600000000001</v>
      </c>
      <c r="Y14">
        <v>9.9801100000000004E-2</v>
      </c>
      <c r="Z14">
        <v>100</v>
      </c>
    </row>
    <row r="15" spans="2:143" x14ac:dyDescent="0.2">
      <c r="B15">
        <v>142.857</v>
      </c>
      <c r="C15">
        <v>142.85599999999999</v>
      </c>
      <c r="D15">
        <v>1868.56</v>
      </c>
      <c r="E15">
        <v>102.358</v>
      </c>
      <c r="F15">
        <v>0.14660000000000001</v>
      </c>
      <c r="G15">
        <v>0.229264</v>
      </c>
      <c r="H15">
        <v>107</v>
      </c>
      <c r="K15">
        <v>142.857</v>
      </c>
      <c r="L15">
        <v>142.85599999999999</v>
      </c>
      <c r="M15">
        <v>1874.82</v>
      </c>
      <c r="N15">
        <v>102.358</v>
      </c>
      <c r="O15">
        <v>0.159996</v>
      </c>
      <c r="P15">
        <v>6.25E-2</v>
      </c>
      <c r="Q15">
        <v>100</v>
      </c>
      <c r="T15">
        <v>142.857</v>
      </c>
      <c r="U15">
        <v>142.85599999999999</v>
      </c>
      <c r="V15">
        <v>1877.8</v>
      </c>
      <c r="W15">
        <v>102.358</v>
      </c>
      <c r="X15">
        <v>0.16645199999999999</v>
      </c>
      <c r="Y15">
        <v>9.9793300000000001E-2</v>
      </c>
      <c r="Z15">
        <v>100</v>
      </c>
    </row>
    <row r="16" spans="2:143" x14ac:dyDescent="0.2">
      <c r="B16">
        <v>214.286</v>
      </c>
      <c r="C16">
        <v>214.28399999999999</v>
      </c>
      <c r="D16">
        <v>1903.06</v>
      </c>
      <c r="E16">
        <v>106.08499999999999</v>
      </c>
      <c r="F16">
        <v>0.14721100000000001</v>
      </c>
      <c r="G16">
        <v>0.23049</v>
      </c>
      <c r="H16">
        <v>107</v>
      </c>
      <c r="K16">
        <v>214.286</v>
      </c>
      <c r="L16">
        <v>214.28399999999999</v>
      </c>
      <c r="M16">
        <v>1912.48</v>
      </c>
      <c r="N16">
        <v>106.08499999999999</v>
      </c>
      <c r="O16">
        <v>0.160687</v>
      </c>
      <c r="P16">
        <v>6.25E-2</v>
      </c>
      <c r="Q16">
        <v>100</v>
      </c>
      <c r="T16">
        <v>214.286</v>
      </c>
      <c r="U16">
        <v>214.28399999999999</v>
      </c>
      <c r="V16">
        <v>1917.02</v>
      </c>
      <c r="W16">
        <v>106.08499999999999</v>
      </c>
      <c r="X16">
        <v>0.167324</v>
      </c>
      <c r="Y16">
        <v>9.9772899999999998E-2</v>
      </c>
      <c r="Z16">
        <v>100</v>
      </c>
    </row>
    <row r="17" spans="2:26" x14ac:dyDescent="0.2">
      <c r="B17">
        <v>285.714</v>
      </c>
      <c r="C17">
        <v>285.71199999999999</v>
      </c>
      <c r="D17">
        <v>1937.69</v>
      </c>
      <c r="E17">
        <v>109.812</v>
      </c>
      <c r="F17">
        <v>0.14779700000000001</v>
      </c>
      <c r="G17">
        <v>0.231678</v>
      </c>
      <c r="H17">
        <v>107</v>
      </c>
      <c r="K17">
        <v>285.714</v>
      </c>
      <c r="L17">
        <v>285.71199999999999</v>
      </c>
      <c r="M17">
        <v>1950.29</v>
      </c>
      <c r="N17">
        <v>109.812</v>
      </c>
      <c r="O17">
        <v>0.161354</v>
      </c>
      <c r="P17">
        <v>6.25E-2</v>
      </c>
      <c r="Q17">
        <v>100</v>
      </c>
      <c r="T17">
        <v>285.714</v>
      </c>
      <c r="U17">
        <v>285.71199999999999</v>
      </c>
      <c r="V17">
        <v>1956.43</v>
      </c>
      <c r="W17">
        <v>109.812</v>
      </c>
      <c r="X17">
        <v>0.16817299999999999</v>
      </c>
      <c r="Y17">
        <v>9.9740700000000002E-2</v>
      </c>
      <c r="Z17">
        <v>100</v>
      </c>
    </row>
    <row r="18" spans="2:26" x14ac:dyDescent="0.2">
      <c r="B18">
        <v>357.14299999999997</v>
      </c>
      <c r="C18">
        <v>357.14</v>
      </c>
      <c r="D18">
        <v>1972.46</v>
      </c>
      <c r="E18">
        <v>113.539</v>
      </c>
      <c r="F18">
        <v>0.14835999999999999</v>
      </c>
      <c r="G18">
        <v>0.23283000000000001</v>
      </c>
      <c r="H18">
        <v>107</v>
      </c>
      <c r="K18">
        <v>357.14299999999997</v>
      </c>
      <c r="L18">
        <v>357.14</v>
      </c>
      <c r="M18">
        <v>1988.25</v>
      </c>
      <c r="N18">
        <v>113.539</v>
      </c>
      <c r="O18">
        <v>0.161999</v>
      </c>
      <c r="P18">
        <v>6.25E-2</v>
      </c>
      <c r="Q18">
        <v>100</v>
      </c>
      <c r="T18">
        <v>357.14299999999997</v>
      </c>
      <c r="U18">
        <v>357.14</v>
      </c>
      <c r="V18">
        <v>1996.03</v>
      </c>
      <c r="W18">
        <v>113.539</v>
      </c>
      <c r="X18">
        <v>0.16900000000000001</v>
      </c>
      <c r="Y18">
        <v>9.96977E-2</v>
      </c>
      <c r="Z18">
        <v>100</v>
      </c>
    </row>
    <row r="19" spans="2:26" x14ac:dyDescent="0.2">
      <c r="B19">
        <v>428.57100000000003</v>
      </c>
      <c r="C19">
        <v>428.56799999999998</v>
      </c>
      <c r="D19">
        <v>2007.36</v>
      </c>
      <c r="E19">
        <v>117.26600000000001</v>
      </c>
      <c r="F19">
        <v>0.14890100000000001</v>
      </c>
      <c r="G19">
        <v>0.23394799999999999</v>
      </c>
      <c r="H19">
        <v>107</v>
      </c>
      <c r="K19">
        <v>428.57100000000003</v>
      </c>
      <c r="L19">
        <v>428.56799999999998</v>
      </c>
      <c r="M19">
        <v>2026.36</v>
      </c>
      <c r="N19">
        <v>117.26600000000001</v>
      </c>
      <c r="O19">
        <v>0.16262299999999999</v>
      </c>
      <c r="P19">
        <v>6.25E-2</v>
      </c>
      <c r="Q19">
        <v>100</v>
      </c>
      <c r="T19">
        <v>428.57100000000003</v>
      </c>
      <c r="U19">
        <v>428.56799999999998</v>
      </c>
      <c r="V19">
        <v>2035.82</v>
      </c>
      <c r="W19">
        <v>117.26600000000001</v>
      </c>
      <c r="X19">
        <v>0.16980799999999999</v>
      </c>
      <c r="Y19">
        <v>9.9644800000000006E-2</v>
      </c>
      <c r="Z19">
        <v>100</v>
      </c>
    </row>
    <row r="20" spans="2:26" x14ac:dyDescent="0.2">
      <c r="B20">
        <v>500</v>
      </c>
      <c r="C20">
        <v>499.99599999999998</v>
      </c>
      <c r="D20">
        <v>2042.37</v>
      </c>
      <c r="E20">
        <v>120.99299999999999</v>
      </c>
      <c r="F20">
        <v>0.14942</v>
      </c>
      <c r="G20">
        <v>0.23503299999999999</v>
      </c>
      <c r="H20">
        <v>107</v>
      </c>
      <c r="K20">
        <v>500</v>
      </c>
      <c r="L20">
        <v>499.99599999999998</v>
      </c>
      <c r="M20">
        <v>2064.62</v>
      </c>
      <c r="N20">
        <v>120.99299999999999</v>
      </c>
      <c r="O20">
        <v>0.16322700000000001</v>
      </c>
      <c r="P20">
        <v>6.25E-2</v>
      </c>
      <c r="Q20">
        <v>100</v>
      </c>
      <c r="T20">
        <v>500</v>
      </c>
      <c r="U20">
        <v>499.99599999999998</v>
      </c>
      <c r="V20">
        <v>2075.8000000000002</v>
      </c>
      <c r="W20">
        <v>120.99299999999999</v>
      </c>
      <c r="X20">
        <v>0.170596</v>
      </c>
      <c r="Y20">
        <v>9.9582900000000002E-2</v>
      </c>
      <c r="Z20">
        <v>100</v>
      </c>
    </row>
    <row r="21" spans="2:26" x14ac:dyDescent="0.2">
      <c r="B21">
        <v>566.66700000000003</v>
      </c>
      <c r="C21">
        <v>566.66200000000003</v>
      </c>
      <c r="D21">
        <v>2075.16</v>
      </c>
      <c r="E21">
        <v>124.471</v>
      </c>
      <c r="F21">
        <v>0.14990200000000001</v>
      </c>
      <c r="G21">
        <v>0.23605200000000001</v>
      </c>
      <c r="H21">
        <v>107</v>
      </c>
      <c r="K21">
        <v>566.66700000000003</v>
      </c>
      <c r="L21">
        <v>566.66200000000003</v>
      </c>
      <c r="M21">
        <v>2100.44</v>
      </c>
      <c r="N21">
        <v>124.471</v>
      </c>
      <c r="O21">
        <v>0.16379099999999999</v>
      </c>
      <c r="P21">
        <v>6.25E-2</v>
      </c>
      <c r="Q21">
        <v>100</v>
      </c>
      <c r="T21">
        <v>566.66700000000003</v>
      </c>
      <c r="U21">
        <v>566.66200000000003</v>
      </c>
      <c r="V21">
        <v>2113.2800000000002</v>
      </c>
      <c r="W21">
        <v>124.471</v>
      </c>
      <c r="X21">
        <v>0.17134099999999999</v>
      </c>
      <c r="Y21">
        <v>9.9515199999999998E-2</v>
      </c>
      <c r="Z21">
        <v>100</v>
      </c>
    </row>
    <row r="22" spans="2:26" x14ac:dyDescent="0.2">
      <c r="B22">
        <v>633.33299999999997</v>
      </c>
      <c r="C22">
        <v>633.32799999999997</v>
      </c>
      <c r="D22">
        <v>2108.04</v>
      </c>
      <c r="E22">
        <v>127.94799999999999</v>
      </c>
      <c r="F22">
        <v>0.15034900000000001</v>
      </c>
      <c r="G22">
        <v>0.23701</v>
      </c>
      <c r="H22">
        <v>107</v>
      </c>
      <c r="K22">
        <v>633.33299999999997</v>
      </c>
      <c r="L22">
        <v>633.32799999999997</v>
      </c>
      <c r="M22">
        <v>2136.38</v>
      </c>
      <c r="N22">
        <v>127.94799999999999</v>
      </c>
      <c r="O22">
        <v>0.16431999999999999</v>
      </c>
      <c r="P22">
        <v>6.25E-2</v>
      </c>
      <c r="Q22">
        <v>100</v>
      </c>
      <c r="T22">
        <v>633.33299999999997</v>
      </c>
      <c r="U22">
        <v>633.32799999999997</v>
      </c>
      <c r="V22">
        <v>2150.91</v>
      </c>
      <c r="W22">
        <v>127.94799999999999</v>
      </c>
      <c r="X22">
        <v>0.172046</v>
      </c>
      <c r="Y22">
        <v>9.9443199999999995E-2</v>
      </c>
      <c r="Z22">
        <v>100</v>
      </c>
    </row>
    <row r="23" spans="2:26" x14ac:dyDescent="0.2">
      <c r="B23">
        <v>700</v>
      </c>
      <c r="C23">
        <v>699.99400000000003</v>
      </c>
      <c r="D23">
        <v>2141.02</v>
      </c>
      <c r="E23">
        <v>131.42599999999999</v>
      </c>
      <c r="F23">
        <v>0.15078</v>
      </c>
      <c r="G23">
        <v>0.23794399999999999</v>
      </c>
      <c r="H23">
        <v>107</v>
      </c>
      <c r="K23">
        <v>700</v>
      </c>
      <c r="L23">
        <v>699.99400000000003</v>
      </c>
      <c r="M23">
        <v>2172.4299999999998</v>
      </c>
      <c r="N23">
        <v>131.42599999999999</v>
      </c>
      <c r="O23">
        <v>0.16483200000000001</v>
      </c>
      <c r="P23">
        <v>6.25E-2</v>
      </c>
      <c r="Q23">
        <v>100</v>
      </c>
      <c r="T23">
        <v>700</v>
      </c>
      <c r="U23">
        <v>699.99400000000003</v>
      </c>
      <c r="V23">
        <v>2188.69</v>
      </c>
      <c r="W23">
        <v>131.42599999999999</v>
      </c>
      <c r="X23">
        <v>0.172738</v>
      </c>
      <c r="Y23">
        <v>9.9365499999999995E-2</v>
      </c>
      <c r="Z23">
        <v>100</v>
      </c>
    </row>
    <row r="24" spans="2:26" x14ac:dyDescent="0.2">
      <c r="B24">
        <v>766.66700000000003</v>
      </c>
      <c r="C24">
        <v>766.66</v>
      </c>
      <c r="D24">
        <v>2174.09</v>
      </c>
      <c r="E24">
        <v>134.90299999999999</v>
      </c>
      <c r="F24">
        <v>0.151194</v>
      </c>
      <c r="G24">
        <v>0.23885300000000001</v>
      </c>
      <c r="H24">
        <v>107</v>
      </c>
      <c r="K24">
        <v>766.66700000000003</v>
      </c>
      <c r="L24">
        <v>766.66</v>
      </c>
      <c r="M24">
        <v>2208.59</v>
      </c>
      <c r="N24">
        <v>134.90299999999999</v>
      </c>
      <c r="O24">
        <v>0.165329</v>
      </c>
      <c r="P24">
        <v>6.25E-2</v>
      </c>
      <c r="Q24">
        <v>100</v>
      </c>
      <c r="T24">
        <v>766.66700000000003</v>
      </c>
      <c r="U24">
        <v>766.66</v>
      </c>
      <c r="V24">
        <v>2226.62</v>
      </c>
      <c r="W24">
        <v>134.90299999999999</v>
      </c>
      <c r="X24">
        <v>0.17341699999999999</v>
      </c>
      <c r="Y24">
        <v>9.9282599999999999E-2</v>
      </c>
      <c r="Z24">
        <v>100</v>
      </c>
    </row>
    <row r="25" spans="2:26" x14ac:dyDescent="0.2">
      <c r="B25">
        <v>833.33299999999997</v>
      </c>
      <c r="C25">
        <v>833.32600000000002</v>
      </c>
      <c r="D25">
        <v>2207.25</v>
      </c>
      <c r="E25">
        <v>138.37899999999999</v>
      </c>
      <c r="F25">
        <v>0.15159400000000001</v>
      </c>
      <c r="G25">
        <v>0.23974000000000001</v>
      </c>
      <c r="H25">
        <v>107</v>
      </c>
      <c r="K25">
        <v>833.33299999999997</v>
      </c>
      <c r="L25">
        <v>833.32600000000002</v>
      </c>
      <c r="M25">
        <v>2244.86</v>
      </c>
      <c r="N25">
        <v>138.37899999999999</v>
      </c>
      <c r="O25">
        <v>0.16581199999999999</v>
      </c>
      <c r="P25">
        <v>6.25E-2</v>
      </c>
      <c r="Q25">
        <v>100</v>
      </c>
      <c r="T25">
        <v>833.33299999999997</v>
      </c>
      <c r="U25">
        <v>833.32600000000002</v>
      </c>
      <c r="V25">
        <v>2264.6999999999998</v>
      </c>
      <c r="W25">
        <v>138.37899999999999</v>
      </c>
      <c r="X25">
        <v>0.17408499999999999</v>
      </c>
      <c r="Y25">
        <v>9.9195099999999994E-2</v>
      </c>
      <c r="Z25">
        <v>100</v>
      </c>
    </row>
    <row r="26" spans="2:26" x14ac:dyDescent="0.2">
      <c r="B26">
        <v>900</v>
      </c>
      <c r="C26">
        <v>899.99300000000005</v>
      </c>
      <c r="D26">
        <v>2240.4899999999998</v>
      </c>
      <c r="E26">
        <v>141.85400000000001</v>
      </c>
      <c r="F26">
        <v>0.151978</v>
      </c>
      <c r="G26">
        <v>0.24060599999999999</v>
      </c>
      <c r="H26">
        <v>107</v>
      </c>
      <c r="K26">
        <v>900</v>
      </c>
      <c r="L26">
        <v>899.99300000000005</v>
      </c>
      <c r="M26">
        <v>2281.23</v>
      </c>
      <c r="N26">
        <v>141.85400000000001</v>
      </c>
      <c r="O26">
        <v>0.16628000000000001</v>
      </c>
      <c r="P26">
        <v>6.25E-2</v>
      </c>
      <c r="Q26">
        <v>100</v>
      </c>
      <c r="T26">
        <v>900</v>
      </c>
      <c r="U26">
        <v>899.99300000000005</v>
      </c>
      <c r="V26">
        <v>2302.92</v>
      </c>
      <c r="W26">
        <v>141.85400000000001</v>
      </c>
      <c r="X26">
        <v>0.17474200000000001</v>
      </c>
      <c r="Y26">
        <v>9.9103700000000003E-2</v>
      </c>
      <c r="Z26">
        <v>100</v>
      </c>
    </row>
    <row r="27" spans="2:26" x14ac:dyDescent="0.2">
      <c r="B27">
        <v>950</v>
      </c>
      <c r="C27">
        <v>949.99199999999996</v>
      </c>
      <c r="D27">
        <v>2265.4699999999998</v>
      </c>
      <c r="E27">
        <v>144.46</v>
      </c>
      <c r="F27">
        <v>0.15230199999999999</v>
      </c>
      <c r="G27">
        <v>0.241346</v>
      </c>
      <c r="H27">
        <v>107</v>
      </c>
      <c r="K27">
        <v>950</v>
      </c>
      <c r="L27">
        <v>949.99199999999996</v>
      </c>
      <c r="M27">
        <v>2308.5700000000002</v>
      </c>
      <c r="N27">
        <v>144.46</v>
      </c>
      <c r="O27">
        <v>0.16667799999999999</v>
      </c>
      <c r="P27">
        <v>6.25E-2</v>
      </c>
      <c r="Q27">
        <v>100</v>
      </c>
      <c r="T27">
        <v>950</v>
      </c>
      <c r="U27">
        <v>949.99199999999996</v>
      </c>
      <c r="V27">
        <v>2331.6799999999998</v>
      </c>
      <c r="W27">
        <v>144.46</v>
      </c>
      <c r="X27">
        <v>0.17530899999999999</v>
      </c>
      <c r="Y27">
        <v>9.9020800000000006E-2</v>
      </c>
      <c r="Z27">
        <v>100</v>
      </c>
    </row>
    <row r="28" spans="2:26" x14ac:dyDescent="0.2">
      <c r="B28">
        <v>1000</v>
      </c>
      <c r="C28">
        <v>999.99199999999996</v>
      </c>
      <c r="D28">
        <v>2290.5</v>
      </c>
      <c r="E28">
        <v>147.066</v>
      </c>
      <c r="F28">
        <v>0.15257100000000001</v>
      </c>
      <c r="G28">
        <v>0.24196899999999999</v>
      </c>
      <c r="H28">
        <v>107</v>
      </c>
      <c r="K28">
        <v>1000</v>
      </c>
      <c r="L28">
        <v>999.99199999999996</v>
      </c>
      <c r="M28">
        <v>2335.9699999999998</v>
      </c>
      <c r="N28">
        <v>147.066</v>
      </c>
      <c r="O28">
        <v>0.16701099999999999</v>
      </c>
      <c r="P28">
        <v>6.25E-2</v>
      </c>
      <c r="Q28">
        <v>100</v>
      </c>
      <c r="T28">
        <v>1000</v>
      </c>
      <c r="U28">
        <v>999.99199999999996</v>
      </c>
      <c r="V28">
        <v>2360.5100000000002</v>
      </c>
      <c r="W28">
        <v>147.066</v>
      </c>
      <c r="X28">
        <v>0.17579</v>
      </c>
      <c r="Y28">
        <v>9.89482E-2</v>
      </c>
      <c r="Z28">
        <v>100</v>
      </c>
    </row>
    <row r="29" spans="2:26" x14ac:dyDescent="0.2">
      <c r="B29">
        <v>1066.67</v>
      </c>
      <c r="C29">
        <v>1066.6600000000001</v>
      </c>
      <c r="D29">
        <v>2323.94</v>
      </c>
      <c r="E29">
        <v>150.53899999999999</v>
      </c>
      <c r="F29">
        <v>0.15287600000000001</v>
      </c>
      <c r="G29">
        <v>0.24268300000000001</v>
      </c>
      <c r="H29">
        <v>107</v>
      </c>
      <c r="K29">
        <v>1066.67</v>
      </c>
      <c r="L29">
        <v>1066.6600000000001</v>
      </c>
      <c r="M29">
        <v>2372.58</v>
      </c>
      <c r="N29">
        <v>150.53899999999999</v>
      </c>
      <c r="O29">
        <v>0.16739200000000001</v>
      </c>
      <c r="P29">
        <v>6.25E-2</v>
      </c>
      <c r="Q29">
        <v>100</v>
      </c>
      <c r="T29">
        <v>1066.67</v>
      </c>
      <c r="U29">
        <v>1066.6600000000001</v>
      </c>
      <c r="V29">
        <v>2399.08</v>
      </c>
      <c r="W29">
        <v>150.53899999999999</v>
      </c>
      <c r="X29">
        <v>0.176345</v>
      </c>
      <c r="Y29">
        <v>9.8862000000000005E-2</v>
      </c>
      <c r="Z29">
        <v>100</v>
      </c>
    </row>
    <row r="30" spans="2:26" x14ac:dyDescent="0.2">
      <c r="B30">
        <v>1133.33</v>
      </c>
      <c r="C30">
        <v>1133.32</v>
      </c>
      <c r="D30">
        <v>2357.4499999999998</v>
      </c>
      <c r="E30">
        <v>154.01</v>
      </c>
      <c r="F30">
        <v>0.15321299999999999</v>
      </c>
      <c r="G30">
        <v>0.243481</v>
      </c>
      <c r="H30">
        <v>107</v>
      </c>
      <c r="K30">
        <v>1133.33</v>
      </c>
      <c r="L30">
        <v>1133.32</v>
      </c>
      <c r="M30">
        <v>2409.29</v>
      </c>
      <c r="N30">
        <v>154.01</v>
      </c>
      <c r="O30">
        <v>0.16781399999999999</v>
      </c>
      <c r="P30">
        <v>6.25E-2</v>
      </c>
      <c r="Q30">
        <v>100</v>
      </c>
      <c r="T30">
        <v>1133.33</v>
      </c>
      <c r="U30">
        <v>1133.32</v>
      </c>
      <c r="V30">
        <v>2437.79</v>
      </c>
      <c r="W30">
        <v>154.01</v>
      </c>
      <c r="X30">
        <v>0.17697299999999999</v>
      </c>
      <c r="Y30">
        <v>9.8761500000000002E-2</v>
      </c>
      <c r="Z30">
        <v>100</v>
      </c>
    </row>
    <row r="31" spans="2:26" x14ac:dyDescent="0.2">
      <c r="B31">
        <v>1200</v>
      </c>
      <c r="C31">
        <v>1199.99</v>
      </c>
      <c r="D31">
        <v>2391.0300000000002</v>
      </c>
      <c r="E31">
        <v>157.47900000000001</v>
      </c>
      <c r="F31">
        <v>0.15353600000000001</v>
      </c>
      <c r="G31">
        <v>0.24426200000000001</v>
      </c>
      <c r="H31">
        <v>107</v>
      </c>
      <c r="K31">
        <v>1200</v>
      </c>
      <c r="L31">
        <v>1199.99</v>
      </c>
      <c r="M31">
        <v>2446.08</v>
      </c>
      <c r="N31">
        <v>157.47900000000001</v>
      </c>
      <c r="O31">
        <v>0.16822500000000001</v>
      </c>
      <c r="P31">
        <v>6.25E-2</v>
      </c>
      <c r="Q31">
        <v>100</v>
      </c>
      <c r="T31">
        <v>1200</v>
      </c>
      <c r="U31">
        <v>1199.99</v>
      </c>
      <c r="V31">
        <v>2476.64</v>
      </c>
      <c r="W31">
        <v>157.47900000000001</v>
      </c>
      <c r="X31">
        <v>0.177594</v>
      </c>
      <c r="Y31">
        <v>9.8659800000000006E-2</v>
      </c>
      <c r="Z31">
        <v>100</v>
      </c>
    </row>
    <row r="32" spans="2:26" x14ac:dyDescent="0.2">
      <c r="B32">
        <v>1204</v>
      </c>
      <c r="C32">
        <v>1203.99</v>
      </c>
      <c r="D32">
        <v>2393.0500000000002</v>
      </c>
      <c r="E32">
        <v>157.68700000000001</v>
      </c>
      <c r="F32">
        <v>0.15370300000000001</v>
      </c>
      <c r="G32">
        <v>0.244669</v>
      </c>
      <c r="H32">
        <v>107</v>
      </c>
      <c r="K32">
        <v>1204</v>
      </c>
      <c r="L32">
        <v>1203.99</v>
      </c>
      <c r="M32">
        <v>2448.29</v>
      </c>
      <c r="N32">
        <v>157.68700000000001</v>
      </c>
      <c r="O32">
        <v>0.168438</v>
      </c>
      <c r="P32">
        <v>6.25E-2</v>
      </c>
      <c r="Q32">
        <v>100</v>
      </c>
      <c r="T32">
        <v>1204</v>
      </c>
      <c r="U32">
        <v>1203.99</v>
      </c>
      <c r="V32">
        <v>2478.9699999999998</v>
      </c>
      <c r="W32">
        <v>157.68700000000001</v>
      </c>
      <c r="X32">
        <v>0.17791999999999999</v>
      </c>
      <c r="Y32">
        <v>9.8605300000000007E-2</v>
      </c>
      <c r="Z32">
        <v>100</v>
      </c>
    </row>
    <row r="33" spans="2:143" x14ac:dyDescent="0.2">
      <c r="B33">
        <v>1208</v>
      </c>
      <c r="C33">
        <v>1207.99</v>
      </c>
      <c r="D33">
        <v>2395.0700000000002</v>
      </c>
      <c r="E33">
        <v>157.89500000000001</v>
      </c>
      <c r="F33">
        <v>0.153721</v>
      </c>
      <c r="G33">
        <v>0.24471499999999999</v>
      </c>
      <c r="H33">
        <v>107</v>
      </c>
      <c r="K33">
        <v>1208</v>
      </c>
      <c r="L33">
        <v>1207.99</v>
      </c>
      <c r="M33">
        <v>2450.5</v>
      </c>
      <c r="N33">
        <v>157.89500000000001</v>
      </c>
      <c r="O33">
        <v>0.168461</v>
      </c>
      <c r="P33">
        <v>6.25E-2</v>
      </c>
      <c r="Q33">
        <v>100</v>
      </c>
      <c r="T33">
        <v>1208</v>
      </c>
      <c r="U33">
        <v>1207.99</v>
      </c>
      <c r="V33">
        <v>2481.31</v>
      </c>
      <c r="W33">
        <v>157.89500000000001</v>
      </c>
      <c r="X33">
        <v>0.177957</v>
      </c>
      <c r="Y33">
        <v>9.8599199999999998E-2</v>
      </c>
      <c r="Z33">
        <v>100</v>
      </c>
    </row>
    <row r="34" spans="2:143" x14ac:dyDescent="0.2">
      <c r="B34">
        <v>1271.98</v>
      </c>
      <c r="C34">
        <v>1271.94</v>
      </c>
      <c r="D34">
        <v>2427.6799999999998</v>
      </c>
      <c r="E34">
        <v>161.22200000000001</v>
      </c>
      <c r="F34">
        <v>0.15538199999999999</v>
      </c>
      <c r="G34">
        <v>0.24948799999999999</v>
      </c>
      <c r="H34">
        <v>107</v>
      </c>
      <c r="K34">
        <v>1271.98</v>
      </c>
      <c r="L34">
        <v>1271.94</v>
      </c>
      <c r="M34">
        <v>2485.89</v>
      </c>
      <c r="N34">
        <v>161.22200000000001</v>
      </c>
      <c r="O34">
        <v>0.168577</v>
      </c>
      <c r="P34">
        <v>6.25E-2</v>
      </c>
      <c r="Q34">
        <v>100</v>
      </c>
      <c r="T34">
        <v>1271.98</v>
      </c>
      <c r="U34">
        <v>1271.94</v>
      </c>
      <c r="V34">
        <v>2518.71</v>
      </c>
      <c r="W34">
        <v>161.22200000000001</v>
      </c>
      <c r="X34">
        <v>0.178179</v>
      </c>
      <c r="Y34">
        <v>9.8546999999999996E-2</v>
      </c>
      <c r="Z34">
        <v>100</v>
      </c>
    </row>
    <row r="35" spans="2:143" x14ac:dyDescent="0.2">
      <c r="B35">
        <v>1335.96</v>
      </c>
      <c r="C35">
        <v>1335.88</v>
      </c>
      <c r="D35">
        <v>2460.36</v>
      </c>
      <c r="E35">
        <v>164.54599999999999</v>
      </c>
      <c r="F35">
        <v>0.15568799999999999</v>
      </c>
      <c r="G35">
        <v>0.25024800000000003</v>
      </c>
      <c r="H35">
        <v>107</v>
      </c>
      <c r="K35">
        <v>1335.96</v>
      </c>
      <c r="L35">
        <v>1335.88</v>
      </c>
      <c r="M35">
        <v>2521.35</v>
      </c>
      <c r="N35">
        <v>164.54599999999999</v>
      </c>
      <c r="O35">
        <v>0.16894799999999999</v>
      </c>
      <c r="P35">
        <v>6.25E-2</v>
      </c>
      <c r="Q35">
        <v>100</v>
      </c>
      <c r="T35">
        <v>1335.96</v>
      </c>
      <c r="U35">
        <v>1335.88</v>
      </c>
      <c r="V35">
        <v>2556.23</v>
      </c>
      <c r="W35">
        <v>164.54599999999999</v>
      </c>
      <c r="X35">
        <v>0.17876300000000001</v>
      </c>
      <c r="Y35">
        <v>9.8448400000000005E-2</v>
      </c>
      <c r="Z35">
        <v>100</v>
      </c>
    </row>
    <row r="36" spans="2:143" x14ac:dyDescent="0.2">
      <c r="B36">
        <v>1399.94</v>
      </c>
      <c r="C36">
        <v>1399.83</v>
      </c>
      <c r="D36">
        <v>2493.11</v>
      </c>
      <c r="E36">
        <v>167.86699999999999</v>
      </c>
      <c r="F36">
        <v>0.15598300000000001</v>
      </c>
      <c r="G36">
        <v>0.25099300000000002</v>
      </c>
      <c r="H36">
        <v>107</v>
      </c>
      <c r="K36">
        <v>1399.94</v>
      </c>
      <c r="L36">
        <v>1399.83</v>
      </c>
      <c r="M36">
        <v>2556.89</v>
      </c>
      <c r="N36">
        <v>167.86699999999999</v>
      </c>
      <c r="O36">
        <v>0.16930999999999999</v>
      </c>
      <c r="P36">
        <v>6.25E-2</v>
      </c>
      <c r="Q36">
        <v>100</v>
      </c>
      <c r="T36">
        <v>1399.94</v>
      </c>
      <c r="U36">
        <v>1399.83</v>
      </c>
      <c r="V36">
        <v>2593.88</v>
      </c>
      <c r="W36">
        <v>167.86699999999999</v>
      </c>
      <c r="X36">
        <v>0.179345</v>
      </c>
      <c r="Y36">
        <v>9.8350199999999999E-2</v>
      </c>
      <c r="Z36">
        <v>100</v>
      </c>
    </row>
    <row r="37" spans="2:143" x14ac:dyDescent="0.2">
      <c r="B37">
        <v>1399.97</v>
      </c>
      <c r="C37">
        <v>1399.86</v>
      </c>
      <c r="D37">
        <v>2493.12</v>
      </c>
      <c r="E37">
        <v>167.86799999999999</v>
      </c>
      <c r="F37">
        <v>0.15612599999999999</v>
      </c>
      <c r="G37">
        <v>0.251359</v>
      </c>
      <c r="H37">
        <v>107</v>
      </c>
      <c r="K37">
        <v>1399.97</v>
      </c>
      <c r="L37">
        <v>1399.86</v>
      </c>
      <c r="M37">
        <v>2556.91</v>
      </c>
      <c r="N37">
        <v>167.86799999999999</v>
      </c>
      <c r="O37">
        <v>0.169487</v>
      </c>
      <c r="P37">
        <v>6.25E-2</v>
      </c>
      <c r="Q37">
        <v>100</v>
      </c>
      <c r="T37">
        <v>1399.97</v>
      </c>
      <c r="U37">
        <v>1399.86</v>
      </c>
      <c r="V37">
        <v>2593.89</v>
      </c>
      <c r="W37">
        <v>167.86799999999999</v>
      </c>
      <c r="X37">
        <v>0.17963299999999999</v>
      </c>
      <c r="Y37">
        <v>9.8300999999999999E-2</v>
      </c>
      <c r="Z37">
        <v>100</v>
      </c>
    </row>
    <row r="38" spans="2:143" x14ac:dyDescent="0.2">
      <c r="B38">
        <v>1400</v>
      </c>
      <c r="C38">
        <v>1399.89</v>
      </c>
      <c r="D38">
        <v>2493.14</v>
      </c>
      <c r="E38">
        <v>167.87</v>
      </c>
      <c r="F38">
        <v>0.15612599999999999</v>
      </c>
      <c r="G38">
        <v>0.251359</v>
      </c>
      <c r="H38">
        <v>107</v>
      </c>
      <c r="K38">
        <v>1400</v>
      </c>
      <c r="L38">
        <v>1399.89</v>
      </c>
      <c r="M38">
        <v>2556.92</v>
      </c>
      <c r="N38">
        <v>167.87</v>
      </c>
      <c r="O38">
        <v>0.169487</v>
      </c>
      <c r="P38">
        <v>6.25E-2</v>
      </c>
      <c r="Q38">
        <v>100</v>
      </c>
      <c r="T38">
        <v>1400</v>
      </c>
      <c r="U38">
        <v>1399.89</v>
      </c>
      <c r="V38">
        <v>2593.91</v>
      </c>
      <c r="W38">
        <v>167.87</v>
      </c>
      <c r="X38">
        <v>0.17963299999999999</v>
      </c>
      <c r="Y38">
        <v>9.8300999999999999E-2</v>
      </c>
      <c r="Z38">
        <v>100</v>
      </c>
    </row>
    <row r="39" spans="2:143" s="163" customFormat="1" x14ac:dyDescent="0.2">
      <c r="B39" s="163">
        <v>1472.5</v>
      </c>
      <c r="C39" s="163">
        <v>1472.37</v>
      </c>
      <c r="D39" s="163">
        <v>2530.16</v>
      </c>
      <c r="E39" s="163">
        <v>171.62799999999999</v>
      </c>
      <c r="F39" s="163">
        <v>0.155672</v>
      </c>
      <c r="G39" s="163">
        <v>0.24992500000000001</v>
      </c>
      <c r="H39" s="163">
        <v>107</v>
      </c>
      <c r="K39" s="163">
        <v>1472.5</v>
      </c>
      <c r="L39" s="163">
        <v>1472.37</v>
      </c>
      <c r="M39" s="163">
        <v>2597.3000000000002</v>
      </c>
      <c r="N39" s="163">
        <v>171.62799999999999</v>
      </c>
      <c r="O39" s="163">
        <v>0.169741</v>
      </c>
      <c r="P39" s="163">
        <v>6.25E-2</v>
      </c>
      <c r="Q39" s="163">
        <v>100</v>
      </c>
      <c r="T39" s="163">
        <v>1472.5</v>
      </c>
      <c r="U39" s="163">
        <v>1472.37</v>
      </c>
      <c r="V39" s="163">
        <v>2636.73</v>
      </c>
      <c r="W39" s="163">
        <v>171.62799999999999</v>
      </c>
      <c r="X39" s="163">
        <v>0.18001900000000001</v>
      </c>
      <c r="Y39" s="163">
        <v>9.8246700000000006E-2</v>
      </c>
      <c r="Z39" s="163">
        <v>100</v>
      </c>
      <c r="EA39" s="163">
        <v>142.29599999999999</v>
      </c>
      <c r="EB39" s="163">
        <v>5.01442E-2</v>
      </c>
      <c r="EC39" s="163">
        <v>0</v>
      </c>
      <c r="ED39" s="163">
        <v>102</v>
      </c>
      <c r="EG39" s="163">
        <v>1579.43</v>
      </c>
      <c r="EH39" s="163">
        <v>1579.25</v>
      </c>
      <c r="EI39" s="163">
        <v>2072.9699999999998</v>
      </c>
      <c r="EJ39" s="163">
        <v>142.29599999999999</v>
      </c>
      <c r="EK39" s="163">
        <v>5.01442E-2</v>
      </c>
      <c r="EL39" s="163">
        <v>0</v>
      </c>
      <c r="EM39" s="163">
        <v>105</v>
      </c>
    </row>
    <row r="40" spans="2:143" s="163" customFormat="1" x14ac:dyDescent="0.2">
      <c r="B40" s="163">
        <v>1545</v>
      </c>
      <c r="C40" s="163">
        <v>1544.86</v>
      </c>
      <c r="D40" s="163">
        <v>2567.27</v>
      </c>
      <c r="E40" s="163">
        <v>175.37799999999999</v>
      </c>
      <c r="F40" s="163">
        <v>0.155976</v>
      </c>
      <c r="G40" s="163">
        <v>0.250722</v>
      </c>
      <c r="H40" s="163">
        <v>107</v>
      </c>
      <c r="K40" s="163">
        <v>1545</v>
      </c>
      <c r="L40" s="163">
        <v>1544.86</v>
      </c>
      <c r="M40" s="163">
        <v>2637.77</v>
      </c>
      <c r="N40" s="163">
        <v>175.37799999999999</v>
      </c>
      <c r="O40" s="163">
        <v>0.170131</v>
      </c>
      <c r="P40" s="163">
        <v>6.25E-2</v>
      </c>
      <c r="Q40" s="163">
        <v>100</v>
      </c>
      <c r="T40" s="163">
        <v>1545</v>
      </c>
      <c r="U40" s="163">
        <v>1544.86</v>
      </c>
      <c r="V40" s="163">
        <v>2679.71</v>
      </c>
      <c r="W40" s="163">
        <v>175.37799999999999</v>
      </c>
      <c r="X40" s="163">
        <v>0.180674</v>
      </c>
      <c r="Y40" s="163">
        <v>9.8138900000000001E-2</v>
      </c>
      <c r="Z40" s="163">
        <v>100</v>
      </c>
      <c r="EA40" s="163">
        <v>145.14099999999999</v>
      </c>
      <c r="EB40" s="163">
        <v>4.9901500000000001E-2</v>
      </c>
      <c r="EC40" s="163">
        <v>0</v>
      </c>
      <c r="ED40" s="163">
        <v>102</v>
      </c>
      <c r="EG40" s="163">
        <v>1650.86</v>
      </c>
      <c r="EH40" s="163">
        <v>1650.67</v>
      </c>
      <c r="EI40" s="163">
        <v>2084.66</v>
      </c>
      <c r="EJ40" s="163">
        <v>145.14099999999999</v>
      </c>
      <c r="EK40" s="163">
        <v>4.9901500000000001E-2</v>
      </c>
      <c r="EL40" s="163">
        <v>0</v>
      </c>
      <c r="EM40" s="163">
        <v>105</v>
      </c>
    </row>
    <row r="41" spans="2:143" s="163" customFormat="1" x14ac:dyDescent="0.2">
      <c r="B41" s="163">
        <v>1617.5</v>
      </c>
      <c r="C41" s="163">
        <v>1617.35</v>
      </c>
      <c r="D41" s="163">
        <v>2604.44</v>
      </c>
      <c r="E41" s="163">
        <v>179.12</v>
      </c>
      <c r="F41" s="163">
        <v>0.15626999999999999</v>
      </c>
      <c r="G41" s="163">
        <v>0.25150499999999998</v>
      </c>
      <c r="H41" s="163">
        <v>107</v>
      </c>
      <c r="K41" s="163">
        <v>1617.5</v>
      </c>
      <c r="L41" s="163">
        <v>1617.35</v>
      </c>
      <c r="M41" s="163">
        <v>2678.33</v>
      </c>
      <c r="N41" s="163">
        <v>179.12</v>
      </c>
      <c r="O41" s="163">
        <v>0.170513</v>
      </c>
      <c r="P41" s="163">
        <v>6.25E-2</v>
      </c>
      <c r="Q41" s="163">
        <v>100</v>
      </c>
      <c r="T41" s="163">
        <v>1617.5</v>
      </c>
      <c r="U41" s="163">
        <v>1617.35</v>
      </c>
      <c r="V41" s="163">
        <v>2722.84</v>
      </c>
      <c r="W41" s="163">
        <v>179.12</v>
      </c>
      <c r="X41" s="163">
        <v>0.18132799999999999</v>
      </c>
      <c r="Y41" s="163">
        <v>9.8033999999999996E-2</v>
      </c>
      <c r="Z41" s="163">
        <v>100</v>
      </c>
      <c r="EA41" s="163">
        <v>148.001</v>
      </c>
      <c r="EB41" s="163">
        <v>4.9657E-2</v>
      </c>
      <c r="EC41" s="163">
        <v>0</v>
      </c>
      <c r="ED41" s="163">
        <v>102</v>
      </c>
      <c r="EG41" s="163">
        <v>1722.29</v>
      </c>
      <c r="EH41" s="163">
        <v>1722.09</v>
      </c>
      <c r="EI41" s="163">
        <v>2096.3000000000002</v>
      </c>
      <c r="EJ41" s="163">
        <v>148.001</v>
      </c>
      <c r="EK41" s="163">
        <v>4.9657E-2</v>
      </c>
      <c r="EL41" s="163">
        <v>0</v>
      </c>
      <c r="EM41" s="163">
        <v>105</v>
      </c>
    </row>
    <row r="42" spans="2:143" s="163" customFormat="1" x14ac:dyDescent="0.2">
      <c r="B42" s="163">
        <v>1690</v>
      </c>
      <c r="C42" s="163">
        <v>1689.83</v>
      </c>
      <c r="D42" s="163">
        <v>2641.67</v>
      </c>
      <c r="E42" s="163">
        <v>182.84899999999999</v>
      </c>
      <c r="F42" s="163">
        <v>0.156555</v>
      </c>
      <c r="G42" s="163">
        <v>0.252278</v>
      </c>
      <c r="H42" s="163">
        <v>107</v>
      </c>
      <c r="K42" s="163">
        <v>1690</v>
      </c>
      <c r="L42" s="163">
        <v>1689.83</v>
      </c>
      <c r="M42" s="163">
        <v>2718.97</v>
      </c>
      <c r="N42" s="163">
        <v>182.84899999999999</v>
      </c>
      <c r="O42" s="163">
        <v>0.17088600000000001</v>
      </c>
      <c r="P42" s="163">
        <v>6.25E-2</v>
      </c>
      <c r="Q42" s="163">
        <v>100</v>
      </c>
      <c r="T42" s="163">
        <v>1690</v>
      </c>
      <c r="U42" s="163">
        <v>1689.83</v>
      </c>
      <c r="V42" s="163">
        <v>2766.13</v>
      </c>
      <c r="W42" s="163">
        <v>182.84899999999999</v>
      </c>
      <c r="X42" s="163">
        <v>0.18198400000000001</v>
      </c>
      <c r="Y42" s="163">
        <v>9.7932900000000003E-2</v>
      </c>
      <c r="Z42" s="163">
        <v>100</v>
      </c>
      <c r="EA42" s="163">
        <v>150.87899999999999</v>
      </c>
      <c r="EB42" s="163">
        <v>4.9410500000000003E-2</v>
      </c>
      <c r="EC42" s="163">
        <v>0</v>
      </c>
      <c r="ED42" s="163">
        <v>102</v>
      </c>
      <c r="EG42" s="163">
        <v>1793.71</v>
      </c>
      <c r="EH42" s="163">
        <v>1793.51</v>
      </c>
      <c r="EI42" s="163">
        <v>2107.88</v>
      </c>
      <c r="EJ42" s="163">
        <v>150.87899999999999</v>
      </c>
      <c r="EK42" s="163">
        <v>4.9410500000000003E-2</v>
      </c>
      <c r="EL42" s="163">
        <v>0</v>
      </c>
      <c r="EM42" s="163">
        <v>105</v>
      </c>
    </row>
    <row r="43" spans="2:143" s="163" customFormat="1" x14ac:dyDescent="0.2">
      <c r="B43" s="163">
        <v>1763.08</v>
      </c>
      <c r="C43" s="163">
        <v>1762.89</v>
      </c>
      <c r="D43" s="163">
        <v>2679.33</v>
      </c>
      <c r="E43" s="163">
        <v>186.59399999999999</v>
      </c>
      <c r="F43" s="163">
        <v>0.15704299999999999</v>
      </c>
      <c r="G43" s="163">
        <v>0.25367499999999998</v>
      </c>
      <c r="H43" s="163">
        <v>107</v>
      </c>
      <c r="K43" s="163">
        <v>1763.08</v>
      </c>
      <c r="L43" s="163">
        <v>1762.89</v>
      </c>
      <c r="M43" s="163">
        <v>2760.03</v>
      </c>
      <c r="N43" s="163">
        <v>186.59399999999999</v>
      </c>
      <c r="O43" s="163">
        <v>0.171238</v>
      </c>
      <c r="P43" s="163">
        <v>6.25E-2</v>
      </c>
      <c r="Q43" s="163">
        <v>100</v>
      </c>
      <c r="T43" s="163">
        <v>1763.08</v>
      </c>
      <c r="U43" s="163">
        <v>1762.89</v>
      </c>
      <c r="V43" s="163">
        <v>2809.92</v>
      </c>
      <c r="W43" s="163">
        <v>186.59399999999999</v>
      </c>
      <c r="X43" s="163">
        <v>0.18262900000000001</v>
      </c>
      <c r="Y43" s="163">
        <v>9.7836300000000001E-2</v>
      </c>
      <c r="Z43" s="163">
        <v>100</v>
      </c>
      <c r="EA43" s="163">
        <v>153.77799999999999</v>
      </c>
      <c r="EB43" s="163">
        <v>4.9161799999999999E-2</v>
      </c>
      <c r="EC43" s="163">
        <v>0</v>
      </c>
      <c r="ED43" s="163">
        <v>102</v>
      </c>
      <c r="EG43" s="163">
        <v>1865.14</v>
      </c>
      <c r="EH43" s="163">
        <v>1864.93</v>
      </c>
      <c r="EI43" s="163">
        <v>2119.4</v>
      </c>
      <c r="EJ43" s="163">
        <v>153.77799999999999</v>
      </c>
      <c r="EK43" s="163">
        <v>4.9161799999999999E-2</v>
      </c>
      <c r="EL43" s="163">
        <v>0</v>
      </c>
      <c r="EM43" s="163">
        <v>105</v>
      </c>
    </row>
    <row r="44" spans="2:143" s="163" customFormat="1" x14ac:dyDescent="0.2">
      <c r="B44" s="163">
        <v>1836.17</v>
      </c>
      <c r="C44" s="163">
        <v>1835.95</v>
      </c>
      <c r="D44" s="163">
        <v>2717.05</v>
      </c>
      <c r="E44" s="163">
        <v>190.31800000000001</v>
      </c>
      <c r="F44" s="163">
        <v>0.15731899999999999</v>
      </c>
      <c r="G44" s="163">
        <v>0.254444</v>
      </c>
      <c r="H44" s="163">
        <v>107</v>
      </c>
      <c r="K44" s="163">
        <v>1836.17</v>
      </c>
      <c r="L44" s="163">
        <v>1835.95</v>
      </c>
      <c r="M44" s="163">
        <v>2801.18</v>
      </c>
      <c r="N44" s="163">
        <v>190.31800000000001</v>
      </c>
      <c r="O44" s="163">
        <v>0.171602</v>
      </c>
      <c r="P44" s="163">
        <v>6.25E-2</v>
      </c>
      <c r="Q44" s="163">
        <v>100</v>
      </c>
      <c r="T44" s="163">
        <v>1836.17</v>
      </c>
      <c r="U44" s="163">
        <v>1835.95</v>
      </c>
      <c r="V44" s="163">
        <v>2853.87</v>
      </c>
      <c r="W44" s="163">
        <v>190.31800000000001</v>
      </c>
      <c r="X44" s="163">
        <v>0.18329899999999999</v>
      </c>
      <c r="Y44" s="163">
        <v>9.7745299999999993E-2</v>
      </c>
      <c r="Z44" s="163">
        <v>100</v>
      </c>
      <c r="EA44" s="163">
        <v>156.70099999999999</v>
      </c>
      <c r="EB44" s="163">
        <v>4.8910500000000003E-2</v>
      </c>
      <c r="EC44" s="163">
        <v>0</v>
      </c>
      <c r="ED44" s="163">
        <v>102</v>
      </c>
      <c r="EG44" s="163">
        <v>1936.57</v>
      </c>
      <c r="EH44" s="163">
        <v>1936.35</v>
      </c>
      <c r="EI44" s="163">
        <v>2130.86</v>
      </c>
      <c r="EJ44" s="163">
        <v>156.70099999999999</v>
      </c>
      <c r="EK44" s="163">
        <v>4.8910500000000003E-2</v>
      </c>
      <c r="EL44" s="163">
        <v>0</v>
      </c>
      <c r="EM44" s="163">
        <v>105</v>
      </c>
    </row>
    <row r="45" spans="2:143" s="163" customFormat="1" x14ac:dyDescent="0.2">
      <c r="B45" s="163">
        <v>1909.25</v>
      </c>
      <c r="C45" s="163">
        <v>1909.01</v>
      </c>
      <c r="D45" s="163">
        <v>2754.84</v>
      </c>
      <c r="E45" s="163">
        <v>194.01599999999999</v>
      </c>
      <c r="F45" s="163">
        <v>0.15759100000000001</v>
      </c>
      <c r="G45" s="163">
        <v>0.25520999999999999</v>
      </c>
      <c r="H45" s="163">
        <v>107</v>
      </c>
      <c r="K45" s="163">
        <v>1909.25</v>
      </c>
      <c r="L45" s="163">
        <v>1909.01</v>
      </c>
      <c r="M45" s="163">
        <v>2842.41</v>
      </c>
      <c r="N45" s="163">
        <v>194.01599999999999</v>
      </c>
      <c r="O45" s="163">
        <v>0.171963</v>
      </c>
      <c r="P45" s="163">
        <v>6.25E-2</v>
      </c>
      <c r="Q45" s="163">
        <v>100</v>
      </c>
      <c r="T45" s="163">
        <v>1909.25</v>
      </c>
      <c r="U45" s="163">
        <v>1909.01</v>
      </c>
      <c r="V45" s="163">
        <v>2897.98</v>
      </c>
      <c r="W45" s="163">
        <v>194.01599999999999</v>
      </c>
      <c r="X45" s="163">
        <v>0.183976</v>
      </c>
      <c r="Y45" s="163">
        <v>9.7661499999999998E-2</v>
      </c>
      <c r="Z45" s="163">
        <v>100</v>
      </c>
      <c r="EA45" s="163">
        <v>159.65199999999999</v>
      </c>
      <c r="EB45" s="163">
        <v>4.8656199999999997E-2</v>
      </c>
      <c r="EC45" s="163">
        <v>0</v>
      </c>
      <c r="ED45" s="163">
        <v>102</v>
      </c>
      <c r="EG45" s="163">
        <v>2008</v>
      </c>
      <c r="EH45" s="163">
        <v>2007.77</v>
      </c>
      <c r="EI45" s="163">
        <v>2142.27</v>
      </c>
      <c r="EJ45" s="163">
        <v>159.65199999999999</v>
      </c>
      <c r="EK45" s="163">
        <v>4.8656199999999997E-2</v>
      </c>
      <c r="EL45" s="163">
        <v>0</v>
      </c>
      <c r="EM45" s="163">
        <v>105</v>
      </c>
    </row>
    <row r="46" spans="2:143" s="163" customFormat="1" x14ac:dyDescent="0.2">
      <c r="B46" s="163">
        <v>1982.33</v>
      </c>
      <c r="C46" s="163">
        <v>1982.08</v>
      </c>
      <c r="D46" s="163">
        <v>2792.69</v>
      </c>
      <c r="E46" s="163">
        <v>197.68100000000001</v>
      </c>
      <c r="F46" s="163">
        <v>0.157862</v>
      </c>
      <c r="G46" s="163">
        <v>0.25597599999999998</v>
      </c>
      <c r="H46" s="163">
        <v>107</v>
      </c>
      <c r="K46" s="163">
        <v>1982.33</v>
      </c>
      <c r="L46" s="163">
        <v>1982.08</v>
      </c>
      <c r="M46" s="163">
        <v>2883.73</v>
      </c>
      <c r="N46" s="163">
        <v>197.68100000000001</v>
      </c>
      <c r="O46" s="163">
        <v>0.172323</v>
      </c>
      <c r="P46" s="163">
        <v>6.25E-2</v>
      </c>
      <c r="Q46" s="163">
        <v>100</v>
      </c>
      <c r="T46" s="163">
        <v>1982.33</v>
      </c>
      <c r="U46" s="163">
        <v>1982.08</v>
      </c>
      <c r="V46" s="163">
        <v>2942.26</v>
      </c>
      <c r="W46" s="163">
        <v>197.68100000000001</v>
      </c>
      <c r="X46" s="163">
        <v>0.18466399999999999</v>
      </c>
      <c r="Y46" s="163">
        <v>9.7586400000000004E-2</v>
      </c>
      <c r="Z46" s="163">
        <v>100</v>
      </c>
      <c r="EA46" s="163">
        <v>162.58799999999999</v>
      </c>
      <c r="EB46" s="163">
        <v>4.8400600000000002E-2</v>
      </c>
      <c r="EC46" s="163">
        <v>0</v>
      </c>
      <c r="ED46" s="163">
        <v>102</v>
      </c>
      <c r="EG46" s="163">
        <v>2078.2800000000002</v>
      </c>
      <c r="EH46" s="163">
        <v>2078.0500000000002</v>
      </c>
      <c r="EI46" s="163">
        <v>2153.4299999999998</v>
      </c>
      <c r="EJ46" s="163">
        <v>162.58799999999999</v>
      </c>
      <c r="EK46" s="163">
        <v>4.8400600000000002E-2</v>
      </c>
      <c r="EL46" s="163">
        <v>0</v>
      </c>
      <c r="EM46" s="163">
        <v>105</v>
      </c>
    </row>
    <row r="47" spans="2:143" s="163" customFormat="1" x14ac:dyDescent="0.2">
      <c r="B47" s="163">
        <v>2055.42</v>
      </c>
      <c r="C47" s="163">
        <v>2055.14</v>
      </c>
      <c r="D47" s="163">
        <v>2830.6</v>
      </c>
      <c r="E47" s="163">
        <v>201.303</v>
      </c>
      <c r="F47" s="163">
        <v>0.158135</v>
      </c>
      <c r="G47" s="163">
        <v>0.256747</v>
      </c>
      <c r="H47" s="163">
        <v>107</v>
      </c>
      <c r="K47" s="163">
        <v>2055.42</v>
      </c>
      <c r="L47" s="163">
        <v>2055.14</v>
      </c>
      <c r="M47" s="163">
        <v>2925.13</v>
      </c>
      <c r="N47" s="163">
        <v>201.303</v>
      </c>
      <c r="O47" s="163">
        <v>0.172684</v>
      </c>
      <c r="P47" s="163">
        <v>6.25E-2</v>
      </c>
      <c r="Q47" s="163">
        <v>100</v>
      </c>
      <c r="T47" s="163">
        <v>2055.42</v>
      </c>
      <c r="U47" s="163">
        <v>2055.14</v>
      </c>
      <c r="V47" s="163">
        <v>2986.7</v>
      </c>
      <c r="W47" s="163">
        <v>201.303</v>
      </c>
      <c r="X47" s="163">
        <v>0.185366</v>
      </c>
      <c r="Y47" s="163">
        <v>9.7521399999999994E-2</v>
      </c>
      <c r="Z47" s="163">
        <v>100</v>
      </c>
      <c r="EA47" s="163">
        <v>165.56</v>
      </c>
      <c r="EB47" s="163">
        <v>4.81433E-2</v>
      </c>
      <c r="EC47" s="163">
        <v>0</v>
      </c>
      <c r="ED47" s="163">
        <v>102</v>
      </c>
      <c r="EG47" s="163">
        <v>2148.5700000000002</v>
      </c>
      <c r="EH47" s="163">
        <v>2148.3200000000002</v>
      </c>
      <c r="EI47" s="163">
        <v>2164.5300000000002</v>
      </c>
      <c r="EJ47" s="163">
        <v>165.56</v>
      </c>
      <c r="EK47" s="163">
        <v>4.81433E-2</v>
      </c>
      <c r="EL47" s="163">
        <v>0</v>
      </c>
      <c r="EM47" s="163">
        <v>105</v>
      </c>
    </row>
    <row r="48" spans="2:143" s="163" customFormat="1" x14ac:dyDescent="0.2">
      <c r="B48" s="163">
        <v>2128.5</v>
      </c>
      <c r="C48" s="163">
        <v>2128.1999999999998</v>
      </c>
      <c r="D48" s="163">
        <v>2868.59</v>
      </c>
      <c r="E48" s="163">
        <v>204.869</v>
      </c>
      <c r="F48" s="163">
        <v>0.158414</v>
      </c>
      <c r="G48" s="163">
        <v>0.25752799999999998</v>
      </c>
      <c r="H48" s="163">
        <v>107</v>
      </c>
      <c r="K48" s="163">
        <v>2128.5</v>
      </c>
      <c r="L48" s="163">
        <v>2128.1999999999998</v>
      </c>
      <c r="M48" s="163">
        <v>2966.63</v>
      </c>
      <c r="N48" s="163">
        <v>204.869</v>
      </c>
      <c r="O48" s="163">
        <v>0.17305200000000001</v>
      </c>
      <c r="P48" s="163">
        <v>6.25E-2</v>
      </c>
      <c r="Q48" s="163">
        <v>100</v>
      </c>
      <c r="T48" s="163">
        <v>2128.5</v>
      </c>
      <c r="U48" s="163">
        <v>2128.1999999999998</v>
      </c>
      <c r="V48" s="163">
        <v>3031.32</v>
      </c>
      <c r="W48" s="163">
        <v>204.869</v>
      </c>
      <c r="X48" s="163">
        <v>0.186086</v>
      </c>
      <c r="Y48" s="163">
        <v>9.74685E-2</v>
      </c>
      <c r="Z48" s="163">
        <v>100</v>
      </c>
      <c r="EA48" s="163">
        <v>168.57400000000001</v>
      </c>
      <c r="EB48" s="163">
        <v>4.7881699999999999E-2</v>
      </c>
      <c r="EC48" s="163">
        <v>0</v>
      </c>
      <c r="ED48" s="163">
        <v>102</v>
      </c>
      <c r="EG48" s="163">
        <v>2218.85</v>
      </c>
      <c r="EH48" s="163">
        <v>2218.6</v>
      </c>
      <c r="EI48" s="163">
        <v>2175.5700000000002</v>
      </c>
      <c r="EJ48" s="163">
        <v>168.57400000000001</v>
      </c>
      <c r="EK48" s="163">
        <v>4.7881699999999999E-2</v>
      </c>
      <c r="EL48" s="163">
        <v>0</v>
      </c>
      <c r="EM48" s="163">
        <v>105</v>
      </c>
    </row>
    <row r="49" spans="2:143" s="163" customFormat="1" x14ac:dyDescent="0.2">
      <c r="B49" s="163">
        <v>2201.58</v>
      </c>
      <c r="C49" s="163">
        <v>2201.2600000000002</v>
      </c>
      <c r="D49" s="163">
        <v>2906.64</v>
      </c>
      <c r="E49" s="163">
        <v>208.363</v>
      </c>
      <c r="F49" s="163">
        <v>0.15870300000000001</v>
      </c>
      <c r="G49" s="163">
        <v>0.25832699999999997</v>
      </c>
      <c r="H49" s="163">
        <v>107</v>
      </c>
      <c r="K49" s="163">
        <v>2201.58</v>
      </c>
      <c r="L49" s="163">
        <v>2201.2600000000002</v>
      </c>
      <c r="M49" s="163">
        <v>3008.21</v>
      </c>
      <c r="N49" s="163">
        <v>208.363</v>
      </c>
      <c r="O49" s="163">
        <v>0.173431</v>
      </c>
      <c r="P49" s="163">
        <v>6.25E-2</v>
      </c>
      <c r="Q49" s="163">
        <v>100</v>
      </c>
      <c r="T49" s="163">
        <v>2201.58</v>
      </c>
      <c r="U49" s="163">
        <v>2201.2600000000002</v>
      </c>
      <c r="V49" s="163">
        <v>3076.12</v>
      </c>
      <c r="W49" s="163">
        <v>208.363</v>
      </c>
      <c r="X49" s="163">
        <v>0.186829</v>
      </c>
      <c r="Y49" s="163">
        <v>9.74299E-2</v>
      </c>
      <c r="Z49" s="163">
        <v>100</v>
      </c>
      <c r="EA49" s="163">
        <v>171.636</v>
      </c>
      <c r="EB49" s="163">
        <v>4.7615200000000003E-2</v>
      </c>
      <c r="EC49" s="163">
        <v>0</v>
      </c>
      <c r="ED49" s="163">
        <v>102</v>
      </c>
      <c r="EG49" s="163">
        <v>2289.13</v>
      </c>
      <c r="EH49" s="163">
        <v>2288.87</v>
      </c>
      <c r="EI49" s="163">
        <v>2186.5500000000002</v>
      </c>
      <c r="EJ49" s="163">
        <v>171.636</v>
      </c>
      <c r="EK49" s="163">
        <v>4.7615200000000003E-2</v>
      </c>
      <c r="EL49" s="163">
        <v>0</v>
      </c>
      <c r="EM49" s="163">
        <v>105</v>
      </c>
    </row>
    <row r="50" spans="2:143" s="163" customFormat="1" x14ac:dyDescent="0.2">
      <c r="B50" s="163">
        <v>2274.67</v>
      </c>
      <c r="C50" s="163">
        <v>2274.3200000000002</v>
      </c>
      <c r="D50" s="163">
        <v>2944.77</v>
      </c>
      <c r="E50" s="163">
        <v>211.76400000000001</v>
      </c>
      <c r="F50" s="163">
        <v>0.15900900000000001</v>
      </c>
      <c r="G50" s="163">
        <v>0.25915100000000002</v>
      </c>
      <c r="H50" s="163">
        <v>107</v>
      </c>
      <c r="K50" s="163">
        <v>2274.67</v>
      </c>
      <c r="L50" s="163">
        <v>2274.3200000000002</v>
      </c>
      <c r="M50" s="163">
        <v>3049.89</v>
      </c>
      <c r="N50" s="163">
        <v>211.76400000000001</v>
      </c>
      <c r="O50" s="163">
        <v>0.17382600000000001</v>
      </c>
      <c r="P50" s="163">
        <v>6.25E-2</v>
      </c>
      <c r="Q50" s="163">
        <v>100</v>
      </c>
      <c r="T50" s="163">
        <v>2274.67</v>
      </c>
      <c r="U50" s="163">
        <v>2274.3200000000002</v>
      </c>
      <c r="V50" s="163">
        <v>3121.1</v>
      </c>
      <c r="W50" s="163">
        <v>211.76400000000001</v>
      </c>
      <c r="X50" s="163">
        <v>0.18760099999999999</v>
      </c>
      <c r="Y50" s="163">
        <v>9.7407999999999995E-2</v>
      </c>
      <c r="Z50" s="163">
        <v>100</v>
      </c>
      <c r="EA50" s="163">
        <v>174.75399999999999</v>
      </c>
      <c r="EB50" s="163">
        <v>4.7343099999999999E-2</v>
      </c>
      <c r="EC50" s="163">
        <v>0</v>
      </c>
      <c r="ED50" s="163">
        <v>102</v>
      </c>
      <c r="EG50" s="163">
        <v>2359.42</v>
      </c>
      <c r="EH50" s="163">
        <v>2359.15</v>
      </c>
      <c r="EI50" s="163">
        <v>2197.46</v>
      </c>
      <c r="EJ50" s="163">
        <v>174.75399999999999</v>
      </c>
      <c r="EK50" s="163">
        <v>4.7343099999999999E-2</v>
      </c>
      <c r="EL50" s="163">
        <v>0</v>
      </c>
      <c r="EM50" s="163">
        <v>105</v>
      </c>
    </row>
    <row r="51" spans="2:143" s="163" customFormat="1" x14ac:dyDescent="0.2">
      <c r="B51" s="163">
        <v>2347.75</v>
      </c>
      <c r="C51" s="163">
        <v>2347.38</v>
      </c>
      <c r="D51" s="163">
        <v>2982.97</v>
      </c>
      <c r="E51" s="163">
        <v>215.04599999999999</v>
      </c>
      <c r="F51" s="163">
        <v>0.15933900000000001</v>
      </c>
      <c r="G51" s="163">
        <v>0.26001299999999999</v>
      </c>
      <c r="H51" s="163">
        <v>107</v>
      </c>
      <c r="K51" s="163">
        <v>2347.75</v>
      </c>
      <c r="L51" s="163">
        <v>2347.38</v>
      </c>
      <c r="M51" s="163">
        <v>3091.67</v>
      </c>
      <c r="N51" s="163">
        <v>215.04599999999999</v>
      </c>
      <c r="O51" s="163">
        <v>0.17424500000000001</v>
      </c>
      <c r="P51" s="163">
        <v>6.25E-2</v>
      </c>
      <c r="Q51" s="163">
        <v>100</v>
      </c>
      <c r="T51" s="163">
        <v>2347.75</v>
      </c>
      <c r="U51" s="163">
        <v>2347.38</v>
      </c>
      <c r="V51" s="163">
        <v>3166.28</v>
      </c>
      <c r="W51" s="163">
        <v>215.04599999999999</v>
      </c>
      <c r="X51" s="163">
        <v>0.18840999999999999</v>
      </c>
      <c r="Y51" s="163">
        <v>9.7406000000000006E-2</v>
      </c>
      <c r="Z51" s="163">
        <v>100</v>
      </c>
      <c r="EA51" s="163">
        <v>177.93700000000001</v>
      </c>
      <c r="EB51" s="163">
        <v>4.7064399999999999E-2</v>
      </c>
      <c r="EC51" s="163">
        <v>0</v>
      </c>
      <c r="ED51" s="163">
        <v>102</v>
      </c>
      <c r="EG51" s="163">
        <v>2429.6999999999998</v>
      </c>
      <c r="EH51" s="163">
        <v>2429.42</v>
      </c>
      <c r="EI51" s="163">
        <v>2208.3200000000002</v>
      </c>
      <c r="EJ51" s="163">
        <v>177.93700000000001</v>
      </c>
      <c r="EK51" s="163">
        <v>4.7064399999999999E-2</v>
      </c>
      <c r="EL51" s="163">
        <v>0</v>
      </c>
      <c r="EM51" s="163">
        <v>105</v>
      </c>
    </row>
    <row r="52" spans="2:143" s="163" customFormat="1" x14ac:dyDescent="0.2">
      <c r="B52" s="163">
        <v>2420.83</v>
      </c>
      <c r="C52" s="163">
        <v>2420.4499999999998</v>
      </c>
      <c r="D52" s="163">
        <v>3021.27</v>
      </c>
      <c r="E52" s="163">
        <v>218.172</v>
      </c>
      <c r="F52" s="163">
        <v>0.15970400000000001</v>
      </c>
      <c r="G52" s="163">
        <v>0.26092500000000002</v>
      </c>
      <c r="H52" s="163">
        <v>107</v>
      </c>
      <c r="K52" s="163">
        <v>2420.83</v>
      </c>
      <c r="L52" s="163">
        <v>2420.4499999999998</v>
      </c>
      <c r="M52" s="163">
        <v>3133.56</v>
      </c>
      <c r="N52" s="163">
        <v>218.172</v>
      </c>
      <c r="O52" s="163">
        <v>0.17469799999999999</v>
      </c>
      <c r="P52" s="163">
        <v>6.25E-2</v>
      </c>
      <c r="Q52" s="163">
        <v>100</v>
      </c>
      <c r="T52" s="163">
        <v>2420.83</v>
      </c>
      <c r="U52" s="163">
        <v>2420.4499999999998</v>
      </c>
      <c r="V52" s="163">
        <v>3211.66</v>
      </c>
      <c r="W52" s="163">
        <v>218.172</v>
      </c>
      <c r="X52" s="163">
        <v>0.18926499999999999</v>
      </c>
      <c r="Y52" s="163">
        <v>9.7427700000000006E-2</v>
      </c>
      <c r="Z52" s="163">
        <v>100</v>
      </c>
      <c r="EA52" s="163">
        <v>181.196</v>
      </c>
      <c r="EB52" s="163">
        <v>4.6778100000000003E-2</v>
      </c>
      <c r="EC52" s="163">
        <v>0</v>
      </c>
      <c r="ED52" s="163">
        <v>102</v>
      </c>
      <c r="EG52" s="163">
        <v>2499.98</v>
      </c>
      <c r="EH52" s="163">
        <v>2499.6999999999998</v>
      </c>
      <c r="EI52" s="163">
        <v>2219.1</v>
      </c>
      <c r="EJ52" s="163">
        <v>181.196</v>
      </c>
      <c r="EK52" s="163">
        <v>4.6778100000000003E-2</v>
      </c>
      <c r="EL52" s="163">
        <v>0</v>
      </c>
      <c r="EM52" s="163">
        <v>105</v>
      </c>
    </row>
    <row r="53" spans="2:143" s="163" customFormat="1" x14ac:dyDescent="0.2">
      <c r="B53" s="163">
        <v>2493.92</v>
      </c>
      <c r="C53" s="163">
        <v>2493.5100000000002</v>
      </c>
      <c r="D53" s="163">
        <v>3059.66</v>
      </c>
      <c r="E53" s="163">
        <v>221.09800000000001</v>
      </c>
      <c r="F53" s="163">
        <v>0.16011600000000001</v>
      </c>
      <c r="G53" s="163">
        <v>0.26190400000000003</v>
      </c>
      <c r="H53" s="163">
        <v>107</v>
      </c>
      <c r="K53" s="163">
        <v>2493.92</v>
      </c>
      <c r="L53" s="163">
        <v>2493.5100000000002</v>
      </c>
      <c r="M53" s="163">
        <v>3175.57</v>
      </c>
      <c r="N53" s="163">
        <v>221.09800000000001</v>
      </c>
      <c r="O53" s="163">
        <v>0.17519699999999999</v>
      </c>
      <c r="P53" s="163">
        <v>6.25E-2</v>
      </c>
      <c r="Q53" s="163">
        <v>100</v>
      </c>
      <c r="T53" s="163">
        <v>2493.92</v>
      </c>
      <c r="U53" s="163">
        <v>2493.5100000000002</v>
      </c>
      <c r="V53" s="163">
        <v>3257.26</v>
      </c>
      <c r="W53" s="163">
        <v>221.09800000000001</v>
      </c>
      <c r="X53" s="163">
        <v>0.19017800000000001</v>
      </c>
      <c r="Y53" s="163">
        <v>9.7477499999999995E-2</v>
      </c>
      <c r="Z53" s="163">
        <v>100</v>
      </c>
      <c r="EA53" s="163">
        <v>183.73699999999999</v>
      </c>
      <c r="EB53" s="163">
        <v>4.6995000000000002E-2</v>
      </c>
      <c r="EC53" s="163">
        <v>0</v>
      </c>
      <c r="ED53" s="163">
        <v>102</v>
      </c>
      <c r="EG53" s="163">
        <v>2572.56</v>
      </c>
      <c r="EH53" s="163">
        <v>2572.2600000000002</v>
      </c>
      <c r="EI53" s="163">
        <v>2230.29</v>
      </c>
      <c r="EJ53" s="163">
        <v>183.73699999999999</v>
      </c>
      <c r="EK53" s="163">
        <v>4.6995000000000002E-2</v>
      </c>
      <c r="EL53" s="163">
        <v>0</v>
      </c>
      <c r="EM53" s="163">
        <v>105</v>
      </c>
    </row>
    <row r="54" spans="2:143" s="163" customFormat="1" x14ac:dyDescent="0.2">
      <c r="B54" s="163">
        <v>2567</v>
      </c>
      <c r="C54" s="163">
        <v>2566.5700000000002</v>
      </c>
      <c r="D54" s="163">
        <v>3098.16</v>
      </c>
      <c r="E54" s="163">
        <v>223.76499999999999</v>
      </c>
      <c r="F54" s="163">
        <v>0.16059000000000001</v>
      </c>
      <c r="G54" s="163">
        <v>0.26297300000000001</v>
      </c>
      <c r="H54" s="163">
        <v>107</v>
      </c>
      <c r="K54" s="163">
        <v>2567</v>
      </c>
      <c r="L54" s="163">
        <v>2566.5700000000002</v>
      </c>
      <c r="M54" s="163">
        <v>3217.71</v>
      </c>
      <c r="N54" s="163">
        <v>223.76499999999999</v>
      </c>
      <c r="O54" s="163">
        <v>0.175759</v>
      </c>
      <c r="P54" s="163">
        <v>6.25E-2</v>
      </c>
      <c r="Q54" s="163">
        <v>100</v>
      </c>
      <c r="T54" s="163">
        <v>2567</v>
      </c>
      <c r="U54" s="163">
        <v>2566.5700000000002</v>
      </c>
      <c r="V54" s="163">
        <v>3303.09</v>
      </c>
      <c r="W54" s="163">
        <v>223.76499999999999</v>
      </c>
      <c r="X54" s="163">
        <v>0.191163</v>
      </c>
      <c r="Y54" s="163">
        <v>9.7560999999999995E-2</v>
      </c>
      <c r="Z54" s="163">
        <v>100</v>
      </c>
      <c r="EA54" s="163">
        <v>186.249</v>
      </c>
      <c r="EB54" s="163">
        <v>4.67886E-2</v>
      </c>
      <c r="EC54" s="163">
        <v>0</v>
      </c>
      <c r="ED54" s="163">
        <v>102</v>
      </c>
      <c r="EG54" s="163">
        <v>2645.13</v>
      </c>
      <c r="EH54" s="163">
        <v>2644.83</v>
      </c>
      <c r="EI54" s="163">
        <v>2241.4299999999998</v>
      </c>
      <c r="EJ54" s="163">
        <v>186.249</v>
      </c>
      <c r="EK54" s="163">
        <v>4.67886E-2</v>
      </c>
      <c r="EL54" s="163">
        <v>0</v>
      </c>
      <c r="EM54" s="163">
        <v>105</v>
      </c>
    </row>
    <row r="55" spans="2:143" s="163" customFormat="1" x14ac:dyDescent="0.2">
      <c r="B55" s="163">
        <v>2587</v>
      </c>
      <c r="C55" s="163">
        <v>2586.5500000000002</v>
      </c>
      <c r="D55" s="163">
        <v>3108.77</v>
      </c>
      <c r="E55" s="163">
        <v>224.441</v>
      </c>
      <c r="F55" s="163">
        <v>0.16164400000000001</v>
      </c>
      <c r="G55" s="163">
        <v>0.26599</v>
      </c>
      <c r="H55" s="163">
        <v>107</v>
      </c>
      <c r="K55" s="163">
        <v>2587</v>
      </c>
      <c r="L55" s="163">
        <v>2586.5500000000002</v>
      </c>
      <c r="M55" s="163">
        <v>3229.26</v>
      </c>
      <c r="N55" s="163">
        <v>224.441</v>
      </c>
      <c r="O55" s="163">
        <v>0.176066</v>
      </c>
      <c r="P55" s="163">
        <v>6.25E-2</v>
      </c>
      <c r="Q55" s="163">
        <v>100</v>
      </c>
      <c r="T55" s="163">
        <v>2587</v>
      </c>
      <c r="U55" s="163">
        <v>2586.5500000000002</v>
      </c>
      <c r="V55" s="163">
        <v>3315.67</v>
      </c>
      <c r="W55" s="163">
        <v>224.441</v>
      </c>
      <c r="X55" s="163">
        <v>0.19173699999999999</v>
      </c>
      <c r="Y55" s="163">
        <v>9.7629599999999997E-2</v>
      </c>
      <c r="Z55" s="163">
        <v>100</v>
      </c>
      <c r="EA55" s="163">
        <v>188.72800000000001</v>
      </c>
      <c r="EB55" s="163">
        <v>4.6586200000000001E-2</v>
      </c>
      <c r="EC55" s="163">
        <v>0</v>
      </c>
      <c r="ED55" s="163">
        <v>102</v>
      </c>
      <c r="EG55" s="163">
        <v>2717.71</v>
      </c>
      <c r="EH55" s="163">
        <v>2717.4</v>
      </c>
      <c r="EI55" s="163">
        <v>2252.5300000000002</v>
      </c>
      <c r="EJ55" s="163">
        <v>188.72800000000001</v>
      </c>
      <c r="EK55" s="163">
        <v>4.6586200000000001E-2</v>
      </c>
      <c r="EL55" s="163">
        <v>0</v>
      </c>
      <c r="EM55" s="163">
        <v>105</v>
      </c>
    </row>
    <row r="56" spans="2:143" s="163" customFormat="1" x14ac:dyDescent="0.2">
      <c r="B56" s="163">
        <v>2607</v>
      </c>
      <c r="C56" s="163">
        <v>2606.54</v>
      </c>
      <c r="D56" s="163">
        <v>3119.39</v>
      </c>
      <c r="E56" s="163">
        <v>225.09</v>
      </c>
      <c r="F56" s="163">
        <v>0.161805</v>
      </c>
      <c r="G56" s="163">
        <v>0.26632899999999998</v>
      </c>
      <c r="H56" s="163">
        <v>107</v>
      </c>
      <c r="K56" s="163">
        <v>2607</v>
      </c>
      <c r="L56" s="163">
        <v>2606.54</v>
      </c>
      <c r="M56" s="163">
        <v>3240.83</v>
      </c>
      <c r="N56" s="163">
        <v>225.09</v>
      </c>
      <c r="O56" s="163">
        <v>0.17624799999999999</v>
      </c>
      <c r="P56" s="163">
        <v>6.25E-2</v>
      </c>
      <c r="Q56" s="163">
        <v>100</v>
      </c>
      <c r="T56" s="163">
        <v>2607</v>
      </c>
      <c r="U56" s="163">
        <v>2606.54</v>
      </c>
      <c r="V56" s="163">
        <v>3328.27</v>
      </c>
      <c r="W56" s="163">
        <v>225.09</v>
      </c>
      <c r="X56" s="163">
        <v>0.19203799999999999</v>
      </c>
      <c r="Y56" s="163">
        <v>9.7666600000000006E-2</v>
      </c>
      <c r="Z56" s="163">
        <v>100</v>
      </c>
      <c r="EA56" s="163">
        <v>191.16900000000001</v>
      </c>
      <c r="EB56" s="163">
        <v>4.6388100000000002E-2</v>
      </c>
      <c r="EC56" s="163">
        <v>0</v>
      </c>
      <c r="ED56" s="163">
        <v>102</v>
      </c>
      <c r="EG56" s="163">
        <v>2790.28</v>
      </c>
      <c r="EH56" s="163">
        <v>2789.96</v>
      </c>
      <c r="EI56" s="163">
        <v>2263.5700000000002</v>
      </c>
      <c r="EJ56" s="163">
        <v>191.16900000000001</v>
      </c>
      <c r="EK56" s="163">
        <v>4.6388100000000002E-2</v>
      </c>
      <c r="EL56" s="163">
        <v>0</v>
      </c>
      <c r="EM56" s="163">
        <v>105</v>
      </c>
    </row>
    <row r="57" spans="2:143" s="163" customFormat="1" x14ac:dyDescent="0.2">
      <c r="B57" s="163">
        <v>2609</v>
      </c>
      <c r="C57" s="163">
        <v>2608.54</v>
      </c>
      <c r="D57" s="163">
        <v>3120.44</v>
      </c>
      <c r="E57" s="163">
        <v>225.15299999999999</v>
      </c>
      <c r="F57" s="163">
        <v>0.16051699999999999</v>
      </c>
      <c r="G57" s="163">
        <v>0.26221699999999998</v>
      </c>
      <c r="H57" s="163">
        <v>107</v>
      </c>
      <c r="K57" s="163">
        <v>2609</v>
      </c>
      <c r="L57" s="163">
        <v>2608.54</v>
      </c>
      <c r="M57" s="163">
        <v>3241.98</v>
      </c>
      <c r="N57" s="163">
        <v>225.15299999999999</v>
      </c>
      <c r="O57" s="163">
        <v>0.17646899999999999</v>
      </c>
      <c r="P57" s="163">
        <v>6.25E-2</v>
      </c>
      <c r="Q57" s="163">
        <v>100</v>
      </c>
      <c r="T57" s="163">
        <v>2609</v>
      </c>
      <c r="U57" s="163">
        <v>2608.54</v>
      </c>
      <c r="V57" s="163">
        <v>3329.54</v>
      </c>
      <c r="W57" s="163">
        <v>225.15299999999999</v>
      </c>
      <c r="X57" s="163">
        <v>0.192334</v>
      </c>
      <c r="Y57" s="163">
        <v>9.76881E-2</v>
      </c>
      <c r="Z57" s="163">
        <v>100</v>
      </c>
      <c r="EA57" s="163">
        <v>193.56899999999999</v>
      </c>
      <c r="EB57" s="163">
        <v>4.6194800000000001E-2</v>
      </c>
      <c r="EC57" s="163">
        <v>0</v>
      </c>
      <c r="ED57" s="163">
        <v>102</v>
      </c>
      <c r="EG57" s="163">
        <v>2862.85</v>
      </c>
      <c r="EH57" s="163">
        <v>2862.53</v>
      </c>
      <c r="EI57" s="163">
        <v>2274.5700000000002</v>
      </c>
      <c r="EJ57" s="163">
        <v>193.56899999999999</v>
      </c>
      <c r="EK57" s="163">
        <v>4.6194800000000001E-2</v>
      </c>
      <c r="EL57" s="163">
        <v>0</v>
      </c>
      <c r="EM57" s="163">
        <v>105</v>
      </c>
    </row>
    <row r="58" spans="2:143" s="163" customFormat="1" x14ac:dyDescent="0.2">
      <c r="B58" s="163">
        <v>2611</v>
      </c>
      <c r="C58" s="163">
        <v>2610.54</v>
      </c>
      <c r="D58" s="163">
        <v>3121.49</v>
      </c>
      <c r="E58" s="163">
        <v>225.21600000000001</v>
      </c>
      <c r="F58" s="163">
        <v>0.16053300000000001</v>
      </c>
      <c r="G58" s="163">
        <v>0.26224999999999998</v>
      </c>
      <c r="H58" s="163">
        <v>107</v>
      </c>
      <c r="K58" s="163">
        <v>2611</v>
      </c>
      <c r="L58" s="163">
        <v>2610.54</v>
      </c>
      <c r="M58" s="163">
        <v>3243.14</v>
      </c>
      <c r="N58" s="163">
        <v>225.21600000000001</v>
      </c>
      <c r="O58" s="163">
        <v>0.17648800000000001</v>
      </c>
      <c r="P58" s="163">
        <v>6.25E-2</v>
      </c>
      <c r="Q58" s="163">
        <v>100</v>
      </c>
      <c r="T58" s="163">
        <v>2611</v>
      </c>
      <c r="U58" s="163">
        <v>2610.54</v>
      </c>
      <c r="V58" s="163">
        <v>3330.8</v>
      </c>
      <c r="W58" s="163">
        <v>225.21600000000001</v>
      </c>
      <c r="X58" s="163">
        <v>0.19236500000000001</v>
      </c>
      <c r="Y58" s="163">
        <v>9.7692200000000007E-2</v>
      </c>
      <c r="Z58" s="163">
        <v>100</v>
      </c>
      <c r="EA58" s="163">
        <v>195.923</v>
      </c>
      <c r="EB58" s="163">
        <v>4.6006999999999999E-2</v>
      </c>
      <c r="EC58" s="163">
        <v>0</v>
      </c>
      <c r="ED58" s="163">
        <v>102</v>
      </c>
      <c r="EG58" s="163">
        <v>2935.43</v>
      </c>
      <c r="EH58" s="163">
        <v>2935.09</v>
      </c>
      <c r="EI58" s="163">
        <v>2285.52</v>
      </c>
      <c r="EJ58" s="163">
        <v>195.923</v>
      </c>
      <c r="EK58" s="163">
        <v>4.6006999999999999E-2</v>
      </c>
      <c r="EL58" s="163">
        <v>0</v>
      </c>
      <c r="EM58" s="163">
        <v>105</v>
      </c>
    </row>
    <row r="59" spans="2:143" s="163" customFormat="1" x14ac:dyDescent="0.2">
      <c r="B59" s="163">
        <v>2635.5</v>
      </c>
      <c r="C59" s="163">
        <v>2635.02</v>
      </c>
      <c r="D59" s="163">
        <v>3134.54</v>
      </c>
      <c r="E59" s="163">
        <v>225.964</v>
      </c>
      <c r="F59" s="163">
        <v>0.16234199999999999</v>
      </c>
      <c r="G59" s="163">
        <v>0.26782299999999998</v>
      </c>
      <c r="H59" s="163">
        <v>107</v>
      </c>
      <c r="K59" s="163">
        <v>2635.5</v>
      </c>
      <c r="L59" s="163">
        <v>2635.02</v>
      </c>
      <c r="M59" s="163">
        <v>3257.32</v>
      </c>
      <c r="N59" s="163">
        <v>225.964</v>
      </c>
      <c r="O59" s="163">
        <v>0.176452</v>
      </c>
      <c r="P59" s="163">
        <v>6.25E-2</v>
      </c>
      <c r="Q59" s="163">
        <v>100</v>
      </c>
      <c r="T59" s="163">
        <v>2635.5</v>
      </c>
      <c r="U59" s="163">
        <v>2635.02</v>
      </c>
      <c r="V59" s="163">
        <v>3346.26</v>
      </c>
      <c r="W59" s="163">
        <v>225.964</v>
      </c>
      <c r="X59" s="163">
        <v>0.19239400000000001</v>
      </c>
      <c r="Y59" s="163">
        <v>9.7720799999999997E-2</v>
      </c>
      <c r="Z59" s="163">
        <v>100</v>
      </c>
      <c r="EA59" s="163">
        <v>198.22399999999999</v>
      </c>
      <c r="EB59" s="163">
        <v>4.5825100000000001E-2</v>
      </c>
      <c r="EC59" s="163">
        <v>0</v>
      </c>
      <c r="ED59" s="163">
        <v>102</v>
      </c>
      <c r="EG59" s="163">
        <v>3008</v>
      </c>
      <c r="EH59" s="163">
        <v>3007.66</v>
      </c>
      <c r="EI59" s="163">
        <v>2296.44</v>
      </c>
      <c r="EJ59" s="163">
        <v>198.22399999999999</v>
      </c>
      <c r="EK59" s="163">
        <v>4.5825100000000001E-2</v>
      </c>
      <c r="EL59" s="163">
        <v>0</v>
      </c>
      <c r="EM59" s="163">
        <v>105</v>
      </c>
    </row>
    <row r="60" spans="2:143" s="163" customFormat="1" x14ac:dyDescent="0.2">
      <c r="B60" s="163">
        <v>2660</v>
      </c>
      <c r="C60" s="163">
        <v>2659.49</v>
      </c>
      <c r="D60" s="163">
        <v>3147.61</v>
      </c>
      <c r="E60" s="163">
        <v>226.66499999999999</v>
      </c>
      <c r="F60" s="163">
        <v>0.16256499999999999</v>
      </c>
      <c r="G60" s="163">
        <v>0.26827499999999999</v>
      </c>
      <c r="H60" s="163">
        <v>107</v>
      </c>
      <c r="K60" s="163">
        <v>2660</v>
      </c>
      <c r="L60" s="163">
        <v>2659.49</v>
      </c>
      <c r="M60" s="163">
        <v>3271.53</v>
      </c>
      <c r="N60" s="163">
        <v>226.66499999999999</v>
      </c>
      <c r="O60" s="163">
        <v>0.1767</v>
      </c>
      <c r="P60" s="163">
        <v>6.25E-2</v>
      </c>
      <c r="Q60" s="163">
        <v>100</v>
      </c>
      <c r="T60" s="163">
        <v>2660</v>
      </c>
      <c r="U60" s="163">
        <v>2659.49</v>
      </c>
      <c r="V60" s="163">
        <v>3361.76</v>
      </c>
      <c r="W60" s="163">
        <v>226.66499999999999</v>
      </c>
      <c r="X60" s="163">
        <v>0.19278799999999999</v>
      </c>
      <c r="Y60" s="163">
        <v>9.7777199999999995E-2</v>
      </c>
      <c r="Z60" s="163">
        <v>100</v>
      </c>
      <c r="EA60" s="163">
        <v>200.398</v>
      </c>
      <c r="EB60" s="163">
        <v>4.5652499999999999E-2</v>
      </c>
      <c r="EC60" s="163">
        <v>0</v>
      </c>
      <c r="ED60" s="163">
        <v>102</v>
      </c>
      <c r="EG60" s="163">
        <v>3078.28</v>
      </c>
      <c r="EH60" s="163">
        <v>3077.93</v>
      </c>
      <c r="EI60" s="163">
        <v>2306.96</v>
      </c>
      <c r="EJ60" s="163">
        <v>200.398</v>
      </c>
      <c r="EK60" s="163">
        <v>4.5652499999999999E-2</v>
      </c>
      <c r="EL60" s="163">
        <v>0</v>
      </c>
      <c r="EM60" s="163">
        <v>105</v>
      </c>
    </row>
    <row r="61" spans="2:143" s="163" customFormat="1" x14ac:dyDescent="0.2">
      <c r="B61" s="163">
        <v>2673.5</v>
      </c>
      <c r="C61" s="163">
        <v>2672.97</v>
      </c>
      <c r="D61" s="163">
        <v>3154.82</v>
      </c>
      <c r="E61" s="163">
        <v>227.03</v>
      </c>
      <c r="F61" s="163">
        <v>0.16286</v>
      </c>
      <c r="G61" s="163">
        <v>0.26901700000000001</v>
      </c>
      <c r="H61" s="163">
        <v>107</v>
      </c>
      <c r="K61" s="163">
        <v>2673.5</v>
      </c>
      <c r="L61" s="163">
        <v>2672.97</v>
      </c>
      <c r="M61" s="163">
        <v>3279.36</v>
      </c>
      <c r="N61" s="163">
        <v>227.03</v>
      </c>
      <c r="O61" s="163">
        <v>0.17688100000000001</v>
      </c>
      <c r="P61" s="163">
        <v>6.25E-2</v>
      </c>
      <c r="Q61" s="163">
        <v>100</v>
      </c>
      <c r="T61" s="163">
        <v>2673.5</v>
      </c>
      <c r="U61" s="163">
        <v>2672.97</v>
      </c>
      <c r="V61" s="163">
        <v>3370.31</v>
      </c>
      <c r="W61" s="163">
        <v>227.03</v>
      </c>
      <c r="X61" s="163">
        <v>0.193081</v>
      </c>
      <c r="Y61" s="163">
        <v>9.7824700000000001E-2</v>
      </c>
      <c r="Z61" s="163">
        <v>100</v>
      </c>
      <c r="EA61" s="163">
        <v>202.51</v>
      </c>
      <c r="EB61" s="163">
        <v>4.5489599999999998E-2</v>
      </c>
      <c r="EC61" s="163">
        <v>0</v>
      </c>
      <c r="ED61" s="163">
        <v>102</v>
      </c>
      <c r="EG61" s="163">
        <v>3148.57</v>
      </c>
      <c r="EH61" s="163">
        <v>3148.21</v>
      </c>
      <c r="EI61" s="163">
        <v>2317.4499999999998</v>
      </c>
      <c r="EJ61" s="163">
        <v>202.51</v>
      </c>
      <c r="EK61" s="163">
        <v>4.5489599999999998E-2</v>
      </c>
      <c r="EL61" s="163">
        <v>0</v>
      </c>
      <c r="EM61" s="163">
        <v>105</v>
      </c>
    </row>
    <row r="62" spans="2:143" s="163" customFormat="1" x14ac:dyDescent="0.2">
      <c r="B62" s="163">
        <v>2687</v>
      </c>
      <c r="C62" s="163">
        <v>2686.46</v>
      </c>
      <c r="D62" s="163">
        <v>3162.04</v>
      </c>
      <c r="E62" s="163">
        <v>227.37799999999999</v>
      </c>
      <c r="F62" s="163">
        <v>0.162995</v>
      </c>
      <c r="G62" s="163">
        <v>0.26928400000000002</v>
      </c>
      <c r="H62" s="163">
        <v>107</v>
      </c>
      <c r="K62" s="163">
        <v>2687</v>
      </c>
      <c r="L62" s="163">
        <v>2686.46</v>
      </c>
      <c r="M62" s="163">
        <v>3287.2</v>
      </c>
      <c r="N62" s="163">
        <v>227.37799999999999</v>
      </c>
      <c r="O62" s="163">
        <v>0.17702999999999999</v>
      </c>
      <c r="P62" s="163">
        <v>6.25E-2</v>
      </c>
      <c r="Q62" s="163">
        <v>100</v>
      </c>
      <c r="T62" s="163">
        <v>2687</v>
      </c>
      <c r="U62" s="163">
        <v>2686.46</v>
      </c>
      <c r="V62" s="163">
        <v>3378.87</v>
      </c>
      <c r="W62" s="163">
        <v>227.37799999999999</v>
      </c>
      <c r="X62" s="163">
        <v>0.19331100000000001</v>
      </c>
      <c r="Y62" s="163">
        <v>9.7861100000000006E-2</v>
      </c>
      <c r="Z62" s="163">
        <v>100</v>
      </c>
      <c r="EA62" s="163">
        <v>204.55500000000001</v>
      </c>
      <c r="EB62" s="163">
        <v>4.5334300000000001E-2</v>
      </c>
      <c r="EC62" s="163">
        <v>0</v>
      </c>
      <c r="ED62" s="163">
        <v>102</v>
      </c>
      <c r="EG62" s="163">
        <v>3218.85</v>
      </c>
      <c r="EH62" s="163">
        <v>3218.48</v>
      </c>
      <c r="EI62" s="163">
        <v>2327.91</v>
      </c>
      <c r="EJ62" s="163">
        <v>204.55500000000001</v>
      </c>
      <c r="EK62" s="163">
        <v>4.5334300000000001E-2</v>
      </c>
      <c r="EL62" s="163">
        <v>0</v>
      </c>
      <c r="EM62" s="163">
        <v>105</v>
      </c>
    </row>
    <row r="63" spans="2:143" s="163" customFormat="1" x14ac:dyDescent="0.2">
      <c r="B63" s="163">
        <v>2710</v>
      </c>
      <c r="C63" s="163">
        <v>2709.44</v>
      </c>
      <c r="D63" s="163">
        <v>3174.34</v>
      </c>
      <c r="E63" s="163">
        <v>227.93100000000001</v>
      </c>
      <c r="F63" s="163">
        <v>0.16290299999999999</v>
      </c>
      <c r="G63" s="163">
        <v>0.268708</v>
      </c>
      <c r="H63" s="163">
        <v>107</v>
      </c>
      <c r="K63" s="163">
        <v>2710</v>
      </c>
      <c r="L63" s="163">
        <v>2709.44</v>
      </c>
      <c r="M63" s="163">
        <v>3300.58</v>
      </c>
      <c r="N63" s="163">
        <v>227.93100000000001</v>
      </c>
      <c r="O63" s="163">
        <v>0.177287</v>
      </c>
      <c r="P63" s="163">
        <v>6.25E-2</v>
      </c>
      <c r="Q63" s="163">
        <v>100</v>
      </c>
      <c r="T63" s="163">
        <v>2710</v>
      </c>
      <c r="U63" s="163">
        <v>2709.44</v>
      </c>
      <c r="V63" s="163">
        <v>3393.49</v>
      </c>
      <c r="W63" s="163">
        <v>227.93100000000001</v>
      </c>
      <c r="X63" s="163">
        <v>0.19368199999999999</v>
      </c>
      <c r="Y63" s="163">
        <v>9.7914200000000007E-2</v>
      </c>
      <c r="Z63" s="163">
        <v>100</v>
      </c>
      <c r="EA63" s="163">
        <v>206.524</v>
      </c>
      <c r="EB63" s="163">
        <v>4.51873E-2</v>
      </c>
      <c r="EC63" s="163">
        <v>0</v>
      </c>
      <c r="ED63" s="163">
        <v>102</v>
      </c>
      <c r="EG63" s="163">
        <v>3289.13</v>
      </c>
      <c r="EH63" s="163">
        <v>3288.76</v>
      </c>
      <c r="EI63" s="163">
        <v>2338.33</v>
      </c>
      <c r="EJ63" s="163">
        <v>206.524</v>
      </c>
      <c r="EK63" s="163">
        <v>4.51873E-2</v>
      </c>
      <c r="EL63" s="163">
        <v>0</v>
      </c>
      <c r="EM63" s="163">
        <v>105</v>
      </c>
    </row>
    <row r="64" spans="2:143" s="163" customFormat="1" x14ac:dyDescent="0.2">
      <c r="B64" s="163">
        <v>2733</v>
      </c>
      <c r="C64" s="163">
        <v>2732.42</v>
      </c>
      <c r="D64" s="163">
        <v>3186.65</v>
      </c>
      <c r="E64" s="163">
        <v>228.429</v>
      </c>
      <c r="F64" s="163">
        <v>0.163157</v>
      </c>
      <c r="G64" s="163">
        <v>0.26919199999999999</v>
      </c>
      <c r="H64" s="163">
        <v>107</v>
      </c>
      <c r="K64" s="163">
        <v>2733</v>
      </c>
      <c r="L64" s="163">
        <v>2732.42</v>
      </c>
      <c r="M64" s="163">
        <v>3313.98</v>
      </c>
      <c r="N64" s="163">
        <v>228.429</v>
      </c>
      <c r="O64" s="163">
        <v>0.177565</v>
      </c>
      <c r="P64" s="163">
        <v>6.25E-2</v>
      </c>
      <c r="Q64" s="163">
        <v>100</v>
      </c>
      <c r="T64" s="163">
        <v>2733</v>
      </c>
      <c r="U64" s="163">
        <v>2732.42</v>
      </c>
      <c r="V64" s="163">
        <v>3408.14</v>
      </c>
      <c r="W64" s="163">
        <v>228.429</v>
      </c>
      <c r="X64" s="163">
        <v>0.19409799999999999</v>
      </c>
      <c r="Y64" s="163">
        <v>9.7986199999999996E-2</v>
      </c>
      <c r="Z64" s="163">
        <v>100</v>
      </c>
      <c r="EA64" s="163">
        <v>208.40899999999999</v>
      </c>
      <c r="EB64" s="163">
        <v>4.5049499999999999E-2</v>
      </c>
      <c r="EC64" s="163">
        <v>0</v>
      </c>
      <c r="ED64" s="163">
        <v>102</v>
      </c>
      <c r="EG64" s="163">
        <v>3359.42</v>
      </c>
      <c r="EH64" s="163">
        <v>3359.03</v>
      </c>
      <c r="EI64" s="163">
        <v>2348.71</v>
      </c>
      <c r="EJ64" s="163">
        <v>208.40899999999999</v>
      </c>
      <c r="EK64" s="163">
        <v>4.5049499999999999E-2</v>
      </c>
      <c r="EL64" s="163">
        <v>0</v>
      </c>
      <c r="EM64" s="163">
        <v>105</v>
      </c>
    </row>
    <row r="65" spans="2:143" s="163" customFormat="1" x14ac:dyDescent="0.2">
      <c r="B65" s="163">
        <v>2746.5</v>
      </c>
      <c r="C65" s="163">
        <v>2745.91</v>
      </c>
      <c r="D65" s="163">
        <v>3193.85</v>
      </c>
      <c r="E65" s="163">
        <v>228.69499999999999</v>
      </c>
      <c r="F65" s="163">
        <v>0.162657</v>
      </c>
      <c r="G65" s="163">
        <v>0.26729599999999998</v>
      </c>
      <c r="H65" s="163">
        <v>107</v>
      </c>
      <c r="K65" s="163">
        <v>2746.5</v>
      </c>
      <c r="L65" s="163">
        <v>2745.91</v>
      </c>
      <c r="M65" s="163">
        <v>3321.86</v>
      </c>
      <c r="N65" s="163">
        <v>228.69499999999999</v>
      </c>
      <c r="O65" s="163">
        <v>0.17788300000000001</v>
      </c>
      <c r="P65" s="163">
        <v>6.25E-2</v>
      </c>
      <c r="Q65" s="163">
        <v>100</v>
      </c>
      <c r="T65" s="163">
        <v>2746.5</v>
      </c>
      <c r="U65" s="163">
        <v>2745.91</v>
      </c>
      <c r="V65" s="163">
        <v>3416.75</v>
      </c>
      <c r="W65" s="163">
        <v>228.69499999999999</v>
      </c>
      <c r="X65" s="163">
        <v>0.19453200000000001</v>
      </c>
      <c r="Y65" s="163">
        <v>9.8047499999999996E-2</v>
      </c>
      <c r="Z65" s="163">
        <v>100</v>
      </c>
      <c r="EA65" s="163">
        <v>210.19900000000001</v>
      </c>
      <c r="EB65" s="163">
        <v>4.4921799999999998E-2</v>
      </c>
      <c r="EC65" s="163">
        <v>0</v>
      </c>
      <c r="ED65" s="163">
        <v>102</v>
      </c>
      <c r="EG65" s="163">
        <v>3429.7</v>
      </c>
      <c r="EH65" s="163">
        <v>3429.31</v>
      </c>
      <c r="EI65" s="163">
        <v>2359.0700000000002</v>
      </c>
      <c r="EJ65" s="163">
        <v>210.19900000000001</v>
      </c>
      <c r="EK65" s="163">
        <v>4.4921799999999998E-2</v>
      </c>
      <c r="EL65" s="163">
        <v>0</v>
      </c>
      <c r="EM65" s="163">
        <v>105</v>
      </c>
    </row>
    <row r="66" spans="2:143" s="163" customFormat="1" x14ac:dyDescent="0.2">
      <c r="B66" s="163">
        <v>2760</v>
      </c>
      <c r="C66" s="163">
        <v>2759.41</v>
      </c>
      <c r="D66" s="163">
        <v>3201.06</v>
      </c>
      <c r="E66" s="163">
        <v>228.93899999999999</v>
      </c>
      <c r="F66" s="163">
        <v>0.16282099999999999</v>
      </c>
      <c r="G66" s="163">
        <v>0.267598</v>
      </c>
      <c r="H66" s="163">
        <v>107</v>
      </c>
      <c r="K66" s="163">
        <v>2760</v>
      </c>
      <c r="L66" s="163">
        <v>2759.41</v>
      </c>
      <c r="M66" s="163">
        <v>3329.75</v>
      </c>
      <c r="N66" s="163">
        <v>228.93899999999999</v>
      </c>
      <c r="O66" s="163">
        <v>0.178062</v>
      </c>
      <c r="P66" s="163">
        <v>6.25E-2</v>
      </c>
      <c r="Q66" s="163">
        <v>100</v>
      </c>
      <c r="T66" s="163">
        <v>2760</v>
      </c>
      <c r="U66" s="163">
        <v>2759.41</v>
      </c>
      <c r="V66" s="163">
        <v>3425.38</v>
      </c>
      <c r="W66" s="163">
        <v>228.93899999999999</v>
      </c>
      <c r="X66" s="163">
        <v>0.19479199999999999</v>
      </c>
      <c r="Y66" s="163">
        <v>9.8096199999999995E-2</v>
      </c>
      <c r="Z66" s="163">
        <v>100</v>
      </c>
      <c r="EA66" s="163">
        <v>211.88499999999999</v>
      </c>
      <c r="EB66" s="163">
        <v>4.4805200000000003E-2</v>
      </c>
      <c r="EC66" s="163">
        <v>0</v>
      </c>
      <c r="ED66" s="163">
        <v>102</v>
      </c>
      <c r="EG66" s="163">
        <v>3499.98</v>
      </c>
      <c r="EH66" s="163">
        <v>3499.59</v>
      </c>
      <c r="EI66" s="163">
        <v>2369.4</v>
      </c>
      <c r="EJ66" s="163">
        <v>211.88499999999999</v>
      </c>
      <c r="EK66" s="163">
        <v>4.4805200000000003E-2</v>
      </c>
      <c r="EL66" s="163">
        <v>0</v>
      </c>
      <c r="EM66" s="163">
        <v>105</v>
      </c>
    </row>
    <row r="67" spans="2:143" s="163" customFormat="1" x14ac:dyDescent="0.2">
      <c r="B67" s="163">
        <v>2768.5</v>
      </c>
      <c r="C67" s="163">
        <v>2767.9</v>
      </c>
      <c r="D67" s="163">
        <v>3205.62</v>
      </c>
      <c r="E67" s="163">
        <v>229.08199999999999</v>
      </c>
      <c r="F67" s="163">
        <v>0.163324</v>
      </c>
      <c r="G67" s="163">
        <v>0.26901599999999998</v>
      </c>
      <c r="H67" s="163">
        <v>107</v>
      </c>
      <c r="K67" s="163">
        <v>2768.5</v>
      </c>
      <c r="L67" s="163">
        <v>2767.9</v>
      </c>
      <c r="M67" s="163">
        <v>3334.71</v>
      </c>
      <c r="N67" s="163">
        <v>229.08199999999999</v>
      </c>
      <c r="O67" s="163">
        <v>0.178173</v>
      </c>
      <c r="P67" s="163">
        <v>6.25E-2</v>
      </c>
      <c r="Q67" s="163">
        <v>100</v>
      </c>
      <c r="T67" s="163">
        <v>2768.5</v>
      </c>
      <c r="U67" s="163">
        <v>2767.9</v>
      </c>
      <c r="V67" s="163">
        <v>3430.82</v>
      </c>
      <c r="W67" s="163">
        <v>229.08199999999999</v>
      </c>
      <c r="X67" s="163">
        <v>0.194965</v>
      </c>
      <c r="Y67" s="163">
        <v>9.8137500000000003E-2</v>
      </c>
      <c r="Z67" s="163">
        <v>100</v>
      </c>
      <c r="EA67" s="163">
        <v>212.76499999999999</v>
      </c>
      <c r="EB67" s="163">
        <v>4.90547E-2</v>
      </c>
      <c r="EC67" s="163">
        <v>0</v>
      </c>
      <c r="ED67" s="163">
        <v>102</v>
      </c>
      <c r="EG67" s="163">
        <v>3559.66</v>
      </c>
      <c r="EH67" s="163">
        <v>3559.25</v>
      </c>
      <c r="EI67" s="163">
        <v>2379.0100000000002</v>
      </c>
      <c r="EJ67" s="163">
        <v>212.76499999999999</v>
      </c>
      <c r="EK67" s="163">
        <v>4.90547E-2</v>
      </c>
      <c r="EL67" s="163">
        <v>0</v>
      </c>
      <c r="EM67" s="163">
        <v>105</v>
      </c>
    </row>
    <row r="68" spans="2:143" s="163" customFormat="1" x14ac:dyDescent="0.2">
      <c r="B68" s="163">
        <v>2777</v>
      </c>
      <c r="C68" s="163">
        <v>2776.4</v>
      </c>
      <c r="D68" s="163">
        <v>3210.18</v>
      </c>
      <c r="E68" s="163">
        <v>229.215</v>
      </c>
      <c r="F68" s="163">
        <v>0.16343299999999999</v>
      </c>
      <c r="G68" s="163">
        <v>0.26921600000000001</v>
      </c>
      <c r="H68" s="163">
        <v>107</v>
      </c>
      <c r="K68" s="163">
        <v>2777</v>
      </c>
      <c r="L68" s="163">
        <v>2776.4</v>
      </c>
      <c r="M68" s="163">
        <v>3339.69</v>
      </c>
      <c r="N68" s="163">
        <v>229.215</v>
      </c>
      <c r="O68" s="163">
        <v>0.17829300000000001</v>
      </c>
      <c r="P68" s="163">
        <v>6.25E-2</v>
      </c>
      <c r="Q68" s="163">
        <v>100</v>
      </c>
      <c r="T68" s="163">
        <v>2777</v>
      </c>
      <c r="U68" s="163">
        <v>2776.4</v>
      </c>
      <c r="V68" s="163">
        <v>3436.26</v>
      </c>
      <c r="W68" s="163">
        <v>229.215</v>
      </c>
      <c r="X68" s="163">
        <v>0.195136</v>
      </c>
      <c r="Y68" s="163">
        <v>9.8170800000000003E-2</v>
      </c>
      <c r="Z68" s="163">
        <v>100</v>
      </c>
      <c r="EA68" s="163">
        <v>213.554</v>
      </c>
      <c r="EB68" s="163">
        <v>4.9031600000000002E-2</v>
      </c>
      <c r="EC68" s="163">
        <v>0</v>
      </c>
      <c r="ED68" s="163">
        <v>102</v>
      </c>
      <c r="EG68" s="163">
        <v>3619.33</v>
      </c>
      <c r="EH68" s="163">
        <v>3618.92</v>
      </c>
      <c r="EI68" s="163">
        <v>2388.61</v>
      </c>
      <c r="EJ68" s="163">
        <v>213.554</v>
      </c>
      <c r="EK68" s="163">
        <v>4.9031600000000002E-2</v>
      </c>
      <c r="EL68" s="163">
        <v>0</v>
      </c>
      <c r="EM68" s="163">
        <v>105</v>
      </c>
    </row>
    <row r="69" spans="2:143" s="163" customFormat="1" x14ac:dyDescent="0.2">
      <c r="B69" s="163">
        <v>2784</v>
      </c>
      <c r="C69" s="163">
        <v>2783.39</v>
      </c>
      <c r="D69" s="163">
        <v>3213.95</v>
      </c>
      <c r="E69" s="163">
        <v>229.31800000000001</v>
      </c>
      <c r="F69" s="163">
        <v>0.16444600000000001</v>
      </c>
      <c r="G69" s="163">
        <v>0.27244299999999999</v>
      </c>
      <c r="H69" s="163">
        <v>107</v>
      </c>
      <c r="K69" s="163">
        <v>2784</v>
      </c>
      <c r="L69" s="163">
        <v>2783.39</v>
      </c>
      <c r="M69" s="163">
        <v>3343.78</v>
      </c>
      <c r="N69" s="163">
        <v>229.31800000000001</v>
      </c>
      <c r="O69" s="163">
        <v>0.178256</v>
      </c>
      <c r="P69" s="163">
        <v>6.25E-2</v>
      </c>
      <c r="Q69" s="163">
        <v>100</v>
      </c>
      <c r="T69" s="163">
        <v>2784</v>
      </c>
      <c r="U69" s="163">
        <v>2783.39</v>
      </c>
      <c r="V69" s="163">
        <v>3440.74</v>
      </c>
      <c r="W69" s="163">
        <v>229.31800000000001</v>
      </c>
      <c r="X69" s="163">
        <v>0.195131</v>
      </c>
      <c r="Y69" s="163">
        <v>9.8201999999999998E-2</v>
      </c>
      <c r="Z69" s="163">
        <v>100</v>
      </c>
      <c r="EA69" s="163">
        <v>214.24700000000001</v>
      </c>
      <c r="EB69" s="163">
        <v>4.9017400000000003E-2</v>
      </c>
      <c r="EC69" s="163">
        <v>0</v>
      </c>
      <c r="ED69" s="163">
        <v>102</v>
      </c>
      <c r="EG69" s="163">
        <v>3679</v>
      </c>
      <c r="EH69" s="163">
        <v>3678.58</v>
      </c>
      <c r="EI69" s="163">
        <v>2398.1999999999998</v>
      </c>
      <c r="EJ69" s="163">
        <v>214.24700000000001</v>
      </c>
      <c r="EK69" s="163">
        <v>4.9017400000000003E-2</v>
      </c>
      <c r="EL69" s="163">
        <v>0</v>
      </c>
      <c r="EM69" s="163">
        <v>105</v>
      </c>
    </row>
    <row r="70" spans="2:143" s="163" customFormat="1" x14ac:dyDescent="0.2">
      <c r="B70" s="163">
        <v>2791</v>
      </c>
      <c r="C70" s="163">
        <v>2790.38</v>
      </c>
      <c r="D70" s="163">
        <v>3217.73</v>
      </c>
      <c r="E70" s="163">
        <v>229.41399999999999</v>
      </c>
      <c r="F70" s="163">
        <v>0.16454099999999999</v>
      </c>
      <c r="G70" s="163">
        <v>0.272617</v>
      </c>
      <c r="H70" s="163">
        <v>107</v>
      </c>
      <c r="K70" s="163">
        <v>2791</v>
      </c>
      <c r="L70" s="163">
        <v>2790.38</v>
      </c>
      <c r="M70" s="163">
        <v>3347.88</v>
      </c>
      <c r="N70" s="163">
        <v>229.41399999999999</v>
      </c>
      <c r="O70" s="163">
        <v>0.17835799999999999</v>
      </c>
      <c r="P70" s="163">
        <v>6.25E-2</v>
      </c>
      <c r="Q70" s="163">
        <v>100</v>
      </c>
      <c r="T70" s="163">
        <v>2791</v>
      </c>
      <c r="U70" s="163">
        <v>2790.38</v>
      </c>
      <c r="V70" s="163">
        <v>3445.22</v>
      </c>
      <c r="W70" s="163">
        <v>229.41399999999999</v>
      </c>
      <c r="X70" s="163">
        <v>0.195275</v>
      </c>
      <c r="Y70" s="163">
        <v>9.8230999999999999E-2</v>
      </c>
      <c r="Z70" s="163">
        <v>100</v>
      </c>
      <c r="EA70" s="163">
        <v>214.39599999999999</v>
      </c>
      <c r="EB70" s="163">
        <v>4.8985899999999999E-2</v>
      </c>
      <c r="EC70" s="163">
        <v>0</v>
      </c>
      <c r="ED70" s="163">
        <v>102</v>
      </c>
      <c r="EG70" s="163">
        <v>3693</v>
      </c>
      <c r="EH70" s="163">
        <v>3692.57</v>
      </c>
      <c r="EI70" s="163">
        <v>2400.4499999999998</v>
      </c>
      <c r="EJ70" s="163">
        <v>214.39599999999999</v>
      </c>
      <c r="EK70" s="163">
        <v>4.8985899999999999E-2</v>
      </c>
      <c r="EL70" s="163">
        <v>0</v>
      </c>
      <c r="EM70" s="163">
        <v>105</v>
      </c>
    </row>
    <row r="71" spans="2:143" s="163" customFormat="1" x14ac:dyDescent="0.2">
      <c r="B71" s="163">
        <v>2797.5</v>
      </c>
      <c r="C71" s="163">
        <v>2796.88</v>
      </c>
      <c r="D71" s="163">
        <v>3221.18</v>
      </c>
      <c r="E71" s="163">
        <v>229.49799999999999</v>
      </c>
      <c r="F71" s="163">
        <v>0.16183800000000001</v>
      </c>
      <c r="G71" s="163">
        <v>0.26397500000000002</v>
      </c>
      <c r="H71" s="163">
        <v>107</v>
      </c>
      <c r="K71" s="163">
        <v>2797.5</v>
      </c>
      <c r="L71" s="163">
        <v>2796.88</v>
      </c>
      <c r="M71" s="163">
        <v>3351.69</v>
      </c>
      <c r="N71" s="163">
        <v>229.49799999999999</v>
      </c>
      <c r="O71" s="163">
        <v>0.17871400000000001</v>
      </c>
      <c r="P71" s="163">
        <v>6.25E-2</v>
      </c>
      <c r="Q71" s="163">
        <v>100</v>
      </c>
      <c r="T71" s="163">
        <v>2797.5</v>
      </c>
      <c r="U71" s="163">
        <v>2796.88</v>
      </c>
      <c r="V71" s="163">
        <v>3449.4</v>
      </c>
      <c r="W71" s="163">
        <v>229.49799999999999</v>
      </c>
      <c r="X71" s="163">
        <v>0.19569400000000001</v>
      </c>
      <c r="Y71" s="163">
        <v>9.8259700000000005E-2</v>
      </c>
      <c r="Z71" s="163">
        <v>100</v>
      </c>
      <c r="EA71" s="163">
        <v>214.53800000000001</v>
      </c>
      <c r="EB71" s="163">
        <v>4.8985300000000002E-2</v>
      </c>
      <c r="EC71" s="163">
        <v>0</v>
      </c>
      <c r="ED71" s="163">
        <v>102</v>
      </c>
      <c r="EG71" s="163">
        <v>3707</v>
      </c>
      <c r="EH71" s="163">
        <v>3706.56</v>
      </c>
      <c r="EI71" s="163">
        <v>2402.6999999999998</v>
      </c>
      <c r="EJ71" s="163">
        <v>214.53800000000001</v>
      </c>
      <c r="EK71" s="163">
        <v>4.8985300000000002E-2</v>
      </c>
      <c r="EL71" s="163">
        <v>0</v>
      </c>
      <c r="EM71" s="163">
        <v>105</v>
      </c>
    </row>
    <row r="72" spans="2:143" s="163" customFormat="1" x14ac:dyDescent="0.2">
      <c r="B72" s="163">
        <v>2804</v>
      </c>
      <c r="C72" s="163">
        <v>2803.38</v>
      </c>
      <c r="D72" s="163">
        <v>3224.64</v>
      </c>
      <c r="E72" s="163">
        <v>229.57499999999999</v>
      </c>
      <c r="F72" s="163">
        <v>0.16192799999999999</v>
      </c>
      <c r="G72" s="163">
        <v>0.26413300000000001</v>
      </c>
      <c r="H72" s="163">
        <v>107</v>
      </c>
      <c r="K72" s="163">
        <v>2804</v>
      </c>
      <c r="L72" s="163">
        <v>2803.38</v>
      </c>
      <c r="M72" s="163">
        <v>3355.5</v>
      </c>
      <c r="N72" s="163">
        <v>229.57499999999999</v>
      </c>
      <c r="O72" s="163">
        <v>0.178813</v>
      </c>
      <c r="P72" s="163">
        <v>6.25E-2</v>
      </c>
      <c r="Q72" s="163">
        <v>100</v>
      </c>
      <c r="T72" s="163">
        <v>2804</v>
      </c>
      <c r="U72" s="163">
        <v>2803.38</v>
      </c>
      <c r="V72" s="163">
        <v>3453.57</v>
      </c>
      <c r="W72" s="163">
        <v>229.57499999999999</v>
      </c>
      <c r="X72" s="163">
        <v>0.19583200000000001</v>
      </c>
      <c r="Y72" s="163">
        <v>9.8288100000000003E-2</v>
      </c>
      <c r="Z72" s="163">
        <v>100</v>
      </c>
      <c r="EA72" s="163">
        <v>214.779</v>
      </c>
      <c r="EB72" s="163">
        <v>4.8943399999999998E-2</v>
      </c>
      <c r="EC72" s="163">
        <v>0</v>
      </c>
      <c r="ED72" s="163">
        <v>102</v>
      </c>
      <c r="EG72" s="163">
        <v>3732</v>
      </c>
      <c r="EH72" s="163">
        <v>3731.52</v>
      </c>
      <c r="EI72" s="163">
        <v>2406.7199999999998</v>
      </c>
      <c r="EJ72" s="163">
        <v>214.779</v>
      </c>
      <c r="EK72" s="163">
        <v>4.8943399999999998E-2</v>
      </c>
      <c r="EL72" s="163">
        <v>0</v>
      </c>
      <c r="EM72" s="163">
        <v>105</v>
      </c>
    </row>
    <row r="73" spans="2:143" s="163" customFormat="1" x14ac:dyDescent="0.2">
      <c r="B73" s="163">
        <v>2811.5</v>
      </c>
      <c r="C73" s="163">
        <v>2810.88</v>
      </c>
      <c r="D73" s="163">
        <v>3228.67</v>
      </c>
      <c r="E73" s="163">
        <v>229.65799999999999</v>
      </c>
      <c r="F73" s="163">
        <v>0.16402600000000001</v>
      </c>
      <c r="G73" s="163">
        <v>0.27044299999999999</v>
      </c>
      <c r="H73" s="163">
        <v>107</v>
      </c>
      <c r="K73" s="163">
        <v>2811.5</v>
      </c>
      <c r="L73" s="163">
        <v>2810.88</v>
      </c>
      <c r="M73" s="163">
        <v>3359.9</v>
      </c>
      <c r="N73" s="163">
        <v>229.65799999999999</v>
      </c>
      <c r="O73" s="163">
        <v>0.17880099999999999</v>
      </c>
      <c r="P73" s="163">
        <v>6.25E-2</v>
      </c>
      <c r="Q73" s="163">
        <v>100</v>
      </c>
      <c r="T73" s="163">
        <v>2811.5</v>
      </c>
      <c r="U73" s="163">
        <v>2810.88</v>
      </c>
      <c r="V73" s="163">
        <v>3458.39</v>
      </c>
      <c r="W73" s="163">
        <v>229.65799999999999</v>
      </c>
      <c r="X73" s="163">
        <v>0.19585</v>
      </c>
      <c r="Y73" s="163">
        <v>9.8319400000000001E-2</v>
      </c>
      <c r="Z73" s="163">
        <v>100</v>
      </c>
      <c r="EA73" s="163">
        <v>215</v>
      </c>
      <c r="EB73" s="163">
        <v>4.8945099999999998E-2</v>
      </c>
      <c r="EC73" s="163">
        <v>0</v>
      </c>
      <c r="ED73" s="163">
        <v>102</v>
      </c>
      <c r="EG73" s="163">
        <v>3757</v>
      </c>
      <c r="EH73" s="163">
        <v>3756.48</v>
      </c>
      <c r="EI73" s="163">
        <v>2410.73</v>
      </c>
      <c r="EJ73" s="163">
        <v>215</v>
      </c>
      <c r="EK73" s="163">
        <v>4.8945099999999998E-2</v>
      </c>
      <c r="EL73" s="163">
        <v>0</v>
      </c>
      <c r="EM73" s="163">
        <v>105</v>
      </c>
    </row>
    <row r="74" spans="2:143" s="163" customFormat="1" x14ac:dyDescent="0.2">
      <c r="B74" s="163">
        <v>2819</v>
      </c>
      <c r="C74" s="163">
        <v>2818.37</v>
      </c>
      <c r="D74" s="163">
        <v>3232.71</v>
      </c>
      <c r="E74" s="163">
        <v>229.73099999999999</v>
      </c>
      <c r="F74" s="163">
        <v>0.16413700000000001</v>
      </c>
      <c r="G74" s="163">
        <v>0.27063799999999999</v>
      </c>
      <c r="H74" s="163">
        <v>107</v>
      </c>
      <c r="K74" s="163">
        <v>2819</v>
      </c>
      <c r="L74" s="163">
        <v>2818.37</v>
      </c>
      <c r="M74" s="163">
        <v>3364.3</v>
      </c>
      <c r="N74" s="163">
        <v>229.73099999999999</v>
      </c>
      <c r="O74" s="163">
        <v>0.17892</v>
      </c>
      <c r="P74" s="163">
        <v>6.25E-2</v>
      </c>
      <c r="Q74" s="163">
        <v>100</v>
      </c>
      <c r="T74" s="163">
        <v>2819</v>
      </c>
      <c r="U74" s="163">
        <v>2818.37</v>
      </c>
      <c r="V74" s="163">
        <v>3463.22</v>
      </c>
      <c r="W74" s="163">
        <v>229.73099999999999</v>
      </c>
      <c r="X74" s="163">
        <v>0.19601299999999999</v>
      </c>
      <c r="Y74" s="163">
        <v>9.8353800000000005E-2</v>
      </c>
      <c r="Z74" s="163">
        <v>100</v>
      </c>
      <c r="EA74" s="163">
        <v>215.17500000000001</v>
      </c>
      <c r="EB74" s="163">
        <v>4.8948199999999997E-2</v>
      </c>
      <c r="EC74" s="163">
        <v>0</v>
      </c>
      <c r="ED74" s="163">
        <v>102</v>
      </c>
      <c r="EG74" s="163">
        <v>3778.49</v>
      </c>
      <c r="EH74" s="163">
        <v>3777.93</v>
      </c>
      <c r="EI74" s="163">
        <v>2414.1799999999998</v>
      </c>
      <c r="EJ74" s="163">
        <v>215.17500000000001</v>
      </c>
      <c r="EK74" s="163">
        <v>4.8948199999999997E-2</v>
      </c>
      <c r="EL74" s="163">
        <v>0</v>
      </c>
      <c r="EM74" s="163">
        <v>105</v>
      </c>
    </row>
    <row r="75" spans="2:143" s="163" customFormat="1" x14ac:dyDescent="0.2">
      <c r="B75" s="163">
        <v>2834.5</v>
      </c>
      <c r="C75" s="163">
        <v>2833.87</v>
      </c>
      <c r="D75" s="163">
        <v>3240.96</v>
      </c>
      <c r="E75" s="163">
        <v>229.857</v>
      </c>
      <c r="F75" s="163">
        <v>0.16230800000000001</v>
      </c>
      <c r="G75" s="163">
        <v>0.26479399999999997</v>
      </c>
      <c r="H75" s="163">
        <v>107</v>
      </c>
      <c r="K75" s="163">
        <v>2834.5</v>
      </c>
      <c r="L75" s="163">
        <v>2833.87</v>
      </c>
      <c r="M75" s="163">
        <v>3373.42</v>
      </c>
      <c r="N75" s="163">
        <v>229.857</v>
      </c>
      <c r="O75" s="163">
        <v>0.179229</v>
      </c>
      <c r="P75" s="163">
        <v>6.25E-2</v>
      </c>
      <c r="Q75" s="163">
        <v>100</v>
      </c>
      <c r="T75" s="163">
        <v>2834.5</v>
      </c>
      <c r="U75" s="163">
        <v>2833.87</v>
      </c>
      <c r="V75" s="163">
        <v>3473.2</v>
      </c>
      <c r="W75" s="163">
        <v>229.857</v>
      </c>
      <c r="X75" s="163">
        <v>0.19640099999999999</v>
      </c>
      <c r="Y75" s="163">
        <v>9.8408800000000005E-2</v>
      </c>
      <c r="Z75" s="163">
        <v>100</v>
      </c>
      <c r="EA75" s="163">
        <v>215.33500000000001</v>
      </c>
      <c r="EB75" s="163">
        <v>4.8952599999999999E-2</v>
      </c>
      <c r="EC75" s="163">
        <v>0</v>
      </c>
      <c r="ED75" s="163">
        <v>102</v>
      </c>
      <c r="EG75" s="163">
        <v>3799.98</v>
      </c>
      <c r="EH75" s="163">
        <v>3799.39</v>
      </c>
      <c r="EI75" s="163">
        <v>2417.63</v>
      </c>
      <c r="EJ75" s="163">
        <v>215.33500000000001</v>
      </c>
      <c r="EK75" s="163">
        <v>4.8952599999999999E-2</v>
      </c>
      <c r="EL75" s="163">
        <v>0</v>
      </c>
      <c r="EM75" s="163">
        <v>105</v>
      </c>
    </row>
    <row r="76" spans="2:143" s="163" customFormat="1" x14ac:dyDescent="0.2">
      <c r="B76" s="163">
        <v>2850</v>
      </c>
      <c r="C76" s="163">
        <v>2849.37</v>
      </c>
      <c r="D76" s="163">
        <v>3249.23</v>
      </c>
      <c r="E76" s="163">
        <v>229.94499999999999</v>
      </c>
      <c r="F76" s="163">
        <v>0.162546</v>
      </c>
      <c r="G76" s="163">
        <v>0.26520300000000002</v>
      </c>
      <c r="H76" s="163">
        <v>107</v>
      </c>
      <c r="K76" s="163">
        <v>2850</v>
      </c>
      <c r="L76" s="163">
        <v>2849.37</v>
      </c>
      <c r="M76" s="163">
        <v>3382.54</v>
      </c>
      <c r="N76" s="163">
        <v>229.94499999999999</v>
      </c>
      <c r="O76" s="163">
        <v>0.17949100000000001</v>
      </c>
      <c r="P76" s="163">
        <v>6.25E-2</v>
      </c>
      <c r="Q76" s="163">
        <v>100</v>
      </c>
      <c r="T76" s="163">
        <v>2850</v>
      </c>
      <c r="U76" s="163">
        <v>2849.37</v>
      </c>
      <c r="V76" s="163">
        <v>3483.21</v>
      </c>
      <c r="W76" s="163">
        <v>229.94499999999999</v>
      </c>
      <c r="X76" s="163">
        <v>0.19675400000000001</v>
      </c>
      <c r="Y76" s="163">
        <v>9.8486199999999996E-2</v>
      </c>
      <c r="Z76" s="163">
        <v>100</v>
      </c>
      <c r="EA76" s="163">
        <v>215.63399999999999</v>
      </c>
      <c r="EB76" s="163">
        <v>4.8963E-2</v>
      </c>
      <c r="EC76" s="163">
        <v>0</v>
      </c>
      <c r="ED76" s="163">
        <v>102</v>
      </c>
      <c r="EG76" s="163">
        <v>3846.99</v>
      </c>
      <c r="EH76" s="163">
        <v>3846.32</v>
      </c>
      <c r="EI76" s="163">
        <v>2425.19</v>
      </c>
      <c r="EJ76" s="163">
        <v>215.63399999999999</v>
      </c>
      <c r="EK76" s="163">
        <v>4.8963E-2</v>
      </c>
      <c r="EL76" s="163">
        <v>0</v>
      </c>
      <c r="EM76" s="163">
        <v>105</v>
      </c>
    </row>
    <row r="77" spans="2:143" s="163" customFormat="1" x14ac:dyDescent="0.2">
      <c r="B77" s="163">
        <v>2862.5</v>
      </c>
      <c r="C77" s="163">
        <v>2861.86</v>
      </c>
      <c r="D77" s="163">
        <v>3255.97</v>
      </c>
      <c r="E77" s="163">
        <v>229.98599999999999</v>
      </c>
      <c r="F77" s="163">
        <v>0.16437599999999999</v>
      </c>
      <c r="G77" s="163">
        <v>0.270457</v>
      </c>
      <c r="H77" s="163">
        <v>107</v>
      </c>
      <c r="K77" s="163">
        <v>2862.5</v>
      </c>
      <c r="L77" s="163">
        <v>2861.86</v>
      </c>
      <c r="M77" s="163">
        <v>3389.91</v>
      </c>
      <c r="N77" s="163">
        <v>229.98599999999999</v>
      </c>
      <c r="O77" s="163">
        <v>0.17966299999999999</v>
      </c>
      <c r="P77" s="163">
        <v>6.25E-2</v>
      </c>
      <c r="Q77" s="163">
        <v>100</v>
      </c>
      <c r="T77" s="163">
        <v>2862.5</v>
      </c>
      <c r="U77" s="163">
        <v>2861.86</v>
      </c>
      <c r="V77" s="163">
        <v>3491.29</v>
      </c>
      <c r="W77" s="163">
        <v>229.98599999999999</v>
      </c>
      <c r="X77" s="163">
        <v>0.19700000000000001</v>
      </c>
      <c r="Y77" s="163">
        <v>9.8559599999999997E-2</v>
      </c>
      <c r="Z77" s="163">
        <v>100</v>
      </c>
      <c r="EA77" s="163">
        <v>215.857</v>
      </c>
      <c r="EB77" s="163">
        <v>4.8982400000000002E-2</v>
      </c>
      <c r="EC77" s="163">
        <v>0</v>
      </c>
      <c r="ED77" s="163">
        <v>102</v>
      </c>
      <c r="EG77" s="163">
        <v>3894</v>
      </c>
      <c r="EH77" s="163">
        <v>3893.25</v>
      </c>
      <c r="EI77" s="163">
        <v>2432.7399999999998</v>
      </c>
      <c r="EJ77" s="163">
        <v>215.857</v>
      </c>
      <c r="EK77" s="163">
        <v>4.8982400000000002E-2</v>
      </c>
      <c r="EL77" s="163">
        <v>0</v>
      </c>
      <c r="EM77" s="163">
        <v>105</v>
      </c>
    </row>
    <row r="78" spans="2:143" s="163" customFormat="1" x14ac:dyDescent="0.2">
      <c r="B78" s="163">
        <v>2875</v>
      </c>
      <c r="C78" s="163">
        <v>2874.36</v>
      </c>
      <c r="D78" s="163">
        <v>3262.72</v>
      </c>
      <c r="E78" s="163">
        <v>230</v>
      </c>
      <c r="F78" s="163">
        <v>0.16458900000000001</v>
      </c>
      <c r="G78" s="163">
        <v>0.27082000000000001</v>
      </c>
      <c r="H78" s="163">
        <v>107</v>
      </c>
      <c r="K78" s="163">
        <v>2875</v>
      </c>
      <c r="L78" s="163">
        <v>2874.36</v>
      </c>
      <c r="M78" s="163">
        <v>3397.29</v>
      </c>
      <c r="N78" s="163">
        <v>230</v>
      </c>
      <c r="O78" s="163">
        <v>0.179893</v>
      </c>
      <c r="P78" s="163">
        <v>6.25E-2</v>
      </c>
      <c r="Q78" s="163">
        <v>100</v>
      </c>
      <c r="T78" s="163">
        <v>2875</v>
      </c>
      <c r="U78" s="163">
        <v>2874.36</v>
      </c>
      <c r="V78" s="163">
        <v>3499.38</v>
      </c>
      <c r="W78" s="163">
        <v>230</v>
      </c>
      <c r="X78" s="163">
        <v>0.19730200000000001</v>
      </c>
      <c r="Y78" s="163">
        <v>9.8628599999999997E-2</v>
      </c>
      <c r="Z78" s="163">
        <v>100</v>
      </c>
      <c r="EA78" s="163">
        <v>215.88900000000001</v>
      </c>
      <c r="EB78" s="163">
        <v>4.89963E-2</v>
      </c>
      <c r="EC78" s="163">
        <v>0</v>
      </c>
      <c r="ED78" s="163">
        <v>102</v>
      </c>
      <c r="EG78" s="163">
        <v>3902.5</v>
      </c>
      <c r="EH78" s="163">
        <v>3901.73</v>
      </c>
      <c r="EI78" s="163">
        <v>2434.11</v>
      </c>
      <c r="EJ78" s="163">
        <v>215.88900000000001</v>
      </c>
      <c r="EK78" s="163">
        <v>4.89963E-2</v>
      </c>
      <c r="EL78" s="163">
        <v>0</v>
      </c>
      <c r="EM78" s="163">
        <v>105</v>
      </c>
    </row>
    <row r="79" spans="2:143" s="163" customFormat="1" x14ac:dyDescent="0.2">
      <c r="EA79" s="163">
        <v>215.91900000000001</v>
      </c>
      <c r="EB79" s="163">
        <v>4.9001299999999998E-2</v>
      </c>
      <c r="EC79" s="163">
        <v>0</v>
      </c>
      <c r="ED79" s="163">
        <v>102</v>
      </c>
      <c r="EG79" s="163">
        <v>3911</v>
      </c>
      <c r="EH79" s="163">
        <v>3910.22</v>
      </c>
      <c r="EI79" s="163">
        <v>2435.4699999999998</v>
      </c>
      <c r="EJ79" s="163">
        <v>215.91900000000001</v>
      </c>
      <c r="EK79" s="163">
        <v>4.9001299999999998E-2</v>
      </c>
      <c r="EL79" s="163">
        <v>0</v>
      </c>
      <c r="EM79" s="163">
        <v>105</v>
      </c>
    </row>
    <row r="80" spans="2:143" s="163" customFormat="1" x14ac:dyDescent="0.2">
      <c r="EA80" s="163">
        <v>215.93199999999999</v>
      </c>
      <c r="EB80" s="163">
        <v>4.8694500000000002E-2</v>
      </c>
      <c r="EC80" s="163">
        <v>0</v>
      </c>
      <c r="ED80" s="163">
        <v>102</v>
      </c>
      <c r="EG80" s="163">
        <v>3915</v>
      </c>
      <c r="EH80" s="163">
        <v>3914.19</v>
      </c>
      <c r="EI80" s="163">
        <v>2436.11</v>
      </c>
      <c r="EJ80" s="163">
        <v>215.93199999999999</v>
      </c>
      <c r="EK80" s="163">
        <v>4.8694500000000002E-2</v>
      </c>
      <c r="EL80" s="163">
        <v>0</v>
      </c>
      <c r="EM80" s="163">
        <v>105</v>
      </c>
    </row>
    <row r="81" spans="131:143" s="163" customFormat="1" x14ac:dyDescent="0.2">
      <c r="EA81" s="163">
        <v>215.94399999999999</v>
      </c>
      <c r="EB81" s="163">
        <v>4.8696999999999997E-2</v>
      </c>
      <c r="EC81" s="163">
        <v>0</v>
      </c>
      <c r="ED81" s="163">
        <v>102</v>
      </c>
      <c r="EG81" s="163">
        <v>3919</v>
      </c>
      <c r="EH81" s="163">
        <v>3918.15</v>
      </c>
      <c r="EI81" s="163">
        <v>2436.75</v>
      </c>
      <c r="EJ81" s="163">
        <v>215.94399999999999</v>
      </c>
      <c r="EK81" s="163">
        <v>4.8696999999999997E-2</v>
      </c>
      <c r="EL81" s="163">
        <v>0</v>
      </c>
      <c r="EM81" s="163">
        <v>105</v>
      </c>
    </row>
    <row r="82" spans="131:143" s="163" customFormat="1" x14ac:dyDescent="0.2">
      <c r="EA82" s="163">
        <v>216.023</v>
      </c>
      <c r="EB82" s="163">
        <v>4.8527899999999999E-2</v>
      </c>
      <c r="EC82" s="163">
        <v>0</v>
      </c>
      <c r="ED82" s="163">
        <v>102</v>
      </c>
      <c r="EG82" s="163">
        <v>3951</v>
      </c>
      <c r="EH82" s="163">
        <v>3949.74</v>
      </c>
      <c r="EI82" s="163">
        <v>2441.85</v>
      </c>
      <c r="EJ82" s="163">
        <v>216.023</v>
      </c>
      <c r="EK82" s="163">
        <v>4.8527899999999999E-2</v>
      </c>
      <c r="EL82" s="163">
        <v>0</v>
      </c>
      <c r="EM82" s="163">
        <v>105</v>
      </c>
    </row>
    <row r="83" spans="131:143" s="163" customFormat="1" x14ac:dyDescent="0.2">
      <c r="EA83" s="163">
        <v>216.06299999999999</v>
      </c>
      <c r="EB83" s="163">
        <v>4.8551400000000002E-2</v>
      </c>
      <c r="EC83" s="163">
        <v>0</v>
      </c>
      <c r="ED83" s="163">
        <v>102</v>
      </c>
      <c r="EG83" s="163">
        <v>3983</v>
      </c>
      <c r="EH83" s="163">
        <v>3981.33</v>
      </c>
      <c r="EI83" s="163">
        <v>2446.94</v>
      </c>
      <c r="EJ83" s="163">
        <v>216.06299999999999</v>
      </c>
      <c r="EK83" s="163">
        <v>4.8551400000000002E-2</v>
      </c>
      <c r="EL83" s="163">
        <v>0</v>
      </c>
      <c r="EM83" s="163">
        <v>105</v>
      </c>
    </row>
    <row r="84" spans="131:143" s="163" customFormat="1" x14ac:dyDescent="0.2">
      <c r="EA84" s="163">
        <v>216.06700000000001</v>
      </c>
      <c r="EB84" s="163">
        <v>4.77343E-2</v>
      </c>
      <c r="EC84" s="163">
        <v>0</v>
      </c>
      <c r="ED84" s="163">
        <v>102</v>
      </c>
      <c r="EG84" s="163">
        <v>3991.49</v>
      </c>
      <c r="EH84" s="163">
        <v>3989.55</v>
      </c>
      <c r="EI84" s="163">
        <v>2448.27</v>
      </c>
      <c r="EJ84" s="163">
        <v>216.06700000000001</v>
      </c>
      <c r="EK84" s="163">
        <v>4.77343E-2</v>
      </c>
      <c r="EL84" s="163">
        <v>0</v>
      </c>
      <c r="EM84" s="163">
        <v>105</v>
      </c>
    </row>
    <row r="85" spans="131:143" s="163" customFormat="1" x14ac:dyDescent="0.2">
      <c r="EA85" s="163">
        <v>216.06800000000001</v>
      </c>
      <c r="EB85" s="163">
        <v>4.7741499999999999E-2</v>
      </c>
      <c r="EC85" s="163">
        <v>0</v>
      </c>
      <c r="ED85" s="163">
        <v>102</v>
      </c>
      <c r="EG85" s="163">
        <v>3999.98</v>
      </c>
      <c r="EH85" s="163">
        <v>3997.78</v>
      </c>
      <c r="EI85" s="163">
        <v>2449.6</v>
      </c>
      <c r="EJ85" s="163">
        <v>216.06800000000001</v>
      </c>
      <c r="EK85" s="163">
        <v>4.7741499999999999E-2</v>
      </c>
      <c r="EL85" s="163">
        <v>0</v>
      </c>
      <c r="EM85" s="163">
        <v>105</v>
      </c>
    </row>
  </sheetData>
  <pageMargins left="0.7" right="0.7" top="0.75" bottom="0.75" header="0.3" footer="0.3"/>
</worksheet>
</file>

<file path=customUI/_rels/customUI14.xml.rels><?xml version="1.0" encoding="UTF-8" standalone="yes"?>
<Relationships xmlns="http://schemas.openxmlformats.org/package/2006/relationships"><Relationship Id="numeros" Type="http://schemas.openxmlformats.org/officeDocument/2006/relationships/image" Target="images/numeros.png"/><Relationship Id="Export_Surf" Type="http://schemas.openxmlformats.org/officeDocument/2006/relationships/image" Target="images/Export_Surf.png"/><Relationship Id="Empty_chart_48" Type="http://schemas.openxmlformats.org/officeDocument/2006/relationships/image" Target="images/Empty_chart_48.png"/><Relationship Id="Input_Import" Type="http://schemas.openxmlformats.org/officeDocument/2006/relationships/image" Target="images/Input_Import.png"/><Relationship Id="Match_pvt" Type="http://schemas.openxmlformats.org/officeDocument/2006/relationships/image" Target="images/Match_pvt.png"/><Relationship Id="U_value" Type="http://schemas.openxmlformats.org/officeDocument/2006/relationships/image" Target="images/U_value.png"/><Relationship Id="backsetup" Type="http://schemas.openxmlformats.org/officeDocument/2006/relationships/image" Target="images/backsetup.png"/><Relationship Id="Import_pvt_results" Type="http://schemas.openxmlformats.org/officeDocument/2006/relationships/image" Target="images/Import_pvt_results.png"/><Relationship Id="pipe_process_48" Type="http://schemas.openxmlformats.org/officeDocument/2006/relationships/image" Target="images/pipe_process_48.png"/><Relationship Id="Export" Type="http://schemas.openxmlformats.org/officeDocument/2006/relationships/image" Target="images/Export.png"/><Relationship Id="Import_input_pvt" Type="http://schemas.openxmlformats.org/officeDocument/2006/relationships/image" Target="images/Import_input_pvt.png"/><Relationship Id="Send_to_PPT" Type="http://schemas.openxmlformats.org/officeDocument/2006/relationships/image" Target="images/Send_to_PPT.png"/><Relationship Id="top-secret" Type="http://schemas.openxmlformats.org/officeDocument/2006/relationships/image" Target="images/top-secret.png"/><Relationship Id="All_survey" Type="http://schemas.openxmlformats.org/officeDocument/2006/relationships/image" Target="images/All_survey.png"/><Relationship Id="Transfer_Survey" Type="http://schemas.openxmlformats.org/officeDocument/2006/relationships/image" Target="images/Transfer_Survey.png"/><Relationship Id="ipr_export3" Type="http://schemas.openxmlformats.org/officeDocument/2006/relationships/image" Target="images/ipr_export3.png"/><Relationship Id="ALL_PROSPER_model_Build" Type="http://schemas.openxmlformats.org/officeDocument/2006/relationships/image" Target="images/ALL_PROSPER_model_Build.png"/><Relationship Id="Import_GG" Type="http://schemas.openxmlformats.org/officeDocument/2006/relationships/image" Target="images/Import_GG.png"/><Relationship Id="Import_All_Equip" Type="http://schemas.openxmlformats.org/officeDocument/2006/relationships/image" Target="images/Import_All_Equip.png"/><Relationship Id="bha_Import" Type="http://schemas.openxmlformats.org/officeDocument/2006/relationships/image" Target="images/bha_Import.png"/><Relationship Id="Filter_Survey" Type="http://schemas.openxmlformats.org/officeDocument/2006/relationships/image" Target="images/Filter_Survey.png"/><Relationship Id="Fill_chart_64" Type="http://schemas.openxmlformats.org/officeDocument/2006/relationships/image" Target="images/Fill_chart_64.png"/><Relationship Id="Delete_Surf" Type="http://schemas.openxmlformats.org/officeDocument/2006/relationships/image" Target="images/Delete_Surf.png"/><Relationship Id="Export_Match" Type="http://schemas.openxmlformats.org/officeDocument/2006/relationships/image" Target="images/Export_Match.png"/><Relationship Id="process_48_ipr_vlp" Type="http://schemas.openxmlformats.org/officeDocument/2006/relationships/image" Target="images/process_48_ipr_vlp.png"/><Relationship Id="Import_Solutions" Type="http://schemas.openxmlformats.org/officeDocument/2006/relationships/image" Target="images/Import_Solutions.png"/><Relationship Id="open" Type="http://schemas.openxmlformats.org/officeDocument/2006/relationships/image" Target="images/open.png"/><Relationship Id="Input_Export" Type="http://schemas.openxmlformats.org/officeDocument/2006/relationships/image" Target="images/Input_Export.png"/><Relationship Id="Import_ALL_PROSPER_model" Type="http://schemas.openxmlformats.org/officeDocument/2006/relationships/image" Target="images/Import_ALL_PROSPER_model.png"/><Relationship Id="Calculate_pvt_prop" Type="http://schemas.openxmlformats.org/officeDocument/2006/relationships/image" Target="images/Calculate_pvt_prop.png"/><Relationship Id="pvt_study_lab" Type="http://schemas.openxmlformats.org/officeDocument/2006/relationships/image" Target="images/pvt_study_lab.png"/><Relationship Id="Import" Type="http://schemas.openxmlformats.org/officeDocument/2006/relationships/image" Target="images/Import.png"/><Relationship Id="bha_delete" Type="http://schemas.openxmlformats.org/officeDocument/2006/relationships/image" Target="images/bha_delete.png"/><Relationship Id="Export_GG" Type="http://schemas.openxmlformats.org/officeDocument/2006/relationships/image" Target="images/Export_GG.png"/><Relationship Id="Export_input_pvt" Type="http://schemas.openxmlformats.org/officeDocument/2006/relationships/image" Target="images/Export_input_pvt.png"/><Relationship Id="Summary" Type="http://schemas.openxmlformats.org/officeDocument/2006/relationships/image" Target="images/Summary.png"/><Relationship Id="Logo48x48" Type="http://schemas.openxmlformats.org/officeDocument/2006/relationships/image" Target="images/Logo48x48.png"/><Relationship Id="ppt" Type="http://schemas.openxmlformats.org/officeDocument/2006/relationships/image" Target="images/ppt.png"/><Relationship Id="abc" Type="http://schemas.openxmlformats.org/officeDocument/2006/relationships/image" Target="images/abc.png"/><Relationship Id="Import_Surf" Type="http://schemas.openxmlformats.org/officeDocument/2006/relationships/image" Target="images/Import_Surf.png"/><Relationship Id="bha_Export" Type="http://schemas.openxmlformats.org/officeDocument/2006/relationships/image" Target="images/bha_Export.png"/><Relationship Id="tables" Type="http://schemas.openxmlformats.org/officeDocument/2006/relationships/image" Target="images/tables.png"/><Relationship Id="Import_IPR" Type="http://schemas.openxmlformats.org/officeDocument/2006/relationships/image" Target="images/Import_IPR.png"/></Relationships>
</file>

<file path=customUI/customUI14.xml><?xml version="1.0" encoding="utf-8"?>
<customUI xmlns="http://schemas.microsoft.com/office/2009/07/customui" onLoad="RibbonOnLoad">
  <ribbon startFromScratch="false">
    <tabs>
      <tab id="ID_Franco_Tools" label="FFSA Tools" getVisible="GetVisible" tag="FFSA">
        <group id="ID_G_Import_Projects" label="Legal Notice">
          <button id="ID_Logo_and_Legal_Notice" label="Franco Sivila" image="Logo48x48" size="large" screentip="Franco Help" supertip="Legal Notice" onAction="OnAc_Mensaje_Franco"/>
        </group>
        <group id="ID_G_Herramientas" label="VBA MS Excel Tools">
          <button id="ID_backsetup" label="Restore      Calc + Events" image="backsetup" size="large" screentip="Franco Help" supertip="Set automatic calculations + ScreenUpdating + EnableEvents" onAction="OnAc_BackSetup"/>
          <button id="ID_Columna_Letras" label="Column Letters" image="abc" size="large" screentip="Franco Help" supertip="Change colum format to letters" onAction="OnAc_Columna_Letras"/>
          <button id="ID_Columna_Numeros" label="Column Numbers" image="numeros" size="large" screentip="Franco Help" supertip="Change colum format to Numbers" onAction="OnAc_Columna_Numeros"/>
        </group>
        <group id="ID_G_Show_Hide_Sheets" label="Show/Hide Sheets">
          <checkBox id="CB_Show_Hide_PVT" label="PVT" screentip="Franco Help" supertip="Show or hide Equipment Sheets." getPressed="CheckBox_GetPressed_Show_Hide_PVT" onAction="CheckBox_OnAction_Show_Hide_PVT"/>
          <checkBox id="CB_Show_Hide_Inflow" label="Inflow" screentip="Franco Help" supertip="Show or hide Equipment Sheets." getPressed="CheckBox_GetPressed_Show_Hide_Inflow" onAction="CheckBox_OnAction_Show_Hide_Inflow"/>
          <checkBox id="CB_Show_Hide_Equipment" label="Equipment" screentip="Franco Help" supertip="Show or hide Equipment Sheets." getPressed="CheckBox_GetPressed_Show_Hide_Equipment" onAction="CheckBox_OnAction_Show_Hide_Equipment"/>
          <separator id="separator_SH_1"/>
          <checkBox id="CB_Show_Hide_Analysis" label="Analysis" screentip="Franco Help" supertip="Show or hide Equipment Sheets." getPressed="CheckBox_GetPressed_Show_Hide_Analysis" onAction="CheckBox_OnAction_Show_Hide_Analysis"/>
          <checkBox id="CB_Show_Hide_Quema_de_Gas" label="Gas Flare Report" screentip="Franco Help" supertip="Show or hide sheets for Gas Flare report." getPressed="CheckBox_GetPressed_Show_Hide_Quema_de_Gas" onAction="CheckBox_OnAction_Show_Hide_Quema_de_Gas"/>
        </group>
        <group id="ID_G_PROSPER_File_Management" label="File">
          <button id="ID_Open_PROSPER_File" label="PROSPER File" image="open" size="large" screentip="Franco Help" supertip="Open PROSPER file based on file name and location." onAction="OnAc_Open_PROSPER_File"/>
          <button id="ID_Open_Folder_PROSPER_File" label="Open Folder" image="top-secret" size="large" screentip="Franco Help" supertip="Open FOLDER where PROSPER is." onAction="OnAc_Open_Folder_PROSPER_File"/>
        </group>
      </tab>
      <tab id="ID_PROSPER_OpenServer" label="Imp-Exp PROSPER" getVisible="GetVisible" tag="FFSA">
        <group id="ID_G_Import_ALL_PROSPER_Model" label="PROSPER Model">
          <button id="ID_Import_ALL_PROSPER_Model" label="Import Model" image="Import_ALL_PROSPER_model" size="large" screentip="Franco Help" supertip="Import all sections from PROSPER model." onAction="OnAc_Import_ALL_PROSPER_Model"/>
          <button id="ID_BUILD_PROSPER_Model" label="Build Model" image="ALL_PROSPER_model_Build" size="large" screentip="Franco Help" supertip="Build PROSPER model based on the Workbook data." onAction="OnAc_BUILD_PROSPER_Model"/>
        </group>
        <group id="ID_G_Import_ALL_Equipment_Data" label="Summary">
          <button id="ID_Import_Summary_Data" label="Import" image="Input_Import" size="large" screentip="Franco Help" supertip="Import summary from PROSPER model to MS Excel." onAction="OnAc_Import_Summary_Data"/>
          <button id="ID_Export_Summary_Data" label="Export" image="Input_Export" size="large" screentip="Franco Help" supertip="Export summary data from MS Excel to PROSPER model." onAction="OnAc_Export_Summary_Data"/>
        </group>
        <group id="ID_G_PVT" label="PVT Section">
          <button id="ID_Export_PVT_Input_PROSPER" label="Export PVT input" image="Export_input_pvt" size="large" screentip="Franco Help" supertip="Export Fluid Properties (Input Parameters) to PROSPER." onAction="OnAc_Export_PVT_Input_PROSPER"/>
          <button id="ID_Import_PVT_Input_PROSPER" label="Import PVT input" image="Import_input_pvt" size="large" screentip="Franco Help" supertip="Import Fluid Properties (Input Parameters) to PROSPER." onAction="OnAc_Import_PVT_Input_PROSPER"/>
          <separator id="separator_Gpvt1"/>
          <button id="ID_All_PVT" label="Run All" image="All_survey" size="large" screentip="Franco Help" supertip="Export PVT study, Match BlackOil Eq. and PVTD study, Calculate fluid properties and Import results ." onAction="OnAc_All_PVT"/>
          <button id="ID_Export_PVT_Tables_PROSPER" label="Export PVT Study" image="pvt_study_lab" size="large" screentip="Franco Help" supertip="Export PVT Study Tables to PROSPER." onAction="OnAc_Export_PVT_Tables_PROSPER"/>
          <button id="ID_Match_PVT_PROSPER" label="Match PVT" image="Match_pvt" size="large" screentip="Franco Help" supertip="Match PVT correlations wit PVT data (PVT studies)." onAction="OnAc_Match_PVT_PROSPE"/>
          <button id="ID_Import_PVT_Results_PROSPER" label="Calc Prop + Results" image="Import_pvt_results" size="large" screentip="Franco Help" supertip="Calculate Fluid Properties and Import PVT Results from PROSPER." onAction="OnAc_Import_PVT_Results_PROSPER"/>
        </group>
        <group id="ID_G_Inflow" label="IPR Section">
          <button id="ID_Import_Inflow_PROSPER" label="Import Inflow" image="Import_IPR" size="large" screentip="Franco Help" supertip="Import Inflow Data from PROSPER." onAction="OnAc_Import_Inflow_PROSPER"/>
          <button id="ID_Export_Inflow_PROSPER" label="Export Inflow" image="ipr_export3" size="large" screentip="Franco Help" supertip="Export Inflow Data to PROSPER." onAction="OnAc_Export_Inflow_PROSPER"/>
        </group>
        <group id="ID_G_Survey_Data" label="Survey Data">
          <button id="ID_All_Survey" label="Run All" image="All_survey" size="large" screentip="Franco Help" supertip="Export to PROSPER, Filter and Transfer Survey inside PROSPER." onAction="OnAc_All_Survey"/>
          <button id="ID_Export_Raw_Data" label="Export Raw Data" image="Export" size="normal" screentip="Franco Help" supertip="Export Well Survey Data to Raw Data on PROSPER to filter" onAction="OnAc_Export_Raw_Data"/>
          <button id="ID_Filter_Data" label="Filter Raw Data" image="Filter_Survey" size="normal" screentip="Franco Help" supertip="Filters Raw data inside PROSPER." onAction="OnAc_Filter_Raw_Data"/>
          <button id="ID_Trasnfer_Survey_Data" label="Transfer Filtered Data" image="Transfer_Survey" size="normal" screentip="Franco Help" supertip="Transfer filtered data (20 points) inside PROSPER." onAction="OnAc_Trasnfer_Survey_Data"/>
          <button id="ID_Import_Survey_Data" label="Import Survey" image="Import" size="large" screentip="Franco Help" supertip="Import survey data from active PROSPER." onAction="OnAc_Import_Survey_Data_PROSPER"/>
        </group>
        <group id="ID_G_Surface_Equip_Data" label="Surface Equipment">
          <button id="ID_Delete_Surface_Equip_Data_PROSPER" label="Delete" image="Delete_Surf" size="large" screentip="Franco Help" supertip="Delete BHA data on PROSPER." onAction="OnAc_Delete_Surface_Equip_Data_PROSPER"/>
          <!-- <separator id="separator_Surf1" /> -->
          <button id="ID_Export_Surface_Equip_Data_PROSPER" label="Export" image="Export_Surf" size="large" screentip="Franco Help" supertip="Export BHA data to active PROSPER." onAction="OnAc_Export_Surface_Equip_Data_PROSPER"/>
          <!-- <separator id="separator_Surf2" /> -->
          <button id="ID_Import_Surface_Equip_Data_PROSPER" label="Import" image="Import_Surf" size="large" screentip="Franco Help" supertip="Export BHA data to active PROSPER." onAction="OnAc_Import_Surface_Equip_Data_PROSPER"/>
        </group>
        <group id="ID_G_BHA_Data" label="BHA/Completion">
          <button id="ID_Delete_BHA_Data_PROSPER" label="Delete" image="bha_delete" size="large" screentip="Franco Help" supertip="Delete BHA data on PROSPER." onAction="OnAc_Delete_BHA_Data_PROSPER"/>
          <button id="ID_Export_BHA_Data_PROSPER" label="Export" image="bha_Export" size="large" screentip="Franco Help" supertip="Export BHA data to active PROSPER." onAction="OnAc_Export_BHA_Data_PROSPER"/>
          <button id="ID_Import_BHA_Data_PROSPER" label="Import" image="bha_Import" size="large" screentip="Franco Help" supertip="Export BHA data to active PROSPER." onAction="OnAc_Import_BHA_Data_PROSPER"/>
        </group>
        <group id="ID_G_Geothermal_Gradient_Data" label="Geothermal Gradient">
          <button id="ID_Export_Geothermal_Gradient_Data_PROSPER" label="Export" image="Export_GG" size="large" screentip="Franco Help" supertip="Export Geothermal Gradient data to PROSPER." onAction="OnAc_Export_Geothermal_Gradient_Data_PROSPER"/>
          <button id="ID_Import_Geothermal_Gradient_Data_PROSPER" label="Import" image="Import_GG" size="large" screentip="Franco Help" supertip="Import Geothermal Gradient from PROSPER." onAction="OnAc_Import_Geothermal_Gradient_Data_PROSPER"/>
        </group>
      </tab>
      <tab id="ID_IPR_VLP_Matching" label="IPR/VLP Matching" getVisible="GetVisible" tag="FFSA">
        <group id="ID_G_Matching" label="VLP/IPR Matching">
          <button id="ID_Export_Production_Test_Data_Matching_PROSPER" label="Export Test Data" image="Export_Match" size="large" screentip="Franco Help" supertip="Export Production Test Data to PROSPER." onAction="OnAc_Export_Production_Test_Data_Matching_PROSPER"/>
          <button id="ID_Calc_U_import_results_Matching_PROSPER" label="Calc U Coefficient" image="U_value" size="large" screentip="Franco Help" supertip="Calculate U (Heat Transfer Coefficient) value for all tests and import results." onAction="OnAc_Calc_U_import_results_Matching_PROSPER"/>
        </group>
      </tab>
      <tab id="ID_Sense_Analysis" label="Sensitivity Analysis" getVisible="GetVisible" tag="FFSA">
        <group id="ID_SA_Tools" label="System Sensitivity Analysis (VLP vs IPR)">
          <button id="ID_Import_Input_Data" label="Import Input" image="Input_Import" size="large" screentip="Franco Help" supertip="Import Input data (System sensitivity analysis) from PROSPER model." onAction="OnAc_SA_Import_Input_Data"/>
          <button id="ID_Export_Input_Data" label="Export Input" image="Input_Export" size="large" screentip="Franco Help" supertip="Export Input data (System sensitivity analysis) TO PROSPER model." onAction="OnAc_SA_Export_Input_Data"/>
          <separator id="separator_SA1"/>
          <button id="ID_Send_Calc_Import" label="Cal + Import Results" image="process_48_ipr_vlp" size="large" screentip="Franco Help" supertip="Calculate cases and import results" onAction="OnAc_SA_Send_Calc_Import"/>
          <separator id="separator_SA2"/>
          <button id="ID_Empty_Chart" label="Clear Chart" image="Empty_chart_48" size="large" screentip="Franco Help" supertip="Clean VLP and IPR curves." onAction="OnAc_SA_Empty_Chart"/>
          <button id="ID_Fill_Chart" label="Fill Chart" image="Fill_chart_64" size="large" screentip="Franco Help" supertip="View all cases on VLP/IPR chart." onAction="OnAc_SA_Fill_Chart"/>
        </group>
        <group id="ID_DE_Tools" label="Downhole Equipment Sensitivity">
          <button id="ID_Calc_Sens_Downhole_Restriction" label="Calc Restriction Sensitivity" image="pipe_process_48" size="large" screentip="Franco Help" supertip="Calculate sensitivity for Downhole Equipment restriction" onAction="OnAc_Calc_Sens_Downhole_Restriction"/>
          <separator id="separator_quem_gas_1"/>
        </group>
      </tab>
      <tab id="ID_Costume_Reports" label="Reports" getVisible="GetVisible" tag="FFSA">
        <group id="ID_PPT_Reports" label="PPT Reports">
          <button id="ID_PROSPER_to_PPT" label="PROSPER to PPT" image="ppt" size="large" screentip="Franco Help" supertip="Create PowerPoint report without template." onAction="OnAc_PROSPER_to_PPT"/>
        </group>
        <group id="ID_Quema_Gas" label="Gas Flare Report">
          <button id="ID_Import_Solutions_QG" label="Import Solutions" image="Import_Solutions" size="large" screentip="Franco Help" supertip="Import Choke, Gas and Oil from System Sensitivity solutions." onAction="OnAc_Import_System_Sens_Solutions_Quema_Gas"/>
          <button id="ID_Build_Report_Quema_Gas" label="Build Tables" image="tables" size="large" screentip="Franco Help" supertip="Build tables based on Choke, Gas, Oil and time for each period." onAction="OnAc_Build_Tables_for_Quema_Gas"/>
          <button id="ID_Send_to_PPT" label="Create PPT Report" image="Send_to_PPT" size="large" screentip="Franco Help" supertip="Create report on PowerPoint. Template is requiered to be on the Workbook location." onAction="OnAc_Create_Report_PPT"/>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Summary</vt:lpstr>
      <vt:lpstr>PVT Input </vt:lpstr>
      <vt:lpstr>PVT_Tables_Format_Hide</vt:lpstr>
      <vt:lpstr>PVT Results</vt:lpstr>
      <vt:lpstr>Inflow</vt:lpstr>
      <vt:lpstr>Calc CA, C</vt:lpstr>
      <vt:lpstr>Sensitivity_Variables_Hide</vt:lpstr>
      <vt:lpstr>Well_Survey</vt:lpstr>
      <vt:lpstr>Surface_Equip</vt:lpstr>
      <vt:lpstr>Downhole_Equipment</vt:lpstr>
      <vt:lpstr>Geothermal_Gradient</vt:lpstr>
      <vt:lpstr>VLP-IPR Matching</vt:lpstr>
      <vt:lpstr>Gradient Matching</vt:lpstr>
      <vt:lpstr>Grad Match Results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Franco</dc:creator>
  <cp:lastModifiedBy>franco fabian</cp:lastModifiedBy>
  <cp:lastPrinted>2022-11-04T17:15:26Z</cp:lastPrinted>
  <dcterms:created xsi:type="dcterms:W3CDTF">2020-07-15T20:27:08Z</dcterms:created>
  <dcterms:modified xsi:type="dcterms:W3CDTF">2025-12-22T01:41:16Z</dcterms:modified>
</cp:coreProperties>
</file>