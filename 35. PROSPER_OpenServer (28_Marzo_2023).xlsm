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harts/chart12.xml" ContentType="application/vnd.openxmlformats-officedocument.drawingml.chart+xml"/>
  <Override PartName="/xl/charts/chart1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drawings/drawing10.xml" ContentType="application/vnd.openxmlformats-officedocument.drawing+xml"/>
  <Override PartName="/xl/charts/chart15.xml" ContentType="application/vnd.openxmlformats-officedocument.drawingml.chart+xml"/>
  <Override PartName="/xl/drawings/drawing11.xml" ContentType="application/vnd.openxmlformats-officedocument.drawing+xml"/>
  <Override PartName="/xl/comments4.xml" ContentType="application/vnd.openxmlformats-officedocument.spreadsheetml.comments+xml"/>
  <Override PartName="/xl/charts/chart16.xml" ContentType="application/vnd.openxmlformats-officedocument.drawingml.chart+xml"/>
  <Override PartName="/xl/drawings/drawing1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5.xml" ContentType="application/vnd.openxmlformats-officedocument.spreadsheetml.comments+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7724950b9b64e2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G:\Franco Ing\VBA files FF\PROSPER\"/>
    </mc:Choice>
  </mc:AlternateContent>
  <xr:revisionPtr revIDLastSave="0" documentId="13_ncr:1_{43B29A2D-A8BE-4831-95DC-78DC1B3FF5CC}" xr6:coauthVersionLast="47" xr6:coauthVersionMax="47" xr10:uidLastSave="{00000000-0000-0000-0000-000000000000}"/>
  <bookViews>
    <workbookView xWindow="-120" yWindow="-120" windowWidth="29040" windowHeight="15840" tabRatio="824" activeTab="8" xr2:uid="{00000000-000D-0000-FFFF-FFFF00000000}"/>
  </bookViews>
  <sheets>
    <sheet name="Summary" sheetId="10" r:id="rId1"/>
    <sheet name="PVT Input " sheetId="6" r:id="rId2"/>
    <sheet name="PVT_Tables_Format_Hide" sheetId="13" state="hidden" r:id="rId3"/>
    <sheet name="PVT Results" sheetId="8" r:id="rId4"/>
    <sheet name="Inflow" sheetId="9" r:id="rId5"/>
    <sheet name="System_Sens" sheetId="14" r:id="rId6"/>
    <sheet name="Gas Burning Schedule" sheetId="18" r:id="rId7"/>
    <sheet name="Downhole Equipment Sens" sheetId="17" r:id="rId8"/>
    <sheet name="Multi_Layer_Sens" sheetId="19" r:id="rId9"/>
    <sheet name="Sensitivity_Variables_Hide" sheetId="15" r:id="rId10"/>
    <sheet name="Well_Survey" sheetId="1" state="veryHidden" r:id="rId11"/>
    <sheet name="Surface_Equip" sheetId="2" state="veryHidden" r:id="rId12"/>
    <sheet name="Downhole_Equipment" sheetId="3" state="veryHidden" r:id="rId13"/>
    <sheet name="Geothermal_Gradient" sheetId="4" state="veryHidden" r:id="rId14"/>
    <sheet name="VLP-IPR Matching" sheetId="5" r:id="rId15"/>
    <sheet name="Gradient Matching" sheetId="11" r:id="rId16"/>
    <sheet name="Grad Match Results" sheetId="12" r:id="rId17"/>
  </sheets>
  <functionGroups builtInGroupCount="19"/>
  <externalReferences>
    <externalReference r:id="rId18"/>
  </externalReferences>
  <definedNames>
    <definedName name="Sensitivity_Variables">[1]Sensitivity_variables!$D$7:$D$55</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 i="18" l="1"/>
  <c r="R30" i="18"/>
  <c r="Q30" i="18"/>
  <c r="R29" i="18"/>
  <c r="Q29" i="18"/>
  <c r="R28" i="18"/>
  <c r="Q28" i="18"/>
  <c r="R27" i="18"/>
  <c r="R33" i="18" s="1"/>
  <c r="R7" i="18" s="1"/>
  <c r="Q27" i="18"/>
  <c r="Q32" i="18" s="1"/>
  <c r="Q7" i="18" s="1"/>
  <c r="P6" i="18"/>
  <c r="R18" i="18"/>
  <c r="Q18" i="18"/>
  <c r="Q20" i="18" s="1"/>
  <c r="Q6" i="18" s="1"/>
  <c r="R17" i="18"/>
  <c r="Q17" i="18"/>
  <c r="R16" i="18"/>
  <c r="R21" i="18" s="1"/>
  <c r="R6" i="18" s="1"/>
  <c r="Q16" i="18"/>
  <c r="H8" i="18"/>
  <c r="Q9" i="18" l="1"/>
  <c r="R10" i="18"/>
  <c r="P55" i="14"/>
  <c r="P56" i="14" s="1"/>
  <c r="O55" i="14"/>
  <c r="O56" i="14" s="1"/>
  <c r="N55" i="14"/>
  <c r="N56" i="14" s="1"/>
  <c r="M55" i="14"/>
  <c r="M56" i="14" s="1"/>
  <c r="I9" i="18" l="1"/>
  <c r="H9" i="18"/>
  <c r="I10" i="18" l="1"/>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8"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I6" i="14" l="1"/>
  <c r="H6" i="14"/>
  <c r="G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AB2" authorId="0" shapeId="0" xr:uid="{00000000-0006-0000-0400-000001000000}">
      <text>
        <r>
          <rPr>
            <b/>
            <sz val="9"/>
            <color indexed="81"/>
            <rFont val="Tahoma"/>
            <family val="2"/>
          </rPr>
          <t>Franco:</t>
        </r>
        <r>
          <rPr>
            <sz val="9"/>
            <color indexed="81"/>
            <rFont val="Tahoma"/>
            <family val="2"/>
          </rPr>
          <t xml:space="preserve">
</t>
        </r>
        <r>
          <rPr>
            <sz val="11"/>
            <color indexed="81"/>
            <rFont val="Tahoma"/>
            <family val="2"/>
          </rPr>
          <t>Total Skin = Completion + Deviation + Partial Penetration</t>
        </r>
        <r>
          <rPr>
            <sz val="9"/>
            <color indexed="81"/>
            <rFont val="Tahoma"/>
            <family val="2"/>
          </rPr>
          <t xml:space="preserve">
</t>
        </r>
      </text>
    </comment>
    <comment ref="AD2" authorId="0" shapeId="0" xr:uid="{00000000-0006-0000-0400-000002000000}">
      <text>
        <r>
          <rPr>
            <b/>
            <sz val="9"/>
            <color indexed="81"/>
            <rFont val="Tahoma"/>
            <family val="2"/>
          </rPr>
          <t>Franco:</t>
        </r>
        <r>
          <rPr>
            <sz val="9"/>
            <color indexed="81"/>
            <rFont val="Tahoma"/>
            <family val="2"/>
          </rPr>
          <t xml:space="preserve">
dP Completion = dP Sand Control Skin + dP Perforations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6" authorId="0" shapeId="0" xr:uid="{00000000-0006-0000-0500-000001000000}">
      <text>
        <r>
          <rPr>
            <b/>
            <sz val="9"/>
            <color indexed="81"/>
            <rFont val="Tahoma"/>
            <family val="2"/>
          </rPr>
          <t>Franco:</t>
        </r>
        <r>
          <rPr>
            <sz val="9"/>
            <color indexed="81"/>
            <rFont val="Tahoma"/>
            <family val="2"/>
          </rPr>
          <t xml:space="preserve">
The PE5 stability criteria calculation can be invoked to assess the onset of instability in the well or pipe. 
The PE5 stability flag is determined based on the PE5 mechanistic flow model (which calculates the momentum balance of the phases within the flowline), and is designed to be conservative. From the momentum balance, the direction of flow for the liquid is calculated, and if it is calculated as flowing back down the flowline, the PE5 stability flag is raised. 
</t>
        </r>
      </text>
    </comment>
    <comment ref="A19" authorId="0" shapeId="0" xr:uid="{00000000-0006-0000-0500-000002000000}">
      <text>
        <r>
          <rPr>
            <b/>
            <sz val="9"/>
            <color indexed="81"/>
            <rFont val="Tahoma"/>
            <family val="2"/>
          </rPr>
          <t>Franco:</t>
        </r>
        <r>
          <rPr>
            <sz val="9"/>
            <color indexed="81"/>
            <rFont val="Tahoma"/>
            <family val="2"/>
          </rPr>
          <t xml:space="preserve">
Sensitivity values must be from smallest to largest. If values don't follow this order, PROSPER will order them and change de associated Index.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00000000-0006-0000-0700-000001000000}">
      <text>
        <r>
          <rPr>
            <b/>
            <sz val="9"/>
            <color indexed="81"/>
            <rFont val="Tahoma"/>
            <family val="2"/>
          </rPr>
          <t>Franco S.A.:</t>
        </r>
        <r>
          <rPr>
            <sz val="9"/>
            <color indexed="81"/>
            <rFont val="Tahoma"/>
            <family val="2"/>
          </rPr>
          <t xml:space="preserve">
To restore initial Downhole Equipment after sensitivity calculation, Import data on Sheet "</t>
        </r>
        <r>
          <rPr>
            <sz val="9"/>
            <color indexed="12"/>
            <rFont val="Tahoma"/>
            <family val="2"/>
          </rPr>
          <t>Downhole_Equipment</t>
        </r>
        <r>
          <rPr>
            <sz val="9"/>
            <color indexed="81"/>
            <rFont val="Tahoma"/>
            <family val="2"/>
          </rPr>
          <t xml:space="preserve">".
</t>
        </r>
        <r>
          <rPr>
            <b/>
            <sz val="9"/>
            <color indexed="81"/>
            <rFont val="Tahoma"/>
            <family val="2"/>
          </rPr>
          <t>Downhole Equipment Sensitivity:</t>
        </r>
        <r>
          <rPr>
            <sz val="9"/>
            <color indexed="81"/>
            <rFont val="Tahoma"/>
            <family val="2"/>
          </rPr>
          <t xml:space="preserve">
1. Change Input variables
2. Click Button
3. Code sends Variables to PROSPER
Restriction is introduced on Downhole   Equipment
4. Calculate System sensitivity
5. Extract Solution
6. Repeat for next variable
7. Restore initial values (variables)
Note. To restore initial Downhole Equipment go to "Downhole_Equipmet" Sheet and export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E4" authorId="0" shapeId="0" xr:uid="{00000000-0006-0000-0D00-000001000000}">
      <text>
        <r>
          <rPr>
            <b/>
            <sz val="9"/>
            <color indexed="81"/>
            <rFont val="Tahoma"/>
            <family val="2"/>
          </rPr>
          <t>Franco:</t>
        </r>
        <r>
          <rPr>
            <sz val="9"/>
            <color indexed="81"/>
            <rFont val="Tahoma"/>
            <family val="2"/>
          </rPr>
          <t xml:space="preserve">
Change index and export to update value on PROSPER
TVD: Index = 0
MD: Index =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9" authorId="0" shapeId="0" xr:uid="{00000000-0006-0000-0F00-000001000000}">
      <text>
        <r>
          <rPr>
            <b/>
            <sz val="9"/>
            <color indexed="81"/>
            <rFont val="Tahoma"/>
            <family val="2"/>
          </rPr>
          <t>Franco:</t>
        </r>
        <r>
          <rPr>
            <sz val="9"/>
            <color indexed="81"/>
            <rFont val="Tahoma"/>
            <family val="2"/>
          </rPr>
          <t xml:space="preserve">
Method: Brill 
Index: 0
Method: RCS Mechanistic 
Index: 1
Method: Petroleum Experts 
Index: 2</t>
        </r>
      </text>
    </comment>
    <comment ref="H12" authorId="0" shapeId="0" xr:uid="{00000000-0006-0000-0F00-000002000000}">
      <text>
        <r>
          <rPr>
            <b/>
            <sz val="9"/>
            <color indexed="81"/>
            <rFont val="Tahoma"/>
            <family val="2"/>
          </rPr>
          <t>Franco:</t>
        </r>
        <r>
          <rPr>
            <sz val="9"/>
            <color indexed="81"/>
            <rFont val="Tahoma"/>
            <family val="2"/>
          </rPr>
          <t xml:space="preserve">
Select cell to 
Select = 1
Deselect = 0
PROSPER correlation will be updated.</t>
        </r>
      </text>
    </comment>
    <comment ref="I12" authorId="0" shapeId="0" xr:uid="{00000000-0006-0000-0F00-000003000000}">
      <text>
        <r>
          <rPr>
            <b/>
            <sz val="9"/>
            <color indexed="81"/>
            <rFont val="Tahoma"/>
            <family val="2"/>
          </rPr>
          <t>Franco:</t>
        </r>
        <r>
          <rPr>
            <sz val="9"/>
            <color indexed="81"/>
            <rFont val="Tahoma"/>
            <family val="2"/>
          </rPr>
          <t xml:space="preserve">
Select Cell to update chart and enable or disable selected correlation.</t>
        </r>
      </text>
    </comment>
  </commentList>
</comments>
</file>

<file path=xl/sharedStrings.xml><?xml version="1.0" encoding="utf-8"?>
<sst xmlns="http://schemas.openxmlformats.org/spreadsheetml/2006/main" count="2218" uniqueCount="586">
  <si>
    <t>m</t>
  </si>
  <si>
    <t>MD</t>
  </si>
  <si>
    <t>TVD</t>
  </si>
  <si>
    <t>Displacement</t>
  </si>
  <si>
    <t>Angle</t>
  </si>
  <si>
    <t>Degrees</t>
  </si>
  <si>
    <t>Cumulative</t>
  </si>
  <si>
    <t>PROSPER Data</t>
  </si>
  <si>
    <t>Well Deviation Survey</t>
  </si>
  <si>
    <t>Downhole Equipment - PROSPER Table Format</t>
  </si>
  <si>
    <t>Index</t>
  </si>
  <si>
    <t>Label</t>
  </si>
  <si>
    <t>Type</t>
  </si>
  <si>
    <t>Tubing ID</t>
  </si>
  <si>
    <t>Tubing OD</t>
  </si>
  <si>
    <t>Casing ID</t>
  </si>
  <si>
    <t>Rate</t>
  </si>
  <si>
    <t>Tubing</t>
  </si>
  <si>
    <t>ID</t>
  </si>
  <si>
    <t>Measured</t>
  </si>
  <si>
    <t>Depth</t>
  </si>
  <si>
    <t>Roughness</t>
  </si>
  <si>
    <t>OD</t>
  </si>
  <si>
    <t>Casing</t>
  </si>
  <si>
    <t>Multiplier</t>
  </si>
  <si>
    <t>WellHead</t>
  </si>
  <si>
    <t>inches</t>
  </si>
  <si>
    <t>Surface Equipment</t>
  </si>
  <si>
    <t>Pipe Length</t>
  </si>
  <si>
    <t>Coordinate System</t>
  </si>
  <si>
    <t>Choke Method</t>
  </si>
  <si>
    <t>Temp. of Surroundings</t>
  </si>
  <si>
    <t>Overall Heat Transfer Coefficient</t>
  </si>
  <si>
    <t>deg F</t>
  </si>
  <si>
    <t>BTU/h/ft2/F</t>
  </si>
  <si>
    <t>Manifold</t>
  </si>
  <si>
    <t>Choke</t>
  </si>
  <si>
    <t>TVD, Length</t>
  </si>
  <si>
    <t>Surface Equipment (Status)</t>
  </si>
  <si>
    <t>Formation</t>
  </si>
  <si>
    <t>Temperature</t>
  </si>
  <si>
    <t>Heat Transfer Coefficient:</t>
  </si>
  <si>
    <t>Depth Reference:</t>
  </si>
  <si>
    <t>Date</t>
  </si>
  <si>
    <t>Comment</t>
  </si>
  <si>
    <t>psi</t>
  </si>
  <si>
    <t>Head Pressure</t>
  </si>
  <si>
    <t>WHP</t>
  </si>
  <si>
    <t>Head</t>
  </si>
  <si>
    <t>Water-Gas</t>
  </si>
  <si>
    <t>Ratio</t>
  </si>
  <si>
    <t>WGR</t>
  </si>
  <si>
    <t>Condensate-Gas</t>
  </si>
  <si>
    <t>CGR</t>
  </si>
  <si>
    <t>Gas</t>
  </si>
  <si>
    <t>Qg</t>
  </si>
  <si>
    <t>Gauge</t>
  </si>
  <si>
    <t xml:space="preserve">Gauge </t>
  </si>
  <si>
    <t>Pressure</t>
  </si>
  <si>
    <t>Reservoir</t>
  </si>
  <si>
    <t>Pr</t>
  </si>
  <si>
    <t>MMscfd</t>
  </si>
  <si>
    <t>a</t>
  </si>
  <si>
    <t>b</t>
  </si>
  <si>
    <t>c</t>
  </si>
  <si>
    <t>Fluid Properties - Input Parameters</t>
  </si>
  <si>
    <t>:</t>
  </si>
  <si>
    <t>psig</t>
  </si>
  <si>
    <t>sp. gravity</t>
  </si>
  <si>
    <t>API</t>
  </si>
  <si>
    <t>Water Salinity</t>
  </si>
  <si>
    <t>ppm</t>
  </si>
  <si>
    <t>Reservoir Temperature</t>
  </si>
  <si>
    <t>Reservoir Pressure</t>
  </si>
  <si>
    <t>N2</t>
  </si>
  <si>
    <t>STB/MMscf</t>
  </si>
  <si>
    <t>Api</t>
  </si>
  <si>
    <t>Watsal</t>
  </si>
  <si>
    <t>percent</t>
  </si>
  <si>
    <t>H2s</t>
  </si>
  <si>
    <t>Co2</t>
  </si>
  <si>
    <t>Variable</t>
  </si>
  <si>
    <t>Value</t>
  </si>
  <si>
    <t>Unit</t>
  </si>
  <si>
    <t>OS</t>
  </si>
  <si>
    <t>Z Factor</t>
  </si>
  <si>
    <t>Viscosity</t>
  </si>
  <si>
    <t>FVF</t>
  </si>
  <si>
    <t>OS Index:</t>
  </si>
  <si>
    <t>centipoise</t>
  </si>
  <si>
    <t>ft3/scf</t>
  </si>
  <si>
    <t xml:space="preserve">Temp.: </t>
  </si>
  <si>
    <t>No. of Tables</t>
  </si>
  <si>
    <t>Match Parameters</t>
  </si>
  <si>
    <t>Z factor</t>
  </si>
  <si>
    <t>Gas FVF</t>
  </si>
  <si>
    <t>Parameter 1</t>
  </si>
  <si>
    <t>Parameter 2</t>
  </si>
  <si>
    <t>Gas Density</t>
  </si>
  <si>
    <t>Gas Viscosity</t>
  </si>
  <si>
    <t>Water Density</t>
  </si>
  <si>
    <t>Water Viscosity</t>
  </si>
  <si>
    <t>Water FVF</t>
  </si>
  <si>
    <t>Water Compressibility</t>
  </si>
  <si>
    <t>Pseudo Pressure</t>
  </si>
  <si>
    <t>Liquid/Gas IFT</t>
  </si>
  <si>
    <t>Water/Gas IFT</t>
  </si>
  <si>
    <t>Oil/Water IFT</t>
  </si>
  <si>
    <t>lb/ft3</t>
  </si>
  <si>
    <t>RB/STB</t>
  </si>
  <si>
    <t>1/psi</t>
  </si>
  <si>
    <t>psi2/cp</t>
  </si>
  <si>
    <t>dyne/cm</t>
  </si>
  <si>
    <t>Vis (Lee et al)</t>
  </si>
  <si>
    <t>Vis (Carr et al)</t>
  </si>
  <si>
    <t>Reservoir Model</t>
  </si>
  <si>
    <t>IPR Method [Index]</t>
  </si>
  <si>
    <t>IPR Method [Model]</t>
  </si>
  <si>
    <t>Mechanical/Geometrical Skin</t>
  </si>
  <si>
    <t>Model</t>
  </si>
  <si>
    <t>Reservoir Data</t>
  </si>
  <si>
    <t>Absolute Open Flow [AOF]</t>
  </si>
  <si>
    <t>AOF</t>
  </si>
  <si>
    <t>IPR - Reservoir Model Input Data</t>
  </si>
  <si>
    <t>IPR Curve Data</t>
  </si>
  <si>
    <t>MMscf/day</t>
  </si>
  <si>
    <t>ft/sec</t>
  </si>
  <si>
    <t>psi2/(Mscf/day)2</t>
  </si>
  <si>
    <t>psi2/(Mscf/day)</t>
  </si>
  <si>
    <t>Temp</t>
  </si>
  <si>
    <t>Skin</t>
  </si>
  <si>
    <t>Total</t>
  </si>
  <si>
    <t>dP</t>
  </si>
  <si>
    <t>Completion</t>
  </si>
  <si>
    <t>San Control</t>
  </si>
  <si>
    <t>Perforations</t>
  </si>
  <si>
    <t>Penetration</t>
  </si>
  <si>
    <t>Perforation</t>
  </si>
  <si>
    <t>Damage</t>
  </si>
  <si>
    <t>Deviation</t>
  </si>
  <si>
    <t>Velocity</t>
  </si>
  <si>
    <t>@ Casing (Vc)</t>
  </si>
  <si>
    <t>Gravel</t>
  </si>
  <si>
    <t>Non-Darcy (A)</t>
  </si>
  <si>
    <t>Darcy (B)</t>
  </si>
  <si>
    <t>Non Darcy</t>
  </si>
  <si>
    <t>Coefficient</t>
  </si>
  <si>
    <t>Darcy</t>
  </si>
  <si>
    <t>Oil/Gas IFT</t>
  </si>
  <si>
    <t>Standard Dev.</t>
  </si>
  <si>
    <t>From</t>
  </si>
  <si>
    <t>To</t>
  </si>
  <si>
    <t>No of Steps</t>
  </si>
  <si>
    <t>Range to Calculate PVT data</t>
  </si>
  <si>
    <t>Xmas Tree</t>
  </si>
  <si>
    <t>Bottom</t>
  </si>
  <si>
    <t>Hole</t>
  </si>
  <si>
    <t>Flowing</t>
  </si>
  <si>
    <t>Sand</t>
  </si>
  <si>
    <t>Control</t>
  </si>
  <si>
    <t>Match Data (Production Test Data)</t>
  </si>
  <si>
    <t xml:space="preserve">U </t>
  </si>
  <si>
    <t>Pipeline</t>
  </si>
  <si>
    <t>Corr</t>
  </si>
  <si>
    <t>Barnea</t>
  </si>
  <si>
    <t>Criteria</t>
  </si>
  <si>
    <t>Slug</t>
  </si>
  <si>
    <t>Method</t>
  </si>
  <si>
    <t>Input Data</t>
  </si>
  <si>
    <t>STB</t>
  </si>
  <si>
    <t>Gas Rate</t>
  </si>
  <si>
    <t>Barnea Criteria</t>
  </si>
  <si>
    <t>Slug Method</t>
  </si>
  <si>
    <t>Point</t>
  </si>
  <si>
    <t>yes</t>
  </si>
  <si>
    <t>Brill</t>
  </si>
  <si>
    <t>RCS Mechanistic</t>
  </si>
  <si>
    <t>Petroleum Experts 5</t>
  </si>
  <si>
    <t>Name</t>
  </si>
  <si>
    <t>Duns and Ross Modified</t>
  </si>
  <si>
    <t>Hagedorn and Brown</t>
  </si>
  <si>
    <t>Gray</t>
  </si>
  <si>
    <t>Mukerjee Brill</t>
  </si>
  <si>
    <t>Beggs and Brill</t>
  </si>
  <si>
    <t>Status</t>
  </si>
  <si>
    <t>Petroleum Experts</t>
  </si>
  <si>
    <t>Orkiszewski</t>
  </si>
  <si>
    <t>Petroleum Experts 2</t>
  </si>
  <si>
    <t>Duns and Ros Original</t>
  </si>
  <si>
    <t>Petroleum Experts 3</t>
  </si>
  <si>
    <t>GRE (modified by PE)</t>
  </si>
  <si>
    <t>Petroleum Experts 4</t>
  </si>
  <si>
    <t>Hydro-3P</t>
  </si>
  <si>
    <t>Hydro-2P</t>
  </si>
  <si>
    <t>Petroleum Experts 2 (modified)</t>
  </si>
  <si>
    <t>ºF</t>
  </si>
  <si>
    <t>Gradient</t>
  </si>
  <si>
    <t>psi/ft</t>
  </si>
  <si>
    <t>Holdup</t>
  </si>
  <si>
    <t>Regime</t>
  </si>
  <si>
    <t>Plot</t>
  </si>
  <si>
    <t>Correlations</t>
  </si>
  <si>
    <t>Black Oil</t>
  </si>
  <si>
    <t>Fluid</t>
  </si>
  <si>
    <t>Separator</t>
  </si>
  <si>
    <t>File Name</t>
  </si>
  <si>
    <t>File Location</t>
  </si>
  <si>
    <t>WELL</t>
  </si>
  <si>
    <t>FLUID DESCRIPTION</t>
  </si>
  <si>
    <t>Flow Type</t>
  </si>
  <si>
    <t>Well Type</t>
  </si>
  <si>
    <t>ARTIFICIAL LIFT</t>
  </si>
  <si>
    <t>USER INFORMATION</t>
  </si>
  <si>
    <t>Company</t>
  </si>
  <si>
    <t>Field</t>
  </si>
  <si>
    <t>Location</t>
  </si>
  <si>
    <t>Well</t>
  </si>
  <si>
    <t>Platform</t>
  </si>
  <si>
    <t>Analyst</t>
  </si>
  <si>
    <t>CALCULATION TYPE</t>
  </si>
  <si>
    <t>BRINE MODELLING</t>
  </si>
  <si>
    <t>Predict</t>
  </si>
  <si>
    <t>Range</t>
  </si>
  <si>
    <t>Brine Properties Corr</t>
  </si>
  <si>
    <t>WELL COMPLETION</t>
  </si>
  <si>
    <t>Sand Control</t>
  </si>
  <si>
    <t>RESERVOIR</t>
  </si>
  <si>
    <t>Inflow Type</t>
  </si>
  <si>
    <t>COMMENTS</t>
  </si>
  <si>
    <t>PVT Warnings</t>
  </si>
  <si>
    <t>Water Vapour</t>
  </si>
  <si>
    <t>Tubing Flow</t>
  </si>
  <si>
    <t>Producer</t>
  </si>
  <si>
    <t>NO</t>
  </si>
  <si>
    <t>Multi-Stage Separator</t>
  </si>
  <si>
    <t>Disable Warning</t>
  </si>
  <si>
    <t>Cased Hole</t>
  </si>
  <si>
    <t>None</t>
  </si>
  <si>
    <t>Rough Approximation</t>
  </si>
  <si>
    <t>Full System</t>
  </si>
  <si>
    <t>Single Branch</t>
  </si>
  <si>
    <t>PROSPER MODEL SUMMARY</t>
  </si>
  <si>
    <t>Fluid Type</t>
  </si>
  <si>
    <t>Bubble Point</t>
  </si>
  <si>
    <t>GOR</t>
  </si>
  <si>
    <t>Oil FVF</t>
  </si>
  <si>
    <t>Oil Viscosity</t>
  </si>
  <si>
    <t>Dew Point</t>
  </si>
  <si>
    <t>Res. CGR</t>
  </si>
  <si>
    <t>Gas Vis</t>
  </si>
  <si>
    <t>PVT Match Tables (Lab Data)</t>
  </si>
  <si>
    <t>Table:</t>
  </si>
  <si>
    <t>Grvgas</t>
  </si>
  <si>
    <t>Gas Gravity</t>
  </si>
  <si>
    <t>Reservoir Permeability</t>
  </si>
  <si>
    <t>Reservoir Thickness</t>
  </si>
  <si>
    <t>Drainage Area</t>
  </si>
  <si>
    <t>Dietz Shape Factor</t>
  </si>
  <si>
    <t>Wellbore Radius</t>
  </si>
  <si>
    <t>Perforation Interval</t>
  </si>
  <si>
    <t>Mechanical SKIN</t>
  </si>
  <si>
    <t>Test Data</t>
  </si>
  <si>
    <t>FBHP</t>
  </si>
  <si>
    <t>Top Node Pressure</t>
  </si>
  <si>
    <t>Solution Node</t>
  </si>
  <si>
    <t>Rate Method</t>
  </si>
  <si>
    <t>Left-Hand Intersection</t>
  </si>
  <si>
    <t>PE5 Stability Flag</t>
  </si>
  <si>
    <t>Pres</t>
  </si>
  <si>
    <t>Hydro2P</t>
  </si>
  <si>
    <t>PipeLabel</t>
  </si>
  <si>
    <t>PetroleumExperts2</t>
  </si>
  <si>
    <t>TubingLabel</t>
  </si>
  <si>
    <t>Vertical Lift Correlation</t>
  </si>
  <si>
    <t>SolutionNode</t>
  </si>
  <si>
    <t>RateMethod</t>
  </si>
  <si>
    <t>ILHAND</t>
  </si>
  <si>
    <t>PE5STM</t>
  </si>
  <si>
    <t>Default</t>
  </si>
  <si>
    <t>Oil and Water</t>
  </si>
  <si>
    <t>Solgor</t>
  </si>
  <si>
    <t>Solution GOR</t>
  </si>
  <si>
    <t>scf/STB</t>
  </si>
  <si>
    <t>Oil Gravity</t>
  </si>
  <si>
    <t>Mole Percent H2S</t>
  </si>
  <si>
    <t>Mole Percent CO2</t>
  </si>
  <si>
    <t>Mole Percent N2</t>
  </si>
  <si>
    <t>PBcorr</t>
  </si>
  <si>
    <t>Pb, Rs, Bo Correlation</t>
  </si>
  <si>
    <t>Glaso</t>
  </si>
  <si>
    <t>UOcorr</t>
  </si>
  <si>
    <t>Oil Viscosity Correlation</t>
  </si>
  <si>
    <t>Bealetal</t>
  </si>
  <si>
    <t>VisMod</t>
  </si>
  <si>
    <t>Viscosity Model</t>
  </si>
  <si>
    <t>Neutonian Fluid</t>
  </si>
  <si>
    <t>Surface Equipment Correlation</t>
  </si>
  <si>
    <t>Correction Parameter A</t>
  </si>
  <si>
    <t>Correction Parameter B</t>
  </si>
  <si>
    <t>Standard Deviation</t>
  </si>
  <si>
    <t>Bottom Node</t>
  </si>
  <si>
    <t>Automatic - Geometric</t>
  </si>
  <si>
    <t>Unit/Index</t>
  </si>
  <si>
    <t>Sensitivity Cases</t>
  </si>
  <si>
    <t>Sensitivity Variables</t>
  </si>
  <si>
    <t>Variable Name</t>
  </si>
  <si>
    <t xml:space="preserve"> --------------------------------------------------------------</t>
  </si>
  <si>
    <t>Water Gas Ratio</t>
  </si>
  <si>
    <t>Condensate Gas Ratio</t>
  </si>
  <si>
    <t>Water Cut</t>
  </si>
  <si>
    <t>Water Oil Ratio</t>
  </si>
  <si>
    <t>Tubing Roughness</t>
  </si>
  <si>
    <t>Pipe Roughness</t>
  </si>
  <si>
    <t>Downhole Heat Transfer Coefficient</t>
  </si>
  <si>
    <t>Surface Heat Transfer Coefficient</t>
  </si>
  <si>
    <t>Choke Size</t>
  </si>
  <si>
    <t>Tubing/Pipe Diameter</t>
  </si>
  <si>
    <t>Downhole Equipment</t>
  </si>
  <si>
    <t>Use      DoSet PROSPER.ANL.SYS.Sens.SensDB.Clear      to reset ALL sensitivity variable Information</t>
  </si>
  <si>
    <t>You can also use the following syntax to reference the correlation by label</t>
  </si>
  <si>
    <t xml:space="preserve">  PROSPER.ANL.SYS.TubingLabel</t>
  </si>
  <si>
    <t>Use the following list to select the correlation by name</t>
  </si>
  <si>
    <t>DunsandRosModified</t>
  </si>
  <si>
    <t>HagedornBrown</t>
  </si>
  <si>
    <t>FancherBrown</t>
  </si>
  <si>
    <t>MukerjeeBrill</t>
  </si>
  <si>
    <t>BeggsandBrill</t>
  </si>
  <si>
    <t>PetroleumExperts</t>
  </si>
  <si>
    <t>DunsandRosOriginal</t>
  </si>
  <si>
    <t>PetroleumExperts3</t>
  </si>
  <si>
    <t>GREmodifiedbyPE</t>
  </si>
  <si>
    <t>PetroleumExperts4</t>
  </si>
  <si>
    <t>Hydro3P</t>
  </si>
  <si>
    <t>PetroleumExperts5</t>
  </si>
  <si>
    <t>OLGAS2P</t>
  </si>
  <si>
    <t>OLGAS3P</t>
  </si>
  <si>
    <t>OLGAS3PEXT</t>
  </si>
  <si>
    <t>LedaFlow2P</t>
  </si>
  <si>
    <t>LedaFlow3P</t>
  </si>
  <si>
    <t>Use the following list to select the appropriate Correlation Label</t>
  </si>
  <si>
    <t>DuklerFlannigan</t>
  </si>
  <si>
    <t>DuklerEatonFlannigan</t>
  </si>
  <si>
    <t>BeggsandBrillGasHead</t>
  </si>
  <si>
    <t>GREwithDSM</t>
  </si>
  <si>
    <t>GREoriginal</t>
  </si>
  <si>
    <t>GREwithAE</t>
  </si>
  <si>
    <t>PE5Extended</t>
  </si>
  <si>
    <t>Select Variable</t>
  </si>
  <si>
    <t>Automatic - Linear</t>
  </si>
  <si>
    <t>User Selected</t>
  </si>
  <si>
    <t>Rate Method = User Selected</t>
  </si>
  <si>
    <t>VLP</t>
  </si>
  <si>
    <t>VLP 0</t>
  </si>
  <si>
    <t>IPR 0</t>
  </si>
  <si>
    <t>VLP 1</t>
  </si>
  <si>
    <t>IPR 1</t>
  </si>
  <si>
    <t>VLP 2</t>
  </si>
  <si>
    <t>IPR 2</t>
  </si>
  <si>
    <t>VLP 3</t>
  </si>
  <si>
    <t>IPR 3</t>
  </si>
  <si>
    <t>Var 1</t>
  </si>
  <si>
    <t>Var 2</t>
  </si>
  <si>
    <t>Var 3</t>
  </si>
  <si>
    <t>IPR</t>
  </si>
  <si>
    <t>View IPR</t>
  </si>
  <si>
    <t>Maximum X Axis</t>
  </si>
  <si>
    <t>Maximum Y Axis</t>
  </si>
  <si>
    <t>No</t>
  </si>
  <si>
    <t>Oil Rate</t>
  </si>
  <si>
    <t>Water Rate</t>
  </si>
  <si>
    <t>BHA</t>
  </si>
  <si>
    <t>First Node Pressure</t>
  </si>
  <si>
    <t>dP Friction</t>
  </si>
  <si>
    <t>dP Gravity</t>
  </si>
  <si>
    <t>dP Total Skin</t>
  </si>
  <si>
    <t>dP Perforation</t>
  </si>
  <si>
    <t>dP Damage</t>
  </si>
  <si>
    <t>dP Completion</t>
  </si>
  <si>
    <t>Completion Skin</t>
  </si>
  <si>
    <t>Total Skin</t>
  </si>
  <si>
    <t>View Solutions</t>
  </si>
  <si>
    <t>chart</t>
  </si>
  <si>
    <t>SOL 0</t>
  </si>
  <si>
    <t>SOL 1</t>
  </si>
  <si>
    <t>SOL 2</t>
  </si>
  <si>
    <t>SOL 3</t>
  </si>
  <si>
    <t>Restriction</t>
  </si>
  <si>
    <t>Restriction (Downhole Equip)</t>
  </si>
  <si>
    <t>Restriction ID</t>
  </si>
  <si>
    <t>Case 0</t>
  </si>
  <si>
    <t>Case 1</t>
  </si>
  <si>
    <t>Case 2</t>
  </si>
  <si>
    <t>Case 3</t>
  </si>
  <si>
    <t>Case 4</t>
  </si>
  <si>
    <t>Case 5</t>
  </si>
  <si>
    <t>Case 6</t>
  </si>
  <si>
    <t>Case 7</t>
  </si>
  <si>
    <t>Case 8</t>
  </si>
  <si>
    <t>Case 9</t>
  </si>
  <si>
    <t>Gas Rate 0</t>
  </si>
  <si>
    <t>Gas Rate 1</t>
  </si>
  <si>
    <t>STB/day</t>
  </si>
  <si>
    <t>Gas Rate 2</t>
  </si>
  <si>
    <t>How to</t>
  </si>
  <si>
    <t>64ths inch</t>
  </si>
  <si>
    <t>Solutions</t>
  </si>
  <si>
    <t>Downhole</t>
  </si>
  <si>
    <t>Equipment</t>
  </si>
  <si>
    <t>500 piezas</t>
  </si>
  <si>
    <t>10 piezas</t>
  </si>
  <si>
    <t>6 piezas</t>
  </si>
  <si>
    <t>test</t>
  </si>
  <si>
    <t>Tabla 1. Estimación de quema de gas y producción de condensado para periodo de Etapa de limpieza Icla BB.</t>
  </si>
  <si>
    <t>Time</t>
  </si>
  <si>
    <t>Total Gas</t>
  </si>
  <si>
    <t>Description</t>
  </si>
  <si>
    <t>Condensado</t>
  </si>
  <si>
    <t>Descripción</t>
  </si>
  <si>
    <t xml:space="preserve">Volumen total de gas para quema: </t>
  </si>
  <si>
    <t xml:space="preserve">Volumen total de condesado producido: </t>
  </si>
  <si>
    <t>n/64"</t>
  </si>
  <si>
    <t>hrs.</t>
  </si>
  <si>
    <t>Case</t>
  </si>
  <si>
    <t>Test Periods</t>
  </si>
  <si>
    <t>Solutions (System Sensitivity)</t>
  </si>
  <si>
    <t>n/64</t>
  </si>
  <si>
    <t>MM scfd</t>
  </si>
  <si>
    <t>bpd</t>
  </si>
  <si>
    <t>MM scf</t>
  </si>
  <si>
    <t>bbl</t>
  </si>
  <si>
    <t xml:space="preserve">Resumen de cálculos para quema de gas y producción de condensado </t>
  </si>
  <si>
    <t>FBHP, psig</t>
  </si>
  <si>
    <t>Gas Rate, MMscf/day</t>
  </si>
  <si>
    <t>Oil Rate, STB/day</t>
  </si>
  <si>
    <t>Friction</t>
  </si>
  <si>
    <t>Loss</t>
  </si>
  <si>
    <t>Gravity</t>
  </si>
  <si>
    <t>Slip</t>
  </si>
  <si>
    <t>Liquid</t>
  </si>
  <si>
    <t>Vertical</t>
  </si>
  <si>
    <t>True</t>
  </si>
  <si>
    <t>Superficial</t>
  </si>
  <si>
    <t>Water</t>
  </si>
  <si>
    <t>Turner</t>
  </si>
  <si>
    <t>Erosional</t>
  </si>
  <si>
    <t>C Factor</t>
  </si>
  <si>
    <t>Oil</t>
  </si>
  <si>
    <t>Density</t>
  </si>
  <si>
    <t>Mixture</t>
  </si>
  <si>
    <t>Gas-Liquid</t>
  </si>
  <si>
    <t>Interfacial</t>
  </si>
  <si>
    <t>Tension</t>
  </si>
  <si>
    <t>Gas-Water</t>
  </si>
  <si>
    <t>Gas-Oil</t>
  </si>
  <si>
    <t>Oil-Water</t>
  </si>
  <si>
    <t>MSD</t>
  </si>
  <si>
    <t>Grad</t>
  </si>
  <si>
    <t>PrFric</t>
  </si>
  <si>
    <t>PrStat</t>
  </si>
  <si>
    <t>Vlslip</t>
  </si>
  <si>
    <t>Vgslip</t>
  </si>
  <si>
    <t>Vlnslp</t>
  </si>
  <si>
    <t>Vgnslp</t>
  </si>
  <si>
    <t>Vwnslp</t>
  </si>
  <si>
    <t>VlTurn</t>
  </si>
  <si>
    <t>VlEros</t>
  </si>
  <si>
    <t>CFactr</t>
  </si>
  <si>
    <t>RhoOil</t>
  </si>
  <si>
    <t>RhoGas</t>
  </si>
  <si>
    <t>RhoWat</t>
  </si>
  <si>
    <t>RhoMix</t>
  </si>
  <si>
    <t>SigLiq</t>
  </si>
  <si>
    <t>SigWat</t>
  </si>
  <si>
    <t>SigOil</t>
  </si>
  <si>
    <t>SigOW</t>
  </si>
  <si>
    <t>CumLhl</t>
  </si>
  <si>
    <t>DHE Diff (6 piezas)</t>
  </si>
  <si>
    <t>Gas Rate 3</t>
  </si>
  <si>
    <t>Maximum X Axis, Gas Rate</t>
  </si>
  <si>
    <t>Maximum Y Axis, Pressure</t>
  </si>
  <si>
    <t>CheckBox</t>
  </si>
  <si>
    <t>PVT</t>
  </si>
  <si>
    <t>Inflow</t>
  </si>
  <si>
    <t>Analysis</t>
  </si>
  <si>
    <t>Pressure and Temperature (on land)</t>
  </si>
  <si>
    <t>DisAllow</t>
  </si>
  <si>
    <t>PDP</t>
  </si>
  <si>
    <t>Model P</t>
  </si>
  <si>
    <t>Diff</t>
  </si>
  <si>
    <t>Tubing Correlation</t>
  </si>
  <si>
    <t>C</t>
  </si>
  <si>
    <t>n</t>
  </si>
  <si>
    <t>ELF</t>
  </si>
  <si>
    <t>Measured Depth</t>
  </si>
  <si>
    <t>VLP 4</t>
  </si>
  <si>
    <t>IPR 4</t>
  </si>
  <si>
    <t>SOL 4</t>
  </si>
  <si>
    <t>Limpieza</t>
  </si>
  <si>
    <t>Prueba FAF</t>
  </si>
  <si>
    <t>Tabla 1. Estimación de quema de gas y producción de condensado para periodo de Limpieza.</t>
  </si>
  <si>
    <t>Tabla 2. Estimación de quema de gas y producción de condensado para periodo de Prueba FAF.</t>
  </si>
  <si>
    <t>Duración</t>
  </si>
  <si>
    <t>Total Condensado</t>
  </si>
  <si>
    <t>C:\Users\sivilaff\Downloads\OneDrive_1_3-24-2023\ITU-4D 28_02_2023_medio.Out</t>
  </si>
  <si>
    <t>ITU-4D 28_02_2023_medio.Out</t>
  </si>
  <si>
    <t>Retrograde Condensate</t>
  </si>
  <si>
    <t>Use Default Correlation</t>
  </si>
  <si>
    <t>No Calculations</t>
  </si>
  <si>
    <t>PETROBRAS Bolivia</t>
  </si>
  <si>
    <t>Bloque Itau</t>
  </si>
  <si>
    <t>Tarija, Bolivia</t>
  </si>
  <si>
    <t>ITAU-4</t>
  </si>
  <si>
    <t>25/10/2016</t>
  </si>
  <si>
    <t>Ajuste Nodales Enero/2018._x000D_
ajuste de pozo 07/06/2019_x000D_
AJUSTE DE POZO:12/11/2019_x000D_
ajusto a ultima prueba 25/11/2019_x000D_
_x000D_
13/12/2019 - 10:14:19_x000D_
se agrego linea de superficie, para correer prosper only_x000D_
_x000D_
14/01/2020 - 14:23:07_x000D_
AGREGO FLOWLINEA PARA REALIZAR PROSPER ONLY_x000D_
_x000D_
02/08/2020 - 15:30:48_x000D_
ajusta a ultim aprueba de producción_x000D_
_x000D_
08/02/2021 - 18:45:44_x000D_
ajusto a ultim prueba con pooz restringido</t>
  </si>
  <si>
    <t>Line pipe</t>
  </si>
  <si>
    <t>Disabled</t>
  </si>
  <si>
    <t>Pipe</t>
  </si>
  <si>
    <t>Sub-Surface Safety Valve</t>
  </si>
  <si>
    <t>Pup Joint</t>
  </si>
  <si>
    <t>Niple Asiento</t>
  </si>
  <si>
    <t>Flapper</t>
  </si>
  <si>
    <t>SSSV</t>
  </si>
  <si>
    <t>VLP 5</t>
  </si>
  <si>
    <t>IPR 5</t>
  </si>
  <si>
    <t>SOL 5</t>
  </si>
  <si>
    <t>Jones</t>
  </si>
  <si>
    <t>Enter Skin By Hand</t>
  </si>
  <si>
    <t>md</t>
  </si>
  <si>
    <t>acres</t>
  </si>
  <si>
    <t>Well Test Ck 198</t>
  </si>
  <si>
    <t>Fuul Open</t>
  </si>
  <si>
    <t>CK 198</t>
  </si>
  <si>
    <t>Ck 198</t>
  </si>
  <si>
    <t>CK 198 + Comprersion Psucc=200psi</t>
  </si>
  <si>
    <t>ck 198</t>
  </si>
  <si>
    <t>whp</t>
  </si>
  <si>
    <t>BHPF whp+Gradiente diinamico del 2029</t>
  </si>
  <si>
    <t>24/10/2014</t>
  </si>
  <si>
    <t>16/06/2015</t>
  </si>
  <si>
    <t>13/09/2015</t>
  </si>
  <si>
    <t>31/10/2016</t>
  </si>
  <si>
    <t>14/01/2018</t>
  </si>
  <si>
    <t>27/02/2019</t>
  </si>
  <si>
    <t>18/07/2020</t>
  </si>
  <si>
    <t>VLP 6</t>
  </si>
  <si>
    <t>IPR 6</t>
  </si>
  <si>
    <t>SOL 6</t>
  </si>
  <si>
    <t>Layer Pressure</t>
  </si>
  <si>
    <t>Layer Height</t>
  </si>
  <si>
    <t>Layer Skin</t>
  </si>
  <si>
    <t>Permeability</t>
  </si>
  <si>
    <t>Drainage Are</t>
  </si>
  <si>
    <t>PERM</t>
  </si>
  <si>
    <t>DAREA</t>
  </si>
  <si>
    <t>DIETZ</t>
  </si>
  <si>
    <t>WBR</t>
  </si>
  <si>
    <t>WC</t>
  </si>
  <si>
    <t>PRESSURE</t>
  </si>
  <si>
    <t>HEIGHT</t>
  </si>
  <si>
    <t>SKIN</t>
  </si>
  <si>
    <t>Layer 1 (Reservoir Model)</t>
  </si>
  <si>
    <t>Multilayer Sensitivity Analysis</t>
  </si>
  <si>
    <t>Layer 2 (Reservoir Model)</t>
  </si>
  <si>
    <t>Layer 1 Gas Rate</t>
  </si>
  <si>
    <t>Layer 1 Water Rate</t>
  </si>
  <si>
    <t>Layer 1 Oil Rate</t>
  </si>
  <si>
    <t>Layer 2 Gas Rate</t>
  </si>
  <si>
    <t>Layer 2 Water Rate</t>
  </si>
  <si>
    <t>Layer 2 Oil Rate</t>
  </si>
  <si>
    <t>Base</t>
  </si>
  <si>
    <t>gasrate</t>
  </si>
  <si>
    <t>oilrate</t>
  </si>
  <si>
    <t>watrate</t>
  </si>
  <si>
    <t>WHPressure</t>
  </si>
  <si>
    <t>FNPressure</t>
  </si>
  <si>
    <t>PRFRIC</t>
  </si>
  <si>
    <t>PRSTAT</t>
  </si>
  <si>
    <t>MLqGas[0]</t>
  </si>
  <si>
    <t>MLqWat[0]</t>
  </si>
  <si>
    <t>MLqOil[0]</t>
  </si>
  <si>
    <t>MLqGas[1]</t>
  </si>
  <si>
    <t>MLqWat[1]</t>
  </si>
  <si>
    <t>MLqOil[1]</t>
  </si>
  <si>
    <t>BHP</t>
  </si>
  <si>
    <t>Gas Rate 4</t>
  </si>
  <si>
    <t>Gas Rate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</si>
</sst>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0.000"/>
    <numFmt numFmtId="165" formatCode="0.00;\-0.0;0.00"/>
    <numFmt numFmtId="166" formatCode="0.0000"/>
    <numFmt numFmtId="167" formatCode="&quot;Index: &quot;General"/>
    <numFmt numFmtId="168" formatCode="&quot;Index: &quot;0"/>
    <numFmt numFmtId="169" formatCode="0;\-0.0;0"/>
    <numFmt numFmtId="170" formatCode="dd\-mmm\-yyyy"/>
    <numFmt numFmtId="171" formatCode="0.0;\-0.0;&quot;--&quot;"/>
    <numFmt numFmtId="172" formatCode="0.0000;\-0.000;0.00"/>
    <numFmt numFmtId="173" formatCode="0.00;\-0.00;0.00"/>
    <numFmt numFmtId="174" formatCode="0.0000000"/>
    <numFmt numFmtId="175" formatCode="0.0000;\-0.0;0.0"/>
    <numFmt numFmtId="176" formatCode="_-* #,##0.000_-;\-* #,##0.000_-;_-* &quot;-&quot;??_-;_-@_-"/>
    <numFmt numFmtId="177" formatCode="_-* #,##0.0_-;\-* #,##0.0_-;_-* &quot;-&quot;??_-;_-@_-"/>
    <numFmt numFmtId="178" formatCode="#,##0.0"/>
    <numFmt numFmtId="179" formatCode="#,##0.000"/>
    <numFmt numFmtId="180" formatCode="0.00;\-0.0;&quot;--&quot;"/>
    <numFmt numFmtId="181" formatCode="0.0"/>
    <numFmt numFmtId="182" formatCode="#,##0.00_ ;\-#,##0.00\ "/>
    <numFmt numFmtId="183" formatCode="dd\ mmm\ yyyy"/>
  </numFmts>
  <fonts count="42" x14ac:knownFonts="1">
    <font>
      <sz val="9"/>
      <color theme="1"/>
      <name val="Calibri"/>
      <family val="2"/>
    </font>
    <font>
      <b/>
      <sz val="9"/>
      <color theme="1"/>
      <name val="Calibri"/>
      <family val="2"/>
    </font>
    <font>
      <sz val="8"/>
      <color theme="1"/>
      <name val="Calibri"/>
      <family val="2"/>
    </font>
    <font>
      <b/>
      <sz val="9"/>
      <color rgb="FF0000FF"/>
      <name val="Calibri"/>
      <family val="2"/>
    </font>
    <font>
      <b/>
      <sz val="10"/>
      <color theme="1"/>
      <name val="Calibri"/>
      <family val="2"/>
    </font>
    <font>
      <sz val="10"/>
      <color theme="1"/>
      <name val="Calibri"/>
      <family val="2"/>
    </font>
    <font>
      <sz val="9"/>
      <color rgb="FF0000FF"/>
      <name val="Calibri"/>
      <family val="2"/>
    </font>
    <font>
      <sz val="9"/>
      <color theme="0" tint="-0.499984740745262"/>
      <name val="Calibri"/>
      <family val="2"/>
    </font>
    <font>
      <sz val="9"/>
      <color indexed="81"/>
      <name val="Tahoma"/>
      <family val="2"/>
    </font>
    <font>
      <b/>
      <sz val="9"/>
      <color indexed="81"/>
      <name val="Tahoma"/>
      <family val="2"/>
    </font>
    <font>
      <sz val="9"/>
      <color theme="0" tint="-0.249977111117893"/>
      <name val="Calibri"/>
      <family val="2"/>
    </font>
    <font>
      <b/>
      <sz val="9"/>
      <color theme="0" tint="-0.499984740745262"/>
      <name val="Calibri"/>
      <family val="2"/>
    </font>
    <font>
      <b/>
      <sz val="8"/>
      <color theme="1"/>
      <name val="Calibri"/>
      <family val="2"/>
      <scheme val="minor"/>
    </font>
    <font>
      <sz val="11"/>
      <color indexed="81"/>
      <name val="Tahoma"/>
      <family val="2"/>
    </font>
    <font>
      <sz val="9"/>
      <color theme="1"/>
      <name val="Calibri"/>
      <family val="2"/>
    </font>
    <font>
      <sz val="9"/>
      <color theme="0"/>
      <name val="Calibri"/>
      <family val="2"/>
    </font>
    <font>
      <b/>
      <sz val="16"/>
      <color theme="1"/>
      <name val="Calibri"/>
      <family val="2"/>
    </font>
    <font>
      <b/>
      <sz val="12"/>
      <color theme="1"/>
      <name val="Calibri"/>
      <family val="2"/>
    </font>
    <font>
      <sz val="9"/>
      <color theme="0" tint="-0.34998626667073579"/>
      <name val="Calibri"/>
      <family val="2"/>
    </font>
    <font>
      <b/>
      <sz val="8"/>
      <color theme="0" tint="-0.34998626667073579"/>
      <name val="Calibri"/>
      <family val="2"/>
      <scheme val="minor"/>
    </font>
    <font>
      <b/>
      <sz val="8"/>
      <color rgb="FF0000FF"/>
      <name val="Calibri"/>
      <family val="2"/>
      <scheme val="minor"/>
    </font>
    <font>
      <sz val="8"/>
      <color theme="0" tint="-0.499984740745262"/>
      <name val="Calibri"/>
      <family val="2"/>
    </font>
    <font>
      <b/>
      <sz val="9"/>
      <color theme="0"/>
      <name val="Calibri"/>
      <family val="2"/>
    </font>
    <font>
      <sz val="6"/>
      <color theme="0" tint="-0.499984740745262"/>
      <name val="Calibri"/>
      <family val="2"/>
    </font>
    <font>
      <sz val="9"/>
      <color indexed="12"/>
      <name val="Tahoma"/>
      <family val="2"/>
    </font>
    <font>
      <sz val="7"/>
      <color theme="1"/>
      <name val="Calibri"/>
      <family val="2"/>
    </font>
    <font>
      <b/>
      <sz val="9"/>
      <color rgb="FF002060"/>
      <name val="Calibri"/>
      <family val="2"/>
    </font>
    <font>
      <b/>
      <sz val="8"/>
      <color rgb="FF0000FF"/>
      <name val="Calibri"/>
      <family val="2"/>
    </font>
    <font>
      <b/>
      <sz val="8"/>
      <color theme="0" tint="-0.499984740745262"/>
      <name val="Calibri"/>
      <family val="2"/>
    </font>
    <font>
      <b/>
      <sz val="8"/>
      <color theme="1"/>
      <name val="Calibri"/>
      <family val="2"/>
    </font>
    <font>
      <sz val="8"/>
      <color theme="0" tint="-0.34998626667073579"/>
      <name val="Calibri"/>
      <family val="2"/>
    </font>
    <font>
      <sz val="8"/>
      <color theme="1"/>
      <name val="Calibri"/>
      <family val="2"/>
      <scheme val="minor"/>
    </font>
    <font>
      <sz val="10"/>
      <name val="Arial"/>
      <family val="2"/>
    </font>
    <font>
      <b/>
      <sz val="8"/>
      <name val="Arial"/>
      <family val="2"/>
    </font>
    <font>
      <b/>
      <sz val="10"/>
      <color theme="0"/>
      <name val="Calibri"/>
      <family val="2"/>
      <scheme val="minor"/>
    </font>
    <font>
      <sz val="10"/>
      <name val="Calibri"/>
      <family val="2"/>
      <scheme val="minor"/>
    </font>
    <font>
      <b/>
      <sz val="8"/>
      <name val="Calibri"/>
      <family val="2"/>
      <scheme val="minor"/>
    </font>
    <font>
      <sz val="8"/>
      <name val="Calibri"/>
      <family val="2"/>
      <scheme val="minor"/>
    </font>
    <font>
      <b/>
      <sz val="8"/>
      <color indexed="8"/>
      <name val="Calibri"/>
      <family val="2"/>
      <scheme val="minor"/>
    </font>
    <font>
      <b/>
      <sz val="9"/>
      <color theme="1"/>
      <name val="Calibri"/>
      <family val="2"/>
      <scheme val="minor"/>
    </font>
    <font>
      <sz val="7"/>
      <color theme="0" tint="-0.499984740745262"/>
      <name val="Calibri"/>
      <family val="2"/>
    </font>
    <font>
      <b/>
      <sz val="15"/>
      <color theme="1"/>
      <name val="Calibri"/>
      <family val="2"/>
    </font>
  </fonts>
  <fills count="21">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rgb="FFADD8E6"/>
        <bgColor indexed="64"/>
      </patternFill>
    </fill>
    <fill>
      <patternFill patternType="solid">
        <fgColor rgb="FFCAE6EF"/>
        <bgColor indexed="64"/>
      </patternFill>
    </fill>
    <fill>
      <patternFill patternType="solid">
        <fgColor theme="4" tint="-0.499984740745262"/>
        <bgColor indexed="64"/>
      </patternFill>
    </fill>
    <fill>
      <patternFill patternType="solid">
        <fgColor theme="6" tint="0.59999389629810485"/>
        <bgColor indexed="64"/>
      </patternFill>
    </fill>
  </fills>
  <borders count="98">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14996795556505021"/>
      </right>
      <top style="thin">
        <color indexed="64"/>
      </top>
      <bottom/>
      <diagonal/>
    </border>
    <border>
      <left/>
      <right style="thin">
        <color theme="0" tint="-0.14996795556505021"/>
      </right>
      <top/>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3743705557422"/>
      </right>
      <top style="thin">
        <color indexed="64"/>
      </top>
      <bottom/>
      <diagonal/>
    </border>
    <border>
      <left style="thin">
        <color theme="0" tint="-0.14996795556505021"/>
      </left>
      <right style="thin">
        <color theme="0" tint="-0.14993743705557422"/>
      </right>
      <top/>
      <bottom/>
      <diagonal/>
    </border>
    <border>
      <left style="thin">
        <color theme="0" tint="-0.14996795556505021"/>
      </left>
      <right style="thin">
        <color theme="0" tint="-0.14993743705557422"/>
      </right>
      <top/>
      <bottom style="thin">
        <color theme="0" tint="-0.14996795556505021"/>
      </bottom>
      <diagonal/>
    </border>
    <border>
      <left/>
      <right style="thin">
        <color theme="0" tint="-0.14993743705557422"/>
      </right>
      <top style="thin">
        <color indexed="64"/>
      </top>
      <bottom/>
      <diagonal/>
    </border>
    <border>
      <left/>
      <right style="thin">
        <color theme="0" tint="-0.14993743705557422"/>
      </right>
      <top/>
      <bottom/>
      <diagonal/>
    </border>
    <border>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3743705557422"/>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34998626667073579"/>
      </left>
      <right/>
      <top style="thin">
        <color indexed="64"/>
      </top>
      <bottom/>
      <diagonal/>
    </border>
    <border>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499984740745262"/>
      </left>
      <right/>
      <top style="thin">
        <color indexed="64"/>
      </top>
      <bottom/>
      <diagonal/>
    </border>
    <border>
      <left/>
      <right style="thin">
        <color theme="0" tint="-0.499984740745262"/>
      </right>
      <top style="thin">
        <color indexed="64"/>
      </top>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top style="thin">
        <color theme="0" tint="-0.34998626667073579"/>
      </top>
      <bottom/>
      <diagonal/>
    </border>
    <border>
      <left style="thin">
        <color indexed="64"/>
      </left>
      <right/>
      <top/>
      <bottom style="thin">
        <color theme="0" tint="-0.34998626667073579"/>
      </bottom>
      <diagonal/>
    </border>
    <border>
      <left style="thin">
        <color theme="0" tint="-0.499984740745262"/>
      </left>
      <right/>
      <top/>
      <bottom style="thin">
        <color theme="0" tint="-0.499984740745262"/>
      </bottom>
      <diagonal/>
    </border>
    <border>
      <left/>
      <right style="thin">
        <color indexed="64"/>
      </right>
      <top/>
      <bottom style="thin">
        <color theme="0" tint="-0.34998626667073579"/>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
      <left/>
      <right style="thin">
        <color theme="0" tint="-0.34998626667073579"/>
      </right>
      <top style="thin">
        <color indexed="64"/>
      </top>
      <bottom style="thin">
        <color indexed="64"/>
      </bottom>
      <diagonal/>
    </border>
    <border>
      <left/>
      <right style="thin">
        <color indexed="64"/>
      </right>
      <top style="thin">
        <color theme="0" tint="-0.34998626667073579"/>
      </top>
      <bottom/>
      <diagonal/>
    </border>
  </borders>
  <cellStyleXfs count="4">
    <xf numFmtId="0" fontId="0" fillId="0" borderId="0"/>
    <xf numFmtId="43" fontId="14" fillId="0" borderId="0" applyFont="0" applyFill="0" applyBorder="0" applyAlignment="0" applyProtection="0"/>
    <xf numFmtId="0" fontId="31" fillId="0" borderId="0"/>
    <xf numFmtId="0" fontId="32" fillId="0" borderId="0"/>
  </cellStyleXfs>
  <cellXfs count="714">
    <xf numFmtId="0" fontId="0" fillId="0" borderId="0" xfId="0"/>
    <xf numFmtId="0" fontId="0" fillId="0" borderId="0" xfId="0" applyAlignment="1">
      <alignment horizontal="right"/>
    </xf>
    <xf numFmtId="0" fontId="1" fillId="2" borderId="2" xfId="0" applyFont="1" applyFill="1" applyBorder="1" applyAlignment="1">
      <alignment horizontal="right"/>
    </xf>
    <xf numFmtId="0" fontId="1" fillId="2" borderId="3" xfId="0" applyFont="1" applyFill="1" applyBorder="1" applyAlignment="1">
      <alignment horizontal="right"/>
    </xf>
    <xf numFmtId="0" fontId="1" fillId="2" borderId="4" xfId="0" applyFont="1" applyFill="1" applyBorder="1" applyAlignment="1">
      <alignment horizontal="right"/>
    </xf>
    <xf numFmtId="0" fontId="1" fillId="2" borderId="5" xfId="0" applyFont="1" applyFill="1" applyBorder="1" applyAlignment="1">
      <alignment horizontal="right"/>
    </xf>
    <xf numFmtId="0" fontId="1" fillId="2" borderId="0" xfId="0" applyFont="1" applyFill="1" applyAlignment="1">
      <alignment horizontal="right"/>
    </xf>
    <xf numFmtId="0" fontId="1" fillId="2" borderId="6" xfId="0" applyFont="1" applyFill="1" applyBorder="1" applyAlignment="1">
      <alignment horizontal="right"/>
    </xf>
    <xf numFmtId="164" fontId="0" fillId="0" borderId="0" xfId="0" applyNumberFormat="1" applyAlignment="1">
      <alignment horizontal="right"/>
    </xf>
    <xf numFmtId="2" fontId="0" fillId="0" borderId="0" xfId="0" applyNumberFormat="1" applyAlignment="1">
      <alignment horizontal="right"/>
    </xf>
    <xf numFmtId="0" fontId="2" fillId="2" borderId="7" xfId="0" applyFont="1" applyFill="1" applyBorder="1" applyAlignment="1">
      <alignment horizontal="right"/>
    </xf>
    <xf numFmtId="0" fontId="2" fillId="2" borderId="1" xfId="0" applyFont="1" applyFill="1" applyBorder="1" applyAlignment="1">
      <alignment horizontal="right"/>
    </xf>
    <xf numFmtId="0" fontId="2" fillId="2" borderId="8" xfId="0" applyFont="1" applyFill="1" applyBorder="1" applyAlignment="1">
      <alignment horizontal="right"/>
    </xf>
    <xf numFmtId="0" fontId="3" fillId="0" borderId="0" xfId="0" applyFont="1" applyAlignment="1">
      <alignment horizontal="left"/>
    </xf>
    <xf numFmtId="0" fontId="3" fillId="0" borderId="0" xfId="0" applyFont="1" applyAlignment="1">
      <alignment horizontal="right" indent="1"/>
    </xf>
    <xf numFmtId="0" fontId="0" fillId="0" borderId="0" xfId="0" applyAlignment="1">
      <alignment horizontal="right" indent="1"/>
    </xf>
    <xf numFmtId="0" fontId="1" fillId="2" borderId="2" xfId="0" applyFont="1" applyFill="1" applyBorder="1" applyAlignment="1">
      <alignment horizontal="right" indent="1"/>
    </xf>
    <xf numFmtId="0" fontId="1" fillId="2" borderId="3" xfId="0" applyFont="1" applyFill="1" applyBorder="1" applyAlignment="1">
      <alignment horizontal="right" indent="1"/>
    </xf>
    <xf numFmtId="0" fontId="1" fillId="2" borderId="4" xfId="0" applyFont="1" applyFill="1" applyBorder="1" applyAlignment="1">
      <alignment horizontal="right" indent="1"/>
    </xf>
    <xf numFmtId="0" fontId="1" fillId="2" borderId="5" xfId="0" applyFont="1" applyFill="1" applyBorder="1" applyAlignment="1">
      <alignment horizontal="right" indent="1"/>
    </xf>
    <xf numFmtId="0" fontId="1" fillId="2" borderId="0" xfId="0" applyFont="1" applyFill="1" applyAlignment="1">
      <alignment horizontal="right" indent="1"/>
    </xf>
    <xf numFmtId="0" fontId="1" fillId="2" borderId="6" xfId="0" applyFont="1" applyFill="1" applyBorder="1" applyAlignment="1">
      <alignment horizontal="right" indent="1"/>
    </xf>
    <xf numFmtId="0" fontId="2" fillId="2" borderId="7" xfId="0" applyFont="1" applyFill="1" applyBorder="1" applyAlignment="1">
      <alignment horizontal="right" indent="1"/>
    </xf>
    <xf numFmtId="0" fontId="2" fillId="2" borderId="1" xfId="0" applyFont="1" applyFill="1" applyBorder="1" applyAlignment="1">
      <alignment horizontal="right" indent="1"/>
    </xf>
    <xf numFmtId="0" fontId="2" fillId="2" borderId="8" xfId="0" applyFont="1" applyFill="1" applyBorder="1" applyAlignment="1">
      <alignment horizontal="right" indent="1"/>
    </xf>
    <xf numFmtId="2" fontId="0" fillId="0" borderId="5" xfId="0" applyNumberFormat="1" applyBorder="1" applyAlignment="1">
      <alignment horizontal="right" indent="1"/>
    </xf>
    <xf numFmtId="2" fontId="0" fillId="0" borderId="0" xfId="0" applyNumberFormat="1" applyAlignment="1">
      <alignment horizontal="right" indent="1"/>
    </xf>
    <xf numFmtId="164" fontId="0" fillId="0" borderId="6" xfId="0" applyNumberFormat="1" applyBorder="1" applyAlignment="1">
      <alignment horizontal="right" indent="1"/>
    </xf>
    <xf numFmtId="0" fontId="0" fillId="0" borderId="0" xfId="0" applyAlignment="1">
      <alignment horizontal="left"/>
    </xf>
    <xf numFmtId="0" fontId="0" fillId="2" borderId="2" xfId="0" applyFill="1" applyBorder="1" applyAlignment="1">
      <alignment horizontal="left"/>
    </xf>
    <xf numFmtId="0" fontId="1" fillId="2" borderId="3"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0" fontId="1" fillId="2" borderId="0" xfId="0" applyFont="1" applyFill="1"/>
    <xf numFmtId="0" fontId="1" fillId="2" borderId="0" xfId="0" applyFont="1" applyFill="1" applyAlignment="1">
      <alignment horizontal="left"/>
    </xf>
    <xf numFmtId="0" fontId="0" fillId="2" borderId="7" xfId="0" applyFill="1" applyBorder="1" applyAlignment="1">
      <alignment horizontal="left"/>
    </xf>
    <xf numFmtId="0" fontId="0" fillId="2" borderId="1" xfId="0" applyFill="1" applyBorder="1"/>
    <xf numFmtId="0" fontId="0" fillId="2" borderId="1" xfId="0" applyFill="1" applyBorder="1" applyAlignment="1">
      <alignment horizontal="right"/>
    </xf>
    <xf numFmtId="0" fontId="0" fillId="2" borderId="8" xfId="0" applyFill="1" applyBorder="1" applyAlignment="1">
      <alignment horizontal="right"/>
    </xf>
    <xf numFmtId="0" fontId="0" fillId="2" borderId="3" xfId="0" applyFill="1" applyBorder="1" applyAlignment="1">
      <alignment horizontal="left"/>
    </xf>
    <xf numFmtId="0" fontId="0" fillId="2" borderId="0" xfId="0" applyFill="1" applyAlignment="1">
      <alignment horizontal="left"/>
    </xf>
    <xf numFmtId="0" fontId="0" fillId="2" borderId="1" xfId="0" applyFill="1" applyBorder="1" applyAlignment="1">
      <alignment horizontal="left"/>
    </xf>
    <xf numFmtId="0" fontId="1" fillId="2" borderId="1" xfId="0" applyFont="1" applyFill="1" applyBorder="1"/>
    <xf numFmtId="0" fontId="1" fillId="2" borderId="1" xfId="0" applyFont="1" applyFill="1" applyBorder="1" applyAlignment="1">
      <alignment horizontal="left"/>
    </xf>
    <xf numFmtId="0" fontId="1" fillId="2" borderId="1" xfId="0" applyFont="1" applyFill="1" applyBorder="1" applyAlignment="1">
      <alignment horizontal="right"/>
    </xf>
    <xf numFmtId="0" fontId="1" fillId="2" borderId="8" xfId="0" applyFont="1" applyFill="1" applyBorder="1" applyAlignment="1">
      <alignment horizontal="right"/>
    </xf>
    <xf numFmtId="0" fontId="3" fillId="2" borderId="2" xfId="0" applyFont="1" applyFill="1" applyBorder="1"/>
    <xf numFmtId="0" fontId="3" fillId="2" borderId="5" xfId="0" applyFont="1" applyFill="1" applyBorder="1"/>
    <xf numFmtId="0" fontId="3" fillId="2" borderId="7" xfId="0" applyFont="1" applyFill="1" applyBorder="1"/>
    <xf numFmtId="0" fontId="1" fillId="0" borderId="0" xfId="0" applyFont="1"/>
    <xf numFmtId="0" fontId="1" fillId="0" borderId="0" xfId="0" applyFont="1" applyAlignment="1">
      <alignment horizontal="left"/>
    </xf>
    <xf numFmtId="0" fontId="1" fillId="0" borderId="0" xfId="0" applyFont="1" applyAlignment="1">
      <alignment horizontal="right"/>
    </xf>
    <xf numFmtId="0" fontId="1" fillId="2" borderId="2" xfId="0" applyFont="1" applyFill="1" applyBorder="1" applyAlignment="1">
      <alignment horizontal="left"/>
    </xf>
    <xf numFmtId="0" fontId="1" fillId="2" borderId="7" xfId="0" applyFont="1" applyFill="1" applyBorder="1" applyAlignment="1">
      <alignment horizontal="left"/>
    </xf>
    <xf numFmtId="0" fontId="4" fillId="3" borderId="9" xfId="0" applyFont="1" applyFill="1" applyBorder="1" applyAlignment="1">
      <alignment vertical="center"/>
    </xf>
    <xf numFmtId="0" fontId="5" fillId="3" borderId="10" xfId="0" applyFont="1" applyFill="1" applyBorder="1" applyAlignment="1">
      <alignment horizontal="center" vertical="center"/>
    </xf>
    <xf numFmtId="0" fontId="5" fillId="3" borderId="10" xfId="0" applyFont="1" applyFill="1" applyBorder="1" applyAlignment="1">
      <alignment horizontal="left" vertical="center"/>
    </xf>
    <xf numFmtId="166" fontId="0" fillId="0" borderId="0" xfId="0" applyNumberFormat="1" applyAlignment="1">
      <alignment horizontal="right"/>
    </xf>
    <xf numFmtId="0" fontId="0" fillId="0" borderId="0" xfId="0" applyAlignment="1">
      <alignment horizontal="center"/>
    </xf>
    <xf numFmtId="0" fontId="3" fillId="2" borderId="10" xfId="0" applyFont="1" applyFill="1" applyBorder="1"/>
    <xf numFmtId="0" fontId="1" fillId="2" borderId="10" xfId="0" applyFont="1" applyFill="1" applyBorder="1"/>
    <xf numFmtId="1" fontId="0" fillId="0" borderId="0" xfId="0" applyNumberFormat="1"/>
    <xf numFmtId="168" fontId="7" fillId="2" borderId="11" xfId="0" applyNumberFormat="1" applyFont="1" applyFill="1" applyBorder="1" applyAlignment="1">
      <alignment horizontal="center"/>
    </xf>
    <xf numFmtId="164" fontId="0" fillId="2" borderId="11" xfId="0" applyNumberFormat="1" applyFill="1" applyBorder="1" applyAlignment="1">
      <alignment horizontal="center"/>
    </xf>
    <xf numFmtId="166" fontId="3" fillId="2" borderId="10" xfId="0" applyNumberFormat="1" applyFont="1" applyFill="1" applyBorder="1" applyAlignment="1">
      <alignment horizontal="center"/>
    </xf>
    <xf numFmtId="0" fontId="6" fillId="0" borderId="0" xfId="0" applyFont="1"/>
    <xf numFmtId="165" fontId="0" fillId="0" borderId="0" xfId="0" applyNumberFormat="1"/>
    <xf numFmtId="0" fontId="3" fillId="0" borderId="0" xfId="0" applyFont="1" applyAlignment="1">
      <alignment horizontal="center"/>
    </xf>
    <xf numFmtId="0" fontId="1" fillId="2" borderId="2" xfId="0" applyFont="1" applyFill="1" applyBorder="1" applyAlignment="1">
      <alignment horizontal="center"/>
    </xf>
    <xf numFmtId="0" fontId="1" fillId="2" borderId="5" xfId="0" applyFont="1" applyFill="1" applyBorder="1" applyAlignment="1">
      <alignment horizontal="center"/>
    </xf>
    <xf numFmtId="0" fontId="2" fillId="2" borderId="7" xfId="0" applyFont="1" applyFill="1" applyBorder="1" applyAlignment="1">
      <alignment horizontal="center"/>
    </xf>
    <xf numFmtId="169" fontId="0" fillId="0" borderId="0" xfId="0" applyNumberFormat="1" applyAlignment="1">
      <alignment horizontal="center"/>
    </xf>
    <xf numFmtId="0" fontId="1" fillId="2" borderId="9" xfId="0" applyFont="1" applyFill="1" applyBorder="1" applyAlignment="1">
      <alignment horizontal="left"/>
    </xf>
    <xf numFmtId="2" fontId="0" fillId="0" borderId="2" xfId="0" applyNumberFormat="1" applyBorder="1" applyAlignment="1">
      <alignment horizontal="right" indent="1"/>
    </xf>
    <xf numFmtId="2" fontId="0" fillId="0" borderId="3" xfId="0" applyNumberFormat="1" applyBorder="1" applyAlignment="1">
      <alignment horizontal="right" indent="1"/>
    </xf>
    <xf numFmtId="164" fontId="0" fillId="0" borderId="4" xfId="0" applyNumberFormat="1" applyBorder="1" applyAlignment="1">
      <alignment horizontal="right" indent="1"/>
    </xf>
    <xf numFmtId="167" fontId="7" fillId="2" borderId="4" xfId="0" applyNumberFormat="1" applyFont="1" applyFill="1" applyBorder="1" applyAlignment="1">
      <alignment horizontal="left"/>
    </xf>
    <xf numFmtId="167" fontId="7" fillId="2" borderId="6" xfId="0" applyNumberFormat="1" applyFont="1" applyFill="1" applyBorder="1" applyAlignment="1">
      <alignment horizontal="left"/>
    </xf>
    <xf numFmtId="167" fontId="7" fillId="2" borderId="8" xfId="0" applyNumberFormat="1" applyFont="1" applyFill="1" applyBorder="1" applyAlignment="1">
      <alignment horizontal="left"/>
    </xf>
    <xf numFmtId="0" fontId="1" fillId="0" borderId="3" xfId="0" applyFont="1" applyBorder="1" applyAlignment="1">
      <alignment horizontal="left"/>
    </xf>
    <xf numFmtId="0" fontId="1" fillId="0" borderId="3" xfId="0" applyFont="1" applyBorder="1" applyAlignment="1">
      <alignment horizontal="right" indent="1"/>
    </xf>
    <xf numFmtId="0" fontId="1" fillId="0" borderId="4" xfId="0" applyFont="1" applyBorder="1" applyAlignment="1">
      <alignment horizontal="right" indent="1"/>
    </xf>
    <xf numFmtId="0" fontId="1" fillId="0" borderId="0" xfId="0" applyFont="1" applyAlignment="1">
      <alignment horizontal="right" indent="1"/>
    </xf>
    <xf numFmtId="0" fontId="1" fillId="0" borderId="6" xfId="0" applyFont="1" applyBorder="1" applyAlignment="1">
      <alignment horizontal="right" indent="1"/>
    </xf>
    <xf numFmtId="0" fontId="1" fillId="0" borderId="2" xfId="0" applyFont="1" applyBorder="1" applyAlignment="1">
      <alignment horizontal="left" indent="1"/>
    </xf>
    <xf numFmtId="0" fontId="1" fillId="0" borderId="5" xfId="0" applyFont="1" applyBorder="1" applyAlignment="1">
      <alignment horizontal="left" indent="1"/>
    </xf>
    <xf numFmtId="0" fontId="0" fillId="0" borderId="0" xfId="0" applyAlignment="1">
      <alignment horizontal="left" indent="1"/>
    </xf>
    <xf numFmtId="167" fontId="7" fillId="3" borderId="11" xfId="0" applyNumberFormat="1" applyFont="1" applyFill="1" applyBorder="1" applyAlignment="1">
      <alignment horizontal="left" vertical="center"/>
    </xf>
    <xf numFmtId="0" fontId="10" fillId="0" borderId="0" xfId="0" applyFont="1"/>
    <xf numFmtId="0" fontId="1" fillId="0" borderId="9" xfId="0" applyFont="1" applyBorder="1"/>
    <xf numFmtId="0" fontId="1" fillId="0" borderId="10" xfId="0" applyFont="1" applyBorder="1"/>
    <xf numFmtId="0" fontId="3" fillId="0" borderId="0" xfId="0" applyFont="1"/>
    <xf numFmtId="164" fontId="0" fillId="0" borderId="0" xfId="0" applyNumberFormat="1"/>
    <xf numFmtId="2" fontId="0" fillId="0" borderId="0" xfId="0" applyNumberFormat="1"/>
    <xf numFmtId="0" fontId="1" fillId="0" borderId="11" xfId="0" applyFont="1" applyBorder="1" applyAlignment="1">
      <alignment horizontal="left" indent="1"/>
    </xf>
    <xf numFmtId="0" fontId="1" fillId="0" borderId="10" xfId="0" applyFont="1" applyBorder="1" applyAlignment="1">
      <alignment horizontal="right"/>
    </xf>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1" xfId="0" applyBorder="1" applyAlignment="1">
      <alignment horizontal="center"/>
    </xf>
    <xf numFmtId="0" fontId="1" fillId="0" borderId="2" xfId="0" applyFont="1" applyBorder="1" applyAlignment="1">
      <alignment horizontal="right"/>
    </xf>
    <xf numFmtId="0" fontId="1" fillId="0" borderId="3" xfId="0" applyFont="1" applyBorder="1" applyAlignment="1">
      <alignment horizontal="right"/>
    </xf>
    <xf numFmtId="0" fontId="1" fillId="0" borderId="4" xfId="0" applyFont="1" applyBorder="1" applyAlignment="1">
      <alignment horizontal="right"/>
    </xf>
    <xf numFmtId="0" fontId="1" fillId="0" borderId="5" xfId="0" applyFont="1" applyBorder="1" applyAlignment="1">
      <alignment horizontal="right"/>
    </xf>
    <xf numFmtId="0" fontId="1" fillId="0" borderId="6" xfId="0" applyFont="1" applyBorder="1" applyAlignment="1">
      <alignment horizontal="right"/>
    </xf>
    <xf numFmtId="0" fontId="1" fillId="0" borderId="1" xfId="0" applyFont="1" applyBorder="1" applyAlignment="1">
      <alignment horizontal="right"/>
    </xf>
    <xf numFmtId="0" fontId="1" fillId="4" borderId="9" xfId="0" applyFont="1" applyFill="1" applyBorder="1" applyAlignment="1">
      <alignment horizontal="left"/>
    </xf>
    <xf numFmtId="0" fontId="4" fillId="4" borderId="11" xfId="0" applyFont="1" applyFill="1" applyBorder="1" applyAlignment="1">
      <alignment horizontal="center"/>
    </xf>
    <xf numFmtId="0" fontId="0" fillId="0" borderId="12" xfId="0" applyBorder="1"/>
    <xf numFmtId="11" fontId="0" fillId="0" borderId="0" xfId="0" applyNumberFormat="1" applyAlignment="1">
      <alignment horizontal="right"/>
    </xf>
    <xf numFmtId="0" fontId="11" fillId="0" borderId="1" xfId="0" applyFont="1" applyBorder="1" applyAlignment="1">
      <alignment horizontal="right"/>
    </xf>
    <xf numFmtId="0" fontId="12" fillId="5" borderId="1" xfId="0" applyFont="1" applyFill="1" applyBorder="1"/>
    <xf numFmtId="171" fontId="0" fillId="0" borderId="0" xfId="0" applyNumberFormat="1"/>
    <xf numFmtId="0" fontId="12" fillId="5" borderId="1" xfId="0" applyFont="1" applyFill="1" applyBorder="1" applyAlignment="1">
      <alignment horizontal="left" indent="1"/>
    </xf>
    <xf numFmtId="0" fontId="7" fillId="0" borderId="1" xfId="0" applyFont="1" applyBorder="1" applyAlignment="1">
      <alignment horizontal="right"/>
    </xf>
    <xf numFmtId="0" fontId="7" fillId="0" borderId="7" xfId="0" applyFont="1" applyBorder="1" applyAlignment="1">
      <alignment horizontal="right"/>
    </xf>
    <xf numFmtId="0" fontId="7" fillId="0" borderId="8" xfId="0" applyFont="1" applyBorder="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64" fontId="0" fillId="0" borderId="16" xfId="0" applyNumberFormat="1" applyBorder="1" applyAlignment="1">
      <alignment horizontal="center"/>
    </xf>
    <xf numFmtId="164" fontId="0" fillId="0" borderId="17" xfId="0" applyNumberFormat="1" applyBorder="1" applyAlignment="1">
      <alignment horizontal="center"/>
    </xf>
    <xf numFmtId="164" fontId="0" fillId="0" borderId="18" xfId="0" applyNumberFormat="1" applyBorder="1" applyAlignment="1">
      <alignment horizontal="center"/>
    </xf>
    <xf numFmtId="164" fontId="0" fillId="0" borderId="19" xfId="0" applyNumberFormat="1" applyBorder="1" applyAlignment="1">
      <alignment horizontal="center"/>
    </xf>
    <xf numFmtId="164" fontId="0" fillId="0" borderId="20" xfId="0" applyNumberFormat="1" applyBorder="1" applyAlignment="1">
      <alignment horizontal="center"/>
    </xf>
    <xf numFmtId="164" fontId="0" fillId="0" borderId="21" xfId="0" applyNumberFormat="1" applyBorder="1" applyAlignment="1">
      <alignment horizontal="center"/>
    </xf>
    <xf numFmtId="0" fontId="1" fillId="0" borderId="13" xfId="0" applyFont="1" applyBorder="1"/>
    <xf numFmtId="0" fontId="1" fillId="0" borderId="14" xfId="0" applyFont="1" applyBorder="1"/>
    <xf numFmtId="0" fontId="1" fillId="0" borderId="15" xfId="0" applyFont="1" applyBorder="1"/>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174" fontId="0" fillId="0" borderId="22" xfId="0" applyNumberFormat="1" applyBorder="1" applyAlignment="1">
      <alignment horizontal="center"/>
    </xf>
    <xf numFmtId="174" fontId="0" fillId="0" borderId="23" xfId="0" applyNumberFormat="1" applyBorder="1" applyAlignment="1">
      <alignment horizontal="center"/>
    </xf>
    <xf numFmtId="174" fontId="0" fillId="0" borderId="24" xfId="0" applyNumberFormat="1"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left" indent="1"/>
    </xf>
    <xf numFmtId="0" fontId="0" fillId="0" borderId="23" xfId="0" applyBorder="1" applyAlignment="1">
      <alignment horizontal="left" indent="1"/>
    </xf>
    <xf numFmtId="0" fontId="0" fillId="0" borderId="24" xfId="0" applyBorder="1" applyAlignment="1">
      <alignment horizontal="left" indent="1"/>
    </xf>
    <xf numFmtId="0" fontId="0" fillId="0" borderId="12" xfId="0" applyBorder="1" applyAlignment="1">
      <alignment horizontal="right"/>
    </xf>
    <xf numFmtId="175" fontId="0" fillId="0" borderId="0" xfId="0" applyNumberFormat="1" applyAlignment="1">
      <alignment horizontal="right"/>
    </xf>
    <xf numFmtId="0" fontId="1" fillId="7" borderId="2" xfId="0" applyFont="1" applyFill="1" applyBorder="1" applyAlignment="1">
      <alignment horizontal="right"/>
    </xf>
    <xf numFmtId="0" fontId="1" fillId="7" borderId="5" xfId="0" applyFont="1" applyFill="1" applyBorder="1" applyAlignment="1">
      <alignment horizontal="right"/>
    </xf>
    <xf numFmtId="0" fontId="7" fillId="7" borderId="7" xfId="0" applyFont="1" applyFill="1" applyBorder="1" applyAlignment="1">
      <alignment horizontal="right"/>
    </xf>
    <xf numFmtId="173" fontId="0" fillId="8" borderId="3" xfId="0" applyNumberFormat="1" applyFill="1" applyBorder="1" applyAlignment="1">
      <alignment horizontal="right"/>
    </xf>
    <xf numFmtId="173" fontId="0" fillId="8" borderId="31" xfId="0" applyNumberFormat="1" applyFill="1" applyBorder="1" applyAlignment="1">
      <alignment horizontal="right"/>
    </xf>
    <xf numFmtId="173" fontId="0" fillId="8" borderId="0" xfId="0" applyNumberFormat="1" applyFill="1" applyAlignment="1">
      <alignment horizontal="right"/>
    </xf>
    <xf numFmtId="173" fontId="0" fillId="8" borderId="32" xfId="0" applyNumberFormat="1" applyFill="1" applyBorder="1" applyAlignment="1">
      <alignment horizontal="right"/>
    </xf>
    <xf numFmtId="173" fontId="0" fillId="8" borderId="33" xfId="0" applyNumberFormat="1" applyFill="1" applyBorder="1" applyAlignment="1">
      <alignment horizontal="right"/>
    </xf>
    <xf numFmtId="173" fontId="0" fillId="8" borderId="34" xfId="0" applyNumberFormat="1" applyFill="1" applyBorder="1" applyAlignment="1">
      <alignment horizontal="right"/>
    </xf>
    <xf numFmtId="173" fontId="1" fillId="8" borderId="35" xfId="0" applyNumberFormat="1" applyFont="1" applyFill="1" applyBorder="1" applyAlignment="1">
      <alignment horizontal="right"/>
    </xf>
    <xf numFmtId="173" fontId="1" fillId="8" borderId="36" xfId="0" applyNumberFormat="1" applyFont="1" applyFill="1" applyBorder="1" applyAlignment="1">
      <alignment horizontal="right"/>
    </xf>
    <xf numFmtId="173" fontId="1" fillId="8" borderId="37" xfId="0" applyNumberFormat="1" applyFont="1" applyFill="1" applyBorder="1" applyAlignment="1">
      <alignment horizontal="right"/>
    </xf>
    <xf numFmtId="173" fontId="0" fillId="9" borderId="0" xfId="0" applyNumberFormat="1" applyFill="1" applyAlignment="1">
      <alignment horizontal="right"/>
    </xf>
    <xf numFmtId="173" fontId="0" fillId="9" borderId="3" xfId="0" applyNumberFormat="1" applyFill="1" applyBorder="1" applyAlignment="1">
      <alignment horizontal="right"/>
    </xf>
    <xf numFmtId="173" fontId="0" fillId="9" borderId="38" xfId="0" applyNumberFormat="1" applyFill="1" applyBorder="1" applyAlignment="1">
      <alignment horizontal="right"/>
    </xf>
    <xf numFmtId="173" fontId="0" fillId="9" borderId="39" xfId="0" applyNumberFormat="1" applyFill="1" applyBorder="1" applyAlignment="1">
      <alignment horizontal="right"/>
    </xf>
    <xf numFmtId="173" fontId="0" fillId="9" borderId="40" xfId="0" applyNumberFormat="1" applyFill="1" applyBorder="1" applyAlignment="1">
      <alignment horizontal="right"/>
    </xf>
    <xf numFmtId="173" fontId="0" fillId="9" borderId="41" xfId="0" applyNumberFormat="1" applyFill="1" applyBorder="1" applyAlignment="1">
      <alignment horizontal="right"/>
    </xf>
    <xf numFmtId="173" fontId="1" fillId="9" borderId="42" xfId="0" applyNumberFormat="1" applyFont="1" applyFill="1" applyBorder="1" applyAlignment="1">
      <alignment horizontal="right"/>
    </xf>
    <xf numFmtId="173" fontId="1" fillId="9" borderId="43" xfId="0" applyNumberFormat="1" applyFont="1" applyFill="1" applyBorder="1" applyAlignment="1">
      <alignment horizontal="right"/>
    </xf>
    <xf numFmtId="173" fontId="1" fillId="9" borderId="44" xfId="0" applyNumberFormat="1" applyFont="1" applyFill="1" applyBorder="1" applyAlignment="1">
      <alignment horizontal="right"/>
    </xf>
    <xf numFmtId="0" fontId="1" fillId="6" borderId="4" xfId="0" applyFont="1" applyFill="1" applyBorder="1" applyAlignment="1">
      <alignment horizontal="right"/>
    </xf>
    <xf numFmtId="0" fontId="1" fillId="6" borderId="6" xfId="0" applyFont="1" applyFill="1"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7" fillId="6" borderId="8" xfId="0" applyFont="1" applyFill="1" applyBorder="1" applyAlignment="1">
      <alignment horizontal="right"/>
    </xf>
    <xf numFmtId="0" fontId="7" fillId="10" borderId="1" xfId="0" applyFont="1" applyFill="1" applyBorder="1" applyAlignment="1">
      <alignment horizontal="right"/>
    </xf>
    <xf numFmtId="0" fontId="7" fillId="10" borderId="8" xfId="0" applyFont="1" applyFill="1" applyBorder="1" applyAlignment="1">
      <alignment horizontal="right"/>
    </xf>
    <xf numFmtId="0" fontId="0" fillId="10" borderId="3" xfId="0" applyFill="1" applyBorder="1" applyAlignment="1">
      <alignment horizontal="right"/>
    </xf>
    <xf numFmtId="0" fontId="0" fillId="10" borderId="4" xfId="0" applyFill="1" applyBorder="1" applyAlignment="1">
      <alignment horizontal="right"/>
    </xf>
    <xf numFmtId="0" fontId="0" fillId="10" borderId="0" xfId="0" applyFill="1" applyAlignment="1">
      <alignment horizontal="right"/>
    </xf>
    <xf numFmtId="0" fontId="0" fillId="10" borderId="6" xfId="0" applyFill="1" applyBorder="1" applyAlignment="1">
      <alignment horizontal="right"/>
    </xf>
    <xf numFmtId="0" fontId="1" fillId="11" borderId="45" xfId="0" applyFont="1" applyFill="1" applyBorder="1" applyAlignment="1">
      <alignment horizontal="right"/>
    </xf>
    <xf numFmtId="0" fontId="1" fillId="11" borderId="46" xfId="0" applyFont="1" applyFill="1" applyBorder="1" applyAlignment="1">
      <alignment horizontal="right"/>
    </xf>
    <xf numFmtId="0" fontId="7" fillId="11" borderId="47" xfId="0" applyFont="1" applyFill="1" applyBorder="1" applyAlignment="1">
      <alignment horizontal="right"/>
    </xf>
    <xf numFmtId="0" fontId="1" fillId="11" borderId="5" xfId="0" applyFont="1" applyFill="1" applyBorder="1" applyAlignment="1">
      <alignment horizontal="right"/>
    </xf>
    <xf numFmtId="0" fontId="1" fillId="0" borderId="5" xfId="0" quotePrefix="1" applyFont="1" applyBorder="1" applyAlignment="1">
      <alignment horizontal="right"/>
    </xf>
    <xf numFmtId="43" fontId="0" fillId="0" borderId="3" xfId="1" applyFont="1" applyBorder="1" applyAlignment="1">
      <alignment horizontal="right" indent="1"/>
    </xf>
    <xf numFmtId="43" fontId="0" fillId="0" borderId="0" xfId="1" applyFont="1" applyBorder="1" applyAlignment="1">
      <alignment horizontal="right" indent="1"/>
    </xf>
    <xf numFmtId="43" fontId="0" fillId="0" borderId="1" xfId="1" applyFont="1" applyBorder="1" applyAlignment="1">
      <alignment horizontal="right" indent="1"/>
    </xf>
    <xf numFmtId="0" fontId="11" fillId="0" borderId="7" xfId="0" applyFont="1" applyBorder="1" applyAlignment="1">
      <alignment horizontal="left" indent="1"/>
    </xf>
    <xf numFmtId="0" fontId="11" fillId="0" borderId="1" xfId="0" applyFont="1" applyBorder="1" applyAlignment="1">
      <alignment horizontal="left"/>
    </xf>
    <xf numFmtId="0" fontId="11" fillId="0" borderId="1" xfId="0" applyFont="1" applyBorder="1" applyAlignment="1">
      <alignment horizontal="right" indent="1"/>
    </xf>
    <xf numFmtId="0" fontId="11" fillId="0" borderId="8" xfId="0" applyFont="1" applyBorder="1" applyAlignment="1">
      <alignment horizontal="right" indent="1"/>
    </xf>
    <xf numFmtId="14" fontId="0" fillId="0" borderId="0" xfId="0" applyNumberFormat="1"/>
    <xf numFmtId="43" fontId="0" fillId="0" borderId="13" xfId="1" applyFont="1" applyBorder="1" applyAlignment="1">
      <alignment horizontal="right"/>
    </xf>
    <xf numFmtId="43" fontId="0" fillId="0" borderId="14" xfId="1" applyFont="1" applyBorder="1" applyAlignment="1">
      <alignment horizontal="right"/>
    </xf>
    <xf numFmtId="43" fontId="0" fillId="0" borderId="15" xfId="1" applyFont="1" applyBorder="1" applyAlignment="1">
      <alignment horizontal="right"/>
    </xf>
    <xf numFmtId="170" fontId="0" fillId="0" borderId="2" xfId="0" applyNumberFormat="1" applyBorder="1" applyAlignment="1">
      <alignment horizontal="left" indent="1"/>
    </xf>
    <xf numFmtId="0" fontId="0" fillId="0" borderId="3" xfId="0" applyBorder="1" applyAlignment="1">
      <alignment horizontal="left"/>
    </xf>
    <xf numFmtId="43" fontId="0" fillId="0" borderId="3" xfId="1" applyFont="1" applyFill="1" applyBorder="1" applyAlignment="1">
      <alignment horizontal="right" indent="1"/>
    </xf>
    <xf numFmtId="2" fontId="0" fillId="0" borderId="4" xfId="0" applyNumberFormat="1" applyBorder="1" applyAlignment="1">
      <alignment horizontal="right" indent="1"/>
    </xf>
    <xf numFmtId="170" fontId="0" fillId="0" borderId="5" xfId="0" applyNumberFormat="1" applyBorder="1" applyAlignment="1">
      <alignment horizontal="left" indent="1"/>
    </xf>
    <xf numFmtId="43" fontId="0" fillId="0" borderId="0" xfId="1" applyFont="1" applyFill="1" applyBorder="1" applyAlignment="1">
      <alignment horizontal="right" indent="1"/>
    </xf>
    <xf numFmtId="2" fontId="0" fillId="0" borderId="6" xfId="0" applyNumberFormat="1" applyBorder="1" applyAlignment="1">
      <alignment horizontal="right" indent="1"/>
    </xf>
    <xf numFmtId="170" fontId="0" fillId="0" borderId="7" xfId="0" applyNumberFormat="1" applyBorder="1" applyAlignment="1">
      <alignment horizontal="left" indent="1"/>
    </xf>
    <xf numFmtId="0" fontId="0" fillId="0" borderId="1" xfId="0" applyBorder="1" applyAlignment="1">
      <alignment horizontal="left"/>
    </xf>
    <xf numFmtId="2" fontId="0" fillId="0" borderId="1" xfId="0" applyNumberFormat="1" applyBorder="1" applyAlignment="1">
      <alignment horizontal="right" indent="1"/>
    </xf>
    <xf numFmtId="43" fontId="0" fillId="0" borderId="1" xfId="1" applyFont="1" applyFill="1" applyBorder="1" applyAlignment="1">
      <alignment horizontal="right" indent="1"/>
    </xf>
    <xf numFmtId="2" fontId="0" fillId="0" borderId="8" xfId="0" applyNumberFormat="1" applyBorder="1" applyAlignment="1">
      <alignment horizontal="right" indent="1"/>
    </xf>
    <xf numFmtId="170" fontId="0" fillId="8" borderId="5" xfId="0" applyNumberFormat="1" applyFill="1" applyBorder="1" applyAlignment="1">
      <alignment horizontal="left" indent="1"/>
    </xf>
    <xf numFmtId="0" fontId="0" fillId="8" borderId="0" xfId="0" applyFill="1" applyAlignment="1">
      <alignment horizontal="left"/>
    </xf>
    <xf numFmtId="2" fontId="0" fillId="8" borderId="0" xfId="0" applyNumberFormat="1" applyFill="1" applyAlignment="1">
      <alignment horizontal="right" indent="1"/>
    </xf>
    <xf numFmtId="43" fontId="0" fillId="8" borderId="0" xfId="1" applyFont="1" applyFill="1" applyBorder="1" applyAlignment="1">
      <alignment horizontal="right" indent="1"/>
    </xf>
    <xf numFmtId="2" fontId="0" fillId="8" borderId="6" xfId="0" applyNumberFormat="1" applyFill="1" applyBorder="1" applyAlignment="1">
      <alignment horizontal="right" indent="1"/>
    </xf>
    <xf numFmtId="43" fontId="0" fillId="8" borderId="14" xfId="1" applyFont="1" applyFill="1" applyBorder="1" applyAlignment="1">
      <alignment horizontal="right"/>
    </xf>
    <xf numFmtId="43" fontId="0" fillId="0" borderId="0" xfId="1" applyFont="1"/>
    <xf numFmtId="0" fontId="0" fillId="0" borderId="2" xfId="0" applyBorder="1"/>
    <xf numFmtId="0" fontId="0" fillId="0" borderId="5" xfId="0" applyBorder="1"/>
    <xf numFmtId="0" fontId="0" fillId="0" borderId="7" xfId="0" applyBorder="1"/>
    <xf numFmtId="0" fontId="1" fillId="0" borderId="1" xfId="0" applyFont="1" applyBorder="1"/>
    <xf numFmtId="0" fontId="0" fillId="0" borderId="2" xfId="0" applyBorder="1" applyAlignment="1">
      <alignment horizontal="left" indent="1"/>
    </xf>
    <xf numFmtId="0" fontId="0" fillId="0" borderId="5" xfId="0" applyBorder="1" applyAlignment="1">
      <alignment horizontal="left" indent="1"/>
    </xf>
    <xf numFmtId="0" fontId="0" fillId="0" borderId="7" xfId="0" applyBorder="1" applyAlignment="1">
      <alignment horizontal="left" indent="1"/>
    </xf>
    <xf numFmtId="0" fontId="0" fillId="0" borderId="3" xfId="0" applyBorder="1" applyAlignment="1">
      <alignment horizontal="right"/>
    </xf>
    <xf numFmtId="43" fontId="0" fillId="0" borderId="4" xfId="1" applyFont="1" applyBorder="1" applyAlignment="1">
      <alignment horizontal="right" indent="1"/>
    </xf>
    <xf numFmtId="43" fontId="0" fillId="0" borderId="6" xfId="1" applyFont="1" applyBorder="1" applyAlignment="1">
      <alignment horizontal="right" indent="1"/>
    </xf>
    <xf numFmtId="43" fontId="0" fillId="0" borderId="8" xfId="1" applyFont="1" applyBorder="1" applyAlignment="1">
      <alignment horizontal="right" indent="1"/>
    </xf>
    <xf numFmtId="0" fontId="0" fillId="0" borderId="4" xfId="0" applyBorder="1" applyAlignment="1">
      <alignment horizontal="left" indent="1"/>
    </xf>
    <xf numFmtId="0" fontId="0" fillId="0" borderId="6" xfId="0" applyBorder="1" applyAlignment="1">
      <alignment horizontal="left" indent="1"/>
    </xf>
    <xf numFmtId="0" fontId="0" fillId="0" borderId="1"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15" fillId="0" borderId="0" xfId="0" applyFont="1"/>
    <xf numFmtId="43" fontId="0" fillId="0" borderId="0" xfId="1" applyFont="1" applyAlignment="1">
      <alignment horizontal="right"/>
    </xf>
    <xf numFmtId="11" fontId="0" fillId="0" borderId="0" xfId="1" applyNumberFormat="1" applyFont="1"/>
    <xf numFmtId="0" fontId="1" fillId="12" borderId="2" xfId="0" applyFont="1" applyFill="1" applyBorder="1" applyAlignment="1">
      <alignment horizontal="left" indent="1"/>
    </xf>
    <xf numFmtId="43" fontId="1" fillId="12" borderId="3" xfId="1" applyFont="1" applyFill="1" applyBorder="1" applyAlignment="1">
      <alignment horizontal="right" indent="1"/>
    </xf>
    <xf numFmtId="43" fontId="1" fillId="12" borderId="4" xfId="1" applyFont="1" applyFill="1" applyBorder="1" applyAlignment="1">
      <alignment horizontal="right" indent="1"/>
    </xf>
    <xf numFmtId="0" fontId="1" fillId="12" borderId="7" xfId="0" applyFont="1" applyFill="1" applyBorder="1" applyAlignment="1">
      <alignment horizontal="left" indent="1"/>
    </xf>
    <xf numFmtId="43" fontId="1" fillId="12" borderId="1" xfId="1" applyFont="1" applyFill="1" applyBorder="1" applyAlignment="1">
      <alignment horizontal="right" indent="1"/>
    </xf>
    <xf numFmtId="43" fontId="1" fillId="12" borderId="8" xfId="1" applyFont="1" applyFill="1" applyBorder="1" applyAlignment="1">
      <alignment horizontal="right" indent="1"/>
    </xf>
    <xf numFmtId="0" fontId="1" fillId="13" borderId="9" xfId="0" applyFont="1" applyFill="1" applyBorder="1"/>
    <xf numFmtId="0" fontId="1" fillId="13" borderId="10" xfId="0" applyFont="1" applyFill="1" applyBorder="1" applyAlignment="1">
      <alignment horizontal="center"/>
    </xf>
    <xf numFmtId="0" fontId="1" fillId="13" borderId="11" xfId="0" applyFont="1" applyFill="1" applyBorder="1" applyAlignment="1">
      <alignment horizontal="center"/>
    </xf>
    <xf numFmtId="0" fontId="0" fillId="0" borderId="58" xfId="0" applyBorder="1"/>
    <xf numFmtId="0" fontId="0" fillId="0" borderId="59" xfId="0" applyBorder="1"/>
    <xf numFmtId="0" fontId="1" fillId="0" borderId="58" xfId="0" applyFont="1" applyBorder="1"/>
    <xf numFmtId="0" fontId="3" fillId="0" borderId="58" xfId="0" applyFont="1" applyBorder="1"/>
    <xf numFmtId="0" fontId="0" fillId="0" borderId="60" xfId="0" applyBorder="1"/>
    <xf numFmtId="0" fontId="0" fillId="0" borderId="61" xfId="0" applyBorder="1"/>
    <xf numFmtId="0" fontId="0" fillId="0" borderId="62" xfId="0" applyBorder="1"/>
    <xf numFmtId="0" fontId="0" fillId="0" borderId="63" xfId="0" applyBorder="1"/>
    <xf numFmtId="0" fontId="3" fillId="0" borderId="64" xfId="0" applyFont="1" applyBorder="1"/>
    <xf numFmtId="0" fontId="6" fillId="0" borderId="64" xfId="0" applyFont="1" applyBorder="1"/>
    <xf numFmtId="0" fontId="10" fillId="0" borderId="65" xfId="0" applyFont="1" applyBorder="1" applyAlignment="1">
      <alignment horizontal="center"/>
    </xf>
    <xf numFmtId="0" fontId="3" fillId="0" borderId="61" xfId="0" applyFont="1" applyBorder="1"/>
    <xf numFmtId="0" fontId="6" fillId="0" borderId="61" xfId="0" applyFont="1" applyBorder="1"/>
    <xf numFmtId="0" fontId="10" fillId="0" borderId="62" xfId="0" applyFont="1" applyBorder="1" applyAlignment="1">
      <alignment horizontal="center"/>
    </xf>
    <xf numFmtId="0" fontId="6" fillId="2" borderId="9" xfId="0" applyFont="1" applyFill="1" applyBorder="1"/>
    <xf numFmtId="0" fontId="6" fillId="2" borderId="10" xfId="0" applyFont="1" applyFill="1" applyBorder="1"/>
    <xf numFmtId="0" fontId="6" fillId="2" borderId="11" xfId="0" applyFont="1" applyFill="1" applyBorder="1"/>
    <xf numFmtId="0" fontId="1" fillId="0" borderId="9" xfId="0" applyFont="1" applyBorder="1" applyAlignment="1">
      <alignment horizontal="right"/>
    </xf>
    <xf numFmtId="0" fontId="0" fillId="4" borderId="10" xfId="0" applyFill="1" applyBorder="1"/>
    <xf numFmtId="0" fontId="7" fillId="0" borderId="0" xfId="0" applyFont="1" applyAlignment="1">
      <alignment horizontal="left" indent="1"/>
    </xf>
    <xf numFmtId="0" fontId="0" fillId="2" borderId="9" xfId="0" applyFill="1" applyBorder="1" applyAlignment="1">
      <alignment horizontal="right"/>
    </xf>
    <xf numFmtId="0" fontId="0" fillId="2" borderId="10" xfId="0" applyFill="1" applyBorder="1" applyAlignment="1">
      <alignment horizontal="right"/>
    </xf>
    <xf numFmtId="0" fontId="0" fillId="2" borderId="11" xfId="0" applyFill="1" applyBorder="1" applyAlignment="1">
      <alignment horizontal="center"/>
    </xf>
    <xf numFmtId="0" fontId="0" fillId="0" borderId="66" xfId="0" applyBorder="1"/>
    <xf numFmtId="0" fontId="0" fillId="0" borderId="3" xfId="0" applyBorder="1"/>
    <xf numFmtId="0" fontId="0" fillId="0" borderId="67" xfId="0" applyBorder="1"/>
    <xf numFmtId="0" fontId="6" fillId="2" borderId="10" xfId="0" applyFont="1" applyFill="1" applyBorder="1" applyAlignment="1">
      <alignment horizontal="center"/>
    </xf>
    <xf numFmtId="0" fontId="6" fillId="2" borderId="11" xfId="0" applyFont="1" applyFill="1" applyBorder="1" applyAlignment="1">
      <alignment horizontal="center"/>
    </xf>
    <xf numFmtId="0" fontId="1" fillId="14" borderId="9" xfId="0" applyFont="1" applyFill="1" applyBorder="1" applyAlignment="1">
      <alignment horizontal="right"/>
    </xf>
    <xf numFmtId="0" fontId="0" fillId="14" borderId="10" xfId="0" applyFill="1" applyBorder="1" applyAlignment="1">
      <alignment horizontal="right"/>
    </xf>
    <xf numFmtId="0" fontId="0" fillId="14" borderId="11" xfId="0" applyFill="1" applyBorder="1" applyAlignment="1">
      <alignment horizontal="right"/>
    </xf>
    <xf numFmtId="0" fontId="0" fillId="14" borderId="11" xfId="0" applyFill="1" applyBorder="1" applyAlignment="1">
      <alignment horizontal="center"/>
    </xf>
    <xf numFmtId="176" fontId="0" fillId="0" borderId="0" xfId="1" applyNumberFormat="1" applyFont="1"/>
    <xf numFmtId="43" fontId="0" fillId="2" borderId="13" xfId="1" applyFont="1" applyFill="1" applyBorder="1" applyAlignment="1">
      <alignment horizontal="right"/>
    </xf>
    <xf numFmtId="43" fontId="1" fillId="2" borderId="14" xfId="1" applyFont="1" applyFill="1" applyBorder="1" applyAlignment="1">
      <alignment horizontal="right"/>
    </xf>
    <xf numFmtId="43" fontId="7" fillId="2" borderId="15" xfId="1" applyFont="1" applyFill="1" applyBorder="1" applyAlignment="1">
      <alignment horizontal="right"/>
    </xf>
    <xf numFmtId="0" fontId="18" fillId="0" borderId="0" xfId="0" applyFont="1" applyAlignment="1">
      <alignment horizontal="left" indent="1"/>
    </xf>
    <xf numFmtId="0" fontId="19" fillId="5" borderId="1" xfId="0" applyFont="1" applyFill="1" applyBorder="1" applyAlignment="1">
      <alignment horizontal="left" indent="1"/>
    </xf>
    <xf numFmtId="11" fontId="0" fillId="0" borderId="0" xfId="0" applyNumberFormat="1"/>
    <xf numFmtId="0" fontId="12" fillId="8" borderId="3" xfId="0" applyFont="1" applyFill="1" applyBorder="1" applyAlignment="1">
      <alignment horizontal="right"/>
    </xf>
    <xf numFmtId="0" fontId="12" fillId="8" borderId="4" xfId="0" applyFont="1" applyFill="1" applyBorder="1" applyAlignment="1">
      <alignment horizontal="right" indent="1"/>
    </xf>
    <xf numFmtId="0" fontId="21" fillId="8" borderId="1" xfId="0" applyFont="1" applyFill="1" applyBorder="1" applyAlignment="1">
      <alignment horizontal="right"/>
    </xf>
    <xf numFmtId="0" fontId="21" fillId="8" borderId="8" xfId="0" applyFont="1" applyFill="1" applyBorder="1" applyAlignment="1">
      <alignment horizontal="right"/>
    </xf>
    <xf numFmtId="0" fontId="12" fillId="8" borderId="2" xfId="0" applyFont="1" applyFill="1" applyBorder="1" applyAlignment="1">
      <alignment horizontal="left"/>
    </xf>
    <xf numFmtId="0" fontId="12" fillId="8" borderId="3" xfId="0" applyFont="1" applyFill="1" applyBorder="1" applyAlignment="1">
      <alignment horizontal="left"/>
    </xf>
    <xf numFmtId="0" fontId="21" fillId="8" borderId="7" xfId="0" applyFont="1" applyFill="1" applyBorder="1" applyAlignment="1">
      <alignment horizontal="left"/>
    </xf>
    <xf numFmtId="0" fontId="21" fillId="8" borderId="1" xfId="0" applyFont="1" applyFill="1" applyBorder="1" applyAlignment="1">
      <alignment horizontal="left"/>
    </xf>
    <xf numFmtId="0" fontId="20" fillId="0" borderId="0" xfId="0" applyFont="1"/>
    <xf numFmtId="0" fontId="0" fillId="0" borderId="66" xfId="0" applyBorder="1" applyAlignment="1">
      <alignment horizontal="left"/>
    </xf>
    <xf numFmtId="0" fontId="0" fillId="0" borderId="67" xfId="0" applyBorder="1" applyAlignment="1">
      <alignment horizontal="right"/>
    </xf>
    <xf numFmtId="0" fontId="0" fillId="0" borderId="58" xfId="0" applyBorder="1" applyAlignment="1">
      <alignment horizontal="left"/>
    </xf>
    <xf numFmtId="0" fontId="0" fillId="0" borderId="59" xfId="0" applyBorder="1" applyAlignment="1">
      <alignment horizontal="right"/>
    </xf>
    <xf numFmtId="0" fontId="1" fillId="0" borderId="3" xfId="0" applyFont="1" applyBorder="1"/>
    <xf numFmtId="43" fontId="0" fillId="0" borderId="0" xfId="1" applyFont="1" applyBorder="1" applyAlignment="1">
      <alignment horizontal="right"/>
    </xf>
    <xf numFmtId="0" fontId="18" fillId="0" borderId="67" xfId="0" applyFont="1" applyBorder="1" applyAlignment="1">
      <alignment horizontal="left" indent="1"/>
    </xf>
    <xf numFmtId="0" fontId="18" fillId="0" borderId="59" xfId="0" applyFont="1" applyBorder="1" applyAlignment="1">
      <alignment horizontal="left" indent="1"/>
    </xf>
    <xf numFmtId="0" fontId="12" fillId="0" borderId="1" xfId="0" applyFont="1" applyBorder="1" applyAlignment="1">
      <alignment horizontal="left"/>
    </xf>
    <xf numFmtId="0" fontId="0" fillId="0" borderId="69" xfId="0" applyBorder="1"/>
    <xf numFmtId="0" fontId="0" fillId="0" borderId="52" xfId="0" applyBorder="1"/>
    <xf numFmtId="0" fontId="0" fillId="0" borderId="54" xfId="0" applyBorder="1"/>
    <xf numFmtId="0" fontId="0" fillId="0" borderId="55" xfId="0" applyBorder="1"/>
    <xf numFmtId="0" fontId="18" fillId="0" borderId="51" xfId="0" applyFont="1" applyBorder="1" applyAlignment="1">
      <alignment horizontal="left" indent="1"/>
    </xf>
    <xf numFmtId="0" fontId="18" fillId="0" borderId="53" xfId="0" applyFont="1" applyBorder="1" applyAlignment="1">
      <alignment horizontal="left" indent="1"/>
    </xf>
    <xf numFmtId="0" fontId="1" fillId="0" borderId="2" xfId="0" applyFont="1" applyBorder="1"/>
    <xf numFmtId="0" fontId="1" fillId="0" borderId="7" xfId="0" applyFont="1" applyBorder="1"/>
    <xf numFmtId="0" fontId="0" fillId="0" borderId="52" xfId="0" applyBorder="1" applyAlignment="1">
      <alignment horizontal="right"/>
    </xf>
    <xf numFmtId="0" fontId="0" fillId="0" borderId="54" xfId="0" applyBorder="1" applyAlignment="1">
      <alignment horizontal="right"/>
    </xf>
    <xf numFmtId="0" fontId="0" fillId="0" borderId="55" xfId="0" applyBorder="1" applyAlignment="1">
      <alignment horizontal="right"/>
    </xf>
    <xf numFmtId="0" fontId="1" fillId="14" borderId="5" xfId="0" applyFont="1" applyFill="1" applyBorder="1" applyAlignment="1">
      <alignment vertical="center"/>
    </xf>
    <xf numFmtId="0" fontId="0" fillId="14" borderId="0" xfId="0" applyFill="1"/>
    <xf numFmtId="0" fontId="0" fillId="14" borderId="6" xfId="0" applyFill="1" applyBorder="1"/>
    <xf numFmtId="0" fontId="1" fillId="15" borderId="7" xfId="0" applyFont="1" applyFill="1" applyBorder="1" applyAlignment="1">
      <alignment horizontal="left" vertical="center"/>
    </xf>
    <xf numFmtId="0" fontId="0" fillId="15" borderId="1" xfId="0" applyFill="1" applyBorder="1"/>
    <xf numFmtId="0" fontId="0" fillId="15" borderId="8" xfId="0" applyFill="1" applyBorder="1"/>
    <xf numFmtId="0" fontId="1" fillId="0" borderId="13" xfId="0" applyFont="1" applyBorder="1" applyAlignment="1">
      <alignment horizontal="left"/>
    </xf>
    <xf numFmtId="0" fontId="7" fillId="0" borderId="15" xfId="0" applyFont="1" applyBorder="1" applyAlignment="1">
      <alignment horizontal="left"/>
    </xf>
    <xf numFmtId="0" fontId="1" fillId="2" borderId="4" xfId="0" applyFont="1" applyFill="1" applyBorder="1"/>
    <xf numFmtId="0" fontId="7" fillId="2" borderId="7" xfId="0" applyFont="1" applyFill="1" applyBorder="1" applyAlignment="1">
      <alignment horizontal="right"/>
    </xf>
    <xf numFmtId="0" fontId="7" fillId="2" borderId="1" xfId="0" applyFont="1" applyFill="1" applyBorder="1" applyAlignment="1">
      <alignment horizontal="right"/>
    </xf>
    <xf numFmtId="0" fontId="7" fillId="2" borderId="1" xfId="0" applyFont="1" applyFill="1" applyBorder="1"/>
    <xf numFmtId="0" fontId="7" fillId="2" borderId="8" xfId="0" applyFont="1" applyFill="1" applyBorder="1"/>
    <xf numFmtId="177" fontId="0" fillId="0" borderId="68" xfId="1" applyNumberFormat="1" applyFont="1" applyBorder="1" applyAlignment="1">
      <alignment horizontal="right"/>
    </xf>
    <xf numFmtId="177" fontId="0" fillId="0" borderId="3" xfId="1" applyNumberFormat="1" applyFont="1" applyBorder="1" applyAlignment="1">
      <alignment horizontal="right"/>
    </xf>
    <xf numFmtId="177" fontId="0" fillId="0" borderId="51" xfId="1" applyNumberFormat="1" applyFont="1" applyBorder="1" applyAlignment="1">
      <alignment horizontal="right"/>
    </xf>
    <xf numFmtId="177" fontId="0" fillId="0" borderId="0" xfId="1" applyNumberFormat="1" applyFont="1" applyBorder="1" applyAlignment="1">
      <alignment horizontal="right"/>
    </xf>
    <xf numFmtId="177" fontId="0" fillId="0" borderId="53" xfId="1" applyNumberFormat="1" applyFont="1" applyBorder="1" applyAlignment="1">
      <alignment horizontal="right"/>
    </xf>
    <xf numFmtId="177" fontId="0" fillId="0" borderId="54" xfId="1" applyNumberFormat="1" applyFont="1" applyBorder="1" applyAlignment="1">
      <alignment horizontal="right"/>
    </xf>
    <xf numFmtId="0" fontId="0" fillId="15" borderId="3" xfId="0" applyFill="1" applyBorder="1" applyAlignment="1">
      <alignment horizontal="right"/>
    </xf>
    <xf numFmtId="0" fontId="0" fillId="15" borderId="4" xfId="0" applyFill="1" applyBorder="1"/>
    <xf numFmtId="0" fontId="0" fillId="15" borderId="1" xfId="0" applyFill="1" applyBorder="1" applyAlignment="1">
      <alignment horizontal="right"/>
    </xf>
    <xf numFmtId="0" fontId="3" fillId="15" borderId="7" xfId="0" applyFont="1" applyFill="1" applyBorder="1" applyAlignment="1">
      <alignment horizontal="right"/>
    </xf>
    <xf numFmtId="0" fontId="3" fillId="15" borderId="1" xfId="0" applyFont="1" applyFill="1" applyBorder="1" applyAlignment="1">
      <alignment horizontal="right"/>
    </xf>
    <xf numFmtId="0" fontId="3" fillId="15" borderId="1" xfId="0" applyFont="1" applyFill="1" applyBorder="1"/>
    <xf numFmtId="0" fontId="3" fillId="15" borderId="8" xfId="0" applyFont="1" applyFill="1" applyBorder="1"/>
    <xf numFmtId="0" fontId="3" fillId="0" borderId="12" xfId="0" applyFont="1" applyBorder="1" applyAlignment="1">
      <alignment horizontal="left"/>
    </xf>
    <xf numFmtId="0" fontId="22" fillId="16" borderId="9" xfId="0" applyFont="1" applyFill="1" applyBorder="1" applyAlignment="1">
      <alignment horizontal="right"/>
    </xf>
    <xf numFmtId="0" fontId="22" fillId="16" borderId="10" xfId="0" applyFont="1" applyFill="1" applyBorder="1" applyAlignment="1">
      <alignment horizontal="right"/>
    </xf>
    <xf numFmtId="0" fontId="22" fillId="16" borderId="10" xfId="0" applyFont="1" applyFill="1" applyBorder="1"/>
    <xf numFmtId="0" fontId="22" fillId="16" borderId="11" xfId="0" applyFont="1" applyFill="1" applyBorder="1"/>
    <xf numFmtId="0" fontId="0" fillId="2" borderId="13" xfId="0" applyFill="1" applyBorder="1" applyAlignment="1">
      <alignment horizontal="left"/>
    </xf>
    <xf numFmtId="0" fontId="3" fillId="2" borderId="2" xfId="0" applyFont="1" applyFill="1" applyBorder="1" applyAlignment="1">
      <alignment horizontal="right"/>
    </xf>
    <xf numFmtId="0" fontId="3" fillId="2" borderId="3" xfId="0" applyFont="1" applyFill="1" applyBorder="1" applyAlignment="1">
      <alignment horizontal="right"/>
    </xf>
    <xf numFmtId="0" fontId="3" fillId="2" borderId="3" xfId="0" applyFont="1" applyFill="1" applyBorder="1"/>
    <xf numFmtId="0" fontId="3" fillId="2" borderId="4" xfId="0" applyFont="1" applyFill="1" applyBorder="1"/>
    <xf numFmtId="0" fontId="0" fillId="14" borderId="14" xfId="0" applyFill="1" applyBorder="1" applyAlignment="1">
      <alignment horizontal="left"/>
    </xf>
    <xf numFmtId="0" fontId="3" fillId="14" borderId="5" xfId="0" applyFont="1" applyFill="1" applyBorder="1" applyAlignment="1">
      <alignment horizontal="right"/>
    </xf>
    <xf numFmtId="0" fontId="3" fillId="14" borderId="0" xfId="0" applyFont="1" applyFill="1" applyAlignment="1">
      <alignment horizontal="right"/>
    </xf>
    <xf numFmtId="0" fontId="3" fillId="14" borderId="0" xfId="0" applyFont="1" applyFill="1"/>
    <xf numFmtId="0" fontId="3" fillId="14" borderId="6" xfId="0" applyFont="1" applyFill="1" applyBorder="1"/>
    <xf numFmtId="0" fontId="0" fillId="15" borderId="15" xfId="0" applyFill="1" applyBorder="1" applyAlignment="1">
      <alignment horizontal="left"/>
    </xf>
    <xf numFmtId="0" fontId="0" fillId="0" borderId="74" xfId="0" applyBorder="1" applyAlignment="1">
      <alignment horizontal="center"/>
    </xf>
    <xf numFmtId="0" fontId="0" fillId="0" borderId="76" xfId="0" applyBorder="1" applyAlignment="1">
      <alignment horizontal="center"/>
    </xf>
    <xf numFmtId="0" fontId="0" fillId="0" borderId="78" xfId="0" applyBorder="1" applyAlignment="1">
      <alignment horizontal="center"/>
    </xf>
    <xf numFmtId="0" fontId="1" fillId="2" borderId="2" xfId="0" applyFont="1" applyFill="1" applyBorder="1" applyAlignment="1">
      <alignment horizontal="left" indent="1"/>
    </xf>
    <xf numFmtId="0" fontId="7" fillId="2" borderId="7" xfId="0" applyFont="1" applyFill="1" applyBorder="1"/>
    <xf numFmtId="0" fontId="0" fillId="0" borderId="77" xfId="0" applyBorder="1" applyAlignment="1">
      <alignment horizontal="right"/>
    </xf>
    <xf numFmtId="0" fontId="7" fillId="0" borderId="73" xfId="0" applyFont="1" applyBorder="1" applyAlignment="1">
      <alignment horizontal="left" indent="1"/>
    </xf>
    <xf numFmtId="0" fontId="7" fillId="0" borderId="75" xfId="0" applyFont="1" applyBorder="1" applyAlignment="1">
      <alignment horizontal="left" indent="1"/>
    </xf>
    <xf numFmtId="0" fontId="23" fillId="0" borderId="66" xfId="0" applyFont="1" applyBorder="1"/>
    <xf numFmtId="0" fontId="23" fillId="0" borderId="58" xfId="0" applyFont="1" applyBorder="1"/>
    <xf numFmtId="43" fontId="23" fillId="2" borderId="1" xfId="1" applyFont="1" applyFill="1" applyBorder="1" applyAlignment="1">
      <alignment horizontal="right"/>
    </xf>
    <xf numFmtId="0" fontId="1" fillId="14" borderId="2" xfId="0" applyFont="1" applyFill="1" applyBorder="1"/>
    <xf numFmtId="0" fontId="1" fillId="14" borderId="3" xfId="0" applyFont="1" applyFill="1" applyBorder="1" applyAlignment="1">
      <alignment horizontal="right"/>
    </xf>
    <xf numFmtId="0" fontId="0" fillId="14" borderId="3" xfId="0" applyFill="1" applyBorder="1" applyAlignment="1">
      <alignment horizontal="center"/>
    </xf>
    <xf numFmtId="0" fontId="0" fillId="14" borderId="4" xfId="0" applyFill="1" applyBorder="1"/>
    <xf numFmtId="0" fontId="1" fillId="14" borderId="7" xfId="0" applyFont="1" applyFill="1" applyBorder="1"/>
    <xf numFmtId="0" fontId="1" fillId="14" borderId="1" xfId="0" applyFont="1" applyFill="1" applyBorder="1" applyAlignment="1">
      <alignment horizontal="right"/>
    </xf>
    <xf numFmtId="0" fontId="0" fillId="14" borderId="1" xfId="0" applyFill="1" applyBorder="1" applyAlignment="1">
      <alignment horizontal="center"/>
    </xf>
    <xf numFmtId="0" fontId="0" fillId="14" borderId="8" xfId="0" applyFill="1" applyBorder="1"/>
    <xf numFmtId="0" fontId="1" fillId="15" borderId="2" xfId="0" applyFont="1" applyFill="1" applyBorder="1"/>
    <xf numFmtId="0" fontId="1" fillId="15" borderId="7" xfId="0" applyFont="1" applyFill="1" applyBorder="1"/>
    <xf numFmtId="14" fontId="0" fillId="0" borderId="0" xfId="0" applyNumberFormat="1" applyAlignment="1">
      <alignment horizontal="left"/>
    </xf>
    <xf numFmtId="0" fontId="1" fillId="2" borderId="4" xfId="0" applyFont="1"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7" fillId="0" borderId="81" xfId="0" applyFont="1" applyBorder="1" applyAlignment="1">
      <alignment horizontal="left" indent="1"/>
    </xf>
    <xf numFmtId="4" fontId="0" fillId="0" borderId="70" xfId="0" applyNumberFormat="1" applyBorder="1" applyAlignment="1">
      <alignment horizontal="left"/>
    </xf>
    <xf numFmtId="4" fontId="0" fillId="0" borderId="71" xfId="0" applyNumberFormat="1" applyBorder="1" applyAlignment="1">
      <alignment horizontal="left"/>
    </xf>
    <xf numFmtId="4" fontId="0" fillId="0" borderId="72" xfId="0" applyNumberFormat="1" applyBorder="1" applyAlignment="1">
      <alignment horizontal="left"/>
    </xf>
    <xf numFmtId="0" fontId="1" fillId="14" borderId="3" xfId="0" applyFont="1" applyFill="1" applyBorder="1" applyAlignment="1">
      <alignment horizontal="left"/>
    </xf>
    <xf numFmtId="0" fontId="1" fillId="14" borderId="0" xfId="0" applyFont="1" applyFill="1" applyAlignment="1">
      <alignment horizontal="left"/>
    </xf>
    <xf numFmtId="0" fontId="0" fillId="14" borderId="1" xfId="0" applyFill="1" applyBorder="1" applyAlignment="1">
      <alignment horizontal="left"/>
    </xf>
    <xf numFmtId="0" fontId="1" fillId="14" borderId="3" xfId="0" applyFont="1" applyFill="1" applyBorder="1" applyAlignment="1">
      <alignment horizontal="right" indent="1"/>
    </xf>
    <xf numFmtId="0" fontId="1" fillId="14" borderId="0" xfId="0" applyFont="1" applyFill="1" applyAlignment="1">
      <alignment horizontal="right" indent="1"/>
    </xf>
    <xf numFmtId="0" fontId="0" fillId="14" borderId="1" xfId="0" applyFill="1" applyBorder="1" applyAlignment="1">
      <alignment horizontal="right" indent="1"/>
    </xf>
    <xf numFmtId="0" fontId="18" fillId="0" borderId="0" xfId="0" applyFont="1" applyAlignment="1">
      <alignment horizontal="right" indent="1"/>
    </xf>
    <xf numFmtId="0" fontId="18" fillId="0" borderId="59" xfId="0" applyFont="1" applyBorder="1" applyAlignment="1">
      <alignment horizontal="left"/>
    </xf>
    <xf numFmtId="4" fontId="0" fillId="0" borderId="79" xfId="0" applyNumberFormat="1" applyBorder="1" applyAlignment="1">
      <alignment horizontal="right"/>
    </xf>
    <xf numFmtId="4" fontId="0" fillId="0" borderId="49" xfId="0" applyNumberFormat="1" applyBorder="1" applyAlignment="1">
      <alignment horizontal="right"/>
    </xf>
    <xf numFmtId="4" fontId="0" fillId="0" borderId="49" xfId="0" applyNumberFormat="1" applyBorder="1"/>
    <xf numFmtId="4" fontId="0" fillId="0" borderId="50" xfId="0" applyNumberFormat="1" applyBorder="1"/>
    <xf numFmtId="4" fontId="0" fillId="0" borderId="5" xfId="0" applyNumberFormat="1" applyBorder="1" applyAlignment="1">
      <alignment horizontal="right"/>
    </xf>
    <xf numFmtId="4" fontId="0" fillId="0" borderId="0" xfId="0" applyNumberFormat="1" applyAlignment="1">
      <alignment horizontal="right"/>
    </xf>
    <xf numFmtId="4" fontId="0" fillId="0" borderId="0" xfId="0" applyNumberFormat="1"/>
    <xf numFmtId="4" fontId="0" fillId="0" borderId="52" xfId="0" applyNumberFormat="1" applyBorder="1"/>
    <xf numFmtId="4" fontId="0" fillId="0" borderId="80" xfId="0" applyNumberFormat="1" applyBorder="1" applyAlignment="1">
      <alignment horizontal="right"/>
    </xf>
    <xf numFmtId="4" fontId="0" fillId="0" borderId="54" xfId="0" applyNumberFormat="1" applyBorder="1" applyAlignment="1">
      <alignment horizontal="right"/>
    </xf>
    <xf numFmtId="4" fontId="0" fillId="0" borderId="54" xfId="0" applyNumberFormat="1" applyBorder="1"/>
    <xf numFmtId="4" fontId="0" fillId="0" borderId="55" xfId="0" applyNumberFormat="1" applyBorder="1"/>
    <xf numFmtId="0" fontId="0" fillId="2" borderId="14" xfId="0" applyFill="1" applyBorder="1" applyAlignment="1">
      <alignment horizontal="left"/>
    </xf>
    <xf numFmtId="178" fontId="0" fillId="2" borderId="5" xfId="0" applyNumberFormat="1" applyFill="1" applyBorder="1" applyAlignment="1">
      <alignment horizontal="right"/>
    </xf>
    <xf numFmtId="178" fontId="0" fillId="2" borderId="0" xfId="0" applyNumberFormat="1" applyFill="1" applyAlignment="1">
      <alignment horizontal="right"/>
    </xf>
    <xf numFmtId="178" fontId="0" fillId="2" borderId="0" xfId="0" applyNumberFormat="1" applyFill="1"/>
    <xf numFmtId="178" fontId="0" fillId="2" borderId="52" xfId="0" applyNumberFormat="1" applyFill="1" applyBorder="1"/>
    <xf numFmtId="0" fontId="0" fillId="2" borderId="15" xfId="0" applyFill="1" applyBorder="1" applyAlignment="1">
      <alignment horizontal="left"/>
    </xf>
    <xf numFmtId="178" fontId="0" fillId="2" borderId="80" xfId="0" applyNumberFormat="1" applyFill="1" applyBorder="1" applyAlignment="1">
      <alignment horizontal="right"/>
    </xf>
    <xf numFmtId="178" fontId="0" fillId="2" borderId="54" xfId="0" applyNumberFormat="1" applyFill="1" applyBorder="1" applyAlignment="1">
      <alignment horizontal="right"/>
    </xf>
    <xf numFmtId="178" fontId="0" fillId="2" borderId="54" xfId="0" applyNumberFormat="1" applyFill="1" applyBorder="1"/>
    <xf numFmtId="178" fontId="0" fillId="2" borderId="55" xfId="0" applyNumberFormat="1" applyFill="1" applyBorder="1"/>
    <xf numFmtId="0" fontId="18" fillId="14" borderId="3" xfId="0" applyFont="1" applyFill="1" applyBorder="1" applyAlignment="1">
      <alignment horizontal="left"/>
    </xf>
    <xf numFmtId="0" fontId="18" fillId="14" borderId="1" xfId="0" applyFont="1" applyFill="1" applyBorder="1" applyAlignment="1">
      <alignment horizontal="left"/>
    </xf>
    <xf numFmtId="0" fontId="1" fillId="0" borderId="11" xfId="0" applyFont="1" applyBorder="1"/>
    <xf numFmtId="0" fontId="0" fillId="14" borderId="0" xfId="0" applyFill="1" applyAlignment="1">
      <alignment horizontal="right"/>
    </xf>
    <xf numFmtId="0" fontId="3" fillId="0" borderId="9" xfId="0" applyFont="1" applyBorder="1"/>
    <xf numFmtId="0" fontId="1" fillId="2" borderId="5" xfId="0" applyFont="1" applyFill="1" applyBorder="1" applyAlignment="1">
      <alignment horizontal="left" indent="1"/>
    </xf>
    <xf numFmtId="0" fontId="0" fillId="0" borderId="11" xfId="0" applyBorder="1"/>
    <xf numFmtId="0" fontId="1" fillId="0" borderId="4" xfId="0" applyFont="1" applyBorder="1"/>
    <xf numFmtId="0" fontId="1" fillId="0" borderId="8" xfId="0" applyFont="1" applyBorder="1"/>
    <xf numFmtId="0" fontId="18" fillId="0" borderId="2" xfId="0" applyFont="1" applyBorder="1" applyAlignment="1">
      <alignment horizontal="left" indent="1"/>
    </xf>
    <xf numFmtId="0" fontId="0" fillId="0" borderId="4" xfId="0" applyBorder="1"/>
    <xf numFmtId="0" fontId="18" fillId="0" borderId="5" xfId="0" applyFont="1" applyBorder="1" applyAlignment="1">
      <alignment horizontal="left" indent="1"/>
    </xf>
    <xf numFmtId="0" fontId="0" fillId="0" borderId="6" xfId="0" applyBorder="1"/>
    <xf numFmtId="0" fontId="18" fillId="0" borderId="7" xfId="0" applyFont="1" applyBorder="1" applyAlignment="1">
      <alignment horizontal="left" indent="1"/>
    </xf>
    <xf numFmtId="0" fontId="0" fillId="0" borderId="8" xfId="0" applyBorder="1"/>
    <xf numFmtId="0" fontId="3" fillId="2" borderId="0" xfId="0" applyFont="1" applyFill="1"/>
    <xf numFmtId="0" fontId="1" fillId="14" borderId="0" xfId="0" applyFont="1" applyFill="1" applyAlignment="1">
      <alignment horizontal="right"/>
    </xf>
    <xf numFmtId="0" fontId="18" fillId="0" borderId="0" xfId="0" applyFont="1" applyAlignment="1">
      <alignment horizontal="right"/>
    </xf>
    <xf numFmtId="4" fontId="0" fillId="0" borderId="0" xfId="1" applyNumberFormat="1" applyFont="1" applyBorder="1" applyAlignment="1">
      <alignment horizontal="right"/>
    </xf>
    <xf numFmtId="0" fontId="23" fillId="0" borderId="68" xfId="0" applyFont="1" applyBorder="1"/>
    <xf numFmtId="4" fontId="0" fillId="0" borderId="3" xfId="1" applyNumberFormat="1" applyFont="1" applyBorder="1" applyAlignment="1">
      <alignment horizontal="right"/>
    </xf>
    <xf numFmtId="4" fontId="0" fillId="0" borderId="3" xfId="0" applyNumberFormat="1" applyBorder="1" applyAlignment="1">
      <alignment horizontal="right"/>
    </xf>
    <xf numFmtId="0" fontId="23" fillId="0" borderId="51" xfId="0" applyFont="1" applyBorder="1"/>
    <xf numFmtId="0" fontId="0" fillId="0" borderId="51" xfId="0" applyBorder="1"/>
    <xf numFmtId="0" fontId="0" fillId="0" borderId="53" xfId="0" applyBorder="1"/>
    <xf numFmtId="0" fontId="1" fillId="0" borderId="54" xfId="0" applyFont="1" applyBorder="1"/>
    <xf numFmtId="0" fontId="0" fillId="2" borderId="51" xfId="0" applyFill="1" applyBorder="1"/>
    <xf numFmtId="0" fontId="3" fillId="14" borderId="9" xfId="0" applyFont="1" applyFill="1" applyBorder="1"/>
    <xf numFmtId="0" fontId="3" fillId="14" borderId="10" xfId="0" applyFont="1" applyFill="1" applyBorder="1"/>
    <xf numFmtId="0" fontId="3" fillId="14" borderId="10" xfId="0" applyFont="1" applyFill="1" applyBorder="1" applyAlignment="1">
      <alignment horizontal="right"/>
    </xf>
    <xf numFmtId="0" fontId="3" fillId="14" borderId="11" xfId="0" applyFont="1" applyFill="1" applyBorder="1" applyAlignment="1">
      <alignment horizontal="right"/>
    </xf>
    <xf numFmtId="0" fontId="2" fillId="0" borderId="0" xfId="0" applyFont="1"/>
    <xf numFmtId="0" fontId="0" fillId="2" borderId="2" xfId="0" applyFill="1" applyBorder="1" applyAlignment="1">
      <alignment horizontal="left" indent="1"/>
    </xf>
    <xf numFmtId="0" fontId="0" fillId="2" borderId="7" xfId="0" applyFill="1" applyBorder="1" applyAlignment="1">
      <alignment horizontal="left" indent="1"/>
    </xf>
    <xf numFmtId="0" fontId="7" fillId="2" borderId="8" xfId="0" applyFont="1" applyFill="1" applyBorder="1" applyAlignment="1">
      <alignment horizontal="right"/>
    </xf>
    <xf numFmtId="4" fontId="0" fillId="0" borderId="68" xfId="0" applyNumberFormat="1" applyBorder="1" applyAlignment="1">
      <alignment horizontal="right"/>
    </xf>
    <xf numFmtId="4" fontId="0" fillId="0" borderId="51" xfId="0" applyNumberFormat="1" applyBorder="1" applyAlignment="1">
      <alignment horizontal="right"/>
    </xf>
    <xf numFmtId="4" fontId="0" fillId="0" borderId="53" xfId="0" applyNumberFormat="1" applyBorder="1" applyAlignment="1">
      <alignment horizontal="right"/>
    </xf>
    <xf numFmtId="4" fontId="0" fillId="0" borderId="69" xfId="0" applyNumberFormat="1" applyBorder="1" applyAlignment="1">
      <alignment horizontal="right"/>
    </xf>
    <xf numFmtId="4" fontId="0" fillId="0" borderId="52" xfId="0" applyNumberFormat="1" applyBorder="1" applyAlignment="1">
      <alignment horizontal="right"/>
    </xf>
    <xf numFmtId="4" fontId="0" fillId="0" borderId="54" xfId="1" applyNumberFormat="1" applyFont="1" applyBorder="1" applyAlignment="1">
      <alignment horizontal="right"/>
    </xf>
    <xf numFmtId="4" fontId="0" fillId="0" borderId="55" xfId="0" applyNumberFormat="1" applyBorder="1" applyAlignment="1">
      <alignment horizontal="right"/>
    </xf>
    <xf numFmtId="4" fontId="0" fillId="0" borderId="1" xfId="0" applyNumberFormat="1" applyBorder="1" applyAlignment="1">
      <alignment horizontal="right"/>
    </xf>
    <xf numFmtId="0" fontId="0" fillId="0" borderId="5" xfId="0" applyBorder="1" applyAlignment="1">
      <alignment horizontal="left"/>
    </xf>
    <xf numFmtId="0" fontId="0" fillId="0" borderId="7" xfId="0" applyBorder="1" applyAlignment="1">
      <alignment horizontal="left"/>
    </xf>
    <xf numFmtId="178" fontId="0" fillId="2" borderId="6" xfId="0" applyNumberFormat="1" applyFill="1" applyBorder="1" applyAlignment="1">
      <alignment horizontal="right"/>
    </xf>
    <xf numFmtId="178" fontId="0" fillId="2" borderId="82" xfId="0" applyNumberFormat="1" applyFill="1" applyBorder="1" applyAlignment="1">
      <alignment horizontal="right"/>
    </xf>
    <xf numFmtId="4" fontId="0" fillId="0" borderId="6" xfId="0" applyNumberFormat="1" applyBorder="1" applyAlignment="1">
      <alignment horizontal="right"/>
    </xf>
    <xf numFmtId="4" fontId="0" fillId="0" borderId="8" xfId="0" applyNumberFormat="1" applyBorder="1" applyAlignment="1">
      <alignment horizontal="right"/>
    </xf>
    <xf numFmtId="0" fontId="25" fillId="0" borderId="0" xfId="0" applyFont="1"/>
    <xf numFmtId="4" fontId="0" fillId="0" borderId="69" xfId="1" applyNumberFormat="1" applyFont="1" applyBorder="1" applyAlignment="1">
      <alignment horizontal="right"/>
    </xf>
    <xf numFmtId="4" fontId="0" fillId="0" borderId="52" xfId="1" applyNumberFormat="1" applyFont="1" applyBorder="1" applyAlignment="1">
      <alignment horizontal="right"/>
    </xf>
    <xf numFmtId="4" fontId="0" fillId="0" borderId="55" xfId="1" applyNumberFormat="1" applyFont="1" applyBorder="1" applyAlignment="1">
      <alignment horizontal="right"/>
    </xf>
    <xf numFmtId="4" fontId="0" fillId="0" borderId="68" xfId="1" applyNumberFormat="1" applyFont="1" applyBorder="1" applyAlignment="1">
      <alignment horizontal="right"/>
    </xf>
    <xf numFmtId="4" fontId="0" fillId="0" borderId="51" xfId="1" applyNumberFormat="1" applyFont="1" applyBorder="1" applyAlignment="1">
      <alignment horizontal="right"/>
    </xf>
    <xf numFmtId="4" fontId="0" fillId="0" borderId="53" xfId="1" applyNumberFormat="1" applyFont="1" applyBorder="1" applyAlignment="1">
      <alignment horizontal="right"/>
    </xf>
    <xf numFmtId="0" fontId="1" fillId="2" borderId="80" xfId="0" applyFont="1" applyFill="1" applyBorder="1" applyAlignment="1">
      <alignment horizontal="left"/>
    </xf>
    <xf numFmtId="178" fontId="26" fillId="2" borderId="3" xfId="0" applyNumberFormat="1" applyFont="1" applyFill="1" applyBorder="1" applyAlignment="1">
      <alignment horizontal="right"/>
    </xf>
    <xf numFmtId="178" fontId="26" fillId="2" borderId="4" xfId="0" applyNumberFormat="1" applyFont="1" applyFill="1" applyBorder="1" applyAlignment="1">
      <alignment horizontal="right"/>
    </xf>
    <xf numFmtId="178" fontId="26" fillId="2" borderId="0" xfId="0" applyNumberFormat="1" applyFont="1" applyFill="1" applyAlignment="1">
      <alignment horizontal="right"/>
    </xf>
    <xf numFmtId="178" fontId="26" fillId="2" borderId="6" xfId="0" applyNumberFormat="1" applyFont="1" applyFill="1" applyBorder="1" applyAlignment="1">
      <alignment horizontal="right"/>
    </xf>
    <xf numFmtId="178" fontId="14" fillId="0" borderId="3" xfId="1" applyNumberFormat="1" applyFont="1" applyBorder="1" applyAlignment="1">
      <alignment horizontal="right"/>
    </xf>
    <xf numFmtId="178" fontId="14" fillId="0" borderId="3" xfId="0" applyNumberFormat="1" applyFont="1" applyBorder="1" applyAlignment="1">
      <alignment horizontal="right"/>
    </xf>
    <xf numFmtId="178" fontId="14" fillId="0" borderId="3" xfId="0" applyNumberFormat="1" applyFont="1" applyBorder="1"/>
    <xf numFmtId="178" fontId="14" fillId="0" borderId="69" xfId="0" applyNumberFormat="1" applyFont="1" applyBorder="1"/>
    <xf numFmtId="178" fontId="14" fillId="0" borderId="0" xfId="1" applyNumberFormat="1" applyFont="1" applyBorder="1" applyAlignment="1">
      <alignment horizontal="right"/>
    </xf>
    <xf numFmtId="178" fontId="14" fillId="0" borderId="0" xfId="0" applyNumberFormat="1" applyFont="1" applyAlignment="1">
      <alignment horizontal="right"/>
    </xf>
    <xf numFmtId="178" fontId="14" fillId="0" borderId="0" xfId="0" applyNumberFormat="1" applyFont="1"/>
    <xf numFmtId="178" fontId="14" fillId="0" borderId="52" xfId="0" applyNumberFormat="1" applyFont="1" applyBorder="1"/>
    <xf numFmtId="178" fontId="14" fillId="2" borderId="0" xfId="0" applyNumberFormat="1" applyFont="1" applyFill="1" applyAlignment="1">
      <alignment horizontal="right"/>
    </xf>
    <xf numFmtId="178" fontId="14" fillId="2" borderId="0" xfId="0" applyNumberFormat="1" applyFont="1" applyFill="1"/>
    <xf numFmtId="178" fontId="14" fillId="2" borderId="52" xfId="0" applyNumberFormat="1" applyFont="1" applyFill="1" applyBorder="1"/>
    <xf numFmtId="179" fontId="14" fillId="2" borderId="0" xfId="0" applyNumberFormat="1" applyFont="1" applyFill="1" applyAlignment="1">
      <alignment horizontal="right"/>
    </xf>
    <xf numFmtId="179" fontId="14" fillId="2" borderId="0" xfId="0" applyNumberFormat="1" applyFont="1" applyFill="1"/>
    <xf numFmtId="179" fontId="14" fillId="2" borderId="52" xfId="0" applyNumberFormat="1" applyFont="1" applyFill="1" applyBorder="1"/>
    <xf numFmtId="178" fontId="14" fillId="0" borderId="54" xfId="0" applyNumberFormat="1" applyFont="1" applyBorder="1" applyAlignment="1">
      <alignment horizontal="right"/>
    </xf>
    <xf numFmtId="178" fontId="14" fillId="0" borderId="54" xfId="0" applyNumberFormat="1" applyFont="1" applyBorder="1"/>
    <xf numFmtId="178" fontId="14" fillId="0" borderId="55" xfId="0" applyNumberFormat="1" applyFont="1" applyBorder="1"/>
    <xf numFmtId="0" fontId="3" fillId="15" borderId="9" xfId="0" applyFont="1" applyFill="1" applyBorder="1" applyAlignment="1">
      <alignment horizontal="left"/>
    </xf>
    <xf numFmtId="0" fontId="3" fillId="15" borderId="10" xfId="0" applyFont="1" applyFill="1" applyBorder="1" applyAlignment="1">
      <alignment horizontal="right"/>
    </xf>
    <xf numFmtId="0" fontId="3" fillId="15" borderId="10" xfId="0" applyFont="1" applyFill="1" applyBorder="1"/>
    <xf numFmtId="0" fontId="3" fillId="15" borderId="11" xfId="0" applyFont="1" applyFill="1" applyBorder="1"/>
    <xf numFmtId="0" fontId="2" fillId="0" borderId="0" xfId="0" applyFont="1" applyAlignment="1">
      <alignment horizontal="right"/>
    </xf>
    <xf numFmtId="0" fontId="27" fillId="14" borderId="10" xfId="0" applyFont="1" applyFill="1" applyBorder="1"/>
    <xf numFmtId="0" fontId="28" fillId="0" borderId="3" xfId="0" applyFont="1" applyBorder="1"/>
    <xf numFmtId="0" fontId="28" fillId="0" borderId="0" xfId="0" applyFont="1"/>
    <xf numFmtId="0" fontId="21" fillId="2" borderId="0" xfId="0" applyFont="1" applyFill="1"/>
    <xf numFmtId="0" fontId="21" fillId="0" borderId="0" xfId="0" applyFont="1"/>
    <xf numFmtId="0" fontId="21" fillId="0" borderId="54" xfId="0" applyFont="1" applyBorder="1"/>
    <xf numFmtId="0" fontId="29" fillId="15" borderId="9" xfId="0" applyFont="1" applyFill="1" applyBorder="1" applyAlignment="1">
      <alignment horizontal="right"/>
    </xf>
    <xf numFmtId="178" fontId="21" fillId="2" borderId="3" xfId="0" applyNumberFormat="1" applyFont="1" applyFill="1" applyBorder="1" applyAlignment="1">
      <alignment horizontal="right"/>
    </xf>
    <xf numFmtId="178" fontId="21" fillId="2" borderId="0" xfId="0" applyNumberFormat="1" applyFont="1" applyFill="1" applyAlignment="1">
      <alignment horizontal="right"/>
    </xf>
    <xf numFmtId="178" fontId="21" fillId="2" borderId="54" xfId="0" applyNumberFormat="1" applyFont="1" applyFill="1" applyBorder="1" applyAlignment="1">
      <alignment horizontal="right"/>
    </xf>
    <xf numFmtId="4" fontId="21" fillId="0" borderId="0" xfId="0" applyNumberFormat="1" applyFont="1" applyAlignment="1">
      <alignment horizontal="right"/>
    </xf>
    <xf numFmtId="4" fontId="21" fillId="0" borderId="1" xfId="0" applyNumberFormat="1" applyFont="1" applyBorder="1" applyAlignment="1">
      <alignment horizontal="right"/>
    </xf>
    <xf numFmtId="0" fontId="2" fillId="0" borderId="0" xfId="0" applyFont="1" applyAlignment="1">
      <alignment horizontal="left"/>
    </xf>
    <xf numFmtId="0" fontId="29" fillId="14" borderId="3" xfId="0" applyFont="1" applyFill="1" applyBorder="1" applyAlignment="1">
      <alignment horizontal="right"/>
    </xf>
    <xf numFmtId="0" fontId="29" fillId="14" borderId="0" xfId="0" applyFont="1" applyFill="1" applyAlignment="1">
      <alignment horizontal="right"/>
    </xf>
    <xf numFmtId="0" fontId="2" fillId="14" borderId="1" xfId="0" applyFont="1" applyFill="1" applyBorder="1" applyAlignment="1">
      <alignment horizontal="right"/>
    </xf>
    <xf numFmtId="0" fontId="30" fillId="0" borderId="0" xfId="0" applyFont="1" applyAlignment="1">
      <alignment horizontal="right"/>
    </xf>
    <xf numFmtId="0" fontId="31" fillId="0" borderId="0" xfId="2"/>
    <xf numFmtId="0" fontId="12" fillId="0" borderId="0" xfId="2" applyFont="1"/>
    <xf numFmtId="180" fontId="31" fillId="0" borderId="0" xfId="2" applyNumberFormat="1"/>
    <xf numFmtId="0" fontId="31" fillId="0" borderId="0" xfId="2" applyAlignment="1">
      <alignment horizontal="right"/>
    </xf>
    <xf numFmtId="0" fontId="31" fillId="0" borderId="68" xfId="2" applyBorder="1"/>
    <xf numFmtId="0" fontId="31" fillId="0" borderId="51" xfId="2" applyBorder="1"/>
    <xf numFmtId="0" fontId="31" fillId="0" borderId="53" xfId="2" applyBorder="1"/>
    <xf numFmtId="0" fontId="20" fillId="0" borderId="0" xfId="2" applyFont="1"/>
    <xf numFmtId="4" fontId="31" fillId="2" borderId="66" xfId="2" applyNumberFormat="1" applyFill="1" applyBorder="1" applyAlignment="1">
      <alignment horizontal="right"/>
    </xf>
    <xf numFmtId="4" fontId="31" fillId="2" borderId="67" xfId="2" applyNumberFormat="1" applyFill="1" applyBorder="1" applyAlignment="1">
      <alignment horizontal="right"/>
    </xf>
    <xf numFmtId="4" fontId="31" fillId="2" borderId="58" xfId="2" applyNumberFormat="1" applyFill="1" applyBorder="1" applyAlignment="1">
      <alignment horizontal="right"/>
    </xf>
    <xf numFmtId="4" fontId="31" fillId="2" borderId="59" xfId="2" applyNumberFormat="1" applyFill="1" applyBorder="1" applyAlignment="1">
      <alignment horizontal="right"/>
    </xf>
    <xf numFmtId="4" fontId="31" fillId="2" borderId="86" xfId="2" applyNumberFormat="1" applyFill="1" applyBorder="1" applyAlignment="1">
      <alignment horizontal="right"/>
    </xf>
    <xf numFmtId="4" fontId="31" fillId="2" borderId="87" xfId="2" applyNumberFormat="1" applyFill="1" applyBorder="1" applyAlignment="1">
      <alignment horizontal="right"/>
    </xf>
    <xf numFmtId="0" fontId="12" fillId="15" borderId="2" xfId="2" applyFont="1" applyFill="1" applyBorder="1"/>
    <xf numFmtId="0" fontId="12" fillId="15" borderId="3" xfId="2" applyFont="1" applyFill="1" applyBorder="1" applyAlignment="1">
      <alignment horizontal="right"/>
    </xf>
    <xf numFmtId="0" fontId="12" fillId="15" borderId="4" xfId="2" applyFont="1" applyFill="1" applyBorder="1" applyAlignment="1">
      <alignment horizontal="right"/>
    </xf>
    <xf numFmtId="0" fontId="31" fillId="15" borderId="7" xfId="2" applyFill="1" applyBorder="1"/>
    <xf numFmtId="0" fontId="31" fillId="15" borderId="1" xfId="2" applyFill="1" applyBorder="1" applyAlignment="1">
      <alignment horizontal="right"/>
    </xf>
    <xf numFmtId="0" fontId="31" fillId="15" borderId="8" xfId="2" applyFill="1" applyBorder="1" applyAlignment="1">
      <alignment horizontal="right"/>
    </xf>
    <xf numFmtId="180" fontId="1" fillId="18" borderId="83" xfId="0" applyNumberFormat="1" applyFont="1" applyFill="1" applyBorder="1"/>
    <xf numFmtId="180" fontId="1" fillId="18" borderId="84" xfId="0" applyNumberFormat="1" applyFont="1" applyFill="1" applyBorder="1"/>
    <xf numFmtId="180" fontId="1" fillId="18" borderId="85" xfId="0" applyNumberFormat="1" applyFont="1" applyFill="1" applyBorder="1"/>
    <xf numFmtId="180" fontId="1" fillId="17" borderId="83" xfId="0" applyNumberFormat="1" applyFont="1" applyFill="1" applyBorder="1"/>
    <xf numFmtId="180" fontId="1" fillId="17" borderId="84" xfId="0" applyNumberFormat="1" applyFont="1" applyFill="1" applyBorder="1"/>
    <xf numFmtId="180" fontId="1" fillId="17" borderId="85" xfId="0" applyNumberFormat="1" applyFont="1" applyFill="1" applyBorder="1"/>
    <xf numFmtId="0" fontId="1" fillId="0" borderId="88" xfId="0" applyFont="1" applyBorder="1"/>
    <xf numFmtId="0" fontId="1" fillId="0" borderId="89" xfId="0" applyFont="1" applyBorder="1"/>
    <xf numFmtId="0" fontId="1" fillId="0" borderId="91" xfId="0" applyFont="1" applyBorder="1"/>
    <xf numFmtId="0" fontId="1" fillId="0" borderId="92" xfId="0" applyFont="1" applyBorder="1"/>
    <xf numFmtId="0" fontId="1" fillId="0" borderId="93" xfId="0" applyFont="1" applyBorder="1"/>
    <xf numFmtId="0" fontId="1" fillId="0" borderId="94" xfId="0" applyFont="1" applyBorder="1"/>
    <xf numFmtId="180" fontId="1" fillId="0" borderId="89" xfId="0" applyNumberFormat="1" applyFont="1" applyBorder="1"/>
    <xf numFmtId="180" fontId="1" fillId="0" borderId="0" xfId="0" applyNumberFormat="1" applyFont="1"/>
    <xf numFmtId="4" fontId="1" fillId="0" borderId="89" xfId="0" applyNumberFormat="1" applyFont="1" applyBorder="1"/>
    <xf numFmtId="4" fontId="1" fillId="0" borderId="0" xfId="0" applyNumberFormat="1" applyFont="1"/>
    <xf numFmtId="4" fontId="1" fillId="0" borderId="95" xfId="0" applyNumberFormat="1" applyFont="1" applyBorder="1"/>
    <xf numFmtId="4" fontId="1" fillId="0" borderId="90" xfId="0" applyNumberFormat="1" applyFont="1" applyBorder="1"/>
    <xf numFmtId="181" fontId="31" fillId="0" borderId="3" xfId="2" applyNumberFormat="1" applyBorder="1" applyAlignment="1">
      <alignment horizontal="right"/>
    </xf>
    <xf numFmtId="181" fontId="31" fillId="0" borderId="0" xfId="2" applyNumberFormat="1" applyAlignment="1">
      <alignment horizontal="right"/>
    </xf>
    <xf numFmtId="181" fontId="31" fillId="0" borderId="54" xfId="2" applyNumberFormat="1" applyBorder="1" applyAlignment="1">
      <alignment horizontal="right"/>
    </xf>
    <xf numFmtId="0" fontId="22" fillId="16" borderId="9" xfId="0" applyFont="1" applyFill="1" applyBorder="1"/>
    <xf numFmtId="0" fontId="1" fillId="2" borderId="5" xfId="0" applyFont="1" applyFill="1" applyBorder="1" applyAlignment="1">
      <alignment vertical="center"/>
    </xf>
    <xf numFmtId="0" fontId="22" fillId="16" borderId="11" xfId="0" applyFont="1" applyFill="1" applyBorder="1" applyAlignment="1">
      <alignment horizontal="left" indent="1"/>
    </xf>
    <xf numFmtId="0" fontId="3" fillId="2" borderId="0" xfId="0" applyFont="1" applyFill="1" applyAlignment="1">
      <alignment horizontal="right"/>
    </xf>
    <xf numFmtId="0" fontId="3" fillId="2" borderId="6" xfId="0" applyFont="1" applyFill="1" applyBorder="1" applyAlignment="1">
      <alignment horizontal="right"/>
    </xf>
    <xf numFmtId="0" fontId="6" fillId="0" borderId="3" xfId="0" applyFont="1" applyBorder="1" applyAlignment="1">
      <alignment horizontal="right"/>
    </xf>
    <xf numFmtId="0" fontId="6" fillId="0" borderId="4" xfId="0" applyFont="1" applyBorder="1" applyAlignment="1">
      <alignment horizontal="right"/>
    </xf>
    <xf numFmtId="4" fontId="31" fillId="0" borderId="3" xfId="2" applyNumberFormat="1" applyBorder="1" applyAlignment="1">
      <alignment horizontal="right"/>
    </xf>
    <xf numFmtId="4" fontId="31" fillId="0" borderId="69" xfId="2" applyNumberFormat="1" applyBorder="1" applyAlignment="1">
      <alignment horizontal="right"/>
    </xf>
    <xf numFmtId="4" fontId="31" fillId="0" borderId="0" xfId="2" applyNumberFormat="1" applyAlignment="1">
      <alignment horizontal="right"/>
    </xf>
    <xf numFmtId="4" fontId="31" fillId="0" borderId="52" xfId="2" applyNumberFormat="1" applyBorder="1" applyAlignment="1">
      <alignment horizontal="right"/>
    </xf>
    <xf numFmtId="4" fontId="31" fillId="0" borderId="54" xfId="2" applyNumberFormat="1" applyBorder="1" applyAlignment="1">
      <alignment horizontal="right"/>
    </xf>
    <xf numFmtId="4" fontId="31" fillId="0" borderId="55" xfId="2" applyNumberFormat="1" applyBorder="1" applyAlignment="1">
      <alignment horizontal="right"/>
    </xf>
    <xf numFmtId="0" fontId="12" fillId="15" borderId="2" xfId="2" applyFont="1" applyFill="1" applyBorder="1" applyAlignment="1">
      <alignment horizontal="left" indent="2"/>
    </xf>
    <xf numFmtId="0" fontId="33" fillId="15" borderId="7" xfId="3" applyFont="1" applyFill="1" applyBorder="1" applyAlignment="1">
      <alignment horizontal="left" indent="2"/>
    </xf>
    <xf numFmtId="0" fontId="31" fillId="0" borderId="68" xfId="2" applyBorder="1" applyAlignment="1">
      <alignment horizontal="left" indent="2"/>
    </xf>
    <xf numFmtId="0" fontId="31" fillId="0" borderId="51" xfId="2" applyBorder="1" applyAlignment="1">
      <alignment horizontal="left" indent="2"/>
    </xf>
    <xf numFmtId="0" fontId="31" fillId="0" borderId="51" xfId="2" applyBorder="1" applyAlignment="1">
      <alignment horizontal="left"/>
    </xf>
    <xf numFmtId="0" fontId="31" fillId="0" borderId="53" xfId="2" applyBorder="1" applyAlignment="1">
      <alignment horizontal="left"/>
    </xf>
    <xf numFmtId="0" fontId="33" fillId="15" borderId="1" xfId="3" applyFont="1" applyFill="1" applyBorder="1" applyAlignment="1">
      <alignment horizontal="right"/>
    </xf>
    <xf numFmtId="0" fontId="12" fillId="15" borderId="3" xfId="2" applyFont="1" applyFill="1" applyBorder="1" applyAlignment="1">
      <alignment horizontal="left" indent="1"/>
    </xf>
    <xf numFmtId="0" fontId="12" fillId="15" borderId="4" xfId="2" applyFont="1" applyFill="1" applyBorder="1" applyAlignment="1">
      <alignment horizontal="left" indent="1"/>
    </xf>
    <xf numFmtId="0" fontId="33" fillId="15" borderId="1" xfId="3" applyFont="1" applyFill="1" applyBorder="1" applyAlignment="1">
      <alignment horizontal="left" indent="1"/>
    </xf>
    <xf numFmtId="0" fontId="12" fillId="15" borderId="8" xfId="2" applyFont="1" applyFill="1" applyBorder="1" applyAlignment="1">
      <alignment horizontal="left" indent="1"/>
    </xf>
    <xf numFmtId="0" fontId="31" fillId="0" borderId="3" xfId="2" applyBorder="1" applyAlignment="1">
      <alignment horizontal="left" indent="1"/>
    </xf>
    <xf numFmtId="0" fontId="31" fillId="0" borderId="69" xfId="2" applyBorder="1" applyAlignment="1">
      <alignment horizontal="left" indent="1"/>
    </xf>
    <xf numFmtId="0" fontId="31" fillId="0" borderId="0" xfId="2" applyAlignment="1">
      <alignment horizontal="left" indent="1"/>
    </xf>
    <xf numFmtId="0" fontId="31" fillId="0" borderId="52" xfId="2" applyBorder="1" applyAlignment="1">
      <alignment horizontal="left" indent="1"/>
    </xf>
    <xf numFmtId="0" fontId="31" fillId="0" borderId="54" xfId="2" applyBorder="1" applyAlignment="1">
      <alignment horizontal="left" indent="1"/>
    </xf>
    <xf numFmtId="0" fontId="31" fillId="0" borderId="55" xfId="2" applyBorder="1" applyAlignment="1">
      <alignment horizontal="left" indent="1"/>
    </xf>
    <xf numFmtId="4" fontId="31" fillId="0" borderId="0" xfId="2" applyNumberFormat="1"/>
    <xf numFmtId="0" fontId="0" fillId="0" borderId="0" xfId="0" quotePrefix="1"/>
    <xf numFmtId="0" fontId="6" fillId="0" borderId="9" xfId="0" applyFont="1" applyBorder="1"/>
    <xf numFmtId="0" fontId="6" fillId="0" borderId="2" xfId="0" applyFont="1" applyBorder="1"/>
    <xf numFmtId="0" fontId="6" fillId="0" borderId="3" xfId="0" applyFont="1" applyBorder="1"/>
    <xf numFmtId="0" fontId="6" fillId="0" borderId="4" xfId="0" applyFont="1" applyBorder="1"/>
    <xf numFmtId="0" fontId="1" fillId="15" borderId="5" xfId="0" applyFont="1" applyFill="1" applyBorder="1"/>
    <xf numFmtId="0" fontId="0" fillId="15" borderId="7" xfId="0" applyFill="1" applyBorder="1"/>
    <xf numFmtId="0" fontId="0" fillId="2" borderId="50" xfId="0" applyFill="1" applyBorder="1" applyAlignment="1">
      <alignment horizontal="right"/>
    </xf>
    <xf numFmtId="0" fontId="0" fillId="2" borderId="55" xfId="0" applyFill="1" applyBorder="1" applyAlignment="1">
      <alignment horizontal="right"/>
    </xf>
    <xf numFmtId="0" fontId="1" fillId="2" borderId="48" xfId="0" applyFont="1" applyFill="1" applyBorder="1" applyAlignment="1">
      <alignment horizontal="left"/>
    </xf>
    <xf numFmtId="0" fontId="1" fillId="2" borderId="53" xfId="0" applyFont="1" applyFill="1" applyBorder="1" applyAlignment="1">
      <alignment horizontal="left"/>
    </xf>
    <xf numFmtId="0" fontId="1" fillId="15" borderId="3" xfId="0" applyFont="1" applyFill="1" applyBorder="1" applyAlignment="1">
      <alignment horizontal="right"/>
    </xf>
    <xf numFmtId="0" fontId="1" fillId="15" borderId="3" xfId="0" quotePrefix="1" applyFont="1" applyFill="1" applyBorder="1" applyAlignment="1">
      <alignment horizontal="right"/>
    </xf>
    <xf numFmtId="0" fontId="1" fillId="15" borderId="4" xfId="0" applyFont="1" applyFill="1" applyBorder="1" applyAlignment="1">
      <alignment horizontal="right"/>
    </xf>
    <xf numFmtId="0" fontId="1" fillId="15" borderId="0" xfId="0" applyFont="1" applyFill="1" applyAlignment="1">
      <alignment horizontal="right"/>
    </xf>
    <xf numFmtId="0" fontId="1" fillId="15" borderId="6" xfId="0" applyFont="1" applyFill="1" applyBorder="1" applyAlignment="1">
      <alignment horizontal="right"/>
    </xf>
    <xf numFmtId="0" fontId="0" fillId="15" borderId="8" xfId="0" applyFill="1" applyBorder="1" applyAlignment="1">
      <alignment horizontal="right"/>
    </xf>
    <xf numFmtId="182" fontId="0" fillId="0" borderId="3" xfId="1" applyNumberFormat="1" applyFont="1" applyBorder="1" applyAlignment="1">
      <alignment horizontal="right"/>
    </xf>
    <xf numFmtId="182" fontId="0" fillId="0" borderId="0" xfId="1" applyNumberFormat="1" applyFont="1" applyBorder="1" applyAlignment="1">
      <alignment horizontal="right"/>
    </xf>
    <xf numFmtId="0" fontId="0" fillId="0" borderId="91" xfId="0" applyBorder="1"/>
    <xf numFmtId="0" fontId="0" fillId="0" borderId="92" xfId="0" applyBorder="1"/>
    <xf numFmtId="0" fontId="0" fillId="0" borderId="93" xfId="0" applyBorder="1"/>
    <xf numFmtId="180" fontId="0" fillId="0" borderId="88" xfId="0" applyNumberFormat="1" applyBorder="1"/>
    <xf numFmtId="180" fontId="0" fillId="0" borderId="89" xfId="0" applyNumberFormat="1" applyBorder="1"/>
    <xf numFmtId="180" fontId="0" fillId="0" borderId="90" xfId="0" applyNumberFormat="1" applyBorder="1"/>
    <xf numFmtId="180" fontId="0" fillId="0" borderId="94" xfId="0" applyNumberFormat="1" applyBorder="1"/>
    <xf numFmtId="180" fontId="0" fillId="0" borderId="0" xfId="0" applyNumberFormat="1"/>
    <xf numFmtId="180" fontId="0" fillId="0" borderId="95" xfId="0" applyNumberFormat="1" applyBorder="1"/>
    <xf numFmtId="0" fontId="31" fillId="14" borderId="2" xfId="2" applyFill="1" applyBorder="1"/>
    <xf numFmtId="0" fontId="31" fillId="14" borderId="3" xfId="2" applyFill="1" applyBorder="1"/>
    <xf numFmtId="0" fontId="31" fillId="14" borderId="4" xfId="2" applyFill="1" applyBorder="1"/>
    <xf numFmtId="0" fontId="31" fillId="14" borderId="0" xfId="2" applyFill="1"/>
    <xf numFmtId="0" fontId="34" fillId="19" borderId="9" xfId="3" applyFont="1" applyFill="1" applyBorder="1"/>
    <xf numFmtId="0" fontId="34" fillId="19" borderId="10" xfId="3" applyFont="1" applyFill="1" applyBorder="1"/>
    <xf numFmtId="0" fontId="34" fillId="19" borderId="11" xfId="3" applyFont="1" applyFill="1" applyBorder="1"/>
    <xf numFmtId="0" fontId="35" fillId="14" borderId="5" xfId="3" applyFont="1" applyFill="1" applyBorder="1"/>
    <xf numFmtId="0" fontId="36" fillId="14" borderId="0" xfId="3" applyFont="1" applyFill="1" applyAlignment="1">
      <alignment horizontal="right"/>
    </xf>
    <xf numFmtId="0" fontId="36" fillId="14" borderId="6" xfId="3" applyFont="1" applyFill="1" applyBorder="1" applyAlignment="1">
      <alignment horizontal="right"/>
    </xf>
    <xf numFmtId="0" fontId="36" fillId="14" borderId="7" xfId="3" applyFont="1" applyFill="1" applyBorder="1"/>
    <xf numFmtId="0" fontId="37" fillId="14" borderId="1" xfId="3" applyFont="1" applyFill="1" applyBorder="1"/>
    <xf numFmtId="0" fontId="31" fillId="14" borderId="1" xfId="3" applyFont="1" applyFill="1" applyBorder="1" applyAlignment="1">
      <alignment horizontal="right"/>
    </xf>
    <xf numFmtId="0" fontId="31" fillId="14" borderId="8" xfId="3" applyFont="1" applyFill="1" applyBorder="1" applyAlignment="1">
      <alignment horizontal="right"/>
    </xf>
    <xf numFmtId="0" fontId="36" fillId="14" borderId="2" xfId="3" applyFont="1" applyFill="1" applyBorder="1" applyAlignment="1">
      <alignment horizontal="right" vertical="center"/>
    </xf>
    <xf numFmtId="0" fontId="38" fillId="14" borderId="3" xfId="3" applyFont="1" applyFill="1" applyBorder="1" applyAlignment="1">
      <alignment horizontal="right" vertical="center"/>
    </xf>
    <xf numFmtId="0" fontId="36" fillId="14" borderId="3" xfId="3" applyFont="1" applyFill="1" applyBorder="1" applyAlignment="1">
      <alignment horizontal="right" vertical="center"/>
    </xf>
    <xf numFmtId="0" fontId="36" fillId="14" borderId="3" xfId="3" applyFont="1" applyFill="1" applyBorder="1" applyAlignment="1">
      <alignment horizontal="right" vertical="center" wrapText="1"/>
    </xf>
    <xf numFmtId="0" fontId="38" fillId="14" borderId="3" xfId="3" applyFont="1" applyFill="1" applyBorder="1" applyAlignment="1">
      <alignment horizontal="right" vertical="center" wrapText="1"/>
    </xf>
    <xf numFmtId="0" fontId="38" fillId="14" borderId="4" xfId="3" applyFont="1" applyFill="1" applyBorder="1" applyAlignment="1">
      <alignment horizontal="right" vertical="center" wrapText="1"/>
    </xf>
    <xf numFmtId="0" fontId="31" fillId="14" borderId="7" xfId="3" applyFont="1" applyFill="1" applyBorder="1" applyAlignment="1">
      <alignment horizontal="right"/>
    </xf>
    <xf numFmtId="0" fontId="39" fillId="17" borderId="83" xfId="0" applyFont="1" applyFill="1" applyBorder="1"/>
    <xf numFmtId="0" fontId="39" fillId="17" borderId="84" xfId="0" applyFont="1" applyFill="1" applyBorder="1"/>
    <xf numFmtId="4" fontId="39" fillId="17" borderId="84" xfId="0" applyNumberFormat="1" applyFont="1" applyFill="1" applyBorder="1"/>
    <xf numFmtId="4" fontId="39" fillId="17" borderId="85" xfId="0" applyNumberFormat="1" applyFont="1" applyFill="1" applyBorder="1"/>
    <xf numFmtId="0" fontId="39" fillId="18" borderId="83" xfId="0" applyFont="1" applyFill="1" applyBorder="1"/>
    <xf numFmtId="0" fontId="39" fillId="18" borderId="84" xfId="0" applyFont="1" applyFill="1" applyBorder="1"/>
    <xf numFmtId="4" fontId="39" fillId="18" borderId="84" xfId="0" applyNumberFormat="1" applyFont="1" applyFill="1" applyBorder="1"/>
    <xf numFmtId="4" fontId="39" fillId="18" borderId="85" xfId="0" applyNumberFormat="1" applyFont="1" applyFill="1" applyBorder="1"/>
    <xf numFmtId="0" fontId="12" fillId="14" borderId="0" xfId="2" applyFont="1" applyFill="1" applyAlignment="1">
      <alignment horizontal="right"/>
    </xf>
    <xf numFmtId="0" fontId="37" fillId="14" borderId="1" xfId="3" applyFont="1" applyFill="1" applyBorder="1" applyAlignment="1">
      <alignment horizontal="right"/>
    </xf>
    <xf numFmtId="2" fontId="0" fillId="0" borderId="7" xfId="0" applyNumberFormat="1" applyBorder="1" applyAlignment="1">
      <alignment horizontal="right" indent="1"/>
    </xf>
    <xf numFmtId="164" fontId="0" fillId="0" borderId="8" xfId="0" applyNumberFormat="1" applyBorder="1" applyAlignment="1">
      <alignment horizontal="right" indent="1"/>
    </xf>
    <xf numFmtId="164" fontId="0" fillId="0" borderId="0" xfId="0" applyNumberFormat="1" applyAlignment="1">
      <alignment horizontal="right" indent="1"/>
    </xf>
    <xf numFmtId="183" fontId="0" fillId="0" borderId="3" xfId="0" applyNumberFormat="1" applyBorder="1" applyAlignment="1">
      <alignment horizontal="left"/>
    </xf>
    <xf numFmtId="183" fontId="0" fillId="0" borderId="0" xfId="0" applyNumberFormat="1" applyAlignment="1">
      <alignment horizontal="left"/>
    </xf>
    <xf numFmtId="183" fontId="0" fillId="0" borderId="0" xfId="0" applyNumberFormat="1"/>
    <xf numFmtId="183" fontId="0" fillId="0" borderId="61" xfId="0" applyNumberFormat="1" applyBorder="1"/>
    <xf numFmtId="178" fontId="14" fillId="0" borderId="0" xfId="1" applyNumberFormat="1" applyFont="1" applyFill="1" applyBorder="1" applyAlignment="1">
      <alignment horizontal="right"/>
    </xf>
    <xf numFmtId="179" fontId="14" fillId="0" borderId="0" xfId="0" applyNumberFormat="1" applyFont="1" applyAlignment="1">
      <alignment horizontal="right"/>
    </xf>
    <xf numFmtId="179" fontId="14" fillId="0" borderId="0" xfId="0" applyNumberFormat="1" applyFont="1"/>
    <xf numFmtId="179" fontId="14" fillId="0" borderId="52" xfId="0" applyNumberFormat="1" applyFont="1" applyBorder="1"/>
    <xf numFmtId="0" fontId="40" fillId="0" borderId="51" xfId="0" applyFont="1" applyBorder="1"/>
    <xf numFmtId="0" fontId="40" fillId="0" borderId="53" xfId="0" applyFont="1" applyBorder="1"/>
    <xf numFmtId="0" fontId="41" fillId="0" borderId="0" xfId="0" applyFont="1"/>
    <xf numFmtId="0" fontId="40" fillId="0" borderId="9" xfId="0" applyFont="1" applyBorder="1"/>
    <xf numFmtId="0" fontId="28" fillId="0" borderId="10" xfId="0" applyFont="1" applyBorder="1"/>
    <xf numFmtId="178" fontId="14" fillId="0" borderId="10" xfId="1" applyNumberFormat="1" applyFont="1" applyFill="1" applyBorder="1" applyAlignment="1">
      <alignment horizontal="right"/>
    </xf>
    <xf numFmtId="178" fontId="14" fillId="0" borderId="10" xfId="0" applyNumberFormat="1" applyFont="1" applyBorder="1" applyAlignment="1">
      <alignment horizontal="right"/>
    </xf>
    <xf numFmtId="178" fontId="14" fillId="0" borderId="10" xfId="0" applyNumberFormat="1" applyFont="1" applyBorder="1"/>
    <xf numFmtId="178" fontId="14" fillId="0" borderId="96" xfId="0" applyNumberFormat="1" applyFont="1" applyBorder="1"/>
    <xf numFmtId="178" fontId="14" fillId="0" borderId="11" xfId="0" applyNumberFormat="1" applyFont="1" applyBorder="1"/>
    <xf numFmtId="0" fontId="0" fillId="0" borderId="9" xfId="0" applyBorder="1"/>
    <xf numFmtId="0" fontId="21" fillId="0" borderId="10" xfId="0" applyFont="1" applyBorder="1"/>
    <xf numFmtId="178" fontId="0" fillId="0" borderId="0" xfId="0" applyNumberFormat="1" applyAlignment="1">
      <alignment horizontal="right"/>
    </xf>
    <xf numFmtId="43" fontId="14" fillId="0" borderId="52" xfId="1" applyFont="1" applyFill="1" applyBorder="1"/>
    <xf numFmtId="43" fontId="0" fillId="0" borderId="52" xfId="1" applyFont="1" applyFill="1" applyBorder="1"/>
    <xf numFmtId="43" fontId="0" fillId="0" borderId="55" xfId="1" applyFont="1" applyFill="1" applyBorder="1"/>
    <xf numFmtId="0" fontId="0" fillId="5" borderId="79" xfId="0" applyFill="1" applyBorder="1" applyAlignment="1">
      <alignment horizontal="left"/>
    </xf>
    <xf numFmtId="4" fontId="21" fillId="5" borderId="49" xfId="0" applyNumberFormat="1" applyFont="1" applyFill="1" applyBorder="1" applyAlignment="1">
      <alignment horizontal="right"/>
    </xf>
    <xf numFmtId="4" fontId="0" fillId="5" borderId="49" xfId="0" applyNumberFormat="1" applyFill="1" applyBorder="1" applyAlignment="1">
      <alignment horizontal="right"/>
    </xf>
    <xf numFmtId="4" fontId="0" fillId="5" borderId="97" xfId="0" applyNumberFormat="1" applyFill="1" applyBorder="1" applyAlignment="1">
      <alignment horizontal="right"/>
    </xf>
    <xf numFmtId="0" fontId="0" fillId="5" borderId="5" xfId="0" applyFill="1" applyBorder="1" applyAlignment="1">
      <alignment horizontal="left"/>
    </xf>
    <xf numFmtId="4" fontId="21" fillId="5" borderId="0" xfId="0" applyNumberFormat="1" applyFont="1" applyFill="1" applyAlignment="1">
      <alignment horizontal="right"/>
    </xf>
    <xf numFmtId="4" fontId="0" fillId="5" borderId="0" xfId="0" applyNumberFormat="1" applyFill="1" applyAlignment="1">
      <alignment horizontal="right"/>
    </xf>
    <xf numFmtId="4" fontId="0" fillId="5" borderId="6" xfId="0" applyNumberFormat="1" applyFill="1" applyBorder="1" applyAlignment="1">
      <alignment horizontal="right"/>
    </xf>
    <xf numFmtId="0" fontId="0" fillId="5" borderId="80" xfId="0" applyFill="1" applyBorder="1" applyAlignment="1">
      <alignment horizontal="left"/>
    </xf>
    <xf numFmtId="4" fontId="21" fillId="5" borderId="54" xfId="0" applyNumberFormat="1" applyFont="1" applyFill="1" applyBorder="1" applyAlignment="1">
      <alignment horizontal="right"/>
    </xf>
    <xf numFmtId="4" fontId="0" fillId="5" borderId="54" xfId="0" applyNumberFormat="1" applyFill="1" applyBorder="1" applyAlignment="1">
      <alignment horizontal="right"/>
    </xf>
    <xf numFmtId="4" fontId="0" fillId="5" borderId="82" xfId="0" applyNumberFormat="1" applyFill="1" applyBorder="1" applyAlignment="1">
      <alignment horizontal="right"/>
    </xf>
    <xf numFmtId="0" fontId="0" fillId="20" borderId="5" xfId="0" applyFill="1" applyBorder="1" applyAlignment="1">
      <alignment horizontal="left"/>
    </xf>
    <xf numFmtId="4" fontId="21" fillId="20" borderId="0" xfId="0" applyNumberFormat="1" applyFont="1" applyFill="1" applyAlignment="1">
      <alignment horizontal="right"/>
    </xf>
    <xf numFmtId="4" fontId="0" fillId="20" borderId="0" xfId="0" applyNumberFormat="1" applyFill="1" applyAlignment="1">
      <alignment horizontal="right"/>
    </xf>
    <xf numFmtId="4" fontId="0" fillId="20" borderId="6" xfId="0" applyNumberFormat="1" applyFill="1" applyBorder="1" applyAlignment="1">
      <alignment horizontal="right"/>
    </xf>
    <xf numFmtId="0" fontId="0" fillId="20" borderId="7" xfId="0" applyFill="1" applyBorder="1" applyAlignment="1">
      <alignment horizontal="left"/>
    </xf>
    <xf numFmtId="4" fontId="21" fillId="20" borderId="1" xfId="0" applyNumberFormat="1" applyFont="1" applyFill="1" applyBorder="1" applyAlignment="1">
      <alignment horizontal="right"/>
    </xf>
    <xf numFmtId="4" fontId="0" fillId="20" borderId="1" xfId="0" applyNumberFormat="1" applyFill="1" applyBorder="1" applyAlignment="1">
      <alignment horizontal="right"/>
    </xf>
    <xf numFmtId="4" fontId="0" fillId="20" borderId="8" xfId="0" applyNumberFormat="1" applyFill="1" applyBorder="1" applyAlignment="1">
      <alignment horizontal="right"/>
    </xf>
    <xf numFmtId="0" fontId="1" fillId="4" borderId="11" xfId="0" applyFont="1" applyFill="1" applyBorder="1" applyAlignment="1">
      <alignment horizontal="right"/>
    </xf>
    <xf numFmtId="0" fontId="16" fillId="2" borderId="56" xfId="0" applyFont="1" applyFill="1" applyBorder="1" applyAlignment="1">
      <alignment horizontal="center"/>
    </xf>
    <xf numFmtId="0" fontId="16" fillId="2" borderId="10" xfId="0" applyFont="1" applyFill="1" applyBorder="1" applyAlignment="1">
      <alignment horizontal="center"/>
    </xf>
    <xf numFmtId="0" fontId="16" fillId="2" borderId="57" xfId="0" applyFont="1" applyFill="1" applyBorder="1" applyAlignment="1">
      <alignment horizontal="center"/>
    </xf>
    <xf numFmtId="0" fontId="0" fillId="0" borderId="48" xfId="0" applyBorder="1" applyAlignment="1">
      <alignment horizontal="left" vertical="top" wrapText="1"/>
    </xf>
    <xf numFmtId="0" fontId="0" fillId="0" borderId="49" xfId="0" applyBorder="1" applyAlignment="1">
      <alignment horizontal="left" vertical="top"/>
    </xf>
    <xf numFmtId="0" fontId="0" fillId="0" borderId="50" xfId="0" applyBorder="1" applyAlignment="1">
      <alignment horizontal="left" vertical="top"/>
    </xf>
    <xf numFmtId="0" fontId="0" fillId="0" borderId="51" xfId="0" applyBorder="1" applyAlignment="1">
      <alignment horizontal="left" vertical="top"/>
    </xf>
    <xf numFmtId="0" fontId="0" fillId="0" borderId="0" xfId="0" applyAlignment="1">
      <alignment horizontal="left" vertical="top"/>
    </xf>
    <xf numFmtId="0" fontId="0" fillId="0" borderId="52" xfId="0" applyBorder="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5" xfId="0" applyBorder="1" applyAlignment="1">
      <alignment horizontal="left" vertical="top"/>
    </xf>
    <xf numFmtId="0" fontId="17" fillId="0" borderId="0" xfId="0" applyFont="1" applyAlignment="1">
      <alignment horizontal="left" vertical="center"/>
    </xf>
    <xf numFmtId="0" fontId="17" fillId="0" borderId="1" xfId="0" applyFont="1" applyBorder="1" applyAlignment="1">
      <alignment horizontal="left" vertical="center"/>
    </xf>
    <xf numFmtId="0" fontId="22" fillId="16" borderId="9" xfId="0" applyFont="1" applyFill="1" applyBorder="1" applyAlignment="1">
      <alignment horizontal="center"/>
    </xf>
    <xf numFmtId="0" fontId="22" fillId="16" borderId="10" xfId="0" applyFont="1" applyFill="1" applyBorder="1" applyAlignment="1">
      <alignment horizontal="center"/>
    </xf>
    <xf numFmtId="0" fontId="22" fillId="16" borderId="11" xfId="0" applyFont="1" applyFill="1" applyBorder="1" applyAlignment="1">
      <alignment horizontal="center"/>
    </xf>
    <xf numFmtId="0" fontId="1" fillId="12" borderId="9" xfId="0" applyFont="1" applyFill="1" applyBorder="1" applyAlignment="1">
      <alignment horizontal="center"/>
    </xf>
    <xf numFmtId="0" fontId="1" fillId="12" borderId="10" xfId="0" applyFont="1" applyFill="1" applyBorder="1" applyAlignment="1">
      <alignment horizontal="center"/>
    </xf>
    <xf numFmtId="0" fontId="1" fillId="12" borderId="11" xfId="0" applyFont="1"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6" xfId="0" applyBorder="1" applyAlignment="1">
      <alignment horizontal="center"/>
    </xf>
  </cellXfs>
  <cellStyles count="4">
    <cellStyle name="Comma" xfId="1" builtinId="3"/>
    <cellStyle name="Normal" xfId="0" builtinId="0"/>
    <cellStyle name="Normal 2" xfId="2" xr:uid="{00000000-0005-0000-0000-000002000000}"/>
    <cellStyle name="Normal 2 2" xfId="3" xr:uid="{00000000-0005-0000-0000-00000300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7883971400126705"/>
          <c:w val="0.84530568430719188"/>
          <c:h val="0.68768488497761304"/>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2"/>
              <c:pt idx="0">
                <c:v>0</c:v>
              </c:pt>
              <c:pt idx="1">
                <c:v>0</c:v>
              </c:pt>
            </c:numLit>
          </c:xVal>
          <c:yVal>
            <c:numLit>
              <c:formatCode>General</c:formatCode>
              <c:ptCount val="2"/>
              <c:pt idx="0">
                <c:v>0</c:v>
              </c:pt>
              <c:pt idx="1">
                <c:v>0</c:v>
              </c:pt>
            </c:numLit>
          </c:yVal>
          <c:smooth val="1"/>
          <c:extLst>
            <c:ext xmlns:c16="http://schemas.microsoft.com/office/drawing/2014/chart" uri="{C3380CC4-5D6E-409C-BE32-E72D297353CC}">
              <c16:uniqueId val="{00000000-98F5-49DE-A7F7-9336D5BA0230}"/>
            </c:ext>
          </c:extLst>
        </c:ser>
        <c:dLbls>
          <c:showLegendKey val="0"/>
          <c:showVal val="0"/>
          <c:showCatName val="0"/>
          <c:showSerName val="0"/>
          <c:showPercent val="0"/>
          <c:showBubbleSize val="0"/>
        </c:dLbls>
        <c:axId val="53617792"/>
        <c:axId val="52442176"/>
      </c:scatterChart>
      <c:scatterChart>
        <c:scatterStyle val="smoothMarker"/>
        <c:varyColors val="0"/>
        <c:ser>
          <c:idx val="1"/>
          <c:order val="0"/>
          <c:tx>
            <c:v>Match Data</c:v>
          </c:tx>
          <c:spPr>
            <a:ln w="9525">
              <a:solidFill>
                <a:srgbClr val="0000FF"/>
              </a:solidFill>
              <a:prstDash val="solid"/>
            </a:ln>
          </c:spPr>
          <c:marker>
            <c:symbol val="none"/>
          </c:marker>
          <c:xVal>
            <c:numRef>
              <c:f>'PVT Results'!$P$10:$P$59</c:f>
              <c:numCache>
                <c:formatCode>0.00;\-0.00;0.00</c:formatCode>
                <c:ptCount val="50"/>
                <c:pt idx="0">
                  <c:v>100</c:v>
                </c:pt>
                <c:pt idx="1">
                  <c:v>302.041</c:v>
                </c:pt>
                <c:pt idx="2">
                  <c:v>504.08199999999999</c:v>
                </c:pt>
                <c:pt idx="3">
                  <c:v>706.12199999999996</c:v>
                </c:pt>
                <c:pt idx="4">
                  <c:v>908.16300000000001</c:v>
                </c:pt>
                <c:pt idx="5">
                  <c:v>1110.2</c:v>
                </c:pt>
                <c:pt idx="6">
                  <c:v>1312.24</c:v>
                </c:pt>
                <c:pt idx="7">
                  <c:v>1514.29</c:v>
                </c:pt>
                <c:pt idx="8">
                  <c:v>1716.33</c:v>
                </c:pt>
                <c:pt idx="9">
                  <c:v>1918.37</c:v>
                </c:pt>
                <c:pt idx="10">
                  <c:v>2120.41</c:v>
                </c:pt>
                <c:pt idx="11">
                  <c:v>2322.4499999999998</c:v>
                </c:pt>
                <c:pt idx="12">
                  <c:v>2524.4899999999998</c:v>
                </c:pt>
                <c:pt idx="13">
                  <c:v>2726.53</c:v>
                </c:pt>
                <c:pt idx="14">
                  <c:v>2928.57</c:v>
                </c:pt>
                <c:pt idx="15">
                  <c:v>3130.61</c:v>
                </c:pt>
                <c:pt idx="16">
                  <c:v>3332.65</c:v>
                </c:pt>
                <c:pt idx="17">
                  <c:v>3534.69</c:v>
                </c:pt>
                <c:pt idx="18">
                  <c:v>3736.73</c:v>
                </c:pt>
                <c:pt idx="19">
                  <c:v>3938.78</c:v>
                </c:pt>
                <c:pt idx="20">
                  <c:v>4140.82</c:v>
                </c:pt>
                <c:pt idx="21">
                  <c:v>4342.8599999999997</c:v>
                </c:pt>
                <c:pt idx="22">
                  <c:v>4544.8999999999996</c:v>
                </c:pt>
                <c:pt idx="23">
                  <c:v>4746.9399999999996</c:v>
                </c:pt>
                <c:pt idx="24">
                  <c:v>4948.9799999999996</c:v>
                </c:pt>
                <c:pt idx="25">
                  <c:v>5151.0200000000004</c:v>
                </c:pt>
                <c:pt idx="26">
                  <c:v>5353.06</c:v>
                </c:pt>
                <c:pt idx="27">
                  <c:v>5555.1</c:v>
                </c:pt>
                <c:pt idx="28">
                  <c:v>5757.14</c:v>
                </c:pt>
                <c:pt idx="29">
                  <c:v>5959.18</c:v>
                </c:pt>
                <c:pt idx="30">
                  <c:v>6161.22</c:v>
                </c:pt>
                <c:pt idx="31">
                  <c:v>6363.27</c:v>
                </c:pt>
                <c:pt idx="32">
                  <c:v>6565.31</c:v>
                </c:pt>
                <c:pt idx="33">
                  <c:v>6767.35</c:v>
                </c:pt>
                <c:pt idx="34">
                  <c:v>6969.39</c:v>
                </c:pt>
                <c:pt idx="35">
                  <c:v>7171.43</c:v>
                </c:pt>
                <c:pt idx="36">
                  <c:v>7373.47</c:v>
                </c:pt>
                <c:pt idx="37">
                  <c:v>7575.51</c:v>
                </c:pt>
                <c:pt idx="38">
                  <c:v>7777.55</c:v>
                </c:pt>
                <c:pt idx="39">
                  <c:v>7979.59</c:v>
                </c:pt>
                <c:pt idx="40">
                  <c:v>8181.63</c:v>
                </c:pt>
                <c:pt idx="41">
                  <c:v>8383.67</c:v>
                </c:pt>
                <c:pt idx="42">
                  <c:v>8585.7099999999991</c:v>
                </c:pt>
                <c:pt idx="43">
                  <c:v>8787.75</c:v>
                </c:pt>
                <c:pt idx="44">
                  <c:v>8989.7999999999993</c:v>
                </c:pt>
                <c:pt idx="45">
                  <c:v>9191.84</c:v>
                </c:pt>
                <c:pt idx="46">
                  <c:v>9393.8799999999992</c:v>
                </c:pt>
                <c:pt idx="47">
                  <c:v>9595.92</c:v>
                </c:pt>
                <c:pt idx="48">
                  <c:v>9797.9599999999991</c:v>
                </c:pt>
                <c:pt idx="49">
                  <c:v>10000</c:v>
                </c:pt>
              </c:numCache>
            </c:numRef>
          </c:xVal>
          <c:yVal>
            <c:numRef>
              <c:f>'PVT Results'!$T$10:$T$59</c:f>
              <c:numCache>
                <c:formatCode>0.0000;\-0.0;0.0</c:formatCode>
                <c:ptCount val="50"/>
                <c:pt idx="0">
                  <c:v>0.97243800000000002</c:v>
                </c:pt>
                <c:pt idx="1">
                  <c:v>0.95994400000000002</c:v>
                </c:pt>
                <c:pt idx="2">
                  <c:v>0.94844200000000001</c:v>
                </c:pt>
                <c:pt idx="3">
                  <c:v>0.93804200000000004</c:v>
                </c:pt>
                <c:pt idx="4">
                  <c:v>0.92885200000000001</c:v>
                </c:pt>
                <c:pt idx="5">
                  <c:v>0.92096599999999995</c:v>
                </c:pt>
                <c:pt idx="6">
                  <c:v>0.91446700000000003</c:v>
                </c:pt>
                <c:pt idx="7">
                  <c:v>0.90941700000000003</c:v>
                </c:pt>
                <c:pt idx="8">
                  <c:v>0.90585400000000005</c:v>
                </c:pt>
                <c:pt idx="9">
                  <c:v>0.90379100000000001</c:v>
                </c:pt>
                <c:pt idx="10">
                  <c:v>0.90321600000000002</c:v>
                </c:pt>
                <c:pt idx="11">
                  <c:v>0.90409200000000001</c:v>
                </c:pt>
                <c:pt idx="12">
                  <c:v>0.906362</c:v>
                </c:pt>
                <c:pt idx="13">
                  <c:v>0.90995199999999998</c:v>
                </c:pt>
                <c:pt idx="14">
                  <c:v>0.91477900000000001</c:v>
                </c:pt>
                <c:pt idx="15">
                  <c:v>0.92075099999999999</c:v>
                </c:pt>
                <c:pt idx="16">
                  <c:v>0.92777600000000005</c:v>
                </c:pt>
                <c:pt idx="17">
                  <c:v>0.93576099999999995</c:v>
                </c:pt>
                <c:pt idx="18">
                  <c:v>0.94461700000000004</c:v>
                </c:pt>
                <c:pt idx="19">
                  <c:v>0.95426200000000005</c:v>
                </c:pt>
                <c:pt idx="20">
                  <c:v>0.96461699999999995</c:v>
                </c:pt>
                <c:pt idx="21">
                  <c:v>0.97561100000000001</c:v>
                </c:pt>
                <c:pt idx="22">
                  <c:v>0.98717999999999995</c:v>
                </c:pt>
                <c:pt idx="23">
                  <c:v>0.99926499999999996</c:v>
                </c:pt>
                <c:pt idx="24">
                  <c:v>1.0118100000000001</c:v>
                </c:pt>
                <c:pt idx="25">
                  <c:v>1.02478</c:v>
                </c:pt>
                <c:pt idx="26">
                  <c:v>1.0381199999999999</c:v>
                </c:pt>
                <c:pt idx="27">
                  <c:v>1.0518000000000001</c:v>
                </c:pt>
                <c:pt idx="28">
                  <c:v>1.0657799999999999</c:v>
                </c:pt>
                <c:pt idx="29">
                  <c:v>1.0800399999999999</c:v>
                </c:pt>
                <c:pt idx="30">
                  <c:v>1.0945400000000001</c:v>
                </c:pt>
                <c:pt idx="31">
                  <c:v>1.10927</c:v>
                </c:pt>
                <c:pt idx="32">
                  <c:v>1.12419</c:v>
                </c:pt>
                <c:pt idx="33">
                  <c:v>1.1393</c:v>
                </c:pt>
                <c:pt idx="34">
                  <c:v>1.1545700000000001</c:v>
                </c:pt>
                <c:pt idx="35">
                  <c:v>1.16998</c:v>
                </c:pt>
                <c:pt idx="36">
                  <c:v>1.18553</c:v>
                </c:pt>
                <c:pt idx="37">
                  <c:v>1.2012</c:v>
                </c:pt>
                <c:pt idx="38">
                  <c:v>1.21698</c:v>
                </c:pt>
                <c:pt idx="39">
                  <c:v>1.2328600000000001</c:v>
                </c:pt>
                <c:pt idx="40">
                  <c:v>1.2488300000000001</c:v>
                </c:pt>
                <c:pt idx="41">
                  <c:v>1.2648699999999999</c:v>
                </c:pt>
                <c:pt idx="42">
                  <c:v>1.28098</c:v>
                </c:pt>
                <c:pt idx="43">
                  <c:v>1.2971600000000001</c:v>
                </c:pt>
                <c:pt idx="44">
                  <c:v>1.3133999999999999</c:v>
                </c:pt>
                <c:pt idx="45">
                  <c:v>1.32969</c:v>
                </c:pt>
                <c:pt idx="46">
                  <c:v>1.34602</c:v>
                </c:pt>
                <c:pt idx="47">
                  <c:v>1.36239</c:v>
                </c:pt>
                <c:pt idx="48">
                  <c:v>1.3788</c:v>
                </c:pt>
                <c:pt idx="49">
                  <c:v>1.39523</c:v>
                </c:pt>
              </c:numCache>
            </c:numRef>
          </c:yVal>
          <c:smooth val="1"/>
          <c:extLst>
            <c:ext xmlns:c16="http://schemas.microsoft.com/office/drawing/2014/chart" uri="{C3380CC4-5D6E-409C-BE32-E72D297353CC}">
              <c16:uniqueId val="{00000001-98F5-49DE-A7F7-9336D5BA0230}"/>
            </c:ext>
          </c:extLst>
        </c:ser>
        <c:dLbls>
          <c:showLegendKey val="0"/>
          <c:showVal val="0"/>
          <c:showCatName val="0"/>
          <c:showSerName val="0"/>
          <c:showPercent val="0"/>
          <c:showBubbleSize val="0"/>
        </c:dLbls>
        <c:axId val="53618944"/>
        <c:axId val="53618368"/>
      </c:scatterChart>
      <c:valAx>
        <c:axId val="53617792"/>
        <c:scaling>
          <c:orientation val="minMax"/>
          <c:max val="10000"/>
          <c:min val="0"/>
        </c:scaling>
        <c:delete val="0"/>
        <c:axPos val="b"/>
        <c:majorGridlines>
          <c:spPr>
            <a:ln w="3175">
              <a:solidFill>
                <a:schemeClr val="bg1">
                  <a:lumMod val="95000"/>
                </a:schemeClr>
              </a:solidFill>
              <a:prstDash val="sysDash"/>
            </a:ln>
          </c:spPr>
        </c:majorGridlines>
        <c:title>
          <c:tx>
            <c:rich>
              <a:bodyPr/>
              <a:lstStyle/>
              <a:p>
                <a:pPr>
                  <a:defRPr sz="800"/>
                </a:pPr>
                <a:r>
                  <a:rPr lang="es-BO" sz="8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2442176"/>
        <c:crossesAt val="0"/>
        <c:crossBetween val="midCat"/>
      </c:valAx>
      <c:valAx>
        <c:axId val="52442176"/>
        <c:scaling>
          <c:orientation val="minMax"/>
          <c:max val="1.4"/>
          <c:min val="0.6"/>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617792"/>
        <c:crossesAt val="0"/>
        <c:crossBetween val="midCat"/>
      </c:valAx>
      <c:valAx>
        <c:axId val="53618368"/>
        <c:scaling>
          <c:orientation val="minMax"/>
          <c:max val="1.4"/>
          <c:min val="0.6"/>
        </c:scaling>
        <c:delete val="0"/>
        <c:axPos val="r"/>
        <c:numFmt formatCode="#,##0.0" sourceLinked="0"/>
        <c:majorTickMark val="out"/>
        <c:minorTickMark val="in"/>
        <c:tickLblPos val="nextTo"/>
        <c:spPr>
          <a:ln w="12700">
            <a:solidFill>
              <a:schemeClr val="tx1"/>
            </a:solidFill>
          </a:ln>
        </c:spPr>
        <c:txPr>
          <a:bodyPr/>
          <a:lstStyle/>
          <a:p>
            <a:pPr>
              <a:defRPr sz="800" b="1"/>
            </a:pPr>
            <a:endParaRPr lang="es-ES"/>
          </a:p>
        </c:txPr>
        <c:crossAx val="53618944"/>
        <c:crosses val="max"/>
        <c:crossBetween val="midCat"/>
      </c:valAx>
      <c:valAx>
        <c:axId val="53618944"/>
        <c:scaling>
          <c:orientation val="minMax"/>
          <c:max val="1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3618368"/>
        <c:crosses val="max"/>
        <c:crossBetween val="midCat"/>
      </c:valAx>
      <c:spPr>
        <a:solidFill>
          <a:srgbClr val="FFFFFF"/>
        </a:solidFill>
        <a:ln w="25400">
          <a:noFill/>
        </a:ln>
      </c:spPr>
    </c:plotArea>
    <c:legend>
      <c:legendPos val="r"/>
      <c:layout>
        <c:manualLayout>
          <c:xMode val="edge"/>
          <c:yMode val="edge"/>
          <c:x val="0.68492601059276192"/>
          <c:y val="0.65708545622973613"/>
          <c:w val="0.20764907597166793"/>
          <c:h val="0.17578248031496066"/>
        </c:manualLayout>
      </c:layout>
      <c:overlay val="0"/>
      <c:spPr>
        <a:solidFill>
          <a:schemeClr val="bg1"/>
        </a:solidFill>
        <a:ln w="6350" cap="flat" cmpd="sng" algn="ctr">
          <a:solidFill>
            <a:schemeClr val="tx1"/>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Viscosity</a:t>
            </a:r>
          </a:p>
        </c:rich>
      </c:tx>
      <c:layout>
        <c:manualLayout>
          <c:xMode val="edge"/>
          <c:yMode val="edge"/>
          <c:x val="0.40724885844748854"/>
          <c:y val="0"/>
        </c:manualLayout>
      </c:layout>
      <c:overlay val="0"/>
    </c:title>
    <c:autoTitleDeleted val="0"/>
    <c:plotArea>
      <c:layout>
        <c:manualLayout>
          <c:layoutTarget val="inner"/>
          <c:xMode val="edge"/>
          <c:yMode val="edge"/>
          <c:x val="9.6715004374453198E-2"/>
          <c:y val="0.17883971400126705"/>
          <c:w val="0.82586132983377092"/>
          <c:h val="0.68768488497761304"/>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0</c:v>
              </c:pt>
            </c:numLit>
          </c:xVal>
          <c:yVal>
            <c:numLit>
              <c:formatCode>General</c:formatCode>
              <c:ptCount val="1"/>
              <c:pt idx="0">
                <c:v>0</c:v>
              </c:pt>
            </c:numLit>
          </c:yVal>
          <c:smooth val="1"/>
          <c:extLst>
            <c:ext xmlns:c16="http://schemas.microsoft.com/office/drawing/2014/chart" uri="{C3380CC4-5D6E-409C-BE32-E72D297353CC}">
              <c16:uniqueId val="{00000000-99E6-4B0F-8216-DAA0B0B646F7}"/>
            </c:ext>
          </c:extLst>
        </c:ser>
        <c:dLbls>
          <c:showLegendKey val="0"/>
          <c:showVal val="0"/>
          <c:showCatName val="0"/>
          <c:showSerName val="0"/>
          <c:showPercent val="0"/>
          <c:showBubbleSize val="0"/>
        </c:dLbls>
        <c:axId val="53620672"/>
        <c:axId val="53621248"/>
      </c:scatterChart>
      <c:scatterChart>
        <c:scatterStyle val="smoothMarker"/>
        <c:varyColors val="0"/>
        <c:ser>
          <c:idx val="1"/>
          <c:order val="0"/>
          <c:tx>
            <c:v>Match Data</c:v>
          </c:tx>
          <c:spPr>
            <a:ln w="9525">
              <a:solidFill>
                <a:srgbClr val="0000FF"/>
              </a:solidFill>
              <a:prstDash val="solid"/>
            </a:ln>
          </c:spPr>
          <c:marker>
            <c:symbol val="none"/>
          </c:marker>
          <c:xVal>
            <c:numRef>
              <c:f>'PVT Results'!$P$10:$P$59</c:f>
              <c:numCache>
                <c:formatCode>0.00;\-0.00;0.00</c:formatCode>
                <c:ptCount val="50"/>
                <c:pt idx="0">
                  <c:v>100</c:v>
                </c:pt>
                <c:pt idx="1">
                  <c:v>302.041</c:v>
                </c:pt>
                <c:pt idx="2">
                  <c:v>504.08199999999999</c:v>
                </c:pt>
                <c:pt idx="3">
                  <c:v>706.12199999999996</c:v>
                </c:pt>
                <c:pt idx="4">
                  <c:v>908.16300000000001</c:v>
                </c:pt>
                <c:pt idx="5">
                  <c:v>1110.2</c:v>
                </c:pt>
                <c:pt idx="6">
                  <c:v>1312.24</c:v>
                </c:pt>
                <c:pt idx="7">
                  <c:v>1514.29</c:v>
                </c:pt>
                <c:pt idx="8">
                  <c:v>1716.33</c:v>
                </c:pt>
                <c:pt idx="9">
                  <c:v>1918.37</c:v>
                </c:pt>
                <c:pt idx="10">
                  <c:v>2120.41</c:v>
                </c:pt>
                <c:pt idx="11">
                  <c:v>2322.4499999999998</c:v>
                </c:pt>
                <c:pt idx="12">
                  <c:v>2524.4899999999998</c:v>
                </c:pt>
                <c:pt idx="13">
                  <c:v>2726.53</c:v>
                </c:pt>
                <c:pt idx="14">
                  <c:v>2928.57</c:v>
                </c:pt>
                <c:pt idx="15">
                  <c:v>3130.61</c:v>
                </c:pt>
                <c:pt idx="16">
                  <c:v>3332.65</c:v>
                </c:pt>
                <c:pt idx="17">
                  <c:v>3534.69</c:v>
                </c:pt>
                <c:pt idx="18">
                  <c:v>3736.73</c:v>
                </c:pt>
                <c:pt idx="19">
                  <c:v>3938.78</c:v>
                </c:pt>
                <c:pt idx="20">
                  <c:v>4140.82</c:v>
                </c:pt>
                <c:pt idx="21">
                  <c:v>4342.8599999999997</c:v>
                </c:pt>
                <c:pt idx="22">
                  <c:v>4544.8999999999996</c:v>
                </c:pt>
                <c:pt idx="23">
                  <c:v>4746.9399999999996</c:v>
                </c:pt>
                <c:pt idx="24">
                  <c:v>4948.9799999999996</c:v>
                </c:pt>
                <c:pt idx="25">
                  <c:v>5151.0200000000004</c:v>
                </c:pt>
                <c:pt idx="26">
                  <c:v>5353.06</c:v>
                </c:pt>
                <c:pt idx="27">
                  <c:v>5555.1</c:v>
                </c:pt>
                <c:pt idx="28">
                  <c:v>5757.14</c:v>
                </c:pt>
                <c:pt idx="29">
                  <c:v>5959.18</c:v>
                </c:pt>
                <c:pt idx="30">
                  <c:v>6161.22</c:v>
                </c:pt>
                <c:pt idx="31">
                  <c:v>6363.27</c:v>
                </c:pt>
                <c:pt idx="32">
                  <c:v>6565.31</c:v>
                </c:pt>
                <c:pt idx="33">
                  <c:v>6767.35</c:v>
                </c:pt>
                <c:pt idx="34">
                  <c:v>6969.39</c:v>
                </c:pt>
                <c:pt idx="35">
                  <c:v>7171.43</c:v>
                </c:pt>
                <c:pt idx="36">
                  <c:v>7373.47</c:v>
                </c:pt>
                <c:pt idx="37">
                  <c:v>7575.51</c:v>
                </c:pt>
                <c:pt idx="38">
                  <c:v>7777.55</c:v>
                </c:pt>
                <c:pt idx="39">
                  <c:v>7979.59</c:v>
                </c:pt>
                <c:pt idx="40">
                  <c:v>8181.63</c:v>
                </c:pt>
                <c:pt idx="41">
                  <c:v>8383.67</c:v>
                </c:pt>
                <c:pt idx="42">
                  <c:v>8585.7099999999991</c:v>
                </c:pt>
                <c:pt idx="43">
                  <c:v>8787.75</c:v>
                </c:pt>
                <c:pt idx="44">
                  <c:v>8989.7999999999993</c:v>
                </c:pt>
                <c:pt idx="45">
                  <c:v>9191.84</c:v>
                </c:pt>
                <c:pt idx="46">
                  <c:v>9393.8799999999992</c:v>
                </c:pt>
                <c:pt idx="47">
                  <c:v>9595.92</c:v>
                </c:pt>
                <c:pt idx="48">
                  <c:v>9797.9599999999991</c:v>
                </c:pt>
                <c:pt idx="49">
                  <c:v>10000</c:v>
                </c:pt>
              </c:numCache>
            </c:numRef>
          </c:xVal>
          <c:yVal>
            <c:numRef>
              <c:f>'PVT Results'!$R$10:$R$59</c:f>
              <c:numCache>
                <c:formatCode>0.0000;\-0.0;0.0</c:formatCode>
                <c:ptCount val="50"/>
                <c:pt idx="0">
                  <c:v>1.3002700000000001E-2</c:v>
                </c:pt>
                <c:pt idx="1">
                  <c:v>1.31498E-2</c:v>
                </c:pt>
                <c:pt idx="2">
                  <c:v>1.3346800000000001E-2</c:v>
                </c:pt>
                <c:pt idx="3">
                  <c:v>1.35847E-2</c:v>
                </c:pt>
                <c:pt idx="4">
                  <c:v>1.38596E-2</c:v>
                </c:pt>
                <c:pt idx="5">
                  <c:v>1.41692E-2</c:v>
                </c:pt>
                <c:pt idx="6">
                  <c:v>1.4511700000000001E-2</c:v>
                </c:pt>
                <c:pt idx="7">
                  <c:v>1.4885300000000001E-2</c:v>
                </c:pt>
                <c:pt idx="8">
                  <c:v>1.5288100000000001E-2</c:v>
                </c:pt>
                <c:pt idx="9">
                  <c:v>1.5717800000000001E-2</c:v>
                </c:pt>
                <c:pt idx="10">
                  <c:v>1.6172099999999998E-2</c:v>
                </c:pt>
                <c:pt idx="11">
                  <c:v>1.6648400000000001E-2</c:v>
                </c:pt>
                <c:pt idx="12">
                  <c:v>1.7144E-2</c:v>
                </c:pt>
                <c:pt idx="13">
                  <c:v>1.7656100000000001E-2</c:v>
                </c:pt>
                <c:pt idx="14">
                  <c:v>1.8182199999999999E-2</c:v>
                </c:pt>
                <c:pt idx="15">
                  <c:v>1.8719699999999999E-2</c:v>
                </c:pt>
                <c:pt idx="16">
                  <c:v>1.92663E-2</c:v>
                </c:pt>
                <c:pt idx="17">
                  <c:v>1.9819799999999999E-2</c:v>
                </c:pt>
                <c:pt idx="18">
                  <c:v>2.0378400000000001E-2</c:v>
                </c:pt>
                <c:pt idx="19">
                  <c:v>2.0940199999999999E-2</c:v>
                </c:pt>
                <c:pt idx="20">
                  <c:v>2.1503899999999999E-2</c:v>
                </c:pt>
                <c:pt idx="21">
                  <c:v>2.20681E-2</c:v>
                </c:pt>
                <c:pt idx="22">
                  <c:v>2.2631700000000001E-2</c:v>
                </c:pt>
                <c:pt idx="23">
                  <c:v>2.3193800000000001E-2</c:v>
                </c:pt>
                <c:pt idx="24">
                  <c:v>2.3753400000000001E-2</c:v>
                </c:pt>
                <c:pt idx="25">
                  <c:v>2.4309999999999998E-2</c:v>
                </c:pt>
                <c:pt idx="26">
                  <c:v>2.48629E-2</c:v>
                </c:pt>
                <c:pt idx="27">
                  <c:v>2.5411699999999999E-2</c:v>
                </c:pt>
                <c:pt idx="28">
                  <c:v>2.59559E-2</c:v>
                </c:pt>
                <c:pt idx="29">
                  <c:v>2.64952E-2</c:v>
                </c:pt>
                <c:pt idx="30">
                  <c:v>2.7029399999999999E-2</c:v>
                </c:pt>
                <c:pt idx="31">
                  <c:v>2.7558300000000001E-2</c:v>
                </c:pt>
                <c:pt idx="32">
                  <c:v>2.8081700000000001E-2</c:v>
                </c:pt>
                <c:pt idx="33">
                  <c:v>2.8599599999999999E-2</c:v>
                </c:pt>
                <c:pt idx="34">
                  <c:v>2.9111700000000001E-2</c:v>
                </c:pt>
                <c:pt idx="35">
                  <c:v>2.9618200000000001E-2</c:v>
                </c:pt>
                <c:pt idx="36">
                  <c:v>3.0119E-2</c:v>
                </c:pt>
                <c:pt idx="37">
                  <c:v>3.0613999999999999E-2</c:v>
                </c:pt>
                <c:pt idx="38">
                  <c:v>3.11034E-2</c:v>
                </c:pt>
                <c:pt idx="39">
                  <c:v>3.1587200000000003E-2</c:v>
                </c:pt>
                <c:pt idx="40">
                  <c:v>3.2065400000000001E-2</c:v>
                </c:pt>
                <c:pt idx="41">
                  <c:v>3.25381E-2</c:v>
                </c:pt>
                <c:pt idx="42">
                  <c:v>3.3005399999999997E-2</c:v>
                </c:pt>
                <c:pt idx="43">
                  <c:v>3.3467299999999998E-2</c:v>
                </c:pt>
                <c:pt idx="44">
                  <c:v>3.3924099999999999E-2</c:v>
                </c:pt>
                <c:pt idx="45">
                  <c:v>3.4375599999999999E-2</c:v>
                </c:pt>
                <c:pt idx="46">
                  <c:v>3.4822199999999998E-2</c:v>
                </c:pt>
                <c:pt idx="47">
                  <c:v>3.5263799999999998E-2</c:v>
                </c:pt>
                <c:pt idx="48">
                  <c:v>3.5700500000000003E-2</c:v>
                </c:pt>
                <c:pt idx="49">
                  <c:v>3.6132499999999998E-2</c:v>
                </c:pt>
              </c:numCache>
            </c:numRef>
          </c:yVal>
          <c:smooth val="1"/>
          <c:extLst>
            <c:ext xmlns:c16="http://schemas.microsoft.com/office/drawing/2014/chart" uri="{C3380CC4-5D6E-409C-BE32-E72D297353CC}">
              <c16:uniqueId val="{00000001-99E6-4B0F-8216-DAA0B0B646F7}"/>
            </c:ext>
          </c:extLst>
        </c:ser>
        <c:dLbls>
          <c:showLegendKey val="0"/>
          <c:showVal val="0"/>
          <c:showCatName val="0"/>
          <c:showSerName val="0"/>
          <c:showPercent val="0"/>
          <c:showBubbleSize val="0"/>
        </c:dLbls>
        <c:axId val="53622400"/>
        <c:axId val="53621824"/>
      </c:scatterChart>
      <c:valAx>
        <c:axId val="53620672"/>
        <c:scaling>
          <c:orientation val="minMax"/>
          <c:max val="10000"/>
          <c:min val="0"/>
        </c:scaling>
        <c:delete val="0"/>
        <c:axPos val="b"/>
        <c:majorGridlines>
          <c:spPr>
            <a:ln w="3175">
              <a:solidFill>
                <a:schemeClr val="bg1">
                  <a:lumMod val="95000"/>
                </a:schemeClr>
              </a:solidFill>
              <a:prstDash val="sysDash"/>
            </a:ln>
          </c:spPr>
        </c:majorGridlines>
        <c:title>
          <c:tx>
            <c:rich>
              <a:bodyPr/>
              <a:lstStyle/>
              <a:p>
                <a:pPr>
                  <a:defRPr sz="800"/>
                </a:pPr>
                <a:r>
                  <a:rPr lang="es-BO" sz="8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621248"/>
        <c:crossesAt val="0"/>
        <c:crossBetween val="midCat"/>
      </c:valAx>
      <c:valAx>
        <c:axId val="53621248"/>
        <c:scaling>
          <c:orientation val="minMax"/>
          <c:max val="3.6132499999999998E-2"/>
          <c:min val="1.3002700000000001E-2"/>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620672"/>
        <c:crossesAt val="0"/>
        <c:crossBetween val="midCat"/>
      </c:valAx>
      <c:valAx>
        <c:axId val="53621824"/>
        <c:scaling>
          <c:orientation val="minMax"/>
          <c:max val="3.6132499999999998E-2"/>
          <c:min val="1.3002700000000001E-2"/>
        </c:scaling>
        <c:delete val="0"/>
        <c:axPos val="r"/>
        <c:numFmt formatCode="#,##0.000" sourceLinked="0"/>
        <c:majorTickMark val="out"/>
        <c:minorTickMark val="in"/>
        <c:tickLblPos val="nextTo"/>
        <c:spPr>
          <a:ln w="12700">
            <a:solidFill>
              <a:schemeClr val="tx1"/>
            </a:solidFill>
          </a:ln>
        </c:spPr>
        <c:txPr>
          <a:bodyPr/>
          <a:lstStyle/>
          <a:p>
            <a:pPr>
              <a:defRPr sz="800" b="1"/>
            </a:pPr>
            <a:endParaRPr lang="es-ES"/>
          </a:p>
        </c:txPr>
        <c:crossAx val="53622400"/>
        <c:crosses val="max"/>
        <c:crossBetween val="midCat"/>
      </c:valAx>
      <c:valAx>
        <c:axId val="53622400"/>
        <c:scaling>
          <c:orientation val="minMax"/>
          <c:max val="1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3621824"/>
        <c:crosses val="max"/>
        <c:crossBetween val="midCat"/>
      </c:valAx>
      <c:spPr>
        <a:solidFill>
          <a:srgbClr val="FFFFFF"/>
        </a:solidFill>
        <a:ln w="25400">
          <a:noFill/>
        </a:ln>
      </c:spPr>
    </c:plotArea>
    <c:legend>
      <c:legendPos val="r"/>
      <c:layout>
        <c:manualLayout>
          <c:xMode val="edge"/>
          <c:yMode val="edge"/>
          <c:x val="0.10547559243266634"/>
          <c:y val="0.21492869641294832"/>
          <c:w val="0.20764907597166793"/>
          <c:h val="0.1616390623585845"/>
        </c:manualLayout>
      </c:layout>
      <c:overlay val="0"/>
      <c:spPr>
        <a:solidFill>
          <a:schemeClr val="bg1"/>
        </a:solidFill>
        <a:ln w="6350" cap="flat" cmpd="sng" algn="ctr">
          <a:solidFill>
            <a:schemeClr val="tx1"/>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FVF (B</a:t>
            </a:r>
            <a:r>
              <a:rPr lang="es-BO" sz="1200" baseline="-25000">
                <a:solidFill>
                  <a:srgbClr val="0000FF"/>
                </a:solidFill>
              </a:rPr>
              <a:t>g</a:t>
            </a:r>
            <a:r>
              <a:rPr lang="es-BO" sz="1200">
                <a:solidFill>
                  <a:srgbClr val="0000FF"/>
                </a:solidFill>
              </a:rPr>
              <a:t>)</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7883971400126705"/>
          <c:w val="0.84530568430719188"/>
          <c:h val="0.69748880654624068"/>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0</c:v>
              </c:pt>
            </c:numLit>
          </c:xVal>
          <c:yVal>
            <c:numLit>
              <c:formatCode>General</c:formatCode>
              <c:ptCount val="1"/>
              <c:pt idx="0">
                <c:v>0</c:v>
              </c:pt>
            </c:numLit>
          </c:yVal>
          <c:smooth val="1"/>
          <c:extLst>
            <c:ext xmlns:c16="http://schemas.microsoft.com/office/drawing/2014/chart" uri="{C3380CC4-5D6E-409C-BE32-E72D297353CC}">
              <c16:uniqueId val="{00000000-818B-4EB2-AFAB-E87A9349455E}"/>
            </c:ext>
          </c:extLst>
        </c:ser>
        <c:dLbls>
          <c:showLegendKey val="0"/>
          <c:showVal val="0"/>
          <c:showCatName val="0"/>
          <c:showSerName val="0"/>
          <c:showPercent val="0"/>
          <c:showBubbleSize val="0"/>
        </c:dLbls>
        <c:axId val="53815552"/>
        <c:axId val="53816128"/>
      </c:scatterChart>
      <c:scatterChart>
        <c:scatterStyle val="smoothMarker"/>
        <c:varyColors val="0"/>
        <c:ser>
          <c:idx val="1"/>
          <c:order val="0"/>
          <c:tx>
            <c:v>Match Data</c:v>
          </c:tx>
          <c:spPr>
            <a:ln w="9525">
              <a:solidFill>
                <a:srgbClr val="0000FF"/>
              </a:solidFill>
              <a:prstDash val="solid"/>
            </a:ln>
          </c:spPr>
          <c:marker>
            <c:symbol val="none"/>
          </c:marker>
          <c:xVal>
            <c:numRef>
              <c:f>'PVT Results'!$P$10:$P$59</c:f>
              <c:numCache>
                <c:formatCode>0.00;\-0.00;0.00</c:formatCode>
                <c:ptCount val="50"/>
                <c:pt idx="0">
                  <c:v>100</c:v>
                </c:pt>
                <c:pt idx="1">
                  <c:v>302.041</c:v>
                </c:pt>
                <c:pt idx="2">
                  <c:v>504.08199999999999</c:v>
                </c:pt>
                <c:pt idx="3">
                  <c:v>706.12199999999996</c:v>
                </c:pt>
                <c:pt idx="4">
                  <c:v>908.16300000000001</c:v>
                </c:pt>
                <c:pt idx="5">
                  <c:v>1110.2</c:v>
                </c:pt>
                <c:pt idx="6">
                  <c:v>1312.24</c:v>
                </c:pt>
                <c:pt idx="7">
                  <c:v>1514.29</c:v>
                </c:pt>
                <c:pt idx="8">
                  <c:v>1716.33</c:v>
                </c:pt>
                <c:pt idx="9">
                  <c:v>1918.37</c:v>
                </c:pt>
                <c:pt idx="10">
                  <c:v>2120.41</c:v>
                </c:pt>
                <c:pt idx="11">
                  <c:v>2322.4499999999998</c:v>
                </c:pt>
                <c:pt idx="12">
                  <c:v>2524.4899999999998</c:v>
                </c:pt>
                <c:pt idx="13">
                  <c:v>2726.53</c:v>
                </c:pt>
                <c:pt idx="14">
                  <c:v>2928.57</c:v>
                </c:pt>
                <c:pt idx="15">
                  <c:v>3130.61</c:v>
                </c:pt>
                <c:pt idx="16">
                  <c:v>3332.65</c:v>
                </c:pt>
                <c:pt idx="17">
                  <c:v>3534.69</c:v>
                </c:pt>
                <c:pt idx="18">
                  <c:v>3736.73</c:v>
                </c:pt>
                <c:pt idx="19">
                  <c:v>3938.78</c:v>
                </c:pt>
                <c:pt idx="20">
                  <c:v>4140.82</c:v>
                </c:pt>
                <c:pt idx="21">
                  <c:v>4342.8599999999997</c:v>
                </c:pt>
                <c:pt idx="22">
                  <c:v>4544.8999999999996</c:v>
                </c:pt>
                <c:pt idx="23">
                  <c:v>4746.9399999999996</c:v>
                </c:pt>
                <c:pt idx="24">
                  <c:v>4948.9799999999996</c:v>
                </c:pt>
                <c:pt idx="25">
                  <c:v>5151.0200000000004</c:v>
                </c:pt>
                <c:pt idx="26">
                  <c:v>5353.06</c:v>
                </c:pt>
                <c:pt idx="27">
                  <c:v>5555.1</c:v>
                </c:pt>
                <c:pt idx="28">
                  <c:v>5757.14</c:v>
                </c:pt>
                <c:pt idx="29">
                  <c:v>5959.18</c:v>
                </c:pt>
                <c:pt idx="30">
                  <c:v>6161.22</c:v>
                </c:pt>
                <c:pt idx="31">
                  <c:v>6363.27</c:v>
                </c:pt>
                <c:pt idx="32">
                  <c:v>6565.31</c:v>
                </c:pt>
                <c:pt idx="33">
                  <c:v>6767.35</c:v>
                </c:pt>
                <c:pt idx="34">
                  <c:v>6969.39</c:v>
                </c:pt>
                <c:pt idx="35">
                  <c:v>7171.43</c:v>
                </c:pt>
                <c:pt idx="36">
                  <c:v>7373.47</c:v>
                </c:pt>
                <c:pt idx="37">
                  <c:v>7575.51</c:v>
                </c:pt>
                <c:pt idx="38">
                  <c:v>7777.55</c:v>
                </c:pt>
                <c:pt idx="39">
                  <c:v>7979.59</c:v>
                </c:pt>
                <c:pt idx="40">
                  <c:v>8181.63</c:v>
                </c:pt>
                <c:pt idx="41">
                  <c:v>8383.67</c:v>
                </c:pt>
                <c:pt idx="42">
                  <c:v>8585.7099999999991</c:v>
                </c:pt>
                <c:pt idx="43">
                  <c:v>8787.75</c:v>
                </c:pt>
                <c:pt idx="44">
                  <c:v>8989.7999999999993</c:v>
                </c:pt>
                <c:pt idx="45">
                  <c:v>9191.84</c:v>
                </c:pt>
                <c:pt idx="46">
                  <c:v>9393.8799999999992</c:v>
                </c:pt>
                <c:pt idx="47">
                  <c:v>9595.92</c:v>
                </c:pt>
                <c:pt idx="48">
                  <c:v>9797.9599999999991</c:v>
                </c:pt>
                <c:pt idx="49">
                  <c:v>10000</c:v>
                </c:pt>
              </c:numCache>
            </c:numRef>
          </c:xVal>
          <c:yVal>
            <c:numRef>
              <c:f>'PVT Results'!$S$10:$S$59</c:f>
              <c:numCache>
                <c:formatCode>0.0000;\-0.0;0.0</c:formatCode>
                <c:ptCount val="50"/>
                <c:pt idx="0">
                  <c:v>0.16674900000000001</c:v>
                </c:pt>
                <c:pt idx="1">
                  <c:v>5.9604799999999999E-2</c:v>
                </c:pt>
                <c:pt idx="2">
                  <c:v>3.5954E-2</c:v>
                </c:pt>
                <c:pt idx="3">
                  <c:v>2.5591699999999998E-2</c:v>
                </c:pt>
                <c:pt idx="4">
                  <c:v>1.9792299999999999E-2</c:v>
                </c:pt>
                <c:pt idx="5">
                  <c:v>1.6098999999999999E-2</c:v>
                </c:pt>
                <c:pt idx="6">
                  <c:v>1.3550899999999999E-2</c:v>
                </c:pt>
                <c:pt idx="7">
                  <c:v>1.1694899999999999E-2</c:v>
                </c:pt>
                <c:pt idx="8">
                  <c:v>1.0289100000000001E-2</c:v>
                </c:pt>
                <c:pt idx="9">
                  <c:v>9.1923300000000003E-3</c:v>
                </c:pt>
                <c:pt idx="10">
                  <c:v>8.3168800000000005E-3</c:v>
                </c:pt>
                <c:pt idx="11">
                  <c:v>7.6049899999999998E-3</c:v>
                </c:pt>
                <c:pt idx="12">
                  <c:v>7.0171900000000004E-3</c:v>
                </c:pt>
                <c:pt idx="13">
                  <c:v>6.52551E-3</c:v>
                </c:pt>
                <c:pt idx="14">
                  <c:v>6.1095999999999998E-3</c:v>
                </c:pt>
                <c:pt idx="15">
                  <c:v>5.7542799999999996E-3</c:v>
                </c:pt>
                <c:pt idx="16">
                  <c:v>5.4480400000000003E-3</c:v>
                </c:pt>
                <c:pt idx="17">
                  <c:v>5.1819800000000001E-3</c:v>
                </c:pt>
                <c:pt idx="18">
                  <c:v>4.9491500000000003E-3</c:v>
                </c:pt>
                <c:pt idx="19">
                  <c:v>4.7440399999999997E-3</c:v>
                </c:pt>
                <c:pt idx="20">
                  <c:v>4.5622400000000004E-3</c:v>
                </c:pt>
                <c:pt idx="21">
                  <c:v>4.4001800000000001E-3</c:v>
                </c:pt>
                <c:pt idx="22">
                  <c:v>4.2549600000000003E-3</c:v>
                </c:pt>
                <c:pt idx="23">
                  <c:v>4.1241999999999997E-3</c:v>
                </c:pt>
                <c:pt idx="24">
                  <c:v>4.0059199999999996E-3</c:v>
                </c:pt>
                <c:pt idx="25">
                  <c:v>3.8984800000000002E-3</c:v>
                </c:pt>
                <c:pt idx="26">
                  <c:v>3.80051E-3</c:v>
                </c:pt>
                <c:pt idx="27">
                  <c:v>3.71083E-3</c:v>
                </c:pt>
                <c:pt idx="28">
                  <c:v>3.62846E-3</c:v>
                </c:pt>
                <c:pt idx="29">
                  <c:v>3.5525700000000001E-3</c:v>
                </c:pt>
                <c:pt idx="30">
                  <c:v>3.4824299999999999E-3</c:v>
                </c:pt>
                <c:pt idx="31">
                  <c:v>3.41742E-3</c:v>
                </c:pt>
                <c:pt idx="32">
                  <c:v>3.3570000000000002E-3</c:v>
                </c:pt>
                <c:pt idx="33">
                  <c:v>3.3007000000000002E-3</c:v>
                </c:pt>
                <c:pt idx="34">
                  <c:v>3.2481200000000002E-3</c:v>
                </c:pt>
                <c:pt idx="35">
                  <c:v>3.1989000000000002E-3</c:v>
                </c:pt>
                <c:pt idx="36">
                  <c:v>3.1527299999999999E-3</c:v>
                </c:pt>
                <c:pt idx="37">
                  <c:v>3.10933E-3</c:v>
                </c:pt>
                <c:pt idx="38">
                  <c:v>3.0684499999999999E-3</c:v>
                </c:pt>
                <c:pt idx="39">
                  <c:v>3.02988E-3</c:v>
                </c:pt>
                <c:pt idx="40">
                  <c:v>2.9934200000000001E-3</c:v>
                </c:pt>
                <c:pt idx="41">
                  <c:v>2.9589E-3</c:v>
                </c:pt>
                <c:pt idx="42">
                  <c:v>2.9261700000000001E-3</c:v>
                </c:pt>
                <c:pt idx="43">
                  <c:v>2.89508E-3</c:v>
                </c:pt>
                <c:pt idx="44">
                  <c:v>2.8655099999999999E-3</c:v>
                </c:pt>
                <c:pt idx="45">
                  <c:v>2.8373500000000002E-3</c:v>
                </c:pt>
                <c:pt idx="46">
                  <c:v>2.8104900000000001E-3</c:v>
                </c:pt>
                <c:pt idx="47">
                  <c:v>2.7848399999999998E-3</c:v>
                </c:pt>
                <c:pt idx="48">
                  <c:v>2.7603200000000001E-3</c:v>
                </c:pt>
                <c:pt idx="49">
                  <c:v>2.7368499999999999E-3</c:v>
                </c:pt>
              </c:numCache>
            </c:numRef>
          </c:yVal>
          <c:smooth val="1"/>
          <c:extLst>
            <c:ext xmlns:c16="http://schemas.microsoft.com/office/drawing/2014/chart" uri="{C3380CC4-5D6E-409C-BE32-E72D297353CC}">
              <c16:uniqueId val="{00000001-818B-4EB2-AFAB-E87A9349455E}"/>
            </c:ext>
          </c:extLst>
        </c:ser>
        <c:dLbls>
          <c:showLegendKey val="0"/>
          <c:showVal val="0"/>
          <c:showCatName val="0"/>
          <c:showSerName val="0"/>
          <c:showPercent val="0"/>
          <c:showBubbleSize val="0"/>
        </c:dLbls>
        <c:axId val="53817280"/>
        <c:axId val="53816704"/>
      </c:scatterChart>
      <c:valAx>
        <c:axId val="53815552"/>
        <c:scaling>
          <c:orientation val="minMax"/>
          <c:max val="10000"/>
          <c:min val="0"/>
        </c:scaling>
        <c:delete val="0"/>
        <c:axPos val="b"/>
        <c:majorGridlines>
          <c:spPr>
            <a:ln w="3175">
              <a:solidFill>
                <a:schemeClr val="bg1">
                  <a:lumMod val="95000"/>
                </a:schemeClr>
              </a:solidFill>
              <a:prstDash val="sysDash"/>
            </a:ln>
          </c:spPr>
        </c:majorGridlines>
        <c:title>
          <c:tx>
            <c:rich>
              <a:bodyPr/>
              <a:lstStyle/>
              <a:p>
                <a:pPr>
                  <a:defRPr sz="800"/>
                </a:pPr>
                <a:r>
                  <a:rPr lang="es-BO" sz="8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816128"/>
        <c:crossesAt val="0"/>
        <c:crossBetween val="midCat"/>
      </c:valAx>
      <c:valAx>
        <c:axId val="53816128"/>
        <c:scaling>
          <c:orientation val="minMax"/>
          <c:max val="0.05"/>
          <c:min val="1E-3"/>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815552"/>
        <c:crossesAt val="0"/>
        <c:crossBetween val="midCat"/>
      </c:valAx>
      <c:valAx>
        <c:axId val="53816704"/>
        <c:scaling>
          <c:orientation val="minMax"/>
          <c:max val="0.05"/>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ES"/>
          </a:p>
        </c:txPr>
        <c:crossAx val="53817280"/>
        <c:crosses val="max"/>
        <c:crossBetween val="midCat"/>
      </c:valAx>
      <c:valAx>
        <c:axId val="53817280"/>
        <c:scaling>
          <c:orientation val="minMax"/>
          <c:max val="1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3816704"/>
        <c:crosses val="max"/>
        <c:crossBetween val="midCat"/>
      </c:valAx>
      <c:spPr>
        <a:solidFill>
          <a:srgbClr val="FFFFFF"/>
        </a:solidFill>
        <a:ln w="25400">
          <a:noFill/>
        </a:ln>
      </c:spPr>
    </c:plotArea>
    <c:legend>
      <c:legendPos val="r"/>
      <c:layout>
        <c:manualLayout>
          <c:xMode val="edge"/>
          <c:yMode val="edge"/>
          <c:x val="0.68492601059276192"/>
          <c:y val="0.23159536307961501"/>
          <c:w val="0.20764907597166793"/>
          <c:h val="0.1616390623585845"/>
        </c:manualLayout>
      </c:layout>
      <c:overlay val="0"/>
      <c:spPr>
        <a:solidFill>
          <a:schemeClr val="bg1"/>
        </a:solidFill>
        <a:ln w="6350" cap="flat" cmpd="sng" algn="ctr">
          <a:solidFill>
            <a:schemeClr val="tx1"/>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Density</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7883971400126705"/>
          <c:w val="0.84530568430719188"/>
          <c:h val="0.69748880654624068"/>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-0.5</c:v>
              </c:pt>
            </c:numLit>
          </c:xVal>
          <c:yVal>
            <c:numLit>
              <c:formatCode>General</c:formatCode>
              <c:ptCount val="1"/>
              <c:pt idx="0">
                <c:v>-0.5</c:v>
              </c:pt>
            </c:numLit>
          </c:yVal>
          <c:smooth val="1"/>
          <c:extLst>
            <c:ext xmlns:c16="http://schemas.microsoft.com/office/drawing/2014/chart" uri="{C3380CC4-5D6E-409C-BE32-E72D297353CC}">
              <c16:uniqueId val="{00000000-B8C1-400D-8B0B-BE60357AA874}"/>
            </c:ext>
          </c:extLst>
        </c:ser>
        <c:dLbls>
          <c:showLegendKey val="0"/>
          <c:showVal val="0"/>
          <c:showCatName val="0"/>
          <c:showSerName val="0"/>
          <c:showPercent val="0"/>
          <c:showBubbleSize val="0"/>
        </c:dLbls>
        <c:axId val="53819008"/>
        <c:axId val="53819584"/>
      </c:scatterChart>
      <c:scatterChart>
        <c:scatterStyle val="smoothMarker"/>
        <c:varyColors val="0"/>
        <c:ser>
          <c:idx val="1"/>
          <c:order val="0"/>
          <c:tx>
            <c:v>Match Data</c:v>
          </c:tx>
          <c:spPr>
            <a:ln w="9525">
              <a:solidFill>
                <a:srgbClr val="0000FF"/>
              </a:solidFill>
              <a:prstDash val="solid"/>
            </a:ln>
          </c:spPr>
          <c:marker>
            <c:symbol val="none"/>
          </c:marker>
          <c:xVal>
            <c:numRef>
              <c:f>'PVT Results'!$P$10:$P$59</c:f>
              <c:numCache>
                <c:formatCode>0.00;\-0.00;0.00</c:formatCode>
                <c:ptCount val="50"/>
                <c:pt idx="0">
                  <c:v>100</c:v>
                </c:pt>
                <c:pt idx="1">
                  <c:v>302.041</c:v>
                </c:pt>
                <c:pt idx="2">
                  <c:v>504.08199999999999</c:v>
                </c:pt>
                <c:pt idx="3">
                  <c:v>706.12199999999996</c:v>
                </c:pt>
                <c:pt idx="4">
                  <c:v>908.16300000000001</c:v>
                </c:pt>
                <c:pt idx="5">
                  <c:v>1110.2</c:v>
                </c:pt>
                <c:pt idx="6">
                  <c:v>1312.24</c:v>
                </c:pt>
                <c:pt idx="7">
                  <c:v>1514.29</c:v>
                </c:pt>
                <c:pt idx="8">
                  <c:v>1716.33</c:v>
                </c:pt>
                <c:pt idx="9">
                  <c:v>1918.37</c:v>
                </c:pt>
                <c:pt idx="10">
                  <c:v>2120.41</c:v>
                </c:pt>
                <c:pt idx="11">
                  <c:v>2322.4499999999998</c:v>
                </c:pt>
                <c:pt idx="12">
                  <c:v>2524.4899999999998</c:v>
                </c:pt>
                <c:pt idx="13">
                  <c:v>2726.53</c:v>
                </c:pt>
                <c:pt idx="14">
                  <c:v>2928.57</c:v>
                </c:pt>
                <c:pt idx="15">
                  <c:v>3130.61</c:v>
                </c:pt>
                <c:pt idx="16">
                  <c:v>3332.65</c:v>
                </c:pt>
                <c:pt idx="17">
                  <c:v>3534.69</c:v>
                </c:pt>
                <c:pt idx="18">
                  <c:v>3736.73</c:v>
                </c:pt>
                <c:pt idx="19">
                  <c:v>3938.78</c:v>
                </c:pt>
                <c:pt idx="20">
                  <c:v>4140.82</c:v>
                </c:pt>
                <c:pt idx="21">
                  <c:v>4342.8599999999997</c:v>
                </c:pt>
                <c:pt idx="22">
                  <c:v>4544.8999999999996</c:v>
                </c:pt>
                <c:pt idx="23">
                  <c:v>4746.9399999999996</c:v>
                </c:pt>
                <c:pt idx="24">
                  <c:v>4948.9799999999996</c:v>
                </c:pt>
                <c:pt idx="25">
                  <c:v>5151.0200000000004</c:v>
                </c:pt>
                <c:pt idx="26">
                  <c:v>5353.06</c:v>
                </c:pt>
                <c:pt idx="27">
                  <c:v>5555.1</c:v>
                </c:pt>
                <c:pt idx="28">
                  <c:v>5757.14</c:v>
                </c:pt>
                <c:pt idx="29">
                  <c:v>5959.18</c:v>
                </c:pt>
                <c:pt idx="30">
                  <c:v>6161.22</c:v>
                </c:pt>
                <c:pt idx="31">
                  <c:v>6363.27</c:v>
                </c:pt>
                <c:pt idx="32">
                  <c:v>6565.31</c:v>
                </c:pt>
                <c:pt idx="33">
                  <c:v>6767.35</c:v>
                </c:pt>
                <c:pt idx="34">
                  <c:v>6969.39</c:v>
                </c:pt>
                <c:pt idx="35">
                  <c:v>7171.43</c:v>
                </c:pt>
                <c:pt idx="36">
                  <c:v>7373.47</c:v>
                </c:pt>
                <c:pt idx="37">
                  <c:v>7575.51</c:v>
                </c:pt>
                <c:pt idx="38">
                  <c:v>7777.55</c:v>
                </c:pt>
                <c:pt idx="39">
                  <c:v>7979.59</c:v>
                </c:pt>
                <c:pt idx="40">
                  <c:v>8181.63</c:v>
                </c:pt>
                <c:pt idx="41">
                  <c:v>8383.67</c:v>
                </c:pt>
                <c:pt idx="42">
                  <c:v>8585.7099999999991</c:v>
                </c:pt>
                <c:pt idx="43">
                  <c:v>8787.75</c:v>
                </c:pt>
                <c:pt idx="44">
                  <c:v>8989.7999999999993</c:v>
                </c:pt>
                <c:pt idx="45">
                  <c:v>9191.84</c:v>
                </c:pt>
                <c:pt idx="46">
                  <c:v>9393.8799999999992</c:v>
                </c:pt>
                <c:pt idx="47">
                  <c:v>9595.92</c:v>
                </c:pt>
                <c:pt idx="48">
                  <c:v>9797.9599999999991</c:v>
                </c:pt>
                <c:pt idx="49">
                  <c:v>10000</c:v>
                </c:pt>
              </c:numCache>
            </c:numRef>
          </c:xVal>
          <c:yVal>
            <c:numRef>
              <c:f>'PVT Results'!$Q$10:$Q$59</c:f>
              <c:numCache>
                <c:formatCode>0.0000;\-0.0;0.0</c:formatCode>
                <c:ptCount val="50"/>
                <c:pt idx="0">
                  <c:v>0.314029</c:v>
                </c:pt>
                <c:pt idx="1">
                  <c:v>0.87851800000000002</c:v>
                </c:pt>
                <c:pt idx="2">
                  <c:v>1.45641</c:v>
                </c:pt>
                <c:pt idx="3">
                  <c:v>2.0461299999999998</c:v>
                </c:pt>
                <c:pt idx="4">
                  <c:v>2.6456599999999999</c:v>
                </c:pt>
                <c:pt idx="5">
                  <c:v>3.2526099999999998</c:v>
                </c:pt>
                <c:pt idx="6">
                  <c:v>3.86422</c:v>
                </c:pt>
                <c:pt idx="7">
                  <c:v>4.4774900000000004</c:v>
                </c:pt>
                <c:pt idx="8">
                  <c:v>5.0892799999999996</c:v>
                </c:pt>
                <c:pt idx="9">
                  <c:v>5.6964699999999997</c:v>
                </c:pt>
                <c:pt idx="10">
                  <c:v>6.2961</c:v>
                </c:pt>
                <c:pt idx="11">
                  <c:v>6.8854600000000001</c:v>
                </c:pt>
                <c:pt idx="12">
                  <c:v>7.4622200000000003</c:v>
                </c:pt>
                <c:pt idx="13">
                  <c:v>8.0244800000000005</c:v>
                </c:pt>
                <c:pt idx="14">
                  <c:v>8.5707500000000003</c:v>
                </c:pt>
                <c:pt idx="15">
                  <c:v>9.0999800000000004</c:v>
                </c:pt>
                <c:pt idx="16">
                  <c:v>9.6114999999999995</c:v>
                </c:pt>
                <c:pt idx="17">
                  <c:v>10.105</c:v>
                </c:pt>
                <c:pt idx="18">
                  <c:v>10.580399999999999</c:v>
                </c:pt>
                <c:pt idx="19">
                  <c:v>11.037800000000001</c:v>
                </c:pt>
                <c:pt idx="20">
                  <c:v>11.4777</c:v>
                </c:pt>
                <c:pt idx="21">
                  <c:v>11.900399999999999</c:v>
                </c:pt>
                <c:pt idx="22">
                  <c:v>12.3065</c:v>
                </c:pt>
                <c:pt idx="23">
                  <c:v>12.6967</c:v>
                </c:pt>
                <c:pt idx="24">
                  <c:v>13.0716</c:v>
                </c:pt>
                <c:pt idx="25">
                  <c:v>13.431900000000001</c:v>
                </c:pt>
                <c:pt idx="26">
                  <c:v>13.7781</c:v>
                </c:pt>
                <c:pt idx="27">
                  <c:v>14.1111</c:v>
                </c:pt>
                <c:pt idx="28">
                  <c:v>14.4314</c:v>
                </c:pt>
                <c:pt idx="29">
                  <c:v>14.739699999999999</c:v>
                </c:pt>
                <c:pt idx="30">
                  <c:v>15.0366</c:v>
                </c:pt>
                <c:pt idx="31">
                  <c:v>15.3226</c:v>
                </c:pt>
                <c:pt idx="32">
                  <c:v>15.5984</c:v>
                </c:pt>
                <c:pt idx="33">
                  <c:v>15.8645</c:v>
                </c:pt>
                <c:pt idx="34">
                  <c:v>16.121300000000002</c:v>
                </c:pt>
                <c:pt idx="35">
                  <c:v>16.369299999999999</c:v>
                </c:pt>
                <c:pt idx="36">
                  <c:v>16.609000000000002</c:v>
                </c:pt>
                <c:pt idx="37">
                  <c:v>16.840900000000001</c:v>
                </c:pt>
                <c:pt idx="38">
                  <c:v>17.065200000000001</c:v>
                </c:pt>
                <c:pt idx="39">
                  <c:v>17.282499999999999</c:v>
                </c:pt>
                <c:pt idx="40">
                  <c:v>17.492999999999999</c:v>
                </c:pt>
                <c:pt idx="41">
                  <c:v>17.696999999999999</c:v>
                </c:pt>
                <c:pt idx="42">
                  <c:v>17.895</c:v>
                </c:pt>
                <c:pt idx="43">
                  <c:v>18.087199999999999</c:v>
                </c:pt>
                <c:pt idx="44">
                  <c:v>18.273800000000001</c:v>
                </c:pt>
                <c:pt idx="45">
                  <c:v>18.455200000000001</c:v>
                </c:pt>
                <c:pt idx="46">
                  <c:v>18.631599999999999</c:v>
                </c:pt>
                <c:pt idx="47">
                  <c:v>18.8032</c:v>
                </c:pt>
                <c:pt idx="48">
                  <c:v>18.970199999999998</c:v>
                </c:pt>
                <c:pt idx="49">
                  <c:v>19.132899999999999</c:v>
                </c:pt>
              </c:numCache>
            </c:numRef>
          </c:yVal>
          <c:smooth val="1"/>
          <c:extLst>
            <c:ext xmlns:c16="http://schemas.microsoft.com/office/drawing/2014/chart" uri="{C3380CC4-5D6E-409C-BE32-E72D297353CC}">
              <c16:uniqueId val="{00000001-B8C1-400D-8B0B-BE60357AA874}"/>
            </c:ext>
          </c:extLst>
        </c:ser>
        <c:dLbls>
          <c:showLegendKey val="0"/>
          <c:showVal val="0"/>
          <c:showCatName val="0"/>
          <c:showSerName val="0"/>
          <c:showPercent val="0"/>
          <c:showBubbleSize val="0"/>
        </c:dLbls>
        <c:axId val="53820736"/>
        <c:axId val="53820160"/>
      </c:scatterChart>
      <c:valAx>
        <c:axId val="53819008"/>
        <c:scaling>
          <c:orientation val="minMax"/>
          <c:max val="10000"/>
          <c:min val="0"/>
        </c:scaling>
        <c:delete val="0"/>
        <c:axPos val="b"/>
        <c:majorGridlines>
          <c:spPr>
            <a:ln w="3175">
              <a:solidFill>
                <a:schemeClr val="bg1">
                  <a:lumMod val="95000"/>
                </a:schemeClr>
              </a:solidFill>
              <a:prstDash val="sysDash"/>
            </a:ln>
          </c:spPr>
        </c:majorGridlines>
        <c:title>
          <c:tx>
            <c:rich>
              <a:bodyPr/>
              <a:lstStyle/>
              <a:p>
                <a:pPr>
                  <a:defRPr sz="800"/>
                </a:pPr>
                <a:r>
                  <a:rPr lang="es-BO" sz="8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819584"/>
        <c:crossesAt val="0"/>
        <c:crossBetween val="midCat"/>
      </c:valAx>
      <c:valAx>
        <c:axId val="53819584"/>
        <c:scaling>
          <c:orientation val="minMax"/>
          <c:max val="19.132899999999999"/>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3819008"/>
        <c:crossesAt val="0"/>
        <c:crossBetween val="midCat"/>
      </c:valAx>
      <c:valAx>
        <c:axId val="53820160"/>
        <c:scaling>
          <c:orientation val="minMax"/>
          <c:max val="19.132899999999999"/>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ES"/>
          </a:p>
        </c:txPr>
        <c:crossAx val="53820736"/>
        <c:crosses val="max"/>
        <c:crossBetween val="midCat"/>
      </c:valAx>
      <c:valAx>
        <c:axId val="53820736"/>
        <c:scaling>
          <c:orientation val="minMax"/>
          <c:max val="1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3820160"/>
        <c:crosses val="max"/>
        <c:crossBetween val="midCat"/>
      </c:valAx>
      <c:spPr>
        <a:solidFill>
          <a:srgbClr val="FFFFFF"/>
        </a:solidFill>
        <a:ln w="25400">
          <a:noFill/>
        </a:ln>
      </c:spPr>
    </c:plotArea>
    <c:legend>
      <c:legendPos val="r"/>
      <c:layout>
        <c:manualLayout>
          <c:xMode val="edge"/>
          <c:yMode val="edge"/>
          <c:x val="0.68492611368784384"/>
          <c:y val="0.68159524240504421"/>
          <c:w val="0.20764907597166793"/>
          <c:h val="0.1616390623585845"/>
        </c:manualLayout>
      </c:layout>
      <c:overlay val="0"/>
      <c:spPr>
        <a:solidFill>
          <a:schemeClr val="bg1"/>
        </a:solidFill>
        <a:ln w="6350" cap="flat" cmpd="sng" algn="ctr">
          <a:solidFill>
            <a:schemeClr val="tx1"/>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Inflow Performance Relationship (IPR)</a:t>
            </a:r>
          </a:p>
        </c:rich>
      </c:tx>
      <c:layout>
        <c:manualLayout>
          <c:xMode val="edge"/>
          <c:yMode val="edge"/>
          <c:x val="0.25866044233326702"/>
          <c:y val="1.5151515151515152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v>IPR Results</c:v>
          </c:tx>
          <c:spPr>
            <a:ln w="9525">
              <a:solidFill>
                <a:schemeClr val="bg1">
                  <a:lumMod val="50000"/>
                </a:schemeClr>
              </a:solid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1.35639</c:v>
                </c:pt>
                <c:pt idx="2">
                  <c:v>2.7127599999999998</c:v>
                </c:pt>
                <c:pt idx="3">
                  <c:v>4.06914</c:v>
                </c:pt>
                <c:pt idx="4">
                  <c:v>5.4255199999999997</c:v>
                </c:pt>
                <c:pt idx="5">
                  <c:v>6.7818899999999998</c:v>
                </c:pt>
                <c:pt idx="6">
                  <c:v>8.1382700000000003</c:v>
                </c:pt>
                <c:pt idx="7">
                  <c:v>9.4946400000000004</c:v>
                </c:pt>
                <c:pt idx="8">
                  <c:v>10.851000000000001</c:v>
                </c:pt>
                <c:pt idx="9">
                  <c:v>12.2074</c:v>
                </c:pt>
                <c:pt idx="10">
                  <c:v>13.563800000000001</c:v>
                </c:pt>
                <c:pt idx="11">
                  <c:v>14.920199999999999</c:v>
                </c:pt>
                <c:pt idx="12">
                  <c:v>16.276499999999999</c:v>
                </c:pt>
                <c:pt idx="13">
                  <c:v>17.632899999999999</c:v>
                </c:pt>
                <c:pt idx="14">
                  <c:v>18.9893</c:v>
                </c:pt>
                <c:pt idx="15">
                  <c:v>20.345700000000001</c:v>
                </c:pt>
                <c:pt idx="16">
                  <c:v>21.702000000000002</c:v>
                </c:pt>
                <c:pt idx="17">
                  <c:v>23.058399999999999</c:v>
                </c:pt>
                <c:pt idx="18">
                  <c:v>24.4148</c:v>
                </c:pt>
                <c:pt idx="19">
                  <c:v>25.771100000000001</c:v>
                </c:pt>
              </c:numCache>
            </c:numRef>
          </c:xVal>
          <c:yVal>
            <c:numRef>
              <c:f>Inflow!$Z$7:$Z$26</c:f>
              <c:numCache>
                <c:formatCode>0.00;\-0.00;0.00</c:formatCode>
                <c:ptCount val="20"/>
                <c:pt idx="0">
                  <c:v>2520</c:v>
                </c:pt>
                <c:pt idx="1">
                  <c:v>2447.29</c:v>
                </c:pt>
                <c:pt idx="2">
                  <c:v>2370.86</c:v>
                </c:pt>
                <c:pt idx="3">
                  <c:v>2292.35</c:v>
                </c:pt>
                <c:pt idx="4">
                  <c:v>2213.19</c:v>
                </c:pt>
                <c:pt idx="5">
                  <c:v>2130.83</c:v>
                </c:pt>
                <c:pt idx="6">
                  <c:v>2047.28</c:v>
                </c:pt>
                <c:pt idx="7">
                  <c:v>1961.22</c:v>
                </c:pt>
                <c:pt idx="8">
                  <c:v>1872.3</c:v>
                </c:pt>
                <c:pt idx="9">
                  <c:v>1779.15</c:v>
                </c:pt>
                <c:pt idx="10">
                  <c:v>1682.96</c:v>
                </c:pt>
                <c:pt idx="11">
                  <c:v>1582.15</c:v>
                </c:pt>
                <c:pt idx="12">
                  <c:v>1475.76</c:v>
                </c:pt>
                <c:pt idx="13">
                  <c:v>1362.44</c:v>
                </c:pt>
                <c:pt idx="14">
                  <c:v>1240.27</c:v>
                </c:pt>
                <c:pt idx="15">
                  <c:v>1106.28</c:v>
                </c:pt>
                <c:pt idx="16">
                  <c:v>954.99400000000003</c:v>
                </c:pt>
                <c:pt idx="17">
                  <c:v>776.70899999999995</c:v>
                </c:pt>
                <c:pt idx="18">
                  <c:v>547.72199999999998</c:v>
                </c:pt>
                <c:pt idx="19">
                  <c:v>0</c:v>
                </c:pt>
              </c:numCache>
            </c:numRef>
          </c:yVal>
          <c:smooth val="0"/>
          <c:extLst>
            <c:ext xmlns:c16="http://schemas.microsoft.com/office/drawing/2014/chart" uri="{C3380CC4-5D6E-409C-BE32-E72D297353CC}">
              <c16:uniqueId val="{00000000-8042-49C5-9074-944F725CA125}"/>
            </c:ext>
          </c:extLst>
        </c:ser>
        <c:dLbls>
          <c:showLegendKey val="0"/>
          <c:showVal val="0"/>
          <c:showCatName val="0"/>
          <c:showSerName val="0"/>
          <c:showPercent val="0"/>
          <c:showBubbleSize val="0"/>
        </c:dLbls>
        <c:axId val="54568064"/>
        <c:axId val="54568640"/>
      </c:scatterChart>
      <c:scatterChart>
        <c:scatterStyle val="smoothMarker"/>
        <c:varyColors val="0"/>
        <c:ser>
          <c:idx val="1"/>
          <c:order val="0"/>
          <c:tx>
            <c:v>Test Data</c:v>
          </c:tx>
          <c:spPr>
            <a:ln w="9525">
              <a:noFill/>
              <a:prstDash val="solid"/>
            </a:ln>
          </c:spPr>
          <c:marker>
            <c:symbol val="square"/>
            <c:size val="6"/>
            <c:spPr>
              <a:solidFill>
                <a:srgbClr val="FF0000"/>
              </a:solidFill>
              <a:ln>
                <a:solidFill>
                  <a:schemeClr val="tx1"/>
                </a:solidFill>
              </a:ln>
            </c:spPr>
          </c:marker>
          <c:xVal>
            <c:numRef>
              <c:f>Inflow!$I$35:$I$48</c:f>
              <c:numCache>
                <c:formatCode>General</c:formatCode>
                <c:ptCount val="14"/>
                <c:pt idx="0">
                  <c:v>56.24</c:v>
                </c:pt>
                <c:pt idx="1">
                  <c:v>54.97</c:v>
                </c:pt>
                <c:pt idx="2">
                  <c:v>44.31</c:v>
                </c:pt>
                <c:pt idx="3">
                  <c:v>42.2</c:v>
                </c:pt>
                <c:pt idx="4">
                  <c:v>38.981999999999999</c:v>
                </c:pt>
                <c:pt idx="5">
                  <c:v>36.414000000000001</c:v>
                </c:pt>
                <c:pt idx="6">
                  <c:v>32.198999999999998</c:v>
                </c:pt>
                <c:pt idx="7">
                  <c:v>29.471</c:v>
                </c:pt>
                <c:pt idx="8">
                  <c:v>25.523</c:v>
                </c:pt>
                <c:pt idx="9">
                  <c:v>19.8</c:v>
                </c:pt>
                <c:pt idx="10">
                  <c:v>18.3</c:v>
                </c:pt>
                <c:pt idx="11">
                  <c:v>26.2</c:v>
                </c:pt>
                <c:pt idx="12">
                  <c:v>14.2</c:v>
                </c:pt>
                <c:pt idx="13">
                  <c:v>10</c:v>
                </c:pt>
              </c:numCache>
            </c:numRef>
          </c:xVal>
          <c:yVal>
            <c:numRef>
              <c:f>Inflow!$J$35:$J$48</c:f>
              <c:numCache>
                <c:formatCode>General</c:formatCode>
                <c:ptCount val="14"/>
                <c:pt idx="0">
                  <c:v>3000</c:v>
                </c:pt>
                <c:pt idx="1">
                  <c:v>2790</c:v>
                </c:pt>
                <c:pt idx="2">
                  <c:v>1929</c:v>
                </c:pt>
                <c:pt idx="3">
                  <c:v>1940</c:v>
                </c:pt>
                <c:pt idx="4">
                  <c:v>1752</c:v>
                </c:pt>
                <c:pt idx="5">
                  <c:v>1283</c:v>
                </c:pt>
                <c:pt idx="6">
                  <c:v>984</c:v>
                </c:pt>
                <c:pt idx="7">
                  <c:v>915</c:v>
                </c:pt>
                <c:pt idx="8">
                  <c:v>873</c:v>
                </c:pt>
                <c:pt idx="9">
                  <c:v>400</c:v>
                </c:pt>
                <c:pt idx="10">
                  <c:v>450</c:v>
                </c:pt>
                <c:pt idx="11">
                  <c:v>540</c:v>
                </c:pt>
                <c:pt idx="12">
                  <c:v>750</c:v>
                </c:pt>
                <c:pt idx="13">
                  <c:v>1268</c:v>
                </c:pt>
              </c:numCache>
            </c:numRef>
          </c:yVal>
          <c:smooth val="1"/>
          <c:extLst>
            <c:ext xmlns:c16="http://schemas.microsoft.com/office/drawing/2014/chart" uri="{C3380CC4-5D6E-409C-BE32-E72D297353CC}">
              <c16:uniqueId val="{00000001-8042-49C5-9074-944F725CA125}"/>
            </c:ext>
          </c:extLst>
        </c:ser>
        <c:dLbls>
          <c:showLegendKey val="0"/>
          <c:showVal val="0"/>
          <c:showCatName val="0"/>
          <c:showSerName val="0"/>
          <c:showPercent val="0"/>
          <c:showBubbleSize val="0"/>
        </c:dLbls>
        <c:axId val="54570944"/>
        <c:axId val="54569792"/>
      </c:scatterChart>
      <c:valAx>
        <c:axId val="54568064"/>
        <c:scaling>
          <c:orientation val="minMax"/>
          <c:max val="40"/>
          <c:min val="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640"/>
        <c:crossesAt val="0"/>
        <c:crossBetween val="midCat"/>
      </c:valAx>
      <c:valAx>
        <c:axId val="54568640"/>
        <c:scaling>
          <c:orientation val="minMax"/>
          <c:max val="4000"/>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064"/>
        <c:crossesAt val="0"/>
        <c:crossBetween val="midCat"/>
      </c:valAx>
      <c:valAx>
        <c:axId val="54569792"/>
        <c:scaling>
          <c:orientation val="minMax"/>
          <c:max val="40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ES"/>
          </a:p>
        </c:txPr>
        <c:crossAx val="54570944"/>
        <c:crosses val="max"/>
        <c:crossBetween val="midCat"/>
      </c:valAx>
      <c:valAx>
        <c:axId val="54570944"/>
        <c:scaling>
          <c:orientation val="minMax"/>
          <c:max val="4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4569792"/>
        <c:crosses val="max"/>
        <c:crossBetween val="midCat"/>
      </c:valAx>
      <c:spPr>
        <a:solidFill>
          <a:srgbClr val="FFFFFF"/>
        </a:solidFill>
        <a:ln w="25400">
          <a:noFill/>
        </a:ln>
      </c:spPr>
    </c:plotArea>
    <c:legend>
      <c:legendPos val="r"/>
      <c:layout>
        <c:manualLayout>
          <c:xMode val="edge"/>
          <c:yMode val="edge"/>
          <c:x val="0.66954931180050581"/>
          <c:y val="0.15220676079283196"/>
          <c:w val="0.20764907597166793"/>
          <c:h val="0.161639062358584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dP Completion, psi</a:t>
            </a:r>
          </a:p>
        </c:rich>
      </c:tx>
      <c:layout>
        <c:manualLayout>
          <c:xMode val="edge"/>
          <c:yMode val="edge"/>
          <c:x val="0.40680865711458197"/>
          <c:y val="1.515159742963164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strRef>
              <c:f>Inflow!$AI$3:$AI$6</c:f>
              <c:strCache>
                <c:ptCount val="4"/>
                <c:pt idx="0">
                  <c:v>dP</c:v>
                </c:pt>
                <c:pt idx="2">
                  <c:v>Perforations</c:v>
                </c:pt>
                <c:pt idx="3">
                  <c:v>psi</c:v>
                </c:pt>
              </c:strCache>
            </c:strRef>
          </c:tx>
          <c:spPr>
            <a:ln w="9525">
              <a:no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1.35639</c:v>
                </c:pt>
                <c:pt idx="2">
                  <c:v>2.7127599999999998</c:v>
                </c:pt>
                <c:pt idx="3">
                  <c:v>4.06914</c:v>
                </c:pt>
                <c:pt idx="4">
                  <c:v>5.4255199999999997</c:v>
                </c:pt>
                <c:pt idx="5">
                  <c:v>6.7818899999999998</c:v>
                </c:pt>
                <c:pt idx="6">
                  <c:v>8.1382700000000003</c:v>
                </c:pt>
                <c:pt idx="7">
                  <c:v>9.4946400000000004</c:v>
                </c:pt>
                <c:pt idx="8">
                  <c:v>10.851000000000001</c:v>
                </c:pt>
                <c:pt idx="9">
                  <c:v>12.2074</c:v>
                </c:pt>
                <c:pt idx="10">
                  <c:v>13.563800000000001</c:v>
                </c:pt>
                <c:pt idx="11">
                  <c:v>14.920199999999999</c:v>
                </c:pt>
                <c:pt idx="12">
                  <c:v>16.276499999999999</c:v>
                </c:pt>
                <c:pt idx="13">
                  <c:v>17.632899999999999</c:v>
                </c:pt>
                <c:pt idx="14">
                  <c:v>18.9893</c:v>
                </c:pt>
                <c:pt idx="15">
                  <c:v>20.345700000000001</c:v>
                </c:pt>
                <c:pt idx="16">
                  <c:v>21.702000000000002</c:v>
                </c:pt>
                <c:pt idx="17">
                  <c:v>23.058399999999999</c:v>
                </c:pt>
                <c:pt idx="18">
                  <c:v>24.4148</c:v>
                </c:pt>
                <c:pt idx="19">
                  <c:v>25.771100000000001</c:v>
                </c:pt>
              </c:numCache>
            </c:numRef>
          </c:xVal>
          <c:yVal>
            <c:numRef>
              <c:f>Inflow!$AI$7:$AI$26</c:f>
              <c:numCache>
                <c:formatCode>0.00;\-0.00;0.00</c:formatCode>
                <c:ptCount val="20"/>
              </c:numCache>
            </c:numRef>
          </c:yVal>
          <c:smooth val="1"/>
          <c:extLst>
            <c:ext xmlns:c16="http://schemas.microsoft.com/office/drawing/2014/chart" uri="{C3380CC4-5D6E-409C-BE32-E72D297353CC}">
              <c16:uniqueId val="{00000000-5B3E-4136-9EC2-9FDE876A40F7}"/>
            </c:ext>
          </c:extLst>
        </c:ser>
        <c:dLbls>
          <c:showLegendKey val="0"/>
          <c:showVal val="0"/>
          <c:showCatName val="0"/>
          <c:showSerName val="0"/>
          <c:showPercent val="0"/>
          <c:showBubbleSize val="0"/>
        </c:dLbls>
        <c:axId val="54572672"/>
        <c:axId val="54573248"/>
      </c:scatterChart>
      <c:scatterChart>
        <c:scatterStyle val="smoothMarker"/>
        <c:varyColors val="0"/>
        <c:ser>
          <c:idx val="1"/>
          <c:order val="0"/>
          <c:tx>
            <c:strRef>
              <c:f>Inflow!$AH$3:$AH$6</c:f>
              <c:strCache>
                <c:ptCount val="4"/>
                <c:pt idx="0">
                  <c:v>dP</c:v>
                </c:pt>
                <c:pt idx="1">
                  <c:v>Sand</c:v>
                </c:pt>
                <c:pt idx="2">
                  <c:v>Control</c:v>
                </c:pt>
                <c:pt idx="3">
                  <c:v>psi</c:v>
                </c:pt>
              </c:strCache>
            </c:strRef>
          </c:tx>
          <c:spPr>
            <a:ln w="9525">
              <a:noFill/>
              <a:prstDash val="solid"/>
            </a:ln>
          </c:spPr>
          <c:marker>
            <c:symbol val="square"/>
            <c:size val="6"/>
            <c:spPr>
              <a:solidFill>
                <a:srgbClr val="FF0000"/>
              </a:solidFill>
              <a:ln>
                <a:solidFill>
                  <a:schemeClr val="tx1"/>
                </a:solidFill>
              </a:ln>
            </c:spPr>
          </c:marker>
          <c:xVal>
            <c:numRef>
              <c:f>Inflow!$Y$7:$Y$26</c:f>
              <c:numCache>
                <c:formatCode>0.00;\-0.00;0.00</c:formatCode>
                <c:ptCount val="20"/>
                <c:pt idx="0">
                  <c:v>1.0000000000000001E-5</c:v>
                </c:pt>
                <c:pt idx="1">
                  <c:v>1.35639</c:v>
                </c:pt>
                <c:pt idx="2">
                  <c:v>2.7127599999999998</c:v>
                </c:pt>
                <c:pt idx="3">
                  <c:v>4.06914</c:v>
                </c:pt>
                <c:pt idx="4">
                  <c:v>5.4255199999999997</c:v>
                </c:pt>
                <c:pt idx="5">
                  <c:v>6.7818899999999998</c:v>
                </c:pt>
                <c:pt idx="6">
                  <c:v>8.1382700000000003</c:v>
                </c:pt>
                <c:pt idx="7">
                  <c:v>9.4946400000000004</c:v>
                </c:pt>
                <c:pt idx="8">
                  <c:v>10.851000000000001</c:v>
                </c:pt>
                <c:pt idx="9">
                  <c:v>12.2074</c:v>
                </c:pt>
                <c:pt idx="10">
                  <c:v>13.563800000000001</c:v>
                </c:pt>
                <c:pt idx="11">
                  <c:v>14.920199999999999</c:v>
                </c:pt>
                <c:pt idx="12">
                  <c:v>16.276499999999999</c:v>
                </c:pt>
                <c:pt idx="13">
                  <c:v>17.632899999999999</c:v>
                </c:pt>
                <c:pt idx="14">
                  <c:v>18.9893</c:v>
                </c:pt>
                <c:pt idx="15">
                  <c:v>20.345700000000001</c:v>
                </c:pt>
                <c:pt idx="16">
                  <c:v>21.702000000000002</c:v>
                </c:pt>
                <c:pt idx="17">
                  <c:v>23.058399999999999</c:v>
                </c:pt>
                <c:pt idx="18">
                  <c:v>24.4148</c:v>
                </c:pt>
                <c:pt idx="19">
                  <c:v>25.771100000000001</c:v>
                </c:pt>
              </c:numCache>
            </c:numRef>
          </c:xVal>
          <c:yVal>
            <c:numRef>
              <c:f>Inflow!$AH$7:$AH$26</c:f>
              <c:numCache>
                <c:formatCode>0.00;\-0.00;0.00</c:formatCode>
                <c:ptCount val="20"/>
              </c:numCache>
            </c:numRef>
          </c:yVal>
          <c:smooth val="1"/>
          <c:extLst>
            <c:ext xmlns:c16="http://schemas.microsoft.com/office/drawing/2014/chart" uri="{C3380CC4-5D6E-409C-BE32-E72D297353CC}">
              <c16:uniqueId val="{00000001-5B3E-4136-9EC2-9FDE876A40F7}"/>
            </c:ext>
          </c:extLst>
        </c:ser>
        <c:ser>
          <c:idx val="0"/>
          <c:order val="2"/>
          <c:tx>
            <c:strRef>
              <c:f>Inflow!$AJ$3:$AJ$6</c:f>
              <c:strCache>
                <c:ptCount val="4"/>
                <c:pt idx="0">
                  <c:v>dP</c:v>
                </c:pt>
                <c:pt idx="1">
                  <c:v>Damage</c:v>
                </c:pt>
                <c:pt idx="2">
                  <c:v>Skin</c:v>
                </c:pt>
                <c:pt idx="3">
                  <c:v>psi</c:v>
                </c:pt>
              </c:strCache>
            </c:strRef>
          </c:tx>
          <c:spPr>
            <a:ln w="19050">
              <a:noFill/>
            </a:ln>
          </c:spPr>
          <c:marker>
            <c:spPr>
              <a:solidFill>
                <a:schemeClr val="accent1">
                  <a:lumMod val="20000"/>
                  <a:lumOff val="80000"/>
                </a:schemeClr>
              </a:solidFill>
              <a:ln>
                <a:solidFill>
                  <a:srgbClr val="0000FF"/>
                </a:solidFill>
              </a:ln>
            </c:spPr>
          </c:marker>
          <c:xVal>
            <c:numRef>
              <c:f>Inflow!$Y$7:$Y$26</c:f>
              <c:numCache>
                <c:formatCode>0.00;\-0.00;0.00</c:formatCode>
                <c:ptCount val="20"/>
                <c:pt idx="0">
                  <c:v>1.0000000000000001E-5</c:v>
                </c:pt>
                <c:pt idx="1">
                  <c:v>1.35639</c:v>
                </c:pt>
                <c:pt idx="2">
                  <c:v>2.7127599999999998</c:v>
                </c:pt>
                <c:pt idx="3">
                  <c:v>4.06914</c:v>
                </c:pt>
                <c:pt idx="4">
                  <c:v>5.4255199999999997</c:v>
                </c:pt>
                <c:pt idx="5">
                  <c:v>6.7818899999999998</c:v>
                </c:pt>
                <c:pt idx="6">
                  <c:v>8.1382700000000003</c:v>
                </c:pt>
                <c:pt idx="7">
                  <c:v>9.4946400000000004</c:v>
                </c:pt>
                <c:pt idx="8">
                  <c:v>10.851000000000001</c:v>
                </c:pt>
                <c:pt idx="9">
                  <c:v>12.2074</c:v>
                </c:pt>
                <c:pt idx="10">
                  <c:v>13.563800000000001</c:v>
                </c:pt>
                <c:pt idx="11">
                  <c:v>14.920199999999999</c:v>
                </c:pt>
                <c:pt idx="12">
                  <c:v>16.276499999999999</c:v>
                </c:pt>
                <c:pt idx="13">
                  <c:v>17.632899999999999</c:v>
                </c:pt>
                <c:pt idx="14">
                  <c:v>18.9893</c:v>
                </c:pt>
                <c:pt idx="15">
                  <c:v>20.345700000000001</c:v>
                </c:pt>
                <c:pt idx="16">
                  <c:v>21.702000000000002</c:v>
                </c:pt>
                <c:pt idx="17">
                  <c:v>23.058399999999999</c:v>
                </c:pt>
                <c:pt idx="18">
                  <c:v>24.4148</c:v>
                </c:pt>
                <c:pt idx="19">
                  <c:v>25.771100000000001</c:v>
                </c:pt>
              </c:numCache>
            </c:numRef>
          </c:xVal>
          <c:yVal>
            <c:numRef>
              <c:f>Inflow!$AJ$7:$AJ$26</c:f>
              <c:numCache>
                <c:formatCode>0.00;\-0.00;0.00</c:formatCode>
                <c:ptCount val="20"/>
              </c:numCache>
            </c:numRef>
          </c:yVal>
          <c:smooth val="1"/>
          <c:extLst>
            <c:ext xmlns:c16="http://schemas.microsoft.com/office/drawing/2014/chart" uri="{C3380CC4-5D6E-409C-BE32-E72D297353CC}">
              <c16:uniqueId val="{00000003-5B3E-4136-9EC2-9FDE876A40F7}"/>
            </c:ext>
          </c:extLst>
        </c:ser>
        <c:dLbls>
          <c:showLegendKey val="0"/>
          <c:showVal val="0"/>
          <c:showCatName val="0"/>
          <c:showSerName val="0"/>
          <c:showPercent val="0"/>
          <c:showBubbleSize val="0"/>
        </c:dLbls>
        <c:axId val="54574400"/>
        <c:axId val="54573824"/>
      </c:scatterChart>
      <c:valAx>
        <c:axId val="54572672"/>
        <c:scaling>
          <c:orientation val="minMax"/>
          <c:max val="40"/>
          <c:min val="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73248"/>
        <c:crossesAt val="0"/>
        <c:crossBetween val="midCat"/>
      </c:valAx>
      <c:valAx>
        <c:axId val="54573248"/>
        <c:scaling>
          <c:orientation val="minMax"/>
          <c:max val="10"/>
          <c:min val="0"/>
        </c:scaling>
        <c:delete val="0"/>
        <c:axPos val="l"/>
        <c:majorGridlines>
          <c:spPr>
            <a:ln w="3175">
              <a:solidFill>
                <a:schemeClr val="bg1">
                  <a:lumMod val="95000"/>
                </a:schemeClr>
              </a:solidFill>
              <a:prstDash val="sysDash"/>
            </a:ln>
          </c:spPr>
        </c:majorGridlines>
        <c:title>
          <c:tx>
            <c:rich>
              <a:bodyPr/>
              <a:lstStyle/>
              <a:p>
                <a:pPr>
                  <a:defRPr/>
                </a:pPr>
                <a:r>
                  <a:rPr lang="es-BO"/>
                  <a:t>dP,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72672"/>
        <c:crossesAt val="0"/>
        <c:crossBetween val="midCat"/>
      </c:valAx>
      <c:valAx>
        <c:axId val="54573824"/>
        <c:scaling>
          <c:orientation val="minMax"/>
          <c:max val="1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ES"/>
          </a:p>
        </c:txPr>
        <c:crossAx val="54574400"/>
        <c:crosses val="max"/>
        <c:crossBetween val="midCat"/>
      </c:valAx>
      <c:valAx>
        <c:axId val="54574400"/>
        <c:scaling>
          <c:orientation val="minMax"/>
          <c:max val="4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ES"/>
          </a:p>
        </c:txPr>
        <c:crossAx val="54573824"/>
        <c:crosses val="max"/>
        <c:crossBetween val="midCat"/>
      </c:valAx>
      <c:spPr>
        <a:solidFill>
          <a:srgbClr val="FFFFFF"/>
        </a:solidFill>
        <a:ln w="25400">
          <a:noFill/>
        </a:ln>
      </c:spPr>
    </c:plotArea>
    <c:legend>
      <c:legendPos val="r"/>
      <c:layout>
        <c:manualLayout>
          <c:xMode val="edge"/>
          <c:yMode val="edge"/>
          <c:x val="0.13236990184970049"/>
          <c:y val="0.14828808036926416"/>
          <c:w val="0.21088497817554228"/>
          <c:h val="0.1454751561227260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8.3388440552814719E-2"/>
          <c:y val="7.2368785313939518E-2"/>
          <c:w val="0.86564326518008794"/>
          <c:h val="0.85357522672778297"/>
        </c:manualLayout>
      </c:layout>
      <c:scatterChart>
        <c:scatterStyle val="smoothMarker"/>
        <c:varyColors val="0"/>
        <c:ser>
          <c:idx val="2"/>
          <c:order val="0"/>
          <c:tx>
            <c:strRef>
              <c:f>System_Sens!$AE$38</c:f>
              <c:strCache>
                <c:ptCount val="1"/>
                <c:pt idx="0">
                  <c:v>IPR 0</c:v>
                </c:pt>
              </c:strCache>
            </c:strRef>
          </c:tx>
          <c:spPr>
            <a:ln w="9525">
              <a:solidFill>
                <a:schemeClr val="bg1">
                  <a:lumMod val="50000"/>
                </a:schemeClr>
              </a:solidFill>
            </a:ln>
          </c:spPr>
          <c:marker>
            <c:symbol val="circle"/>
            <c:size val="6"/>
            <c:spPr>
              <a:solidFill>
                <a:srgbClr val="FFC000"/>
              </a:solidFill>
              <a:ln>
                <a:solidFill>
                  <a:srgbClr val="C00000"/>
                </a:solidFill>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System_Sens!$AE$40:$AE$59</c:f>
              <c:numCache>
                <c:formatCode>_-* #,##0.0_-;\-* #,##0.0_-;_-* "-"??_-;_-@_-</c:formatCode>
                <c:ptCount val="20"/>
                <c:pt idx="0">
                  <c:v>2519.42</c:v>
                </c:pt>
                <c:pt idx="1">
                  <c:v>2519.17</c:v>
                </c:pt>
                <c:pt idx="2">
                  <c:v>2518.81</c:v>
                </c:pt>
                <c:pt idx="3">
                  <c:v>2518.2800000000002</c:v>
                </c:pt>
                <c:pt idx="4">
                  <c:v>2517.5300000000002</c:v>
                </c:pt>
                <c:pt idx="5">
                  <c:v>2514.67</c:v>
                </c:pt>
                <c:pt idx="6">
                  <c:v>2511.04</c:v>
                </c:pt>
                <c:pt idx="7">
                  <c:v>2507.1</c:v>
                </c:pt>
                <c:pt idx="8">
                  <c:v>2500.08</c:v>
                </c:pt>
                <c:pt idx="9">
                  <c:v>2491.27</c:v>
                </c:pt>
                <c:pt idx="10">
                  <c:v>2477.13</c:v>
                </c:pt>
                <c:pt idx="11">
                  <c:v>2457.9699999999998</c:v>
                </c:pt>
                <c:pt idx="12">
                  <c:v>2428.61</c:v>
                </c:pt>
                <c:pt idx="13">
                  <c:v>2386.9299999999998</c:v>
                </c:pt>
                <c:pt idx="14">
                  <c:v>2323.6799999999998</c:v>
                </c:pt>
                <c:pt idx="15">
                  <c:v>2229.9699999999998</c:v>
                </c:pt>
                <c:pt idx="16">
                  <c:v>2083.9499999999998</c:v>
                </c:pt>
                <c:pt idx="17">
                  <c:v>1849.18</c:v>
                </c:pt>
                <c:pt idx="18">
                  <c:v>1433.48</c:v>
                </c:pt>
                <c:pt idx="19">
                  <c:v>74.178200000000004</c:v>
                </c:pt>
              </c:numCache>
            </c:numRef>
          </c:yVal>
          <c:smooth val="0"/>
          <c:extLst>
            <c:ext xmlns:c16="http://schemas.microsoft.com/office/drawing/2014/chart" uri="{C3380CC4-5D6E-409C-BE32-E72D297353CC}">
              <c16:uniqueId val="{00000000-1867-4E20-8AA4-A8CA130FE81B}"/>
            </c:ext>
          </c:extLst>
        </c:ser>
        <c:ser>
          <c:idx val="0"/>
          <c:order val="1"/>
          <c:tx>
            <c:v>VLP 0</c:v>
          </c:tx>
          <c:spPr>
            <a:ln w="3175">
              <a:solidFill>
                <a:srgbClr val="FF0000"/>
              </a:solidFill>
              <a:prstDash val="sysDash"/>
            </a:ln>
            <a:effectLst/>
          </c:spPr>
          <c:marker>
            <c:symbol val="dash"/>
            <c:size val="5"/>
            <c:spPr>
              <a:solidFill>
                <a:srgbClr val="808000"/>
              </a:solidFill>
              <a:ln>
                <a:solidFill>
                  <a:srgbClr val="FF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System_Sens!$AE$10:$AE$29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0-0228-4414-8808-D748D5460B05}"/>
            </c:ext>
          </c:extLst>
        </c:ser>
        <c:ser>
          <c:idx val="1"/>
          <c:order val="2"/>
          <c:tx>
            <c:v>IPR 0</c:v>
          </c:tx>
          <c:spPr>
            <a:ln w="3175">
              <a:solidFill>
                <a:srgbClr val="FF6600"/>
              </a:solidFill>
              <a:prstDash val="lgDash"/>
            </a:ln>
            <a:effectLst/>
          </c:spPr>
          <c:marker>
            <c:symbol val="square"/>
            <c:size val="5"/>
            <c:spPr>
              <a:solidFill>
                <a:srgbClr val="FFFF00"/>
              </a:solidFill>
              <a:ln>
                <a:solidFill>
                  <a:srgbClr val="FF66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System_Sens!$AE$40:$AE$59</c:f>
              <c:numCache>
                <c:formatCode>_-* #,##0.0_-;\-* #,##0.0_-;_-* "-"??_-;_-@_-</c:formatCode>
                <c:ptCount val="20"/>
                <c:pt idx="0">
                  <c:v>2519.42</c:v>
                </c:pt>
                <c:pt idx="1">
                  <c:v>2519.17</c:v>
                </c:pt>
                <c:pt idx="2">
                  <c:v>2518.81</c:v>
                </c:pt>
                <c:pt idx="3">
                  <c:v>2518.2800000000002</c:v>
                </c:pt>
                <c:pt idx="4">
                  <c:v>2517.5300000000002</c:v>
                </c:pt>
                <c:pt idx="5">
                  <c:v>2514.67</c:v>
                </c:pt>
                <c:pt idx="6">
                  <c:v>2511.04</c:v>
                </c:pt>
                <c:pt idx="7">
                  <c:v>2507.1</c:v>
                </c:pt>
                <c:pt idx="8">
                  <c:v>2500.08</c:v>
                </c:pt>
                <c:pt idx="9">
                  <c:v>2491.27</c:v>
                </c:pt>
                <c:pt idx="10">
                  <c:v>2477.13</c:v>
                </c:pt>
                <c:pt idx="11">
                  <c:v>2457.9699999999998</c:v>
                </c:pt>
                <c:pt idx="12">
                  <c:v>2428.61</c:v>
                </c:pt>
                <c:pt idx="13">
                  <c:v>2386.9299999999998</c:v>
                </c:pt>
                <c:pt idx="14">
                  <c:v>2323.6799999999998</c:v>
                </c:pt>
                <c:pt idx="15">
                  <c:v>2229.9699999999998</c:v>
                </c:pt>
                <c:pt idx="16">
                  <c:v>2083.9499999999998</c:v>
                </c:pt>
                <c:pt idx="17">
                  <c:v>1849.18</c:v>
                </c:pt>
                <c:pt idx="18">
                  <c:v>1433.48</c:v>
                </c:pt>
                <c:pt idx="19">
                  <c:v>74.178200000000004</c:v>
                </c:pt>
              </c:numCache>
            </c:numRef>
          </c:yVal>
          <c:smooth val="0"/>
          <c:extLst>
            <c:ext xmlns:c16="http://schemas.microsoft.com/office/drawing/2014/chart" uri="{C3380CC4-5D6E-409C-BE32-E72D297353CC}">
              <c16:uniqueId val="{00000021-0228-4414-8808-D748D5460B05}"/>
            </c:ext>
          </c:extLst>
        </c:ser>
        <c:ser>
          <c:idx val="4"/>
          <c:order val="3"/>
          <c:tx>
            <c:v>VLP 1</c:v>
          </c:tx>
          <c:spPr>
            <a:ln w="3175">
              <a:solidFill>
                <a:srgbClr val="800000"/>
              </a:solidFill>
              <a:prstDash val="sysDash"/>
            </a:ln>
            <a:effectLst/>
          </c:spPr>
          <c:marker>
            <c:symbol val="triangle"/>
            <c:size val="5"/>
            <c:spPr>
              <a:solidFill>
                <a:srgbClr val="FF0000"/>
              </a:solidFill>
              <a:ln>
                <a:solidFill>
                  <a:srgbClr val="8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System_Sens!$AF$10:$AF$29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3-0228-4414-8808-D748D5460B05}"/>
            </c:ext>
          </c:extLst>
        </c:ser>
        <c:ser>
          <c:idx val="5"/>
          <c:order val="4"/>
          <c:tx>
            <c:v>IPR 1</c:v>
          </c:tx>
          <c:spPr>
            <a:ln w="3175">
              <a:solidFill>
                <a:srgbClr val="000000"/>
              </a:solidFill>
              <a:prstDash val="solid"/>
            </a:ln>
            <a:effectLst/>
          </c:spPr>
          <c:marker>
            <c:symbol val="circle"/>
            <c:size val="5"/>
            <c:spPr>
              <a:solidFill>
                <a:srgbClr val="FFCC00"/>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System_Sens!$AF$40:$AF$59</c:f>
              <c:numCache>
                <c:formatCode>_-* #,##0.0_-;\-* #,##0.0_-;_-* "-"??_-;_-@_-</c:formatCode>
                <c:ptCount val="20"/>
                <c:pt idx="0">
                  <c:v>2519.0700000000002</c:v>
                </c:pt>
                <c:pt idx="1">
                  <c:v>2518.66</c:v>
                </c:pt>
                <c:pt idx="2">
                  <c:v>2518.08</c:v>
                </c:pt>
                <c:pt idx="3">
                  <c:v>2515.85</c:v>
                </c:pt>
                <c:pt idx="4">
                  <c:v>2514.0300000000002</c:v>
                </c:pt>
                <c:pt idx="5">
                  <c:v>2509.9699999999998</c:v>
                </c:pt>
                <c:pt idx="6">
                  <c:v>2505.56</c:v>
                </c:pt>
                <c:pt idx="7">
                  <c:v>2497.7199999999998</c:v>
                </c:pt>
                <c:pt idx="8">
                  <c:v>2487.88</c:v>
                </c:pt>
                <c:pt idx="9">
                  <c:v>2472.13</c:v>
                </c:pt>
                <c:pt idx="10">
                  <c:v>2450.85</c:v>
                </c:pt>
                <c:pt idx="11">
                  <c:v>2418.34</c:v>
                </c:pt>
                <c:pt idx="12">
                  <c:v>2372.4299999999998</c:v>
                </c:pt>
                <c:pt idx="13">
                  <c:v>2303.25</c:v>
                </c:pt>
                <c:pt idx="14">
                  <c:v>2200.7199999999998</c:v>
                </c:pt>
                <c:pt idx="15">
                  <c:v>2045.87</c:v>
                </c:pt>
                <c:pt idx="16">
                  <c:v>1799.83</c:v>
                </c:pt>
                <c:pt idx="17">
                  <c:v>1374.33</c:v>
                </c:pt>
              </c:numCache>
            </c:numRef>
          </c:yVal>
          <c:smooth val="0"/>
          <c:extLst>
            <c:ext xmlns:c16="http://schemas.microsoft.com/office/drawing/2014/chart" uri="{C3380CC4-5D6E-409C-BE32-E72D297353CC}">
              <c16:uniqueId val="{00000024-0228-4414-8808-D748D5460B05}"/>
            </c:ext>
          </c:extLst>
        </c:ser>
        <c:ser>
          <c:idx val="7"/>
          <c:order val="5"/>
          <c:tx>
            <c:v>VLP 2</c:v>
          </c:tx>
          <c:spPr>
            <a:ln w="3175">
              <a:solidFill>
                <a:srgbClr val="000000"/>
              </a:solidFill>
              <a:prstDash val="lgDashDotDot"/>
            </a:ln>
            <a:effectLst/>
          </c:spPr>
          <c:marker>
            <c:symbol val="diamond"/>
            <c:size val="5"/>
            <c:spPr>
              <a:solidFill>
                <a:srgbClr val="FF6600"/>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System_Sens!$AG$10:$AG$29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6-0228-4414-8808-D748D5460B05}"/>
            </c:ext>
          </c:extLst>
        </c:ser>
        <c:ser>
          <c:idx val="8"/>
          <c:order val="6"/>
          <c:tx>
            <c:v>IPR 2</c:v>
          </c:tx>
          <c:spPr>
            <a:ln w="3175">
              <a:solidFill>
                <a:srgbClr val="000000"/>
              </a:solidFill>
              <a:prstDash val="sysDash"/>
            </a:ln>
            <a:effectLst/>
          </c:spPr>
          <c:marker>
            <c:symbol val="triangle"/>
            <c:size val="5"/>
            <c:spPr>
              <a:solidFill>
                <a:srgbClr val="0000FF"/>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System_Sens!$AG$40:$AG$59</c:f>
              <c:numCache>
                <c:formatCode>_-* #,##0.0_-;\-* #,##0.0_-;_-* "-"??_-;_-@_-</c:formatCode>
                <c:ptCount val="20"/>
                <c:pt idx="0">
                  <c:v>2518.7199999999998</c:v>
                </c:pt>
                <c:pt idx="1">
                  <c:v>2518.16</c:v>
                </c:pt>
                <c:pt idx="2">
                  <c:v>2516.02</c:v>
                </c:pt>
                <c:pt idx="3">
                  <c:v>2514.27</c:v>
                </c:pt>
                <c:pt idx="4">
                  <c:v>2510.39</c:v>
                </c:pt>
                <c:pt idx="5">
                  <c:v>2506.16</c:v>
                </c:pt>
                <c:pt idx="6">
                  <c:v>2498.65</c:v>
                </c:pt>
                <c:pt idx="7">
                  <c:v>2489.2399999999998</c:v>
                </c:pt>
                <c:pt idx="8">
                  <c:v>2474.1799999999998</c:v>
                </c:pt>
                <c:pt idx="9">
                  <c:v>2453.86</c:v>
                </c:pt>
                <c:pt idx="10">
                  <c:v>2422.88</c:v>
                </c:pt>
                <c:pt idx="11">
                  <c:v>2379.2600000000002</c:v>
                </c:pt>
                <c:pt idx="12">
                  <c:v>2313.8200000000002</c:v>
                </c:pt>
                <c:pt idx="13">
                  <c:v>2218.4899999999998</c:v>
                </c:pt>
                <c:pt idx="14">
                  <c:v>2073.48</c:v>
                </c:pt>
                <c:pt idx="15">
                  <c:v>1848.77</c:v>
                </c:pt>
                <c:pt idx="16">
                  <c:v>1475</c:v>
                </c:pt>
                <c:pt idx="17">
                  <c:v>652.58299999999997</c:v>
                </c:pt>
              </c:numCache>
            </c:numRef>
          </c:yVal>
          <c:smooth val="0"/>
          <c:extLst>
            <c:ext xmlns:c16="http://schemas.microsoft.com/office/drawing/2014/chart" uri="{C3380CC4-5D6E-409C-BE32-E72D297353CC}">
              <c16:uniqueId val="{00000027-0228-4414-8808-D748D5460B05}"/>
            </c:ext>
          </c:extLst>
        </c:ser>
        <c:ser>
          <c:idx val="10"/>
          <c:order val="7"/>
          <c:tx>
            <c:v>VLP 3</c:v>
          </c:tx>
          <c:spPr>
            <a:ln w="3175">
              <a:solidFill>
                <a:srgbClr val="003300"/>
              </a:solidFill>
              <a:prstDash val="lgDash"/>
            </a:ln>
            <a:effectLst/>
          </c:spPr>
          <c:marker>
            <c:symbol val="square"/>
            <c:size val="5"/>
            <c:spPr>
              <a:solidFill>
                <a:srgbClr val="FF00FF"/>
              </a:solidFill>
              <a:ln>
                <a:solidFill>
                  <a:srgbClr val="0033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System_Sens!$AH$10:$AH$29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9-0228-4414-8808-D748D5460B05}"/>
            </c:ext>
          </c:extLst>
        </c:ser>
        <c:ser>
          <c:idx val="11"/>
          <c:order val="8"/>
          <c:tx>
            <c:v>IPR 3</c:v>
          </c:tx>
          <c:spPr>
            <a:ln w="3175">
              <a:solidFill>
                <a:srgbClr val="000000"/>
              </a:solidFill>
              <a:prstDash val="lgDashDotDot"/>
            </a:ln>
            <a:effectLst/>
          </c:spPr>
          <c:marker>
            <c:symbol val="diamond"/>
            <c:size val="5"/>
            <c:spPr>
              <a:solidFill>
                <a:srgbClr val="00FFFF"/>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System_Sens!$AH$40:$AH$59</c:f>
              <c:numCache>
                <c:formatCode>_-* #,##0.0_-;\-* #,##0.0_-;_-* "-"??_-;_-@_-</c:formatCode>
                <c:ptCount val="20"/>
                <c:pt idx="0">
                  <c:v>2518.0100000000002</c:v>
                </c:pt>
                <c:pt idx="1">
                  <c:v>2515.71</c:v>
                </c:pt>
                <c:pt idx="2">
                  <c:v>2513.83</c:v>
                </c:pt>
                <c:pt idx="3">
                  <c:v>2509.64</c:v>
                </c:pt>
                <c:pt idx="4">
                  <c:v>2505.09</c:v>
                </c:pt>
                <c:pt idx="5">
                  <c:v>2497</c:v>
                </c:pt>
                <c:pt idx="6">
                  <c:v>2486.86</c:v>
                </c:pt>
                <c:pt idx="7">
                  <c:v>2470.64</c:v>
                </c:pt>
                <c:pt idx="8">
                  <c:v>2448.7600000000002</c:v>
                </c:pt>
                <c:pt idx="9">
                  <c:v>2415.41</c:v>
                </c:pt>
                <c:pt idx="10">
                  <c:v>2368.4899999999998</c:v>
                </c:pt>
                <c:pt idx="11">
                  <c:v>2298.15</c:v>
                </c:pt>
                <c:pt idx="12">
                  <c:v>2194.64</c:v>
                </c:pt>
                <c:pt idx="13">
                  <c:v>2040.06</c:v>
                </c:pt>
                <c:pt idx="14">
                  <c:v>1798.57</c:v>
                </c:pt>
                <c:pt idx="15">
                  <c:v>1393.43</c:v>
                </c:pt>
                <c:pt idx="16">
                  <c:v>383.81599999999997</c:v>
                </c:pt>
              </c:numCache>
            </c:numRef>
          </c:yVal>
          <c:smooth val="0"/>
          <c:extLst>
            <c:ext xmlns:c16="http://schemas.microsoft.com/office/drawing/2014/chart" uri="{C3380CC4-5D6E-409C-BE32-E72D297353CC}">
              <c16:uniqueId val="{0000002A-0228-4414-8808-D748D5460B05}"/>
            </c:ext>
          </c:extLst>
        </c:ser>
        <c:ser>
          <c:idx val="13"/>
          <c:order val="9"/>
          <c:tx>
            <c:v>VLP 4</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System_Sens!$AI$10:$AI$29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C-0228-4414-8808-D748D5460B05}"/>
            </c:ext>
          </c:extLst>
        </c:ser>
        <c:ser>
          <c:idx val="14"/>
          <c:order val="10"/>
          <c:tx>
            <c:v>IPR 4</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System_Sens!$AI$40:$AI$59</c:f>
              <c:numCache>
                <c:formatCode>_-* #,##0.0_-;\-* #,##0.0_-;_-* "-"??_-;_-@_-</c:formatCode>
                <c:ptCount val="20"/>
                <c:pt idx="0">
                  <c:v>2515.96</c:v>
                </c:pt>
                <c:pt idx="1">
                  <c:v>2514.19</c:v>
                </c:pt>
                <c:pt idx="2">
                  <c:v>2510.2399999999998</c:v>
                </c:pt>
                <c:pt idx="3">
                  <c:v>2505.96</c:v>
                </c:pt>
                <c:pt idx="4">
                  <c:v>2498.34</c:v>
                </c:pt>
                <c:pt idx="5">
                  <c:v>2488.8000000000002</c:v>
                </c:pt>
                <c:pt idx="6">
                  <c:v>2473.54</c:v>
                </c:pt>
                <c:pt idx="7">
                  <c:v>2452.9699999999998</c:v>
                </c:pt>
                <c:pt idx="8">
                  <c:v>2421.64</c:v>
                </c:pt>
                <c:pt idx="9">
                  <c:v>2377.61</c:v>
                </c:pt>
                <c:pt idx="10">
                  <c:v>2311.73</c:v>
                </c:pt>
                <c:pt idx="11">
                  <c:v>2216.12</c:v>
                </c:pt>
                <c:pt idx="12">
                  <c:v>2071.52</c:v>
                </c:pt>
                <c:pt idx="13">
                  <c:v>1849.44</c:v>
                </c:pt>
                <c:pt idx="14">
                  <c:v>1485.81</c:v>
                </c:pt>
                <c:pt idx="15">
                  <c:v>726.98400000000004</c:v>
                </c:pt>
              </c:numCache>
            </c:numRef>
          </c:yVal>
          <c:smooth val="0"/>
          <c:extLst>
            <c:ext xmlns:c16="http://schemas.microsoft.com/office/drawing/2014/chart" uri="{C3380CC4-5D6E-409C-BE32-E72D297353CC}">
              <c16:uniqueId val="{0000002D-0228-4414-8808-D748D5460B05}"/>
            </c:ext>
          </c:extLst>
        </c:ser>
        <c:ser>
          <c:idx val="15"/>
          <c:order val="11"/>
          <c:tx>
            <c:v>SOL 4</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System_Sens!$AI$64</c:f>
              <c:numCache>
                <c:formatCode>#,##0.0</c:formatCode>
                <c:ptCount val="1"/>
                <c:pt idx="0">
                  <c:v>22.5152</c:v>
                </c:pt>
              </c:numCache>
            </c:numRef>
          </c:xVal>
          <c:yVal>
            <c:numRef>
              <c:f>System_Sens!$AI$63</c:f>
              <c:numCache>
                <c:formatCode>#,##0.0</c:formatCode>
                <c:ptCount val="1"/>
                <c:pt idx="0">
                  <c:v>1078.23</c:v>
                </c:pt>
              </c:numCache>
            </c:numRef>
          </c:yVal>
          <c:smooth val="1"/>
          <c:extLst>
            <c:ext xmlns:c16="http://schemas.microsoft.com/office/drawing/2014/chart" uri="{C3380CC4-5D6E-409C-BE32-E72D297353CC}">
              <c16:uniqueId val="{0000002E-0228-4414-8808-D748D5460B05}"/>
            </c:ext>
          </c:extLst>
        </c:ser>
        <c:ser>
          <c:idx val="16"/>
          <c:order val="12"/>
          <c:tx>
            <c:v>VLP 5</c:v>
          </c:tx>
          <c:spPr>
            <a:ln w="3175">
              <a:solidFill>
                <a:srgbClr val="000000"/>
              </a:solidFill>
              <a:prstDash val="sysDash"/>
            </a:ln>
            <a:effectLst/>
          </c:spPr>
          <c:marker>
            <c:symbol val="triangle"/>
            <c:size val="5"/>
            <c:spPr>
              <a:solidFill>
                <a:srgbClr val="808000"/>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System_Sens!$AJ$10:$AJ$29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2F-0228-4414-8808-D748D5460B05}"/>
            </c:ext>
          </c:extLst>
        </c:ser>
        <c:ser>
          <c:idx val="17"/>
          <c:order val="13"/>
          <c:tx>
            <c:v>IPR 5</c:v>
          </c:tx>
          <c:spPr>
            <a:ln w="3175">
              <a:solidFill>
                <a:srgbClr val="000000"/>
              </a:solidFill>
              <a:prstDash val="sysDash"/>
            </a:ln>
            <a:effectLst/>
          </c:spPr>
          <c:marker>
            <c:symbol val="dash"/>
            <c:size val="5"/>
            <c:spPr>
              <a:solidFill>
                <a:srgbClr val="808000"/>
              </a:solidFill>
              <a:ln>
                <a:solidFill>
                  <a:srgbClr val="0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System_Sens!$AJ$40:$AJ$59</c:f>
              <c:numCache>
                <c:formatCode>_-* #,##0.0_-;\-* #,##0.0_-;_-* "-"??_-;_-@_-</c:formatCode>
                <c:ptCount val="20"/>
                <c:pt idx="0">
                  <c:v>2515.2199999999998</c:v>
                </c:pt>
                <c:pt idx="1">
                  <c:v>2513.12</c:v>
                </c:pt>
                <c:pt idx="2">
                  <c:v>2508.4499999999998</c:v>
                </c:pt>
                <c:pt idx="3">
                  <c:v>2503.38</c:v>
                </c:pt>
                <c:pt idx="4">
                  <c:v>2494.35</c:v>
                </c:pt>
                <c:pt idx="5">
                  <c:v>2483.04</c:v>
                </c:pt>
                <c:pt idx="6">
                  <c:v>2464.96</c:v>
                </c:pt>
                <c:pt idx="7">
                  <c:v>2439.29</c:v>
                </c:pt>
                <c:pt idx="8">
                  <c:v>2403.3200000000002</c:v>
                </c:pt>
                <c:pt idx="9">
                  <c:v>2349.66</c:v>
                </c:pt>
                <c:pt idx="10">
                  <c:v>2272.23</c:v>
                </c:pt>
                <c:pt idx="11">
                  <c:v>2156.21</c:v>
                </c:pt>
                <c:pt idx="12">
                  <c:v>1982.05</c:v>
                </c:pt>
                <c:pt idx="13">
                  <c:v>1706.91</c:v>
                </c:pt>
                <c:pt idx="14">
                  <c:v>1227.3499999999999</c:v>
                </c:pt>
              </c:numCache>
            </c:numRef>
          </c:yVal>
          <c:smooth val="0"/>
          <c:extLst>
            <c:ext xmlns:c16="http://schemas.microsoft.com/office/drawing/2014/chart" uri="{C3380CC4-5D6E-409C-BE32-E72D297353CC}">
              <c16:uniqueId val="{00000030-0228-4414-8808-D748D5460B05}"/>
            </c:ext>
          </c:extLst>
        </c:ser>
        <c:ser>
          <c:idx val="6"/>
          <c:order val="14"/>
          <c:tx>
            <c:v>SOL 1</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System_Sens!$AF$64</c:f>
              <c:numCache>
                <c:formatCode>#,##0.0</c:formatCode>
                <c:ptCount val="1"/>
                <c:pt idx="0">
                  <c:v>42.953000000000003</c:v>
                </c:pt>
              </c:numCache>
            </c:numRef>
          </c:xVal>
          <c:yVal>
            <c:numRef>
              <c:f>System_Sens!$AF$63</c:f>
              <c:numCache>
                <c:formatCode>#,##0.0</c:formatCode>
                <c:ptCount val="1"/>
                <c:pt idx="0">
                  <c:v>1664.73</c:v>
                </c:pt>
              </c:numCache>
            </c:numRef>
          </c:yVal>
          <c:smooth val="1"/>
          <c:extLst>
            <c:ext xmlns:c16="http://schemas.microsoft.com/office/drawing/2014/chart" uri="{C3380CC4-5D6E-409C-BE32-E72D297353CC}">
              <c16:uniqueId val="{00000025-0228-4414-8808-D748D5460B05}"/>
            </c:ext>
          </c:extLst>
        </c:ser>
        <c:ser>
          <c:idx val="18"/>
          <c:order val="15"/>
          <c:tx>
            <c:v>SOL 5</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58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System_Sens!$AJ$64</c:f>
              <c:numCache>
                <c:formatCode>#,##0.0</c:formatCode>
                <c:ptCount val="1"/>
                <c:pt idx="0">
                  <c:v>19.601900000000001</c:v>
                </c:pt>
              </c:numCache>
            </c:numRef>
          </c:xVal>
          <c:yVal>
            <c:numRef>
              <c:f>System_Sens!$AJ$63</c:f>
              <c:numCache>
                <c:formatCode>#,##0.0</c:formatCode>
                <c:ptCount val="1"/>
                <c:pt idx="0">
                  <c:v>1015.66</c:v>
                </c:pt>
              </c:numCache>
            </c:numRef>
          </c:yVal>
          <c:smooth val="1"/>
          <c:extLst>
            <c:ext xmlns:c16="http://schemas.microsoft.com/office/drawing/2014/chart" uri="{C3380CC4-5D6E-409C-BE32-E72D297353CC}">
              <c16:uniqueId val="{00000031-0228-4414-8808-D748D5460B05}"/>
            </c:ext>
          </c:extLst>
        </c:ser>
        <c:ser>
          <c:idx val="19"/>
          <c:order val="16"/>
          <c:tx>
            <c:v>VLP 6</c:v>
          </c:tx>
          <c:spPr>
            <a:ln w="3175">
              <a:solidFill>
                <a:srgbClr val="00FFFF"/>
              </a:solidFill>
              <a:prstDash val="sysDash"/>
            </a:ln>
            <a:effectLst/>
          </c:spPr>
          <c:marker>
            <c:symbol val="x"/>
            <c:size val="5"/>
            <c:spPr>
              <a:solidFill>
                <a:srgbClr val="808000"/>
              </a:solidFill>
              <a:ln>
                <a:solidFill>
                  <a:srgbClr val="00FFFF"/>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System_Sens!$AK$10:$AK$29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0"/>
          <c:extLst>
            <c:ext xmlns:c16="http://schemas.microsoft.com/office/drawing/2014/chart" uri="{C3380CC4-5D6E-409C-BE32-E72D297353CC}">
              <c16:uniqueId val="{00000032-0228-4414-8808-D748D5460B05}"/>
            </c:ext>
          </c:extLst>
        </c:ser>
        <c:ser>
          <c:idx val="20"/>
          <c:order val="17"/>
          <c:tx>
            <c:v>IPR 6</c:v>
          </c:tx>
          <c:spPr>
            <a:ln w="3175">
              <a:solidFill>
                <a:srgbClr val="800000"/>
              </a:solidFill>
              <a:prstDash val="sysDash"/>
            </a:ln>
            <a:effectLst/>
          </c:spPr>
          <c:marker>
            <c:symbol val="triangle"/>
            <c:size val="5"/>
            <c:spPr>
              <a:solidFill>
                <a:srgbClr val="808000"/>
              </a:solidFill>
              <a:ln>
                <a:solidFill>
                  <a:srgbClr val="800000"/>
                </a:solidFill>
                <a:prstDash val="solid"/>
              </a:ln>
            </c:spPr>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System_Sens!$AK$40:$AK$59</c:f>
              <c:numCache>
                <c:formatCode>_-* #,##0.0_-;\-* #,##0.0_-;_-* "-"??_-;_-@_-</c:formatCode>
                <c:ptCount val="20"/>
                <c:pt idx="0">
                  <c:v>2514.9</c:v>
                </c:pt>
                <c:pt idx="1">
                  <c:v>2512.66</c:v>
                </c:pt>
                <c:pt idx="2">
                  <c:v>2507.6799999999998</c:v>
                </c:pt>
                <c:pt idx="3">
                  <c:v>2501.0100000000002</c:v>
                </c:pt>
                <c:pt idx="4">
                  <c:v>2492.64</c:v>
                </c:pt>
                <c:pt idx="5">
                  <c:v>2479.2800000000002</c:v>
                </c:pt>
                <c:pt idx="6">
                  <c:v>2461.27</c:v>
                </c:pt>
                <c:pt idx="7">
                  <c:v>2433.87</c:v>
                </c:pt>
                <c:pt idx="8">
                  <c:v>2395.4499999999998</c:v>
                </c:pt>
                <c:pt idx="9">
                  <c:v>2338.0700000000002</c:v>
                </c:pt>
                <c:pt idx="10">
                  <c:v>2255.16</c:v>
                </c:pt>
                <c:pt idx="11">
                  <c:v>2130.62</c:v>
                </c:pt>
                <c:pt idx="12">
                  <c:v>1942.76</c:v>
                </c:pt>
                <c:pt idx="13">
                  <c:v>1642.8</c:v>
                </c:pt>
                <c:pt idx="14">
                  <c:v>1100.55</c:v>
                </c:pt>
              </c:numCache>
            </c:numRef>
          </c:yVal>
          <c:smooth val="0"/>
          <c:extLst>
            <c:ext xmlns:c16="http://schemas.microsoft.com/office/drawing/2014/chart" uri="{C3380CC4-5D6E-409C-BE32-E72D297353CC}">
              <c16:uniqueId val="{00000033-0228-4414-8808-D748D5460B05}"/>
            </c:ext>
          </c:extLst>
        </c:ser>
        <c:ser>
          <c:idx val="3"/>
          <c:order val="18"/>
          <c:tx>
            <c:v>SOL 0</c:v>
          </c:tx>
          <c:spPr>
            <a:ln w="19050" cap="rnd" cmpd="sng" algn="ctr">
              <a:noFill/>
              <a:prstDash val="solid"/>
              <a:round/>
            </a:ln>
            <a:effectLst/>
            <a:extLst>
              <a:ext uri="{91240B29-F687-4F45-9708-019B960494DF}">
                <a14:hiddenLine xmlns:a14="http://schemas.microsoft.com/office/drawing/2010/main" w="19050" cap="rnd" cmpd="sng" algn="ctr">
                  <a:solidFill>
                    <a:srgbClr val="FFC000"/>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System_Sens!$AE$64</c:f>
              <c:numCache>
                <c:formatCode>#,##0.0</c:formatCode>
                <c:ptCount val="1"/>
                <c:pt idx="0">
                  <c:v>50.413200000000003</c:v>
                </c:pt>
              </c:numCache>
            </c:numRef>
          </c:xVal>
          <c:yVal>
            <c:numRef>
              <c:f>System_Sens!$AE$63</c:f>
              <c:numCache>
                <c:formatCode>#,##0.0</c:formatCode>
                <c:ptCount val="1"/>
                <c:pt idx="0">
                  <c:v>1903.45</c:v>
                </c:pt>
              </c:numCache>
            </c:numRef>
          </c:yVal>
          <c:smooth val="1"/>
          <c:extLst>
            <c:ext xmlns:c16="http://schemas.microsoft.com/office/drawing/2014/chart" uri="{C3380CC4-5D6E-409C-BE32-E72D297353CC}">
              <c16:uniqueId val="{00000022-0228-4414-8808-D748D5460B05}"/>
            </c:ext>
          </c:extLst>
        </c:ser>
        <c:ser>
          <c:idx val="9"/>
          <c:order val="19"/>
          <c:tx>
            <c:v>SOL 2</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System_Sens!$AG$64</c:f>
              <c:numCache>
                <c:formatCode>#,##0.0</c:formatCode>
                <c:ptCount val="1"/>
                <c:pt idx="0">
                  <c:v>37.353400000000001</c:v>
                </c:pt>
              </c:numCache>
            </c:numRef>
          </c:xVal>
          <c:yVal>
            <c:numRef>
              <c:f>System_Sens!$AG$63</c:f>
              <c:numCache>
                <c:formatCode>#,##0.0</c:formatCode>
                <c:ptCount val="1"/>
                <c:pt idx="0">
                  <c:v>1486.43</c:v>
                </c:pt>
              </c:numCache>
            </c:numRef>
          </c:yVal>
          <c:smooth val="1"/>
          <c:extLst>
            <c:ext xmlns:c16="http://schemas.microsoft.com/office/drawing/2014/chart" uri="{C3380CC4-5D6E-409C-BE32-E72D297353CC}">
              <c16:uniqueId val="{00000028-0228-4414-8808-D748D5460B05}"/>
            </c:ext>
          </c:extLst>
        </c:ser>
        <c:ser>
          <c:idx val="12"/>
          <c:order val="20"/>
          <c:tx>
            <c:v>SOL 3</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System_Sens!$AH$64</c:f>
              <c:numCache>
                <c:formatCode>#,##0.0</c:formatCode>
                <c:ptCount val="1"/>
                <c:pt idx="0">
                  <c:v>28.222200000000001</c:v>
                </c:pt>
              </c:numCache>
            </c:numRef>
          </c:xVal>
          <c:yVal>
            <c:numRef>
              <c:f>System_Sens!$AH$63</c:f>
              <c:numCache>
                <c:formatCode>#,##0.0</c:formatCode>
                <c:ptCount val="1"/>
                <c:pt idx="0">
                  <c:v>1216.94</c:v>
                </c:pt>
              </c:numCache>
            </c:numRef>
          </c:yVal>
          <c:smooth val="1"/>
          <c:extLst>
            <c:ext xmlns:c16="http://schemas.microsoft.com/office/drawing/2014/chart" uri="{C3380CC4-5D6E-409C-BE32-E72D297353CC}">
              <c16:uniqueId val="{0000002B-0228-4414-8808-D748D5460B05}"/>
            </c:ext>
          </c:extLst>
        </c:ser>
        <c:ser>
          <c:idx val="21"/>
          <c:order val="21"/>
          <c:tx>
            <c:v>SOL 6</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58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System_Sens!$AK$64</c:f>
              <c:numCache>
                <c:formatCode>#,##0.0</c:formatCode>
                <c:ptCount val="1"/>
                <c:pt idx="0">
                  <c:v>18.943000000000001</c:v>
                </c:pt>
              </c:numCache>
            </c:numRef>
          </c:xVal>
          <c:yVal>
            <c:numRef>
              <c:f>System_Sens!$AK$63</c:f>
              <c:numCache>
                <c:formatCode>#,##0.0</c:formatCode>
                <c:ptCount val="1"/>
                <c:pt idx="0">
                  <c:v>1001.51</c:v>
                </c:pt>
              </c:numCache>
            </c:numRef>
          </c:yVal>
          <c:smooth val="1"/>
          <c:extLst>
            <c:ext xmlns:c16="http://schemas.microsoft.com/office/drawing/2014/chart" uri="{C3380CC4-5D6E-409C-BE32-E72D297353CC}">
              <c16:uniqueId val="{00000034-0228-4414-8808-D748D5460B05}"/>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064"/>
        <c:crossesAt val="0"/>
        <c:crossBetween val="midCat"/>
      </c:valAx>
      <c:spPr>
        <a:solidFill>
          <a:srgbClr val="FFFFFF"/>
        </a:solidFill>
        <a:ln w="25400">
          <a:noFill/>
        </a:ln>
      </c:spPr>
    </c:plotArea>
    <c:legend>
      <c:legendPos val="r"/>
      <c:layout>
        <c:manualLayout>
          <c:xMode val="edge"/>
          <c:yMode val="edge"/>
          <c:x val="0.73397505458876477"/>
          <c:y val="8.1693922875025235E-2"/>
          <c:w val="0.20764907597166793"/>
          <c:h val="0.43413538811217189"/>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43179341846073"/>
          <c:y val="0.1153377335186043"/>
          <c:w val="0.80707469848477542"/>
          <c:h val="0.76043808862127527"/>
        </c:manualLayout>
      </c:layout>
      <c:scatterChart>
        <c:scatterStyle val="smoothMarker"/>
        <c:varyColors val="0"/>
        <c:ser>
          <c:idx val="0"/>
          <c:order val="0"/>
          <c:tx>
            <c:v>VLP 0</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System_Sens!$AE$10:$AE$29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0-BE79-4E4B-A128-A940A7E20633}"/>
            </c:ext>
          </c:extLst>
        </c:ser>
        <c:ser>
          <c:idx val="1"/>
          <c:order val="1"/>
          <c:tx>
            <c:v>IPR 0</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System_Sens!$AE$40:$AE$59</c:f>
              <c:numCache>
                <c:formatCode>_-* #,##0.0_-;\-* #,##0.0_-;_-* "-"??_-;_-@_-</c:formatCode>
                <c:ptCount val="20"/>
                <c:pt idx="0">
                  <c:v>2519.42</c:v>
                </c:pt>
                <c:pt idx="1">
                  <c:v>2519.17</c:v>
                </c:pt>
                <c:pt idx="2">
                  <c:v>2518.81</c:v>
                </c:pt>
                <c:pt idx="3">
                  <c:v>2518.2800000000002</c:v>
                </c:pt>
                <c:pt idx="4">
                  <c:v>2517.5300000000002</c:v>
                </c:pt>
                <c:pt idx="5">
                  <c:v>2514.67</c:v>
                </c:pt>
                <c:pt idx="6">
                  <c:v>2511.04</c:v>
                </c:pt>
                <c:pt idx="7">
                  <c:v>2507.1</c:v>
                </c:pt>
                <c:pt idx="8">
                  <c:v>2500.08</c:v>
                </c:pt>
                <c:pt idx="9">
                  <c:v>2491.27</c:v>
                </c:pt>
                <c:pt idx="10">
                  <c:v>2477.13</c:v>
                </c:pt>
                <c:pt idx="11">
                  <c:v>2457.9699999999998</c:v>
                </c:pt>
                <c:pt idx="12">
                  <c:v>2428.61</c:v>
                </c:pt>
                <c:pt idx="13">
                  <c:v>2386.9299999999998</c:v>
                </c:pt>
                <c:pt idx="14">
                  <c:v>2323.6799999999998</c:v>
                </c:pt>
                <c:pt idx="15">
                  <c:v>2229.9699999999998</c:v>
                </c:pt>
                <c:pt idx="16">
                  <c:v>2083.9499999999998</c:v>
                </c:pt>
                <c:pt idx="17">
                  <c:v>1849.18</c:v>
                </c:pt>
                <c:pt idx="18">
                  <c:v>1433.48</c:v>
                </c:pt>
                <c:pt idx="19">
                  <c:v>74.178200000000004</c:v>
                </c:pt>
              </c:numCache>
            </c:numRef>
          </c:yVal>
          <c:smooth val="1"/>
          <c:extLst>
            <c:ext xmlns:c16="http://schemas.microsoft.com/office/drawing/2014/chart" uri="{C3380CC4-5D6E-409C-BE32-E72D297353CC}">
              <c16:uniqueId val="{00000031-BE79-4E4B-A128-A940A7E20633}"/>
            </c:ext>
          </c:extLst>
        </c:ser>
        <c:ser>
          <c:idx val="2"/>
          <c:order val="2"/>
          <c:tx>
            <c:v>VLP 1</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System_Sens!$AF$10:$AF$29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2-BE79-4E4B-A128-A940A7E20633}"/>
            </c:ext>
          </c:extLst>
        </c:ser>
        <c:ser>
          <c:idx val="3"/>
          <c:order val="3"/>
          <c:tx>
            <c:v>IPR 1</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System_Sens!$AF$40:$AF$59</c:f>
              <c:numCache>
                <c:formatCode>_-* #,##0.0_-;\-* #,##0.0_-;_-* "-"??_-;_-@_-</c:formatCode>
                <c:ptCount val="20"/>
                <c:pt idx="0">
                  <c:v>2519.0700000000002</c:v>
                </c:pt>
                <c:pt idx="1">
                  <c:v>2518.66</c:v>
                </c:pt>
                <c:pt idx="2">
                  <c:v>2518.08</c:v>
                </c:pt>
                <c:pt idx="3">
                  <c:v>2515.85</c:v>
                </c:pt>
                <c:pt idx="4">
                  <c:v>2514.0300000000002</c:v>
                </c:pt>
                <c:pt idx="5">
                  <c:v>2509.9699999999998</c:v>
                </c:pt>
                <c:pt idx="6">
                  <c:v>2505.56</c:v>
                </c:pt>
                <c:pt idx="7">
                  <c:v>2497.7199999999998</c:v>
                </c:pt>
                <c:pt idx="8">
                  <c:v>2487.88</c:v>
                </c:pt>
                <c:pt idx="9">
                  <c:v>2472.13</c:v>
                </c:pt>
                <c:pt idx="10">
                  <c:v>2450.85</c:v>
                </c:pt>
                <c:pt idx="11">
                  <c:v>2418.34</c:v>
                </c:pt>
                <c:pt idx="12">
                  <c:v>2372.4299999999998</c:v>
                </c:pt>
                <c:pt idx="13">
                  <c:v>2303.25</c:v>
                </c:pt>
                <c:pt idx="14">
                  <c:v>2200.7199999999998</c:v>
                </c:pt>
                <c:pt idx="15">
                  <c:v>2045.87</c:v>
                </c:pt>
                <c:pt idx="16">
                  <c:v>1799.83</c:v>
                </c:pt>
                <c:pt idx="17">
                  <c:v>1374.33</c:v>
                </c:pt>
              </c:numCache>
            </c:numRef>
          </c:yVal>
          <c:smooth val="1"/>
          <c:extLst>
            <c:ext xmlns:c16="http://schemas.microsoft.com/office/drawing/2014/chart" uri="{C3380CC4-5D6E-409C-BE32-E72D297353CC}">
              <c16:uniqueId val="{00000033-BE79-4E4B-A128-A940A7E20633}"/>
            </c:ext>
          </c:extLst>
        </c:ser>
        <c:ser>
          <c:idx val="4"/>
          <c:order val="4"/>
          <c:tx>
            <c:v>VLP 2</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System_Sens!$AG$10:$AG$29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4-BE79-4E4B-A128-A940A7E20633}"/>
            </c:ext>
          </c:extLst>
        </c:ser>
        <c:ser>
          <c:idx val="5"/>
          <c:order val="5"/>
          <c:tx>
            <c:v>IPR 2</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System_Sens!$AG$40:$AG$59</c:f>
              <c:numCache>
                <c:formatCode>_-* #,##0.0_-;\-* #,##0.0_-;_-* "-"??_-;_-@_-</c:formatCode>
                <c:ptCount val="20"/>
                <c:pt idx="0">
                  <c:v>2518.7199999999998</c:v>
                </c:pt>
                <c:pt idx="1">
                  <c:v>2518.16</c:v>
                </c:pt>
                <c:pt idx="2">
                  <c:v>2516.02</c:v>
                </c:pt>
                <c:pt idx="3">
                  <c:v>2514.27</c:v>
                </c:pt>
                <c:pt idx="4">
                  <c:v>2510.39</c:v>
                </c:pt>
                <c:pt idx="5">
                  <c:v>2506.16</c:v>
                </c:pt>
                <c:pt idx="6">
                  <c:v>2498.65</c:v>
                </c:pt>
                <c:pt idx="7">
                  <c:v>2489.2399999999998</c:v>
                </c:pt>
                <c:pt idx="8">
                  <c:v>2474.1799999999998</c:v>
                </c:pt>
                <c:pt idx="9">
                  <c:v>2453.86</c:v>
                </c:pt>
                <c:pt idx="10">
                  <c:v>2422.88</c:v>
                </c:pt>
                <c:pt idx="11">
                  <c:v>2379.2600000000002</c:v>
                </c:pt>
                <c:pt idx="12">
                  <c:v>2313.8200000000002</c:v>
                </c:pt>
                <c:pt idx="13">
                  <c:v>2218.4899999999998</c:v>
                </c:pt>
                <c:pt idx="14">
                  <c:v>2073.48</c:v>
                </c:pt>
                <c:pt idx="15">
                  <c:v>1848.77</c:v>
                </c:pt>
                <c:pt idx="16">
                  <c:v>1475</c:v>
                </c:pt>
                <c:pt idx="17">
                  <c:v>652.58299999999997</c:v>
                </c:pt>
              </c:numCache>
            </c:numRef>
          </c:yVal>
          <c:smooth val="1"/>
          <c:extLst>
            <c:ext xmlns:c16="http://schemas.microsoft.com/office/drawing/2014/chart" uri="{C3380CC4-5D6E-409C-BE32-E72D297353CC}">
              <c16:uniqueId val="{00000035-BE79-4E4B-A128-A940A7E20633}"/>
            </c:ext>
          </c:extLst>
        </c:ser>
        <c:ser>
          <c:idx val="6"/>
          <c:order val="6"/>
          <c:tx>
            <c:v>VLP 3</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System_Sens!$AH$10:$AH$29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6-BE79-4E4B-A128-A940A7E20633}"/>
            </c:ext>
          </c:extLst>
        </c:ser>
        <c:ser>
          <c:idx val="7"/>
          <c:order val="7"/>
          <c:tx>
            <c:v>IPR 3</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System_Sens!$AH$40:$AH$59</c:f>
              <c:numCache>
                <c:formatCode>_-* #,##0.0_-;\-* #,##0.0_-;_-* "-"??_-;_-@_-</c:formatCode>
                <c:ptCount val="20"/>
                <c:pt idx="0">
                  <c:v>2518.0100000000002</c:v>
                </c:pt>
                <c:pt idx="1">
                  <c:v>2515.71</c:v>
                </c:pt>
                <c:pt idx="2">
                  <c:v>2513.83</c:v>
                </c:pt>
                <c:pt idx="3">
                  <c:v>2509.64</c:v>
                </c:pt>
                <c:pt idx="4">
                  <c:v>2505.09</c:v>
                </c:pt>
                <c:pt idx="5">
                  <c:v>2497</c:v>
                </c:pt>
                <c:pt idx="6">
                  <c:v>2486.86</c:v>
                </c:pt>
                <c:pt idx="7">
                  <c:v>2470.64</c:v>
                </c:pt>
                <c:pt idx="8">
                  <c:v>2448.7600000000002</c:v>
                </c:pt>
                <c:pt idx="9">
                  <c:v>2415.41</c:v>
                </c:pt>
                <c:pt idx="10">
                  <c:v>2368.4899999999998</c:v>
                </c:pt>
                <c:pt idx="11">
                  <c:v>2298.15</c:v>
                </c:pt>
                <c:pt idx="12">
                  <c:v>2194.64</c:v>
                </c:pt>
                <c:pt idx="13">
                  <c:v>2040.06</c:v>
                </c:pt>
                <c:pt idx="14">
                  <c:v>1798.57</c:v>
                </c:pt>
                <c:pt idx="15">
                  <c:v>1393.43</c:v>
                </c:pt>
                <c:pt idx="16">
                  <c:v>383.81599999999997</c:v>
                </c:pt>
              </c:numCache>
            </c:numRef>
          </c:yVal>
          <c:smooth val="1"/>
          <c:extLst>
            <c:ext xmlns:c16="http://schemas.microsoft.com/office/drawing/2014/chart" uri="{C3380CC4-5D6E-409C-BE32-E72D297353CC}">
              <c16:uniqueId val="{00000037-BE79-4E4B-A128-A940A7E20633}"/>
            </c:ext>
          </c:extLst>
        </c:ser>
        <c:ser>
          <c:idx val="8"/>
          <c:order val="8"/>
          <c:tx>
            <c:v>VLP 4</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System_Sens!$AI$10:$AI$29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8-BE79-4E4B-A128-A940A7E20633}"/>
            </c:ext>
          </c:extLst>
        </c:ser>
        <c:ser>
          <c:idx val="9"/>
          <c:order val="9"/>
          <c:tx>
            <c:v>IPR 4</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System_Sens!$AI$40:$AI$59</c:f>
              <c:numCache>
                <c:formatCode>_-* #,##0.0_-;\-* #,##0.0_-;_-* "-"??_-;_-@_-</c:formatCode>
                <c:ptCount val="20"/>
                <c:pt idx="0">
                  <c:v>2515.96</c:v>
                </c:pt>
                <c:pt idx="1">
                  <c:v>2514.19</c:v>
                </c:pt>
                <c:pt idx="2">
                  <c:v>2510.2399999999998</c:v>
                </c:pt>
                <c:pt idx="3">
                  <c:v>2505.96</c:v>
                </c:pt>
                <c:pt idx="4">
                  <c:v>2498.34</c:v>
                </c:pt>
                <c:pt idx="5">
                  <c:v>2488.8000000000002</c:v>
                </c:pt>
                <c:pt idx="6">
                  <c:v>2473.54</c:v>
                </c:pt>
                <c:pt idx="7">
                  <c:v>2452.9699999999998</c:v>
                </c:pt>
                <c:pt idx="8">
                  <c:v>2421.64</c:v>
                </c:pt>
                <c:pt idx="9">
                  <c:v>2377.61</c:v>
                </c:pt>
                <c:pt idx="10">
                  <c:v>2311.73</c:v>
                </c:pt>
                <c:pt idx="11">
                  <c:v>2216.12</c:v>
                </c:pt>
                <c:pt idx="12">
                  <c:v>2071.52</c:v>
                </c:pt>
                <c:pt idx="13">
                  <c:v>1849.44</c:v>
                </c:pt>
                <c:pt idx="14">
                  <c:v>1485.81</c:v>
                </c:pt>
                <c:pt idx="15">
                  <c:v>726.98400000000004</c:v>
                </c:pt>
              </c:numCache>
            </c:numRef>
          </c:yVal>
          <c:smooth val="1"/>
          <c:extLst>
            <c:ext xmlns:c16="http://schemas.microsoft.com/office/drawing/2014/chart" uri="{C3380CC4-5D6E-409C-BE32-E72D297353CC}">
              <c16:uniqueId val="{00000039-BE79-4E4B-A128-A940A7E20633}"/>
            </c:ext>
          </c:extLst>
        </c:ser>
        <c:ser>
          <c:idx val="10"/>
          <c:order val="10"/>
          <c:tx>
            <c:v>VLP 5</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System_Sens!$AJ$10:$AJ$29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A-BE79-4E4B-A128-A940A7E20633}"/>
            </c:ext>
          </c:extLst>
        </c:ser>
        <c:ser>
          <c:idx val="11"/>
          <c:order val="11"/>
          <c:tx>
            <c:v>IPR 5</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System_Sens!$AJ$40:$AJ$59</c:f>
              <c:numCache>
                <c:formatCode>_-* #,##0.0_-;\-* #,##0.0_-;_-* "-"??_-;_-@_-</c:formatCode>
                <c:ptCount val="20"/>
                <c:pt idx="0">
                  <c:v>2515.2199999999998</c:v>
                </c:pt>
                <c:pt idx="1">
                  <c:v>2513.12</c:v>
                </c:pt>
                <c:pt idx="2">
                  <c:v>2508.4499999999998</c:v>
                </c:pt>
                <c:pt idx="3">
                  <c:v>2503.38</c:v>
                </c:pt>
                <c:pt idx="4">
                  <c:v>2494.35</c:v>
                </c:pt>
                <c:pt idx="5">
                  <c:v>2483.04</c:v>
                </c:pt>
                <c:pt idx="6">
                  <c:v>2464.96</c:v>
                </c:pt>
                <c:pt idx="7">
                  <c:v>2439.29</c:v>
                </c:pt>
                <c:pt idx="8">
                  <c:v>2403.3200000000002</c:v>
                </c:pt>
                <c:pt idx="9">
                  <c:v>2349.66</c:v>
                </c:pt>
                <c:pt idx="10">
                  <c:v>2272.23</c:v>
                </c:pt>
                <c:pt idx="11">
                  <c:v>2156.21</c:v>
                </c:pt>
                <c:pt idx="12">
                  <c:v>1982.05</c:v>
                </c:pt>
                <c:pt idx="13">
                  <c:v>1706.91</c:v>
                </c:pt>
                <c:pt idx="14">
                  <c:v>1227.3499999999999</c:v>
                </c:pt>
              </c:numCache>
            </c:numRef>
          </c:yVal>
          <c:smooth val="1"/>
          <c:extLst>
            <c:ext xmlns:c16="http://schemas.microsoft.com/office/drawing/2014/chart" uri="{C3380CC4-5D6E-409C-BE32-E72D297353CC}">
              <c16:uniqueId val="{0000003B-BE79-4E4B-A128-A940A7E20633}"/>
            </c:ext>
          </c:extLst>
        </c:ser>
        <c:ser>
          <c:idx val="12"/>
          <c:order val="12"/>
          <c:tx>
            <c:v>VLP 6</c:v>
          </c:tx>
          <c:spPr>
            <a:ln w="12700">
              <a:solidFill>
                <a:srgbClr val="FF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System_Sens!$AK$10:$AK$29</c:f>
              <c:numCache>
                <c:formatCode>_-* #,##0.0_-;\-* #,##0.0_-;_-* "-"??_-;_-@_-</c:formatCode>
                <c:ptCount val="20"/>
                <c:pt idx="6">
                  <c:v>4865.03</c:v>
                </c:pt>
                <c:pt idx="7">
                  <c:v>4266.3599999999997</c:v>
                </c:pt>
                <c:pt idx="8">
                  <c:v>3487.86</c:v>
                </c:pt>
                <c:pt idx="9">
                  <c:v>2582.9</c:v>
                </c:pt>
                <c:pt idx="10">
                  <c:v>1757.97</c:v>
                </c:pt>
                <c:pt idx="11">
                  <c:v>1237.3399999999999</c:v>
                </c:pt>
                <c:pt idx="12">
                  <c:v>1001.84</c:v>
                </c:pt>
                <c:pt idx="13">
                  <c:v>949.98800000000006</c:v>
                </c:pt>
                <c:pt idx="14">
                  <c:v>986.072</c:v>
                </c:pt>
                <c:pt idx="15">
                  <c:v>1157.6500000000001</c:v>
                </c:pt>
                <c:pt idx="16">
                  <c:v>1496.8</c:v>
                </c:pt>
                <c:pt idx="17">
                  <c:v>2025.72</c:v>
                </c:pt>
                <c:pt idx="18">
                  <c:v>2796.7</c:v>
                </c:pt>
                <c:pt idx="19">
                  <c:v>3894.41</c:v>
                </c:pt>
              </c:numCache>
            </c:numRef>
          </c:yVal>
          <c:smooth val="1"/>
          <c:extLst>
            <c:ext xmlns:c16="http://schemas.microsoft.com/office/drawing/2014/chart" uri="{C3380CC4-5D6E-409C-BE32-E72D297353CC}">
              <c16:uniqueId val="{0000003C-BE79-4E4B-A128-A940A7E20633}"/>
            </c:ext>
          </c:extLst>
        </c:ser>
        <c:ser>
          <c:idx val="13"/>
          <c:order val="13"/>
          <c:tx>
            <c:v>IPR 6</c:v>
          </c:tx>
          <c:spPr>
            <a:ln w="12700">
              <a:solidFill>
                <a:srgbClr val="000000"/>
              </a:solidFill>
            </a:ln>
          </c:spPr>
          <c:marker>
            <c:symbol val="none"/>
          </c:marker>
          <c:xVal>
            <c:numRef>
              <c:f>System_Sens!$AD$10:$AD$29</c:f>
              <c:numCache>
                <c:formatCode>#,##0.00</c:formatCode>
                <c:ptCount val="20"/>
                <c:pt idx="0">
                  <c:v>0.112298</c:v>
                </c:pt>
                <c:pt idx="1">
                  <c:v>0.16152900000000001</c:v>
                </c:pt>
                <c:pt idx="2">
                  <c:v>0.23234199999999999</c:v>
                </c:pt>
                <c:pt idx="3">
                  <c:v>0.334198</c:v>
                </c:pt>
                <c:pt idx="4">
                  <c:v>0.48070600000000002</c:v>
                </c:pt>
                <c:pt idx="5">
                  <c:v>0.69144300000000003</c:v>
                </c:pt>
                <c:pt idx="6">
                  <c:v>0.994564</c:v>
                </c:pt>
                <c:pt idx="7">
                  <c:v>1.4305699999999999</c:v>
                </c:pt>
                <c:pt idx="8">
                  <c:v>2.0577200000000002</c:v>
                </c:pt>
                <c:pt idx="9">
                  <c:v>2.9598</c:v>
                </c:pt>
                <c:pt idx="10">
                  <c:v>4.2573400000000001</c:v>
                </c:pt>
                <c:pt idx="11">
                  <c:v>6.12371</c:v>
                </c:pt>
                <c:pt idx="12">
                  <c:v>8.8082799999999999</c:v>
                </c:pt>
                <c:pt idx="13">
                  <c:v>12.669700000000001</c:v>
                </c:pt>
                <c:pt idx="14">
                  <c:v>18.224</c:v>
                </c:pt>
                <c:pt idx="15">
                  <c:v>26.213200000000001</c:v>
                </c:pt>
                <c:pt idx="16">
                  <c:v>37.704799999999999</c:v>
                </c:pt>
                <c:pt idx="17">
                  <c:v>54.234200000000001</c:v>
                </c:pt>
                <c:pt idx="18">
                  <c:v>78.009900000000002</c:v>
                </c:pt>
                <c:pt idx="19">
                  <c:v>112.209</c:v>
                </c:pt>
              </c:numCache>
            </c:numRef>
          </c:xVal>
          <c:yVal>
            <c:numRef>
              <c:f>System_Sens!$AK$40:$AK$59</c:f>
              <c:numCache>
                <c:formatCode>_-* #,##0.0_-;\-* #,##0.0_-;_-* "-"??_-;_-@_-</c:formatCode>
                <c:ptCount val="20"/>
                <c:pt idx="0">
                  <c:v>2514.9</c:v>
                </c:pt>
                <c:pt idx="1">
                  <c:v>2512.66</c:v>
                </c:pt>
                <c:pt idx="2">
                  <c:v>2507.6799999999998</c:v>
                </c:pt>
                <c:pt idx="3">
                  <c:v>2501.0100000000002</c:v>
                </c:pt>
                <c:pt idx="4">
                  <c:v>2492.64</c:v>
                </c:pt>
                <c:pt idx="5">
                  <c:v>2479.2800000000002</c:v>
                </c:pt>
                <c:pt idx="6">
                  <c:v>2461.27</c:v>
                </c:pt>
                <c:pt idx="7">
                  <c:v>2433.87</c:v>
                </c:pt>
                <c:pt idx="8">
                  <c:v>2395.4499999999998</c:v>
                </c:pt>
                <c:pt idx="9">
                  <c:v>2338.0700000000002</c:v>
                </c:pt>
                <c:pt idx="10">
                  <c:v>2255.16</c:v>
                </c:pt>
                <c:pt idx="11">
                  <c:v>2130.62</c:v>
                </c:pt>
                <c:pt idx="12">
                  <c:v>1942.76</c:v>
                </c:pt>
                <c:pt idx="13">
                  <c:v>1642.8</c:v>
                </c:pt>
                <c:pt idx="14">
                  <c:v>1100.55</c:v>
                </c:pt>
              </c:numCache>
            </c:numRef>
          </c:yVal>
          <c:smooth val="1"/>
          <c:extLst>
            <c:ext xmlns:c16="http://schemas.microsoft.com/office/drawing/2014/chart" uri="{C3380CC4-5D6E-409C-BE32-E72D297353CC}">
              <c16:uniqueId val="{0000003D-BE79-4E4B-A128-A940A7E20633}"/>
            </c:ext>
          </c:extLst>
        </c:ser>
        <c:ser>
          <c:idx val="14"/>
          <c:order val="14"/>
          <c:tx>
            <c:v>SOL.: 0</c:v>
          </c:tx>
          <c:marker>
            <c:symbol val="circle"/>
            <c:size val="8"/>
            <c:spPr>
              <a:solidFill>
                <a:srgbClr val="FFFF00"/>
              </a:solidFill>
              <a:ln>
                <a:solidFill>
                  <a:srgbClr val="FF0000"/>
                </a:solidFill>
                <a:prstDash val="solid"/>
              </a:ln>
            </c:spPr>
          </c:marker>
          <c:xVal>
            <c:numRef>
              <c:f>System_Sens!$AE$64</c:f>
              <c:numCache>
                <c:formatCode>#,##0.0</c:formatCode>
                <c:ptCount val="1"/>
                <c:pt idx="0">
                  <c:v>50.413200000000003</c:v>
                </c:pt>
              </c:numCache>
            </c:numRef>
          </c:xVal>
          <c:yVal>
            <c:numRef>
              <c:f>System_Sens!$AE$63</c:f>
              <c:numCache>
                <c:formatCode>#,##0.0</c:formatCode>
                <c:ptCount val="1"/>
                <c:pt idx="0">
                  <c:v>1903.45</c:v>
                </c:pt>
              </c:numCache>
            </c:numRef>
          </c:yVal>
          <c:smooth val="1"/>
          <c:extLst>
            <c:ext xmlns:c16="http://schemas.microsoft.com/office/drawing/2014/chart" uri="{C3380CC4-5D6E-409C-BE32-E72D297353CC}">
              <c16:uniqueId val="{0000003E-BE79-4E4B-A128-A940A7E20633}"/>
            </c:ext>
          </c:extLst>
        </c:ser>
        <c:ser>
          <c:idx val="15"/>
          <c:order val="15"/>
          <c:tx>
            <c:v>SOL.: 1</c:v>
          </c:tx>
          <c:marker>
            <c:symbol val="circle"/>
            <c:size val="8"/>
            <c:spPr>
              <a:solidFill>
                <a:srgbClr val="FFFF00"/>
              </a:solidFill>
              <a:ln>
                <a:solidFill>
                  <a:srgbClr val="FF0000"/>
                </a:solidFill>
                <a:prstDash val="solid"/>
              </a:ln>
            </c:spPr>
          </c:marker>
          <c:xVal>
            <c:numRef>
              <c:f>System_Sens!$AF$64</c:f>
              <c:numCache>
                <c:formatCode>#,##0.0</c:formatCode>
                <c:ptCount val="1"/>
                <c:pt idx="0">
                  <c:v>42.953000000000003</c:v>
                </c:pt>
              </c:numCache>
            </c:numRef>
          </c:xVal>
          <c:yVal>
            <c:numRef>
              <c:f>System_Sens!$AF$63</c:f>
              <c:numCache>
                <c:formatCode>#,##0.0</c:formatCode>
                <c:ptCount val="1"/>
                <c:pt idx="0">
                  <c:v>1664.73</c:v>
                </c:pt>
              </c:numCache>
            </c:numRef>
          </c:yVal>
          <c:smooth val="1"/>
          <c:extLst>
            <c:ext xmlns:c16="http://schemas.microsoft.com/office/drawing/2014/chart" uri="{C3380CC4-5D6E-409C-BE32-E72D297353CC}">
              <c16:uniqueId val="{0000003F-BE79-4E4B-A128-A940A7E20633}"/>
            </c:ext>
          </c:extLst>
        </c:ser>
        <c:ser>
          <c:idx val="16"/>
          <c:order val="16"/>
          <c:tx>
            <c:v>SOL.: 2</c:v>
          </c:tx>
          <c:marker>
            <c:symbol val="circle"/>
            <c:size val="8"/>
            <c:spPr>
              <a:solidFill>
                <a:srgbClr val="FFFF00"/>
              </a:solidFill>
              <a:ln>
                <a:solidFill>
                  <a:srgbClr val="FF0000"/>
                </a:solidFill>
                <a:prstDash val="solid"/>
              </a:ln>
            </c:spPr>
          </c:marker>
          <c:xVal>
            <c:numRef>
              <c:f>System_Sens!$AG$64</c:f>
              <c:numCache>
                <c:formatCode>#,##0.0</c:formatCode>
                <c:ptCount val="1"/>
                <c:pt idx="0">
                  <c:v>37.353400000000001</c:v>
                </c:pt>
              </c:numCache>
            </c:numRef>
          </c:xVal>
          <c:yVal>
            <c:numRef>
              <c:f>System_Sens!$AG$63</c:f>
              <c:numCache>
                <c:formatCode>#,##0.0</c:formatCode>
                <c:ptCount val="1"/>
                <c:pt idx="0">
                  <c:v>1486.43</c:v>
                </c:pt>
              </c:numCache>
            </c:numRef>
          </c:yVal>
          <c:smooth val="1"/>
          <c:extLst>
            <c:ext xmlns:c16="http://schemas.microsoft.com/office/drawing/2014/chart" uri="{C3380CC4-5D6E-409C-BE32-E72D297353CC}">
              <c16:uniqueId val="{00000040-BE79-4E4B-A128-A940A7E20633}"/>
            </c:ext>
          </c:extLst>
        </c:ser>
        <c:ser>
          <c:idx val="17"/>
          <c:order val="17"/>
          <c:tx>
            <c:v>SOL.: 3</c:v>
          </c:tx>
          <c:marker>
            <c:symbol val="circle"/>
            <c:size val="8"/>
            <c:spPr>
              <a:solidFill>
                <a:srgbClr val="FFFF00"/>
              </a:solidFill>
              <a:ln>
                <a:solidFill>
                  <a:srgbClr val="FF0000"/>
                </a:solidFill>
                <a:prstDash val="solid"/>
              </a:ln>
            </c:spPr>
          </c:marker>
          <c:xVal>
            <c:numRef>
              <c:f>System_Sens!$AH$64</c:f>
              <c:numCache>
                <c:formatCode>#,##0.0</c:formatCode>
                <c:ptCount val="1"/>
                <c:pt idx="0">
                  <c:v>28.222200000000001</c:v>
                </c:pt>
              </c:numCache>
            </c:numRef>
          </c:xVal>
          <c:yVal>
            <c:numRef>
              <c:f>System_Sens!$AH$63</c:f>
              <c:numCache>
                <c:formatCode>#,##0.0</c:formatCode>
                <c:ptCount val="1"/>
                <c:pt idx="0">
                  <c:v>1216.94</c:v>
                </c:pt>
              </c:numCache>
            </c:numRef>
          </c:yVal>
          <c:smooth val="1"/>
          <c:extLst>
            <c:ext xmlns:c16="http://schemas.microsoft.com/office/drawing/2014/chart" uri="{C3380CC4-5D6E-409C-BE32-E72D297353CC}">
              <c16:uniqueId val="{00000041-BE79-4E4B-A128-A940A7E20633}"/>
            </c:ext>
          </c:extLst>
        </c:ser>
        <c:ser>
          <c:idx val="18"/>
          <c:order val="18"/>
          <c:tx>
            <c:v>SOL.: 4</c:v>
          </c:tx>
          <c:marker>
            <c:symbol val="circle"/>
            <c:size val="8"/>
            <c:spPr>
              <a:solidFill>
                <a:srgbClr val="FFFF00"/>
              </a:solidFill>
              <a:ln>
                <a:solidFill>
                  <a:srgbClr val="FF0000"/>
                </a:solidFill>
                <a:prstDash val="solid"/>
              </a:ln>
            </c:spPr>
          </c:marker>
          <c:xVal>
            <c:numRef>
              <c:f>System_Sens!$AI$64</c:f>
              <c:numCache>
                <c:formatCode>#,##0.0</c:formatCode>
                <c:ptCount val="1"/>
                <c:pt idx="0">
                  <c:v>22.5152</c:v>
                </c:pt>
              </c:numCache>
            </c:numRef>
          </c:xVal>
          <c:yVal>
            <c:numRef>
              <c:f>System_Sens!$AI$63</c:f>
              <c:numCache>
                <c:formatCode>#,##0.0</c:formatCode>
                <c:ptCount val="1"/>
                <c:pt idx="0">
                  <c:v>1078.23</c:v>
                </c:pt>
              </c:numCache>
            </c:numRef>
          </c:yVal>
          <c:smooth val="1"/>
          <c:extLst>
            <c:ext xmlns:c16="http://schemas.microsoft.com/office/drawing/2014/chart" uri="{C3380CC4-5D6E-409C-BE32-E72D297353CC}">
              <c16:uniqueId val="{00000042-BE79-4E4B-A128-A940A7E20633}"/>
            </c:ext>
          </c:extLst>
        </c:ser>
        <c:ser>
          <c:idx val="19"/>
          <c:order val="19"/>
          <c:tx>
            <c:v>SOL.: 5</c:v>
          </c:tx>
          <c:marker>
            <c:symbol val="circle"/>
            <c:size val="8"/>
            <c:spPr>
              <a:solidFill>
                <a:srgbClr val="FFFF00"/>
              </a:solidFill>
              <a:ln>
                <a:solidFill>
                  <a:srgbClr val="FF0000"/>
                </a:solidFill>
                <a:prstDash val="solid"/>
              </a:ln>
            </c:spPr>
          </c:marker>
          <c:xVal>
            <c:numRef>
              <c:f>System_Sens!$AJ$64</c:f>
              <c:numCache>
                <c:formatCode>#,##0.0</c:formatCode>
                <c:ptCount val="1"/>
                <c:pt idx="0">
                  <c:v>19.601900000000001</c:v>
                </c:pt>
              </c:numCache>
            </c:numRef>
          </c:xVal>
          <c:yVal>
            <c:numRef>
              <c:f>System_Sens!$AJ$63</c:f>
              <c:numCache>
                <c:formatCode>#,##0.0</c:formatCode>
                <c:ptCount val="1"/>
                <c:pt idx="0">
                  <c:v>1015.66</c:v>
                </c:pt>
              </c:numCache>
            </c:numRef>
          </c:yVal>
          <c:smooth val="1"/>
          <c:extLst>
            <c:ext xmlns:c16="http://schemas.microsoft.com/office/drawing/2014/chart" uri="{C3380CC4-5D6E-409C-BE32-E72D297353CC}">
              <c16:uniqueId val="{00000043-BE79-4E4B-A128-A940A7E20633}"/>
            </c:ext>
          </c:extLst>
        </c:ser>
        <c:ser>
          <c:idx val="20"/>
          <c:order val="20"/>
          <c:tx>
            <c:v>SOL.: 6</c:v>
          </c:tx>
          <c:marker>
            <c:symbol val="circle"/>
            <c:size val="8"/>
            <c:spPr>
              <a:solidFill>
                <a:srgbClr val="FFFF00"/>
              </a:solidFill>
              <a:ln>
                <a:solidFill>
                  <a:srgbClr val="FF0000"/>
                </a:solidFill>
                <a:prstDash val="solid"/>
              </a:ln>
            </c:spPr>
          </c:marker>
          <c:xVal>
            <c:numRef>
              <c:f>System_Sens!$AK$64</c:f>
              <c:numCache>
                <c:formatCode>#,##0.0</c:formatCode>
                <c:ptCount val="1"/>
                <c:pt idx="0">
                  <c:v>18.943000000000001</c:v>
                </c:pt>
              </c:numCache>
            </c:numRef>
          </c:xVal>
          <c:yVal>
            <c:numRef>
              <c:f>System_Sens!$AK$63</c:f>
              <c:numCache>
                <c:formatCode>#,##0.0</c:formatCode>
                <c:ptCount val="1"/>
                <c:pt idx="0">
                  <c:v>1001.51</c:v>
                </c:pt>
              </c:numCache>
            </c:numRef>
          </c:yVal>
          <c:smooth val="1"/>
          <c:extLst>
            <c:ext xmlns:c16="http://schemas.microsoft.com/office/drawing/2014/chart" uri="{C3380CC4-5D6E-409C-BE32-E72D297353CC}">
              <c16:uniqueId val="{00000044-BE79-4E4B-A128-A940A7E20633}"/>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ES"/>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ES"/>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rgbClr val="0000FF"/>
                </a:solidFill>
                <a:latin typeface="+mn-lt"/>
                <a:ea typeface="+mn-ea"/>
                <a:cs typeface="+mn-cs"/>
              </a:defRPr>
            </a:pPr>
            <a:r>
              <a:rPr lang="en-US" sz="1100" b="1">
                <a:solidFill>
                  <a:srgbClr val="0000FF"/>
                </a:solidFill>
              </a:rPr>
              <a:t>dP System</a:t>
            </a:r>
          </a:p>
        </c:rich>
      </c:tx>
      <c:layout>
        <c:manualLayout>
          <c:xMode val="edge"/>
          <c:yMode val="edge"/>
          <c:x val="1.010799136069112E-2"/>
          <c:y val="1.4705882352941176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rgbClr val="0000FF"/>
              </a:solidFill>
              <a:latin typeface="+mn-lt"/>
              <a:ea typeface="+mn-ea"/>
              <a:cs typeface="+mn-cs"/>
            </a:defRPr>
          </a:pPr>
          <a:endParaRPr lang="es-ES"/>
        </a:p>
      </c:txPr>
    </c:title>
    <c:autoTitleDeleted val="0"/>
    <c:plotArea>
      <c:layout>
        <c:manualLayout>
          <c:layoutTarget val="inner"/>
          <c:xMode val="edge"/>
          <c:yMode val="edge"/>
          <c:x val="0.10175427855535336"/>
          <c:y val="0.16387254901960785"/>
          <c:w val="0.86656825564191087"/>
          <c:h val="0.73098772579898097"/>
        </c:manualLayout>
      </c:layout>
      <c:barChart>
        <c:barDir val="col"/>
        <c:grouping val="stacked"/>
        <c:varyColors val="0"/>
        <c:ser>
          <c:idx val="0"/>
          <c:order val="0"/>
          <c:tx>
            <c:v>dP Friction</c:v>
          </c:tx>
          <c:spPr>
            <a:solidFill>
              <a:schemeClr val="accent1"/>
            </a:solidFill>
            <a:ln>
              <a:no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System_Sens!$AE$69:$AK$69</c:f>
              <c:numCache>
                <c:formatCode>#,##0.00</c:formatCode>
                <c:ptCount val="7"/>
                <c:pt idx="0">
                  <c:v>873.81399999999996</c:v>
                </c:pt>
                <c:pt idx="1">
                  <c:v>686.96600000000001</c:v>
                </c:pt>
                <c:pt idx="2">
                  <c:v>546.904</c:v>
                </c:pt>
                <c:pt idx="3">
                  <c:v>322.97899999999998</c:v>
                </c:pt>
                <c:pt idx="4">
                  <c:v>189.27</c:v>
                </c:pt>
                <c:pt idx="5">
                  <c:v>122.746</c:v>
                </c:pt>
                <c:pt idx="6">
                  <c:v>107.69799999999999</c:v>
                </c:pt>
              </c:numCache>
            </c:numRef>
          </c:val>
          <c:extLst>
            <c:ext xmlns:c16="http://schemas.microsoft.com/office/drawing/2014/chart" uri="{C3380CC4-5D6E-409C-BE32-E72D297353CC}">
              <c16:uniqueId val="{00000000-6ABF-4C35-9AF7-D160FA4A4E57}"/>
            </c:ext>
          </c:extLst>
        </c:ser>
        <c:ser>
          <c:idx val="1"/>
          <c:order val="1"/>
          <c:tx>
            <c:v>dP Gravity</c:v>
          </c:tx>
          <c:spPr>
            <a:solidFill>
              <a:srgbClr val="FFC000"/>
            </a:solidFill>
            <a:ln>
              <a:solidFill>
                <a:srgbClr val="C00000"/>
              </a:solid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System_Sens!$AE$70:$AK$70</c:f>
              <c:numCache>
                <c:formatCode>#,##0.00</c:formatCode>
                <c:ptCount val="7"/>
                <c:pt idx="0">
                  <c:v>566.52499999999998</c:v>
                </c:pt>
                <c:pt idx="1">
                  <c:v>521.88300000000004</c:v>
                </c:pt>
                <c:pt idx="2">
                  <c:v>489.02699999999999</c:v>
                </c:pt>
                <c:pt idx="3">
                  <c:v>451.34399999999999</c:v>
                </c:pt>
                <c:pt idx="4">
                  <c:v>450.37799999999999</c:v>
                </c:pt>
                <c:pt idx="5">
                  <c:v>456.14800000000002</c:v>
                </c:pt>
                <c:pt idx="6">
                  <c:v>457.45400000000001</c:v>
                </c:pt>
              </c:numCache>
            </c:numRef>
          </c:val>
          <c:extLst>
            <c:ext xmlns:c16="http://schemas.microsoft.com/office/drawing/2014/chart" uri="{C3380CC4-5D6E-409C-BE32-E72D297353CC}">
              <c16:uniqueId val="{00000002-6ABF-4C35-9AF7-D160FA4A4E57}"/>
            </c:ext>
          </c:extLst>
        </c:ser>
        <c:ser>
          <c:idx val="2"/>
          <c:order val="2"/>
          <c:tx>
            <c:v>dP Total Skin</c:v>
          </c:tx>
          <c:spPr>
            <a:solidFill>
              <a:srgbClr val="FF0000"/>
            </a:solidFill>
            <a:ln>
              <a:solidFill>
                <a:srgbClr val="C00000"/>
              </a:solid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System_Sens!$AE$71:$AK$71</c:f>
              <c:numCache>
                <c:formatCode>#,##0.00</c:formatCode>
                <c:ptCount val="7"/>
                <c:pt idx="0">
                  <c:v>0</c:v>
                </c:pt>
                <c:pt idx="1">
                  <c:v>337.029</c:v>
                </c:pt>
                <c:pt idx="2">
                  <c:v>600.875</c:v>
                </c:pt>
                <c:pt idx="3">
                  <c:v>931.70399999999995</c:v>
                </c:pt>
                <c:pt idx="4">
                  <c:v>1135.51</c:v>
                </c:pt>
                <c:pt idx="5">
                  <c:v>1227.94</c:v>
                </c:pt>
                <c:pt idx="6">
                  <c:v>1303.8</c:v>
                </c:pt>
              </c:numCache>
            </c:numRef>
          </c:val>
          <c:extLst>
            <c:ext xmlns:c16="http://schemas.microsoft.com/office/drawing/2014/chart" uri="{C3380CC4-5D6E-409C-BE32-E72D297353CC}">
              <c16:uniqueId val="{00000003-6ABF-4C35-9AF7-D160FA4A4E57}"/>
            </c:ext>
          </c:extLst>
        </c:ser>
        <c:ser>
          <c:idx val="3"/>
          <c:order val="3"/>
          <c:tx>
            <c:v>dP Perforation</c:v>
          </c:tx>
          <c:spPr>
            <a:solidFill>
              <a:schemeClr val="accent4"/>
            </a:solidFill>
            <a:ln>
              <a:no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System_Sens!$AE$72:$AK$72</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6ABF-4C35-9AF7-D160FA4A4E57}"/>
            </c:ext>
          </c:extLst>
        </c:ser>
        <c:ser>
          <c:idx val="4"/>
          <c:order val="4"/>
          <c:tx>
            <c:v>dP Damage</c:v>
          </c:tx>
          <c:spPr>
            <a:solidFill>
              <a:schemeClr val="accent5"/>
            </a:solidFill>
            <a:ln>
              <a:no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System_Sens!$AE$73:$AK$73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6ABF-4C35-9AF7-D160FA4A4E57}"/>
            </c:ext>
          </c:extLst>
        </c:ser>
        <c:ser>
          <c:idx val="5"/>
          <c:order val="5"/>
          <c:tx>
            <c:v>dP Completion</c:v>
          </c:tx>
          <c:spPr>
            <a:solidFill>
              <a:schemeClr val="accent1">
                <a:lumMod val="20000"/>
                <a:lumOff val="80000"/>
              </a:schemeClr>
            </a:solidFill>
            <a:ln>
              <a:solidFill>
                <a:srgbClr val="0000FF"/>
              </a:solidFill>
            </a:ln>
            <a:effectLst/>
          </c:spPr>
          <c:invertIfNegative val="0"/>
          <c:cat>
            <c:strRef>
              <c:f>System_Sens!$AE$62:$AK$62</c:f>
              <c:strCache>
                <c:ptCount val="7"/>
                <c:pt idx="0">
                  <c:v>SOL 0</c:v>
                </c:pt>
                <c:pt idx="1">
                  <c:v>SOL 1</c:v>
                </c:pt>
                <c:pt idx="2">
                  <c:v>SOL 2</c:v>
                </c:pt>
                <c:pt idx="3">
                  <c:v>SOL 3</c:v>
                </c:pt>
                <c:pt idx="4">
                  <c:v>SOL 4</c:v>
                </c:pt>
                <c:pt idx="5">
                  <c:v>SOL 5</c:v>
                </c:pt>
                <c:pt idx="6">
                  <c:v>SOL 6</c:v>
                </c:pt>
              </c:strCache>
            </c:strRef>
          </c:cat>
          <c:val>
            <c:numRef>
              <c:f>System_Sens!$AE$74:$AK$74</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6ABF-4C35-9AF7-D160FA4A4E57}"/>
            </c:ext>
          </c:extLst>
        </c:ser>
        <c:dLbls>
          <c:showLegendKey val="0"/>
          <c:showVal val="0"/>
          <c:showCatName val="0"/>
          <c:showSerName val="0"/>
          <c:showPercent val="0"/>
          <c:showBubbleSize val="0"/>
        </c:dLbls>
        <c:gapWidth val="150"/>
        <c:overlap val="100"/>
        <c:axId val="1075910975"/>
        <c:axId val="1075914303"/>
      </c:barChart>
      <c:catAx>
        <c:axId val="10759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ES"/>
          </a:p>
        </c:txPr>
        <c:crossAx val="1075914303"/>
        <c:crosses val="autoZero"/>
        <c:auto val="1"/>
        <c:lblAlgn val="ctr"/>
        <c:lblOffset val="100"/>
        <c:noMultiLvlLbl val="0"/>
      </c:catAx>
      <c:valAx>
        <c:axId val="1075914303"/>
        <c:scaling>
          <c:orientation val="minMax"/>
        </c:scaling>
        <c:delete val="0"/>
        <c:axPos val="l"/>
        <c:majorGridlines>
          <c:spPr>
            <a:ln w="9525" cap="flat" cmpd="sng" algn="ctr">
              <a:solidFill>
                <a:schemeClr val="bg1">
                  <a:lumMod val="9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1075910975"/>
        <c:crosses val="autoZero"/>
        <c:crossBetween val="between"/>
      </c:valAx>
      <c:spPr>
        <a:noFill/>
        <a:ln>
          <a:solidFill>
            <a:schemeClr val="bg1">
              <a:lumMod val="65000"/>
            </a:schemeClr>
          </a:solidFill>
        </a:ln>
        <a:effectLst/>
      </c:spPr>
    </c:plotArea>
    <c:legend>
      <c:legendPos val="b"/>
      <c:layout>
        <c:manualLayout>
          <c:xMode val="edge"/>
          <c:yMode val="edge"/>
          <c:x val="0.15212326320980935"/>
          <c:y val="3.6753126447429344E-3"/>
          <c:w val="0.84550126698525541"/>
          <c:h val="0.158089393237610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Sens'!$AE$10:$AE$29</c:f>
              <c:numCache>
                <c:formatCode>#,##0.00</c:formatCode>
                <c:ptCount val="20"/>
                <c:pt idx="0">
                  <c:v>734.86500000000001</c:v>
                </c:pt>
                <c:pt idx="1">
                  <c:v>753.12300000000005</c:v>
                </c:pt>
                <c:pt idx="2">
                  <c:v>791.61099999999999</c:v>
                </c:pt>
                <c:pt idx="3">
                  <c:v>873.88099999999997</c:v>
                </c:pt>
                <c:pt idx="4">
                  <c:v>1052.68</c:v>
                </c:pt>
                <c:pt idx="5">
                  <c:v>1437.13</c:v>
                </c:pt>
                <c:pt idx="6">
                  <c:v>2041.3</c:v>
                </c:pt>
                <c:pt idx="7">
                  <c:v>2908.1</c:v>
                </c:pt>
                <c:pt idx="8">
                  <c:v>5291.22</c:v>
                </c:pt>
                <c:pt idx="9">
                  <c:v>7508.04</c:v>
                </c:pt>
                <c:pt idx="10">
                  <c:v>11374.7</c:v>
                </c:pt>
              </c:numCache>
            </c:numRef>
          </c:yVal>
          <c:smooth val="1"/>
          <c:extLst>
            <c:ext xmlns:c16="http://schemas.microsoft.com/office/drawing/2014/chart" uri="{C3380CC4-5D6E-409C-BE32-E72D297353CC}">
              <c16:uniqueId val="{000000DF-3287-4E2A-B91D-78A2FCB8ACF2}"/>
            </c:ext>
          </c:extLst>
        </c:ser>
        <c:ser>
          <c:idx val="1"/>
          <c:order val="1"/>
          <c:tx>
            <c:v>Gas Rate 0</c:v>
          </c:tx>
          <c:spPr>
            <a:ln w="12700">
              <a:solidFill>
                <a:srgbClr val="00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Sens'!$AF$10:$AF$29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0-3287-4E2A-B91D-78A2FCB8ACF2}"/>
            </c:ext>
          </c:extLst>
        </c:ser>
        <c:ser>
          <c:idx val="2"/>
          <c:order val="2"/>
          <c:tx>
            <c:v>VLP 1</c:v>
          </c:tx>
          <c:spPr>
            <a:ln w="12700">
              <a:solidFill>
                <a:srgbClr val="FF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Sens'!$AH$10:$AH$29</c:f>
              <c:numCache>
                <c:formatCode>#,##0.00</c:formatCode>
                <c:ptCount val="20"/>
                <c:pt idx="0">
                  <c:v>732.77499999999998</c:v>
                </c:pt>
                <c:pt idx="1">
                  <c:v>748.75099999999998</c:v>
                </c:pt>
                <c:pt idx="2">
                  <c:v>782.36400000000003</c:v>
                </c:pt>
                <c:pt idx="3">
                  <c:v>854.024</c:v>
                </c:pt>
                <c:pt idx="4">
                  <c:v>1009.5</c:v>
                </c:pt>
                <c:pt idx="5">
                  <c:v>1350.71</c:v>
                </c:pt>
                <c:pt idx="6">
                  <c:v>1926.47</c:v>
                </c:pt>
                <c:pt idx="7">
                  <c:v>2763.24</c:v>
                </c:pt>
                <c:pt idx="8">
                  <c:v>4504.62</c:v>
                </c:pt>
                <c:pt idx="9">
                  <c:v>6676.41</c:v>
                </c:pt>
                <c:pt idx="10">
                  <c:v>10498.9</c:v>
                </c:pt>
              </c:numCache>
            </c:numRef>
          </c:yVal>
          <c:smooth val="1"/>
          <c:extLst>
            <c:ext xmlns:c16="http://schemas.microsoft.com/office/drawing/2014/chart" uri="{C3380CC4-5D6E-409C-BE32-E72D297353CC}">
              <c16:uniqueId val="{000000E1-3287-4E2A-B91D-78A2FCB8ACF2}"/>
            </c:ext>
          </c:extLst>
        </c:ser>
        <c:ser>
          <c:idx val="3"/>
          <c:order val="3"/>
          <c:tx>
            <c:v>Gas Rate 1</c:v>
          </c:tx>
          <c:spPr>
            <a:ln w="12700">
              <a:solidFill>
                <a:srgbClr val="00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Sens'!$AI$10:$AI$29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2-3287-4E2A-B91D-78A2FCB8ACF2}"/>
            </c:ext>
          </c:extLst>
        </c:ser>
        <c:ser>
          <c:idx val="4"/>
          <c:order val="4"/>
          <c:tx>
            <c:v>VLP 2</c:v>
          </c:tx>
          <c:spPr>
            <a:ln w="12700">
              <a:solidFill>
                <a:srgbClr val="FF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Sens'!$AK$10:$AK$29</c:f>
              <c:numCache>
                <c:formatCode>#,##0.00</c:formatCode>
                <c:ptCount val="20"/>
                <c:pt idx="0">
                  <c:v>716.96100000000001</c:v>
                </c:pt>
                <c:pt idx="1">
                  <c:v>717.66399999999999</c:v>
                </c:pt>
                <c:pt idx="2">
                  <c:v>719.13499999999999</c:v>
                </c:pt>
                <c:pt idx="3">
                  <c:v>722.20500000000004</c:v>
                </c:pt>
                <c:pt idx="4">
                  <c:v>728.61099999999999</c:v>
                </c:pt>
                <c:pt idx="5">
                  <c:v>742.00900000000001</c:v>
                </c:pt>
                <c:pt idx="6">
                  <c:v>770.18200000000002</c:v>
                </c:pt>
                <c:pt idx="7">
                  <c:v>830.09900000000005</c:v>
                </c:pt>
                <c:pt idx="8">
                  <c:v>959.69500000000005</c:v>
                </c:pt>
                <c:pt idx="9">
                  <c:v>1244.52</c:v>
                </c:pt>
                <c:pt idx="10">
                  <c:v>1883.27</c:v>
                </c:pt>
                <c:pt idx="11">
                  <c:v>2687.99</c:v>
                </c:pt>
                <c:pt idx="12">
                  <c:v>3910.19</c:v>
                </c:pt>
                <c:pt idx="13">
                  <c:v>5854.98</c:v>
                </c:pt>
                <c:pt idx="14">
                  <c:v>9251.6299999999992</c:v>
                </c:pt>
              </c:numCache>
            </c:numRef>
          </c:yVal>
          <c:smooth val="1"/>
          <c:extLst>
            <c:ext xmlns:c16="http://schemas.microsoft.com/office/drawing/2014/chart" uri="{C3380CC4-5D6E-409C-BE32-E72D297353CC}">
              <c16:uniqueId val="{000000E3-3287-4E2A-B91D-78A2FCB8ACF2}"/>
            </c:ext>
          </c:extLst>
        </c:ser>
        <c:ser>
          <c:idx val="5"/>
          <c:order val="5"/>
          <c:tx>
            <c:v>Gas Rate 2</c:v>
          </c:tx>
          <c:spPr>
            <a:ln w="12700">
              <a:solidFill>
                <a:srgbClr val="00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Sens'!$AL$10:$AL$29</c:f>
              <c:numCache>
                <c:formatCode>#,##0.00</c:formatCode>
                <c:ptCount val="20"/>
                <c:pt idx="0">
                  <c:v>4997.57</c:v>
                </c:pt>
                <c:pt idx="1">
                  <c:v>4996.51</c:v>
                </c:pt>
                <c:pt idx="2">
                  <c:v>4994.97</c:v>
                </c:pt>
                <c:pt idx="3">
                  <c:v>4992.7700000000004</c:v>
                </c:pt>
                <c:pt idx="4">
                  <c:v>4989.59</c:v>
                </c:pt>
                <c:pt idx="5">
                  <c:v>4985.0200000000004</c:v>
                </c:pt>
                <c:pt idx="6">
                  <c:v>4978.4399999999996</c:v>
                </c:pt>
                <c:pt idx="7">
                  <c:v>4968.9399999999996</c:v>
                </c:pt>
                <c:pt idx="8">
                  <c:v>4955.25</c:v>
                </c:pt>
                <c:pt idx="9">
                  <c:v>4935.47</c:v>
                </c:pt>
                <c:pt idx="10">
                  <c:v>4906.84</c:v>
                </c:pt>
                <c:pt idx="11">
                  <c:v>4865.3</c:v>
                </c:pt>
                <c:pt idx="12">
                  <c:v>4804.76</c:v>
                </c:pt>
                <c:pt idx="13">
                  <c:v>4716.04</c:v>
                </c:pt>
                <c:pt idx="14">
                  <c:v>4584.87</c:v>
                </c:pt>
                <c:pt idx="15">
                  <c:v>4387.96</c:v>
                </c:pt>
                <c:pt idx="16">
                  <c:v>4086.31</c:v>
                </c:pt>
                <c:pt idx="17">
                  <c:v>3605.18</c:v>
                </c:pt>
                <c:pt idx="18">
                  <c:v>2768.25</c:v>
                </c:pt>
                <c:pt idx="19">
                  <c:v>140.25</c:v>
                </c:pt>
              </c:numCache>
            </c:numRef>
          </c:yVal>
          <c:smooth val="1"/>
          <c:extLst>
            <c:ext xmlns:c16="http://schemas.microsoft.com/office/drawing/2014/chart" uri="{C3380CC4-5D6E-409C-BE32-E72D297353CC}">
              <c16:uniqueId val="{000000E4-3287-4E2A-B91D-78A2FCB8ACF2}"/>
            </c:ext>
          </c:extLst>
        </c:ser>
        <c:ser>
          <c:idx val="6"/>
          <c:order val="6"/>
          <c:tx>
            <c:v>VLP 3</c:v>
          </c:tx>
          <c:spPr>
            <a:ln w="12700">
              <a:solidFill>
                <a:srgbClr val="FF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Sens'!$AN$10:$AN$29</c:f>
              <c:numCache>
                <c:formatCode>#,##0.00</c:formatCode>
                <c:ptCount val="20"/>
                <c:pt idx="0">
                  <c:v>5445.23</c:v>
                </c:pt>
                <c:pt idx="1">
                  <c:v>5328.53</c:v>
                </c:pt>
                <c:pt idx="2">
                  <c:v>5176.1499999999996</c:v>
                </c:pt>
                <c:pt idx="3">
                  <c:v>4980.37</c:v>
                </c:pt>
                <c:pt idx="4">
                  <c:v>4782.3</c:v>
                </c:pt>
                <c:pt idx="5">
                  <c:v>4635.3999999999996</c:v>
                </c:pt>
                <c:pt idx="6">
                  <c:v>4605.34</c:v>
                </c:pt>
                <c:pt idx="7">
                  <c:v>4835.66</c:v>
                </c:pt>
                <c:pt idx="8">
                  <c:v>5830.09</c:v>
                </c:pt>
                <c:pt idx="9">
                  <c:v>9074.75</c:v>
                </c:pt>
              </c:numCache>
            </c:numRef>
          </c:yVal>
          <c:smooth val="1"/>
          <c:extLst>
            <c:ext xmlns:c16="http://schemas.microsoft.com/office/drawing/2014/chart" uri="{C3380CC4-5D6E-409C-BE32-E72D297353CC}">
              <c16:uniqueId val="{000000E5-3287-4E2A-B91D-78A2FCB8ACF2}"/>
            </c:ext>
          </c:extLst>
        </c:ser>
        <c:ser>
          <c:idx val="7"/>
          <c:order val="7"/>
          <c:tx>
            <c:v>Gas Rate 3</c:v>
          </c:tx>
          <c:spPr>
            <a:ln w="12700">
              <a:solidFill>
                <a:srgbClr val="00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Sens'!$AO$10:$AO$29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6-3287-4E2A-B91D-78A2FCB8ACF2}"/>
            </c:ext>
          </c:extLst>
        </c:ser>
        <c:ser>
          <c:idx val="8"/>
          <c:order val="8"/>
          <c:tx>
            <c:v>SOL 0</c:v>
          </c:tx>
          <c:marker>
            <c:symbol val="circle"/>
            <c:size val="8"/>
            <c:spPr>
              <a:solidFill>
                <a:srgbClr val="FF0000"/>
              </a:solidFill>
              <a:ln>
                <a:solidFill>
                  <a:srgbClr val="000000"/>
                </a:solidFill>
                <a:prstDash val="solid"/>
              </a:ln>
            </c:spPr>
          </c:marker>
          <c:xVal>
            <c:numRef>
              <c:f>'Downhole Equipment Sens'!$D$17</c:f>
              <c:numCache>
                <c:formatCode>#,##0.0</c:formatCode>
                <c:ptCount val="1"/>
                <c:pt idx="0">
                  <c:v>0.82004821299999997</c:v>
                </c:pt>
              </c:numCache>
            </c:numRef>
          </c:xVal>
          <c:yVal>
            <c:numRef>
              <c:f>'Downhole Equipment Sens'!$D$16</c:f>
              <c:numCache>
                <c:formatCode>#,##0.0</c:formatCode>
                <c:ptCount val="1"/>
                <c:pt idx="0">
                  <c:v>5936.380859375</c:v>
                </c:pt>
              </c:numCache>
            </c:numRef>
          </c:yVal>
          <c:smooth val="1"/>
          <c:extLst>
            <c:ext xmlns:c16="http://schemas.microsoft.com/office/drawing/2014/chart" uri="{C3380CC4-5D6E-409C-BE32-E72D297353CC}">
              <c16:uniqueId val="{000000E7-3287-4E2A-B91D-78A2FCB8ACF2}"/>
            </c:ext>
          </c:extLst>
        </c:ser>
        <c:ser>
          <c:idx val="9"/>
          <c:order val="9"/>
          <c:tx>
            <c:v>SOL 1</c:v>
          </c:tx>
          <c:marker>
            <c:symbol val="circle"/>
            <c:size val="8"/>
            <c:spPr>
              <a:solidFill>
                <a:srgbClr val="FFFF00"/>
              </a:solidFill>
              <a:ln>
                <a:solidFill>
                  <a:srgbClr val="000000"/>
                </a:solidFill>
                <a:prstDash val="solid"/>
              </a:ln>
            </c:spPr>
          </c:marker>
          <c:xVal>
            <c:numRef>
              <c:f>'Downhole Equipment Sens'!$E$17</c:f>
              <c:numCache>
                <c:formatCode>#,##0.0</c:formatCode>
                <c:ptCount val="1"/>
                <c:pt idx="0">
                  <c:v>0.93611574200000003</c:v>
                </c:pt>
              </c:numCache>
            </c:numRef>
          </c:xVal>
          <c:yVal>
            <c:numRef>
              <c:f>'Downhole Equipment Sens'!$E$16</c:f>
              <c:numCache>
                <c:formatCode>#,##0.0</c:formatCode>
                <c:ptCount val="1"/>
                <c:pt idx="0">
                  <c:v>5927.3178710940001</c:v>
                </c:pt>
              </c:numCache>
            </c:numRef>
          </c:yVal>
          <c:smooth val="1"/>
          <c:extLst>
            <c:ext xmlns:c16="http://schemas.microsoft.com/office/drawing/2014/chart" uri="{C3380CC4-5D6E-409C-BE32-E72D297353CC}">
              <c16:uniqueId val="{000000E8-3287-4E2A-B91D-78A2FCB8ACF2}"/>
            </c:ext>
          </c:extLst>
        </c:ser>
        <c:ser>
          <c:idx val="10"/>
          <c:order val="10"/>
          <c:tx>
            <c:v>SOL 2</c:v>
          </c:tx>
          <c:marker>
            <c:symbol val="circle"/>
            <c:size val="8"/>
            <c:spPr>
              <a:solidFill>
                <a:srgbClr val="0000FF"/>
              </a:solidFill>
              <a:ln>
                <a:solidFill>
                  <a:srgbClr val="000000"/>
                </a:solidFill>
                <a:prstDash val="solid"/>
              </a:ln>
            </c:spPr>
          </c:marker>
          <c:xVal>
            <c:numRef>
              <c:f>'Downhole Equipment Sens'!$F$17</c:f>
              <c:numCache>
                <c:formatCode>#,##0.0</c:formatCode>
                <c:ptCount val="1"/>
                <c:pt idx="0">
                  <c:v>3.1249055860000001</c:v>
                </c:pt>
              </c:numCache>
            </c:numRef>
          </c:xVal>
          <c:yVal>
            <c:numRef>
              <c:f>'Downhole Equipment Sens'!$F$16</c:f>
              <c:numCache>
                <c:formatCode>#,##0.0</c:formatCode>
                <c:ptCount val="1"/>
                <c:pt idx="0">
                  <c:v>4765.7333984380002</c:v>
                </c:pt>
              </c:numCache>
            </c:numRef>
          </c:yVal>
          <c:smooth val="1"/>
          <c:extLst>
            <c:ext xmlns:c16="http://schemas.microsoft.com/office/drawing/2014/chart" uri="{C3380CC4-5D6E-409C-BE32-E72D297353CC}">
              <c16:uniqueId val="{000000E9-3287-4E2A-B91D-78A2FCB8ACF2}"/>
            </c:ext>
          </c:extLst>
        </c:ser>
        <c:ser>
          <c:idx val="11"/>
          <c:order val="11"/>
          <c:tx>
            <c:v>SOL 3</c:v>
          </c:tx>
          <c:marker>
            <c:symbol val="circle"/>
            <c:size val="8"/>
            <c:spPr>
              <a:solidFill>
                <a:srgbClr val="00CC00"/>
              </a:solidFill>
              <a:ln>
                <a:solidFill>
                  <a:srgbClr val="000000"/>
                </a:solidFill>
                <a:prstDash val="solid"/>
              </a:ln>
            </c:spPr>
          </c:marker>
          <c:xVal>
            <c:numRef>
              <c:f>'Downhole Equipment Sens'!$G$17</c:f>
              <c:numCache>
                <c:formatCode>#,##0.0</c:formatCode>
                <c:ptCount val="1"/>
                <c:pt idx="0">
                  <c:v>0.73833221199999999</c:v>
                </c:pt>
              </c:numCache>
            </c:numRef>
          </c:xVal>
          <c:yVal>
            <c:numRef>
              <c:f>'Downhole Equipment Sens'!$G$16</c:f>
              <c:numCache>
                <c:formatCode>#,##0.0</c:formatCode>
                <c:ptCount val="1"/>
                <c:pt idx="0">
                  <c:v>5942.76171875</c:v>
                </c:pt>
              </c:numCache>
            </c:numRef>
          </c:yVal>
          <c:smooth val="1"/>
          <c:extLst>
            <c:ext xmlns:c16="http://schemas.microsoft.com/office/drawing/2014/chart" uri="{C3380CC4-5D6E-409C-BE32-E72D297353CC}">
              <c16:uniqueId val="{000000EA-3287-4E2A-B91D-78A2FCB8ACF2}"/>
            </c:ext>
          </c:extLst>
        </c:ser>
        <c:dLbls>
          <c:showLegendKey val="0"/>
          <c:showVal val="0"/>
          <c:showCatName val="0"/>
          <c:showSerName val="0"/>
          <c:showPercent val="0"/>
          <c:showBubbleSize val="0"/>
        </c:dLbls>
        <c:axId val="54568064"/>
        <c:axId val="54568640"/>
      </c:scatterChart>
      <c:valAx>
        <c:axId val="54568064"/>
        <c:scaling>
          <c:orientation val="minMax"/>
          <c:max val="1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Well Pressure Profile</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633082795738866"/>
          <c:y val="0.1153377335186043"/>
          <c:w val="0.81602046710718157"/>
          <c:h val="0.79581230917563883"/>
        </c:manualLayout>
      </c:layout>
      <c:scatterChart>
        <c:scatterStyle val="smoothMarker"/>
        <c:varyColors val="0"/>
        <c:ser>
          <c:idx val="0"/>
          <c:order val="0"/>
          <c:tx>
            <c:v>Case 0</c:v>
          </c:tx>
          <c:spPr>
            <a:ln w="12700">
              <a:solidFill>
                <a:srgbClr val="FF0000"/>
              </a:solidFill>
            </a:ln>
          </c:spPr>
          <c:marker>
            <c:symbol val="none"/>
          </c:marker>
          <c:xVal>
            <c:numRef>
              <c:f>'Downhole Equipment Sens'!$AG$40:$AG$129</c:f>
              <c:numCache>
                <c:formatCode>0.0;\-0.0;"--"</c:formatCode>
                <c:ptCount val="90"/>
                <c:pt idx="0" formatCode="General">
                  <c:v>500</c:v>
                </c:pt>
                <c:pt idx="1">
                  <c:v>500.00400000000002</c:v>
                </c:pt>
                <c:pt idx="2">
                  <c:v>500.00799999999998</c:v>
                </c:pt>
                <c:pt idx="3">
                  <c:v>766.61199999999997</c:v>
                </c:pt>
                <c:pt idx="4">
                  <c:v>766.61199999999997</c:v>
                </c:pt>
                <c:pt idx="5">
                  <c:v>772.93200000000002</c:v>
                </c:pt>
                <c:pt idx="6">
                  <c:v>779.25900000000001</c:v>
                </c:pt>
                <c:pt idx="7">
                  <c:v>785.59299999999996</c:v>
                </c:pt>
                <c:pt idx="8">
                  <c:v>791.93299999999999</c:v>
                </c:pt>
                <c:pt idx="9">
                  <c:v>798.279</c:v>
                </c:pt>
                <c:pt idx="10">
                  <c:v>804.63199999999995</c:v>
                </c:pt>
                <c:pt idx="11">
                  <c:v>810.99099999999999</c:v>
                </c:pt>
                <c:pt idx="16">
                  <c:v>817.35699999999997</c:v>
                </c:pt>
                <c:pt idx="17">
                  <c:v>823.72900000000004</c:v>
                </c:pt>
                <c:pt idx="18">
                  <c:v>830.10699999999997</c:v>
                </c:pt>
                <c:pt idx="19">
                  <c:v>836.49199999999996</c:v>
                </c:pt>
                <c:pt idx="20">
                  <c:v>842.88300000000004</c:v>
                </c:pt>
                <c:pt idx="21">
                  <c:v>849.28099999999995</c:v>
                </c:pt>
                <c:pt idx="22">
                  <c:v>855.68399999999997</c:v>
                </c:pt>
                <c:pt idx="23">
                  <c:v>862.09500000000003</c:v>
                </c:pt>
                <c:pt idx="24">
                  <c:v>862.46100000000001</c:v>
                </c:pt>
                <c:pt idx="25">
                  <c:v>862.827</c:v>
                </c:pt>
                <c:pt idx="26">
                  <c:v>865.49199999999996</c:v>
                </c:pt>
                <c:pt idx="27">
                  <c:v>868.15800000000002</c:v>
                </c:pt>
                <c:pt idx="28">
                  <c:v>868.26199999999994</c:v>
                </c:pt>
                <c:pt idx="29">
                  <c:v>868.36599999999999</c:v>
                </c:pt>
                <c:pt idx="30">
                  <c:v>869.19299999999998</c:v>
                </c:pt>
                <c:pt idx="31">
                  <c:v>870.02099999999996</c:v>
                </c:pt>
                <c:pt idx="32">
                  <c:v>870.25</c:v>
                </c:pt>
                <c:pt idx="33">
                  <c:v>870.47799999999995</c:v>
                </c:pt>
                <c:pt idx="34">
                  <c:v>870.49800000000005</c:v>
                </c:pt>
                <c:pt idx="35">
                  <c:v>870.51700000000005</c:v>
                </c:pt>
                <c:pt idx="36">
                  <c:v>3829.06</c:v>
                </c:pt>
                <c:pt idx="37">
                  <c:v>3831.45</c:v>
                </c:pt>
                <c:pt idx="38">
                  <c:v>3833.84</c:v>
                </c:pt>
                <c:pt idx="39">
                  <c:v>3836.76</c:v>
                </c:pt>
                <c:pt idx="40">
                  <c:v>3839.67</c:v>
                </c:pt>
                <c:pt idx="41">
                  <c:v>3842.28</c:v>
                </c:pt>
                <c:pt idx="42">
                  <c:v>3844.89</c:v>
                </c:pt>
                <c:pt idx="43">
                  <c:v>3848.16</c:v>
                </c:pt>
                <c:pt idx="44">
                  <c:v>3851.44</c:v>
                </c:pt>
                <c:pt idx="45">
                  <c:v>3853.24</c:v>
                </c:pt>
                <c:pt idx="46">
                  <c:v>3855.04</c:v>
                </c:pt>
                <c:pt idx="47">
                  <c:v>3857.86</c:v>
                </c:pt>
                <c:pt idx="48">
                  <c:v>3860.68</c:v>
                </c:pt>
                <c:pt idx="49">
                  <c:v>3863.11</c:v>
                </c:pt>
                <c:pt idx="50">
                  <c:v>3865.54</c:v>
                </c:pt>
                <c:pt idx="51">
                  <c:v>3868</c:v>
                </c:pt>
                <c:pt idx="52">
                  <c:v>3870.45</c:v>
                </c:pt>
                <c:pt idx="53">
                  <c:v>3891.58</c:v>
                </c:pt>
                <c:pt idx="54">
                  <c:v>3912.73</c:v>
                </c:pt>
                <c:pt idx="55">
                  <c:v>3930.43</c:v>
                </c:pt>
                <c:pt idx="56">
                  <c:v>3948.15</c:v>
                </c:pt>
                <c:pt idx="57">
                  <c:v>4007.04</c:v>
                </c:pt>
                <c:pt idx="58">
                  <c:v>4066.03</c:v>
                </c:pt>
                <c:pt idx="59">
                  <c:v>4125.09</c:v>
                </c:pt>
                <c:pt idx="60">
                  <c:v>4184.25</c:v>
                </c:pt>
                <c:pt idx="61">
                  <c:v>4243.4799999999996</c:v>
                </c:pt>
                <c:pt idx="62">
                  <c:v>4302.79</c:v>
                </c:pt>
                <c:pt idx="63">
                  <c:v>4362.18</c:v>
                </c:pt>
                <c:pt idx="64">
                  <c:v>4421.6400000000003</c:v>
                </c:pt>
                <c:pt idx="65">
                  <c:v>4481.18</c:v>
                </c:pt>
                <c:pt idx="66">
                  <c:v>4540.79</c:v>
                </c:pt>
                <c:pt idx="67">
                  <c:v>4600.46</c:v>
                </c:pt>
                <c:pt idx="68">
                  <c:v>4660.2</c:v>
                </c:pt>
                <c:pt idx="69">
                  <c:v>4720</c:v>
                </c:pt>
                <c:pt idx="70">
                  <c:v>4779.8500000000004</c:v>
                </c:pt>
                <c:pt idx="71">
                  <c:v>4839.7299999999996</c:v>
                </c:pt>
                <c:pt idx="72">
                  <c:v>4891.8100000000004</c:v>
                </c:pt>
                <c:pt idx="73">
                  <c:v>4943.92</c:v>
                </c:pt>
                <c:pt idx="74">
                  <c:v>4996.0600000000004</c:v>
                </c:pt>
                <c:pt idx="75">
                  <c:v>5048.22</c:v>
                </c:pt>
                <c:pt idx="76">
                  <c:v>5100.42</c:v>
                </c:pt>
                <c:pt idx="77">
                  <c:v>5152.63</c:v>
                </c:pt>
                <c:pt idx="78">
                  <c:v>5204.88</c:v>
                </c:pt>
                <c:pt idx="79">
                  <c:v>5257.14</c:v>
                </c:pt>
                <c:pt idx="80">
                  <c:v>5309.44</c:v>
                </c:pt>
                <c:pt idx="81">
                  <c:v>5361.75</c:v>
                </c:pt>
                <c:pt idx="82">
                  <c:v>5414.08</c:v>
                </c:pt>
                <c:pt idx="83">
                  <c:v>5466.43</c:v>
                </c:pt>
                <c:pt idx="84">
                  <c:v>5518.77</c:v>
                </c:pt>
                <c:pt idx="85">
                  <c:v>5571.09</c:v>
                </c:pt>
                <c:pt idx="86">
                  <c:v>5620.52</c:v>
                </c:pt>
                <c:pt idx="87">
                  <c:v>5669.96</c:v>
                </c:pt>
                <c:pt idx="88">
                  <c:v>5719.42</c:v>
                </c:pt>
                <c:pt idx="89">
                  <c:v>5768.9</c:v>
                </c:pt>
              </c:numCache>
            </c:numRef>
          </c:xVal>
          <c:yVal>
            <c:numRef>
              <c:f>'Downhole Equipment Sens'!$AF$40:$AF$129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6">
                  <c:v>597.99</c:v>
                </c:pt>
                <c:pt idx="17">
                  <c:v>672.73900000000003</c:v>
                </c:pt>
                <c:pt idx="18">
                  <c:v>747.48699999999997</c:v>
                </c:pt>
                <c:pt idx="19">
                  <c:v>822.23599999999999</c:v>
                </c:pt>
                <c:pt idx="20">
                  <c:v>896.98500000000001</c:v>
                </c:pt>
                <c:pt idx="21">
                  <c:v>971.73400000000004</c:v>
                </c:pt>
                <c:pt idx="22">
                  <c:v>1046.48</c:v>
                </c:pt>
                <c:pt idx="23">
                  <c:v>1121.23</c:v>
                </c:pt>
                <c:pt idx="24">
                  <c:v>1125.5</c:v>
                </c:pt>
                <c:pt idx="25">
                  <c:v>1129.76</c:v>
                </c:pt>
                <c:pt idx="26">
                  <c:v>1160.8</c:v>
                </c:pt>
                <c:pt idx="27">
                  <c:v>1191.8399999999999</c:v>
                </c:pt>
                <c:pt idx="28">
                  <c:v>1193.04</c:v>
                </c:pt>
                <c:pt idx="29">
                  <c:v>1194.25</c:v>
                </c:pt>
                <c:pt idx="30">
                  <c:v>1203.8800000000001</c:v>
                </c:pt>
                <c:pt idx="31">
                  <c:v>1213.51</c:v>
                </c:pt>
                <c:pt idx="32">
                  <c:v>1216.17</c:v>
                </c:pt>
                <c:pt idx="33">
                  <c:v>1218.82</c:v>
                </c:pt>
                <c:pt idx="34">
                  <c:v>1219.05</c:v>
                </c:pt>
                <c:pt idx="35">
                  <c:v>1219.28</c:v>
                </c:pt>
                <c:pt idx="36">
                  <c:v>1219.28</c:v>
                </c:pt>
                <c:pt idx="37">
                  <c:v>1221.67</c:v>
                </c:pt>
                <c:pt idx="38">
                  <c:v>1224.06</c:v>
                </c:pt>
                <c:pt idx="39">
                  <c:v>1226.92</c:v>
                </c:pt>
                <c:pt idx="40">
                  <c:v>1229.79</c:v>
                </c:pt>
                <c:pt idx="41">
                  <c:v>1232.32</c:v>
                </c:pt>
                <c:pt idx="42">
                  <c:v>1234.8499999999999</c:v>
                </c:pt>
                <c:pt idx="43">
                  <c:v>1238.02</c:v>
                </c:pt>
                <c:pt idx="44">
                  <c:v>1241.18</c:v>
                </c:pt>
                <c:pt idx="45">
                  <c:v>1242.9000000000001</c:v>
                </c:pt>
                <c:pt idx="46">
                  <c:v>1244.6300000000001</c:v>
                </c:pt>
                <c:pt idx="47">
                  <c:v>1247.33</c:v>
                </c:pt>
                <c:pt idx="48">
                  <c:v>1250.03</c:v>
                </c:pt>
                <c:pt idx="49">
                  <c:v>1252.3599999999999</c:v>
                </c:pt>
                <c:pt idx="50">
                  <c:v>1254.69</c:v>
                </c:pt>
                <c:pt idx="51">
                  <c:v>1257.04</c:v>
                </c:pt>
                <c:pt idx="52">
                  <c:v>1259.3900000000001</c:v>
                </c:pt>
                <c:pt idx="53">
                  <c:v>1279.5899999999999</c:v>
                </c:pt>
                <c:pt idx="54">
                  <c:v>1299.8</c:v>
                </c:pt>
                <c:pt idx="55">
                  <c:v>1316.7</c:v>
                </c:pt>
                <c:pt idx="56">
                  <c:v>1333.6</c:v>
                </c:pt>
                <c:pt idx="57">
                  <c:v>1409.21</c:v>
                </c:pt>
                <c:pt idx="58">
                  <c:v>1484.82</c:v>
                </c:pt>
                <c:pt idx="59">
                  <c:v>1560.43</c:v>
                </c:pt>
                <c:pt idx="60">
                  <c:v>1636.04</c:v>
                </c:pt>
                <c:pt idx="61">
                  <c:v>1711.66</c:v>
                </c:pt>
                <c:pt idx="62">
                  <c:v>1787.27</c:v>
                </c:pt>
                <c:pt idx="63">
                  <c:v>1862.88</c:v>
                </c:pt>
                <c:pt idx="64">
                  <c:v>1938.49</c:v>
                </c:pt>
                <c:pt idx="65">
                  <c:v>2014.1</c:v>
                </c:pt>
                <c:pt idx="66">
                  <c:v>2089.71</c:v>
                </c:pt>
                <c:pt idx="67">
                  <c:v>2165.33</c:v>
                </c:pt>
                <c:pt idx="68">
                  <c:v>2240.94</c:v>
                </c:pt>
                <c:pt idx="69">
                  <c:v>2316.5500000000002</c:v>
                </c:pt>
                <c:pt idx="70">
                  <c:v>2392.16</c:v>
                </c:pt>
                <c:pt idx="71">
                  <c:v>2467.77</c:v>
                </c:pt>
                <c:pt idx="72">
                  <c:v>2539.1999999999998</c:v>
                </c:pt>
                <c:pt idx="73">
                  <c:v>2610.63</c:v>
                </c:pt>
                <c:pt idx="74">
                  <c:v>2682.06</c:v>
                </c:pt>
                <c:pt idx="75">
                  <c:v>2753.49</c:v>
                </c:pt>
                <c:pt idx="76">
                  <c:v>2824.92</c:v>
                </c:pt>
                <c:pt idx="77">
                  <c:v>2896.34</c:v>
                </c:pt>
                <c:pt idx="78">
                  <c:v>2967.77</c:v>
                </c:pt>
                <c:pt idx="79">
                  <c:v>3039.2</c:v>
                </c:pt>
                <c:pt idx="80">
                  <c:v>3110.63</c:v>
                </c:pt>
                <c:pt idx="81">
                  <c:v>3182.06</c:v>
                </c:pt>
                <c:pt idx="82">
                  <c:v>3253.49</c:v>
                </c:pt>
                <c:pt idx="83">
                  <c:v>3324.92</c:v>
                </c:pt>
                <c:pt idx="84">
                  <c:v>3396.34</c:v>
                </c:pt>
                <c:pt idx="85">
                  <c:v>3467.77</c:v>
                </c:pt>
                <c:pt idx="86">
                  <c:v>3542.77</c:v>
                </c:pt>
                <c:pt idx="87">
                  <c:v>3617.77</c:v>
                </c:pt>
                <c:pt idx="88">
                  <c:v>3692.77</c:v>
                </c:pt>
                <c:pt idx="89">
                  <c:v>3767.77</c:v>
                </c:pt>
              </c:numCache>
            </c:numRef>
          </c:yVal>
          <c:smooth val="1"/>
          <c:extLst>
            <c:ext xmlns:c16="http://schemas.microsoft.com/office/drawing/2014/chart" uri="{C3380CC4-5D6E-409C-BE32-E72D297353CC}">
              <c16:uniqueId val="{00000045-75FB-4B9B-8611-8D7716F32BE6}"/>
            </c:ext>
          </c:extLst>
        </c:ser>
        <c:ser>
          <c:idx val="1"/>
          <c:order val="1"/>
          <c:tx>
            <c:v>Case 1</c:v>
          </c:tx>
          <c:spPr>
            <a:ln w="12700">
              <a:solidFill>
                <a:srgbClr val="FF0000"/>
              </a:solidFill>
            </a:ln>
          </c:spPr>
          <c:marker>
            <c:symbol val="none"/>
          </c:marker>
          <c:xVal>
            <c:numRef>
              <c:f>'Downhole Equipment Sens'!$BK$40:$BK$129</c:f>
              <c:numCache>
                <c:formatCode>0.0;\-0.0;"--"</c:formatCode>
                <c:ptCount val="90"/>
                <c:pt idx="0" formatCode="General">
                  <c:v>500</c:v>
                </c:pt>
                <c:pt idx="1">
                  <c:v>500.005</c:v>
                </c:pt>
                <c:pt idx="2">
                  <c:v>500.01</c:v>
                </c:pt>
                <c:pt idx="3">
                  <c:v>855.31700000000001</c:v>
                </c:pt>
                <c:pt idx="4">
                  <c:v>855.31700000000001</c:v>
                </c:pt>
                <c:pt idx="5">
                  <c:v>862.46699999999998</c:v>
                </c:pt>
                <c:pt idx="6">
                  <c:v>869.62300000000005</c:v>
                </c:pt>
                <c:pt idx="7">
                  <c:v>876.78499999999997</c:v>
                </c:pt>
                <c:pt idx="8">
                  <c:v>883.95399999999995</c:v>
                </c:pt>
                <c:pt idx="9">
                  <c:v>891.12900000000002</c:v>
                </c:pt>
                <c:pt idx="10">
                  <c:v>898.31</c:v>
                </c:pt>
                <c:pt idx="11">
                  <c:v>905.49699999999996</c:v>
                </c:pt>
                <c:pt idx="12">
                  <c:v>912.69100000000003</c:v>
                </c:pt>
                <c:pt idx="16">
                  <c:v>919.89</c:v>
                </c:pt>
                <c:pt idx="17">
                  <c:v>927.096</c:v>
                </c:pt>
                <c:pt idx="18">
                  <c:v>934.30799999999999</c:v>
                </c:pt>
                <c:pt idx="19">
                  <c:v>941.52599999999995</c:v>
                </c:pt>
                <c:pt idx="20">
                  <c:v>948.75</c:v>
                </c:pt>
                <c:pt idx="21">
                  <c:v>955.98099999999999</c:v>
                </c:pt>
                <c:pt idx="22">
                  <c:v>963.21900000000005</c:v>
                </c:pt>
                <c:pt idx="23">
                  <c:v>963.63199999999995</c:v>
                </c:pt>
                <c:pt idx="24">
                  <c:v>964.04600000000005</c:v>
                </c:pt>
                <c:pt idx="25">
                  <c:v>967.05399999999997</c:v>
                </c:pt>
                <c:pt idx="26">
                  <c:v>970.06399999999996</c:v>
                </c:pt>
                <c:pt idx="27">
                  <c:v>970.18100000000004</c:v>
                </c:pt>
                <c:pt idx="28">
                  <c:v>970.298</c:v>
                </c:pt>
                <c:pt idx="29">
                  <c:v>971.23299999999995</c:v>
                </c:pt>
                <c:pt idx="30">
                  <c:v>972.16700000000003</c:v>
                </c:pt>
                <c:pt idx="31">
                  <c:v>972.42499999999995</c:v>
                </c:pt>
                <c:pt idx="32">
                  <c:v>972.68299999999999</c:v>
                </c:pt>
                <c:pt idx="33">
                  <c:v>972.93700000000001</c:v>
                </c:pt>
                <c:pt idx="34">
                  <c:v>973.19100000000003</c:v>
                </c:pt>
                <c:pt idx="35">
                  <c:v>973.46900000000005</c:v>
                </c:pt>
                <c:pt idx="36">
                  <c:v>973.74699999999996</c:v>
                </c:pt>
                <c:pt idx="37">
                  <c:v>973.99300000000005</c:v>
                </c:pt>
                <c:pt idx="38">
                  <c:v>974.23900000000003</c:v>
                </c:pt>
                <c:pt idx="39">
                  <c:v>974.54600000000005</c:v>
                </c:pt>
                <c:pt idx="40">
                  <c:v>974.85299999999995</c:v>
                </c:pt>
                <c:pt idx="41">
                  <c:v>975.02099999999996</c:v>
                </c:pt>
                <c:pt idx="42">
                  <c:v>975.18899999999996</c:v>
                </c:pt>
                <c:pt idx="43">
                  <c:v>975.452</c:v>
                </c:pt>
                <c:pt idx="44">
                  <c:v>975.71400000000006</c:v>
                </c:pt>
                <c:pt idx="45">
                  <c:v>975.94</c:v>
                </c:pt>
                <c:pt idx="46">
                  <c:v>976.16700000000003</c:v>
                </c:pt>
                <c:pt idx="47">
                  <c:v>976.39499999999998</c:v>
                </c:pt>
                <c:pt idx="48">
                  <c:v>976.62300000000005</c:v>
                </c:pt>
                <c:pt idx="49">
                  <c:v>978.58699999999999</c:v>
                </c:pt>
                <c:pt idx="50">
                  <c:v>980.55200000000002</c:v>
                </c:pt>
                <c:pt idx="51">
                  <c:v>982.19399999999996</c:v>
                </c:pt>
                <c:pt idx="52">
                  <c:v>983.83699999999999</c:v>
                </c:pt>
                <c:pt idx="53">
                  <c:v>991.18</c:v>
                </c:pt>
                <c:pt idx="54">
                  <c:v>998.53</c:v>
                </c:pt>
                <c:pt idx="55">
                  <c:v>1005.89</c:v>
                </c:pt>
                <c:pt idx="56">
                  <c:v>1013.25</c:v>
                </c:pt>
                <c:pt idx="57">
                  <c:v>1020.62</c:v>
                </c:pt>
                <c:pt idx="58">
                  <c:v>1027.99</c:v>
                </c:pt>
                <c:pt idx="59">
                  <c:v>1035.3699999999999</c:v>
                </c:pt>
                <c:pt idx="60">
                  <c:v>1042.76</c:v>
                </c:pt>
                <c:pt idx="61">
                  <c:v>1050.1500000000001</c:v>
                </c:pt>
                <c:pt idx="62">
                  <c:v>1057.55</c:v>
                </c:pt>
                <c:pt idx="63">
                  <c:v>1064.95</c:v>
                </c:pt>
                <c:pt idx="64">
                  <c:v>1072.3599999999999</c:v>
                </c:pt>
                <c:pt idx="65">
                  <c:v>1079.77</c:v>
                </c:pt>
                <c:pt idx="66">
                  <c:v>1087.19</c:v>
                </c:pt>
                <c:pt idx="67">
                  <c:v>1094.6099999999999</c:v>
                </c:pt>
                <c:pt idx="68">
                  <c:v>4834.25</c:v>
                </c:pt>
                <c:pt idx="69">
                  <c:v>4885.8</c:v>
                </c:pt>
                <c:pt idx="70">
                  <c:v>4937.38</c:v>
                </c:pt>
                <c:pt idx="71">
                  <c:v>4988.99</c:v>
                </c:pt>
                <c:pt idx="72">
                  <c:v>5040.62</c:v>
                </c:pt>
                <c:pt idx="73">
                  <c:v>5092.2700000000004</c:v>
                </c:pt>
                <c:pt idx="74">
                  <c:v>5143.95</c:v>
                </c:pt>
                <c:pt idx="75">
                  <c:v>5195.6499999999996</c:v>
                </c:pt>
                <c:pt idx="76">
                  <c:v>5247.38</c:v>
                </c:pt>
                <c:pt idx="77">
                  <c:v>5299.12</c:v>
                </c:pt>
                <c:pt idx="78">
                  <c:v>5350.89</c:v>
                </c:pt>
                <c:pt idx="79">
                  <c:v>5402.67</c:v>
                </c:pt>
                <c:pt idx="80">
                  <c:v>5454.46</c:v>
                </c:pt>
                <c:pt idx="81">
                  <c:v>5506.24</c:v>
                </c:pt>
                <c:pt idx="82">
                  <c:v>5558</c:v>
                </c:pt>
                <c:pt idx="83">
                  <c:v>5607.02</c:v>
                </c:pt>
                <c:pt idx="84">
                  <c:v>5656.06</c:v>
                </c:pt>
                <c:pt idx="85">
                  <c:v>5705.12</c:v>
                </c:pt>
                <c:pt idx="86">
                  <c:v>5754.21</c:v>
                </c:pt>
                <c:pt idx="87">
                  <c:v>5797.89</c:v>
                </c:pt>
                <c:pt idx="88">
                  <c:v>5841.63</c:v>
                </c:pt>
                <c:pt idx="89">
                  <c:v>5885.48</c:v>
                </c:pt>
              </c:numCache>
            </c:numRef>
          </c:xVal>
          <c:yVal>
            <c:numRef>
              <c:f>'Downhole Equipment Sens'!$BJ$40:$BJ$129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2">
                  <c:v>597.99</c:v>
                </c:pt>
                <c:pt idx="16">
                  <c:v>672.73900000000003</c:v>
                </c:pt>
                <c:pt idx="17">
                  <c:v>747.48699999999997</c:v>
                </c:pt>
                <c:pt idx="18">
                  <c:v>822.23599999999999</c:v>
                </c:pt>
                <c:pt idx="19">
                  <c:v>896.98500000000001</c:v>
                </c:pt>
                <c:pt idx="20">
                  <c:v>971.73400000000004</c:v>
                </c:pt>
                <c:pt idx="21">
                  <c:v>1046.48</c:v>
                </c:pt>
                <c:pt idx="22">
                  <c:v>1121.23</c:v>
                </c:pt>
                <c:pt idx="23">
                  <c:v>1125.5</c:v>
                </c:pt>
                <c:pt idx="24">
                  <c:v>1129.76</c:v>
                </c:pt>
                <c:pt idx="25">
                  <c:v>1160.8</c:v>
                </c:pt>
                <c:pt idx="26">
                  <c:v>1191.8399999999999</c:v>
                </c:pt>
                <c:pt idx="27">
                  <c:v>1193.04</c:v>
                </c:pt>
                <c:pt idx="28">
                  <c:v>1194.25</c:v>
                </c:pt>
                <c:pt idx="29">
                  <c:v>1203.8800000000001</c:v>
                </c:pt>
                <c:pt idx="30">
                  <c:v>1213.51</c:v>
                </c:pt>
                <c:pt idx="31">
                  <c:v>1216.17</c:v>
                </c:pt>
                <c:pt idx="32">
                  <c:v>1218.82</c:v>
                </c:pt>
                <c:pt idx="33">
                  <c:v>1221.44</c:v>
                </c:pt>
                <c:pt idx="34">
                  <c:v>1224.06</c:v>
                </c:pt>
                <c:pt idx="35">
                  <c:v>1226.92</c:v>
                </c:pt>
                <c:pt idx="36">
                  <c:v>1229.79</c:v>
                </c:pt>
                <c:pt idx="37">
                  <c:v>1232.32</c:v>
                </c:pt>
                <c:pt idx="38">
                  <c:v>1234.8499999999999</c:v>
                </c:pt>
                <c:pt idx="39">
                  <c:v>1238.02</c:v>
                </c:pt>
                <c:pt idx="40">
                  <c:v>1241.18</c:v>
                </c:pt>
                <c:pt idx="41">
                  <c:v>1242.9000000000001</c:v>
                </c:pt>
                <c:pt idx="42">
                  <c:v>1244.6300000000001</c:v>
                </c:pt>
                <c:pt idx="43">
                  <c:v>1247.33</c:v>
                </c:pt>
                <c:pt idx="44">
                  <c:v>1250.03</c:v>
                </c:pt>
                <c:pt idx="45">
                  <c:v>1252.3599999999999</c:v>
                </c:pt>
                <c:pt idx="46">
                  <c:v>1254.69</c:v>
                </c:pt>
                <c:pt idx="47">
                  <c:v>1257.04</c:v>
                </c:pt>
                <c:pt idx="48">
                  <c:v>1259.3900000000001</c:v>
                </c:pt>
                <c:pt idx="49">
                  <c:v>1279.5899999999999</c:v>
                </c:pt>
                <c:pt idx="50">
                  <c:v>1299.8</c:v>
                </c:pt>
                <c:pt idx="51">
                  <c:v>1316.7</c:v>
                </c:pt>
                <c:pt idx="52">
                  <c:v>1333.6</c:v>
                </c:pt>
                <c:pt idx="53">
                  <c:v>1409.21</c:v>
                </c:pt>
                <c:pt idx="54">
                  <c:v>1484.82</c:v>
                </c:pt>
                <c:pt idx="55">
                  <c:v>1560.43</c:v>
                </c:pt>
                <c:pt idx="56">
                  <c:v>1636.04</c:v>
                </c:pt>
                <c:pt idx="57">
                  <c:v>1711.66</c:v>
                </c:pt>
                <c:pt idx="58">
                  <c:v>1787.27</c:v>
                </c:pt>
                <c:pt idx="59">
                  <c:v>1862.88</c:v>
                </c:pt>
                <c:pt idx="60">
                  <c:v>1938.49</c:v>
                </c:pt>
                <c:pt idx="61">
                  <c:v>2014.1</c:v>
                </c:pt>
                <c:pt idx="62">
                  <c:v>2089.71</c:v>
                </c:pt>
                <c:pt idx="63">
                  <c:v>2165.33</c:v>
                </c:pt>
                <c:pt idx="64">
                  <c:v>2240.94</c:v>
                </c:pt>
                <c:pt idx="65">
                  <c:v>2316.5500000000002</c:v>
                </c:pt>
                <c:pt idx="66">
                  <c:v>2392.16</c:v>
                </c:pt>
                <c:pt idx="67">
                  <c:v>2467.77</c:v>
                </c:pt>
                <c:pt idx="68">
                  <c:v>2467.77</c:v>
                </c:pt>
                <c:pt idx="69">
                  <c:v>2539.1999999999998</c:v>
                </c:pt>
                <c:pt idx="70">
                  <c:v>2610.63</c:v>
                </c:pt>
                <c:pt idx="71">
                  <c:v>2682.06</c:v>
                </c:pt>
                <c:pt idx="72">
                  <c:v>2753.48</c:v>
                </c:pt>
                <c:pt idx="73">
                  <c:v>2824.91</c:v>
                </c:pt>
                <c:pt idx="74">
                  <c:v>2896.34</c:v>
                </c:pt>
                <c:pt idx="75">
                  <c:v>2967.77</c:v>
                </c:pt>
                <c:pt idx="76">
                  <c:v>3039.19</c:v>
                </c:pt>
                <c:pt idx="77">
                  <c:v>3110.62</c:v>
                </c:pt>
                <c:pt idx="78">
                  <c:v>3182.05</c:v>
                </c:pt>
                <c:pt idx="79">
                  <c:v>3253.48</c:v>
                </c:pt>
                <c:pt idx="80">
                  <c:v>3324.9</c:v>
                </c:pt>
                <c:pt idx="81">
                  <c:v>3396.33</c:v>
                </c:pt>
                <c:pt idx="82">
                  <c:v>3467.76</c:v>
                </c:pt>
                <c:pt idx="83">
                  <c:v>3542.76</c:v>
                </c:pt>
                <c:pt idx="84">
                  <c:v>3617.76</c:v>
                </c:pt>
                <c:pt idx="85">
                  <c:v>3692.76</c:v>
                </c:pt>
                <c:pt idx="86">
                  <c:v>3767.76</c:v>
                </c:pt>
                <c:pt idx="87">
                  <c:v>3834.43</c:v>
                </c:pt>
                <c:pt idx="88">
                  <c:v>3901.09</c:v>
                </c:pt>
                <c:pt idx="89">
                  <c:v>3967.76</c:v>
                </c:pt>
              </c:numCache>
            </c:numRef>
          </c:yVal>
          <c:smooth val="1"/>
          <c:extLst>
            <c:ext xmlns:c16="http://schemas.microsoft.com/office/drawing/2014/chart" uri="{C3380CC4-5D6E-409C-BE32-E72D297353CC}">
              <c16:uniqueId val="{00000046-75FB-4B9B-8611-8D7716F32BE6}"/>
            </c:ext>
          </c:extLst>
        </c:ser>
        <c:ser>
          <c:idx val="2"/>
          <c:order val="2"/>
          <c:tx>
            <c:v>Case 2</c:v>
          </c:tx>
          <c:spPr>
            <a:ln w="12700">
              <a:solidFill>
                <a:srgbClr val="FF0000"/>
              </a:solidFill>
            </a:ln>
          </c:spPr>
          <c:marker>
            <c:symbol val="none"/>
          </c:marker>
          <c:xVal>
            <c:numRef>
              <c:f>'Downhole Equipment Sens'!$CO$40:$CO$128</c:f>
              <c:numCache>
                <c:formatCode>General</c:formatCode>
                <c:ptCount val="89"/>
                <c:pt idx="0">
                  <c:v>500</c:v>
                </c:pt>
                <c:pt idx="1">
                  <c:v>500.05200000000002</c:v>
                </c:pt>
                <c:pt idx="2">
                  <c:v>500.10399999999998</c:v>
                </c:pt>
                <c:pt idx="3">
                  <c:v>887.70299999999997</c:v>
                </c:pt>
                <c:pt idx="4">
                  <c:v>887.70299999999997</c:v>
                </c:pt>
                <c:pt idx="5">
                  <c:v>895.00900000000001</c:v>
                </c:pt>
                <c:pt idx="6">
                  <c:v>902.32299999999998</c:v>
                </c:pt>
                <c:pt idx="7">
                  <c:v>909.64499999999998</c:v>
                </c:pt>
                <c:pt idx="8">
                  <c:v>916.97500000000002</c:v>
                </c:pt>
                <c:pt idx="9">
                  <c:v>924.31200000000001</c:v>
                </c:pt>
                <c:pt idx="10">
                  <c:v>931.65700000000004</c:v>
                </c:pt>
                <c:pt idx="11">
                  <c:v>939.01</c:v>
                </c:pt>
                <c:pt idx="12">
                  <c:v>946.37</c:v>
                </c:pt>
                <c:pt idx="15">
                  <c:v>953.73900000000003</c:v>
                </c:pt>
                <c:pt idx="16">
                  <c:v>961.11599999999999</c:v>
                </c:pt>
                <c:pt idx="17">
                  <c:v>968.5</c:v>
                </c:pt>
                <c:pt idx="18">
                  <c:v>975.89300000000003</c:v>
                </c:pt>
                <c:pt idx="19">
                  <c:v>983.29499999999996</c:v>
                </c:pt>
                <c:pt idx="20">
                  <c:v>990.70600000000002</c:v>
                </c:pt>
                <c:pt idx="21">
                  <c:v>998.12699999999995</c:v>
                </c:pt>
                <c:pt idx="22">
                  <c:v>998.55</c:v>
                </c:pt>
                <c:pt idx="23">
                  <c:v>998.97400000000005</c:v>
                </c:pt>
                <c:pt idx="24">
                  <c:v>1002.06</c:v>
                </c:pt>
                <c:pt idx="25">
                  <c:v>1005.15</c:v>
                </c:pt>
                <c:pt idx="26">
                  <c:v>1005.27</c:v>
                </c:pt>
                <c:pt idx="27">
                  <c:v>1005.39</c:v>
                </c:pt>
                <c:pt idx="28">
                  <c:v>1006.34</c:v>
                </c:pt>
                <c:pt idx="29">
                  <c:v>1007.3</c:v>
                </c:pt>
                <c:pt idx="30">
                  <c:v>1007.57</c:v>
                </c:pt>
                <c:pt idx="31">
                  <c:v>1007.83</c:v>
                </c:pt>
                <c:pt idx="32">
                  <c:v>1008.09</c:v>
                </c:pt>
                <c:pt idx="33">
                  <c:v>1008.35</c:v>
                </c:pt>
                <c:pt idx="34">
                  <c:v>1008.64</c:v>
                </c:pt>
                <c:pt idx="35">
                  <c:v>1008.92</c:v>
                </c:pt>
                <c:pt idx="36">
                  <c:v>1009.18</c:v>
                </c:pt>
                <c:pt idx="37">
                  <c:v>1009.43</c:v>
                </c:pt>
                <c:pt idx="38">
                  <c:v>1009.74</c:v>
                </c:pt>
                <c:pt idx="39">
                  <c:v>1010.06</c:v>
                </c:pt>
                <c:pt idx="40">
                  <c:v>1010.23</c:v>
                </c:pt>
                <c:pt idx="41">
                  <c:v>1010.41</c:v>
                </c:pt>
                <c:pt idx="42">
                  <c:v>1010.67</c:v>
                </c:pt>
                <c:pt idx="43">
                  <c:v>1010.94</c:v>
                </c:pt>
                <c:pt idx="44">
                  <c:v>1011.18</c:v>
                </c:pt>
                <c:pt idx="45">
                  <c:v>1011.41</c:v>
                </c:pt>
                <c:pt idx="46">
                  <c:v>1011.65</c:v>
                </c:pt>
                <c:pt idx="47">
                  <c:v>1011.88</c:v>
                </c:pt>
                <c:pt idx="48">
                  <c:v>1013.91</c:v>
                </c:pt>
                <c:pt idx="49">
                  <c:v>1015.93</c:v>
                </c:pt>
                <c:pt idx="50">
                  <c:v>1017.63</c:v>
                </c:pt>
                <c:pt idx="51">
                  <c:v>1019.32</c:v>
                </c:pt>
                <c:pt idx="52">
                  <c:v>1026.8399999999999</c:v>
                </c:pt>
                <c:pt idx="53">
                  <c:v>1034.3800000000001</c:v>
                </c:pt>
                <c:pt idx="54">
                  <c:v>1041.9100000000001</c:v>
                </c:pt>
                <c:pt idx="55">
                  <c:v>1049.46</c:v>
                </c:pt>
                <c:pt idx="56">
                  <c:v>1057.01</c:v>
                </c:pt>
                <c:pt idx="57">
                  <c:v>1064.57</c:v>
                </c:pt>
                <c:pt idx="58">
                  <c:v>1072.1300000000001</c:v>
                </c:pt>
                <c:pt idx="59">
                  <c:v>1079.7</c:v>
                </c:pt>
                <c:pt idx="60">
                  <c:v>1087.28</c:v>
                </c:pt>
                <c:pt idx="61">
                  <c:v>1094.8499999999999</c:v>
                </c:pt>
                <c:pt idx="62">
                  <c:v>1102.44</c:v>
                </c:pt>
                <c:pt idx="63">
                  <c:v>1110.02</c:v>
                </c:pt>
                <c:pt idx="64">
                  <c:v>1117.5999999999999</c:v>
                </c:pt>
                <c:pt idx="65">
                  <c:v>1125.19</c:v>
                </c:pt>
                <c:pt idx="66">
                  <c:v>1132.77</c:v>
                </c:pt>
                <c:pt idx="67">
                  <c:v>1140.4100000000001</c:v>
                </c:pt>
                <c:pt idx="68">
                  <c:v>1148.07</c:v>
                </c:pt>
                <c:pt idx="69">
                  <c:v>1155.73</c:v>
                </c:pt>
                <c:pt idx="70">
                  <c:v>1163.4000000000001</c:v>
                </c:pt>
                <c:pt idx="71">
                  <c:v>1171.08</c:v>
                </c:pt>
                <c:pt idx="72">
                  <c:v>1178.77</c:v>
                </c:pt>
                <c:pt idx="73">
                  <c:v>1186.47</c:v>
                </c:pt>
                <c:pt idx="74">
                  <c:v>1194.18</c:v>
                </c:pt>
                <c:pt idx="75">
                  <c:v>1201.8900000000001</c:v>
                </c:pt>
                <c:pt idx="76">
                  <c:v>1209.6199999999999</c:v>
                </c:pt>
                <c:pt idx="77">
                  <c:v>1217.3499999999999</c:v>
                </c:pt>
                <c:pt idx="78">
                  <c:v>1225.0999999999999</c:v>
                </c:pt>
                <c:pt idx="79">
                  <c:v>1232.8499999999999</c:v>
                </c:pt>
                <c:pt idx="80">
                  <c:v>1240.6199999999999</c:v>
                </c:pt>
                <c:pt idx="81">
                  <c:v>4430.45</c:v>
                </c:pt>
                <c:pt idx="82">
                  <c:v>4475.1099999999997</c:v>
                </c:pt>
                <c:pt idx="83">
                  <c:v>4519.88</c:v>
                </c:pt>
                <c:pt idx="84">
                  <c:v>4564.78</c:v>
                </c:pt>
                <c:pt idx="85">
                  <c:v>4609.8100000000004</c:v>
                </c:pt>
                <c:pt idx="86">
                  <c:v>4649.97</c:v>
                </c:pt>
                <c:pt idx="87">
                  <c:v>4690.26</c:v>
                </c:pt>
                <c:pt idx="88">
                  <c:v>4730.7</c:v>
                </c:pt>
              </c:numCache>
            </c:numRef>
          </c:xVal>
          <c:yVal>
            <c:numRef>
              <c:f>'Downhole Equipment Sens'!$CN$40:$CN$128</c:f>
              <c:numCache>
                <c:formatCode>General</c:formatCode>
                <c:ptCount val="89"/>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5">
                  <c:v>672.73900000000003</c:v>
                </c:pt>
                <c:pt idx="16">
                  <c:v>747.48699999999997</c:v>
                </c:pt>
                <c:pt idx="17">
                  <c:v>822.23599999999999</c:v>
                </c:pt>
                <c:pt idx="18">
                  <c:v>896.98500000000001</c:v>
                </c:pt>
                <c:pt idx="19">
                  <c:v>971.73400000000004</c:v>
                </c:pt>
                <c:pt idx="20">
                  <c:v>1046.48</c:v>
                </c:pt>
                <c:pt idx="21">
                  <c:v>1121.23</c:v>
                </c:pt>
                <c:pt idx="22">
                  <c:v>1125.5</c:v>
                </c:pt>
                <c:pt idx="23">
                  <c:v>1129.76</c:v>
                </c:pt>
                <c:pt idx="24">
                  <c:v>1160.8</c:v>
                </c:pt>
                <c:pt idx="25">
                  <c:v>1191.8399999999999</c:v>
                </c:pt>
                <c:pt idx="26">
                  <c:v>1193.04</c:v>
                </c:pt>
                <c:pt idx="27">
                  <c:v>1194.25</c:v>
                </c:pt>
                <c:pt idx="28">
                  <c:v>1203.8800000000001</c:v>
                </c:pt>
                <c:pt idx="29">
                  <c:v>1213.51</c:v>
                </c:pt>
                <c:pt idx="30">
                  <c:v>1216.17</c:v>
                </c:pt>
                <c:pt idx="31">
                  <c:v>1218.82</c:v>
                </c:pt>
                <c:pt idx="32">
                  <c:v>1221.44</c:v>
                </c:pt>
                <c:pt idx="33">
                  <c:v>1224.06</c:v>
                </c:pt>
                <c:pt idx="34">
                  <c:v>1226.92</c:v>
                </c:pt>
                <c:pt idx="35">
                  <c:v>1229.79</c:v>
                </c:pt>
                <c:pt idx="36">
                  <c:v>1232.32</c:v>
                </c:pt>
                <c:pt idx="37">
                  <c:v>1234.8499999999999</c:v>
                </c:pt>
                <c:pt idx="38">
                  <c:v>1238.02</c:v>
                </c:pt>
                <c:pt idx="39">
                  <c:v>1241.18</c:v>
                </c:pt>
                <c:pt idx="40">
                  <c:v>1242.9000000000001</c:v>
                </c:pt>
                <c:pt idx="41">
                  <c:v>1244.6300000000001</c:v>
                </c:pt>
                <c:pt idx="42">
                  <c:v>1247.33</c:v>
                </c:pt>
                <c:pt idx="43">
                  <c:v>1250.03</c:v>
                </c:pt>
                <c:pt idx="44">
                  <c:v>1252.3599999999999</c:v>
                </c:pt>
                <c:pt idx="45">
                  <c:v>1254.69</c:v>
                </c:pt>
                <c:pt idx="46">
                  <c:v>1257.04</c:v>
                </c:pt>
                <c:pt idx="47">
                  <c:v>1259.3900000000001</c:v>
                </c:pt>
                <c:pt idx="48">
                  <c:v>1279.5899999999999</c:v>
                </c:pt>
                <c:pt idx="49">
                  <c:v>1299.8</c:v>
                </c:pt>
                <c:pt idx="50">
                  <c:v>1316.7</c:v>
                </c:pt>
                <c:pt idx="51">
                  <c:v>1333.6</c:v>
                </c:pt>
                <c:pt idx="52">
                  <c:v>1409.21</c:v>
                </c:pt>
                <c:pt idx="53">
                  <c:v>1484.82</c:v>
                </c:pt>
                <c:pt idx="54">
                  <c:v>1560.43</c:v>
                </c:pt>
                <c:pt idx="55">
                  <c:v>1636.04</c:v>
                </c:pt>
                <c:pt idx="56">
                  <c:v>1711.66</c:v>
                </c:pt>
                <c:pt idx="57">
                  <c:v>1787.27</c:v>
                </c:pt>
                <c:pt idx="58">
                  <c:v>1862.88</c:v>
                </c:pt>
                <c:pt idx="59">
                  <c:v>1938.49</c:v>
                </c:pt>
                <c:pt idx="60">
                  <c:v>2014.1</c:v>
                </c:pt>
                <c:pt idx="61">
                  <c:v>2089.71</c:v>
                </c:pt>
                <c:pt idx="62">
                  <c:v>2165.33</c:v>
                </c:pt>
                <c:pt idx="63">
                  <c:v>2240.94</c:v>
                </c:pt>
                <c:pt idx="64">
                  <c:v>2316.5500000000002</c:v>
                </c:pt>
                <c:pt idx="65">
                  <c:v>2392.16</c:v>
                </c:pt>
                <c:pt idx="66">
                  <c:v>2467.77</c:v>
                </c:pt>
                <c:pt idx="67">
                  <c:v>2539.1999999999998</c:v>
                </c:pt>
                <c:pt idx="68">
                  <c:v>2610.63</c:v>
                </c:pt>
                <c:pt idx="69">
                  <c:v>2682.06</c:v>
                </c:pt>
                <c:pt idx="70">
                  <c:v>2753.49</c:v>
                </c:pt>
                <c:pt idx="71">
                  <c:v>2824.92</c:v>
                </c:pt>
                <c:pt idx="72">
                  <c:v>2896.34</c:v>
                </c:pt>
                <c:pt idx="73">
                  <c:v>2967.77</c:v>
                </c:pt>
                <c:pt idx="74">
                  <c:v>3039.2</c:v>
                </c:pt>
                <c:pt idx="75">
                  <c:v>3110.63</c:v>
                </c:pt>
                <c:pt idx="76">
                  <c:v>3182.06</c:v>
                </c:pt>
                <c:pt idx="77">
                  <c:v>3253.49</c:v>
                </c:pt>
                <c:pt idx="78">
                  <c:v>3324.92</c:v>
                </c:pt>
                <c:pt idx="79">
                  <c:v>3396.34</c:v>
                </c:pt>
                <c:pt idx="80">
                  <c:v>3467.77</c:v>
                </c:pt>
                <c:pt idx="81">
                  <c:v>3467.77</c:v>
                </c:pt>
                <c:pt idx="82">
                  <c:v>3542.77</c:v>
                </c:pt>
                <c:pt idx="83">
                  <c:v>3617.77</c:v>
                </c:pt>
                <c:pt idx="84">
                  <c:v>3692.76</c:v>
                </c:pt>
                <c:pt idx="85">
                  <c:v>3767.76</c:v>
                </c:pt>
                <c:pt idx="86">
                  <c:v>3834.42</c:v>
                </c:pt>
                <c:pt idx="87">
                  <c:v>3901.09</c:v>
                </c:pt>
                <c:pt idx="88">
                  <c:v>3967.76</c:v>
                </c:pt>
              </c:numCache>
            </c:numRef>
          </c:yVal>
          <c:smooth val="1"/>
          <c:extLst>
            <c:ext xmlns:c16="http://schemas.microsoft.com/office/drawing/2014/chart" uri="{C3380CC4-5D6E-409C-BE32-E72D297353CC}">
              <c16:uniqueId val="{00000047-75FB-4B9B-8611-8D7716F32BE6}"/>
            </c:ext>
          </c:extLst>
        </c:ser>
        <c:ser>
          <c:idx val="3"/>
          <c:order val="3"/>
          <c:tx>
            <c:v>Case 3</c:v>
          </c:tx>
          <c:spPr>
            <a:ln w="12700">
              <a:solidFill>
                <a:srgbClr val="FF0000"/>
              </a:solidFill>
            </a:ln>
          </c:spPr>
          <c:marker>
            <c:symbol val="none"/>
          </c:marker>
          <c:xVal>
            <c:numRef>
              <c:f>'Downhole Equipment Sens'!$DS$40:$DS$124</c:f>
              <c:numCache>
                <c:formatCode>General</c:formatCode>
                <c:ptCount val="85"/>
                <c:pt idx="0">
                  <c:v>500</c:v>
                </c:pt>
                <c:pt idx="1">
                  <c:v>500.00400000000002</c:v>
                </c:pt>
                <c:pt idx="2">
                  <c:v>500.00900000000001</c:v>
                </c:pt>
                <c:pt idx="3">
                  <c:v>526.58699999999999</c:v>
                </c:pt>
                <c:pt idx="4">
                  <c:v>526.58699999999999</c:v>
                </c:pt>
                <c:pt idx="5">
                  <c:v>562.40300000000002</c:v>
                </c:pt>
                <c:pt idx="6">
                  <c:v>599.57100000000003</c:v>
                </c:pt>
                <c:pt idx="7">
                  <c:v>638.10599999999999</c:v>
                </c:pt>
                <c:pt idx="8">
                  <c:v>678.02200000000005</c:v>
                </c:pt>
                <c:pt idx="9">
                  <c:v>719.33199999999999</c:v>
                </c:pt>
                <c:pt idx="10">
                  <c:v>762.04899999999998</c:v>
                </c:pt>
                <c:pt idx="11">
                  <c:v>806.18299999999999</c:v>
                </c:pt>
                <c:pt idx="12">
                  <c:v>851.74699999999996</c:v>
                </c:pt>
                <c:pt idx="13">
                  <c:v>898.74800000000005</c:v>
                </c:pt>
                <c:pt idx="14">
                  <c:v>947.19500000000005</c:v>
                </c:pt>
                <c:pt idx="15">
                  <c:v>997.09500000000003</c:v>
                </c:pt>
                <c:pt idx="16">
                  <c:v>1048.45</c:v>
                </c:pt>
                <c:pt idx="17">
                  <c:v>1101.27</c:v>
                </c:pt>
                <c:pt idx="18">
                  <c:v>1155.56</c:v>
                </c:pt>
                <c:pt idx="19">
                  <c:v>1211.32</c:v>
                </c:pt>
                <c:pt idx="20">
                  <c:v>1214.67</c:v>
                </c:pt>
                <c:pt idx="21">
                  <c:v>1218.03</c:v>
                </c:pt>
                <c:pt idx="22">
                  <c:v>1243.43</c:v>
                </c:pt>
                <c:pt idx="23">
                  <c:v>1269.1300000000001</c:v>
                </c:pt>
                <c:pt idx="24">
                  <c:v>1270.24</c:v>
                </c:pt>
                <c:pt idx="25">
                  <c:v>1271.3499999999999</c:v>
                </c:pt>
                <c:pt idx="26">
                  <c:v>1280.48</c:v>
                </c:pt>
                <c:pt idx="27">
                  <c:v>1289.6500000000001</c:v>
                </c:pt>
                <c:pt idx="28">
                  <c:v>1292.3699999999999</c:v>
                </c:pt>
                <c:pt idx="29">
                  <c:v>1295.0999999999999</c:v>
                </c:pt>
                <c:pt idx="30">
                  <c:v>1297.8699999999999</c:v>
                </c:pt>
                <c:pt idx="31">
                  <c:v>1300.6400000000001</c:v>
                </c:pt>
                <c:pt idx="32">
                  <c:v>1303.72</c:v>
                </c:pt>
                <c:pt idx="33">
                  <c:v>1306.81</c:v>
                </c:pt>
                <c:pt idx="34">
                  <c:v>1309.58</c:v>
                </c:pt>
                <c:pt idx="35">
                  <c:v>1312.35</c:v>
                </c:pt>
                <c:pt idx="36">
                  <c:v>1315.85</c:v>
                </c:pt>
                <c:pt idx="37">
                  <c:v>1319.35</c:v>
                </c:pt>
                <c:pt idx="38">
                  <c:v>1321.27</c:v>
                </c:pt>
                <c:pt idx="39">
                  <c:v>1323.2</c:v>
                </c:pt>
                <c:pt idx="40">
                  <c:v>1326.22</c:v>
                </c:pt>
                <c:pt idx="41">
                  <c:v>1329.25</c:v>
                </c:pt>
                <c:pt idx="42">
                  <c:v>1331.86</c:v>
                </c:pt>
                <c:pt idx="43">
                  <c:v>1334.48</c:v>
                </c:pt>
                <c:pt idx="44">
                  <c:v>1337.12</c:v>
                </c:pt>
                <c:pt idx="45">
                  <c:v>1339.77</c:v>
                </c:pt>
                <c:pt idx="46">
                  <c:v>1362.64</c:v>
                </c:pt>
                <c:pt idx="47">
                  <c:v>1385.72</c:v>
                </c:pt>
                <c:pt idx="48">
                  <c:v>1405.17</c:v>
                </c:pt>
                <c:pt idx="49">
                  <c:v>1424.77</c:v>
                </c:pt>
                <c:pt idx="50">
                  <c:v>1486.42</c:v>
                </c:pt>
                <c:pt idx="51">
                  <c:v>1549.45</c:v>
                </c:pt>
                <c:pt idx="52">
                  <c:v>1613.86</c:v>
                </c:pt>
                <c:pt idx="53">
                  <c:v>1679.61</c:v>
                </c:pt>
                <c:pt idx="54">
                  <c:v>1746.69</c:v>
                </c:pt>
                <c:pt idx="55">
                  <c:v>1815.09</c:v>
                </c:pt>
                <c:pt idx="56">
                  <c:v>1884.78</c:v>
                </c:pt>
                <c:pt idx="57">
                  <c:v>1955.73</c:v>
                </c:pt>
                <c:pt idx="58">
                  <c:v>2027.91</c:v>
                </c:pt>
                <c:pt idx="59">
                  <c:v>2101.31</c:v>
                </c:pt>
                <c:pt idx="60">
                  <c:v>2175.89</c:v>
                </c:pt>
                <c:pt idx="61">
                  <c:v>2251.62</c:v>
                </c:pt>
                <c:pt idx="62">
                  <c:v>2328.46</c:v>
                </c:pt>
                <c:pt idx="63">
                  <c:v>2406.36</c:v>
                </c:pt>
                <c:pt idx="64">
                  <c:v>2485.2600000000002</c:v>
                </c:pt>
                <c:pt idx="65">
                  <c:v>2551.4299999999998</c:v>
                </c:pt>
                <c:pt idx="66">
                  <c:v>2618.27</c:v>
                </c:pt>
                <c:pt idx="67">
                  <c:v>2685.79</c:v>
                </c:pt>
                <c:pt idx="68">
                  <c:v>2753.96</c:v>
                </c:pt>
                <c:pt idx="69">
                  <c:v>2822.77</c:v>
                </c:pt>
                <c:pt idx="70">
                  <c:v>2892.19</c:v>
                </c:pt>
                <c:pt idx="71">
                  <c:v>2962.22</c:v>
                </c:pt>
                <c:pt idx="72">
                  <c:v>3032.83</c:v>
                </c:pt>
                <c:pt idx="73">
                  <c:v>3104.01</c:v>
                </c:pt>
                <c:pt idx="74">
                  <c:v>3175.74</c:v>
                </c:pt>
                <c:pt idx="75">
                  <c:v>3248</c:v>
                </c:pt>
                <c:pt idx="76">
                  <c:v>3320.76</c:v>
                </c:pt>
                <c:pt idx="77">
                  <c:v>3394.01</c:v>
                </c:pt>
                <c:pt idx="78">
                  <c:v>3467.69</c:v>
                </c:pt>
                <c:pt idx="79">
                  <c:v>3521.3</c:v>
                </c:pt>
                <c:pt idx="80">
                  <c:v>3575.16</c:v>
                </c:pt>
                <c:pt idx="81">
                  <c:v>3629.29</c:v>
                </c:pt>
                <c:pt idx="82">
                  <c:v>5608.83</c:v>
                </c:pt>
                <c:pt idx="83">
                  <c:v>5658.51</c:v>
                </c:pt>
                <c:pt idx="84">
                  <c:v>5708.29</c:v>
                </c:pt>
              </c:numCache>
            </c:numRef>
          </c:xVal>
          <c:yVal>
            <c:numRef>
              <c:f>'Downhole Equipment Sens'!$DR$40:$DR$124</c:f>
              <c:numCache>
                <c:formatCode>General</c:formatCode>
                <c:ptCount val="85"/>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3">
                  <c:v>672.73900000000003</c:v>
                </c:pt>
                <c:pt idx="14">
                  <c:v>747.48699999999997</c:v>
                </c:pt>
                <c:pt idx="15">
                  <c:v>822.23599999999999</c:v>
                </c:pt>
                <c:pt idx="16">
                  <c:v>896.98500000000001</c:v>
                </c:pt>
                <c:pt idx="17">
                  <c:v>971.73400000000004</c:v>
                </c:pt>
                <c:pt idx="18">
                  <c:v>1046.48</c:v>
                </c:pt>
                <c:pt idx="19">
                  <c:v>1121.23</c:v>
                </c:pt>
                <c:pt idx="20">
                  <c:v>1125.5</c:v>
                </c:pt>
                <c:pt idx="21">
                  <c:v>1129.76</c:v>
                </c:pt>
                <c:pt idx="22">
                  <c:v>1160.8</c:v>
                </c:pt>
                <c:pt idx="23">
                  <c:v>1191.8399999999999</c:v>
                </c:pt>
                <c:pt idx="24">
                  <c:v>1193.04</c:v>
                </c:pt>
                <c:pt idx="25">
                  <c:v>1194.25</c:v>
                </c:pt>
                <c:pt idx="26">
                  <c:v>1203.8800000000001</c:v>
                </c:pt>
                <c:pt idx="27">
                  <c:v>1213.51</c:v>
                </c:pt>
                <c:pt idx="28">
                  <c:v>1216.17</c:v>
                </c:pt>
                <c:pt idx="29">
                  <c:v>1218.82</c:v>
                </c:pt>
                <c:pt idx="30">
                  <c:v>1221.44</c:v>
                </c:pt>
                <c:pt idx="31">
                  <c:v>1224.06</c:v>
                </c:pt>
                <c:pt idx="32">
                  <c:v>1226.92</c:v>
                </c:pt>
                <c:pt idx="33">
                  <c:v>1229.79</c:v>
                </c:pt>
                <c:pt idx="34">
                  <c:v>1232.32</c:v>
                </c:pt>
                <c:pt idx="35">
                  <c:v>1234.8499999999999</c:v>
                </c:pt>
                <c:pt idx="36">
                  <c:v>1238.02</c:v>
                </c:pt>
                <c:pt idx="37">
                  <c:v>1241.18</c:v>
                </c:pt>
                <c:pt idx="38">
                  <c:v>1242.9000000000001</c:v>
                </c:pt>
                <c:pt idx="39">
                  <c:v>1244.6300000000001</c:v>
                </c:pt>
                <c:pt idx="40">
                  <c:v>1247.33</c:v>
                </c:pt>
                <c:pt idx="41">
                  <c:v>1250.03</c:v>
                </c:pt>
                <c:pt idx="42">
                  <c:v>1252.3599999999999</c:v>
                </c:pt>
                <c:pt idx="43">
                  <c:v>1254.69</c:v>
                </c:pt>
                <c:pt idx="44">
                  <c:v>1257.04</c:v>
                </c:pt>
                <c:pt idx="45">
                  <c:v>1259.3900000000001</c:v>
                </c:pt>
                <c:pt idx="46">
                  <c:v>1279.5899999999999</c:v>
                </c:pt>
                <c:pt idx="47">
                  <c:v>1299.8</c:v>
                </c:pt>
                <c:pt idx="48">
                  <c:v>1316.7</c:v>
                </c:pt>
                <c:pt idx="49">
                  <c:v>1333.6</c:v>
                </c:pt>
                <c:pt idx="50">
                  <c:v>1409.21</c:v>
                </c:pt>
                <c:pt idx="51">
                  <c:v>1484.82</c:v>
                </c:pt>
                <c:pt idx="52">
                  <c:v>1560.43</c:v>
                </c:pt>
                <c:pt idx="53">
                  <c:v>1636.04</c:v>
                </c:pt>
                <c:pt idx="54">
                  <c:v>1711.66</c:v>
                </c:pt>
                <c:pt idx="55">
                  <c:v>1787.27</c:v>
                </c:pt>
                <c:pt idx="56">
                  <c:v>1862.88</c:v>
                </c:pt>
                <c:pt idx="57">
                  <c:v>1938.49</c:v>
                </c:pt>
                <c:pt idx="58">
                  <c:v>2014.1</c:v>
                </c:pt>
                <c:pt idx="59">
                  <c:v>2089.71</c:v>
                </c:pt>
                <c:pt idx="60">
                  <c:v>2165.33</c:v>
                </c:pt>
                <c:pt idx="61">
                  <c:v>2240.94</c:v>
                </c:pt>
                <c:pt idx="62">
                  <c:v>2316.5500000000002</c:v>
                </c:pt>
                <c:pt idx="63">
                  <c:v>2392.16</c:v>
                </c:pt>
                <c:pt idx="64">
                  <c:v>2467.77</c:v>
                </c:pt>
                <c:pt idx="65">
                  <c:v>2539.1999999999998</c:v>
                </c:pt>
                <c:pt idx="66">
                  <c:v>2610.63</c:v>
                </c:pt>
                <c:pt idx="67">
                  <c:v>2682.06</c:v>
                </c:pt>
                <c:pt idx="68">
                  <c:v>2753.49</c:v>
                </c:pt>
                <c:pt idx="69">
                  <c:v>2824.92</c:v>
                </c:pt>
                <c:pt idx="70">
                  <c:v>2896.34</c:v>
                </c:pt>
                <c:pt idx="71">
                  <c:v>2967.77</c:v>
                </c:pt>
                <c:pt idx="72">
                  <c:v>3039.2</c:v>
                </c:pt>
                <c:pt idx="73">
                  <c:v>3110.63</c:v>
                </c:pt>
                <c:pt idx="74">
                  <c:v>3182.06</c:v>
                </c:pt>
                <c:pt idx="75">
                  <c:v>3253.49</c:v>
                </c:pt>
                <c:pt idx="76">
                  <c:v>3324.92</c:v>
                </c:pt>
                <c:pt idx="77">
                  <c:v>3396.34</c:v>
                </c:pt>
                <c:pt idx="78">
                  <c:v>3467.77</c:v>
                </c:pt>
                <c:pt idx="79">
                  <c:v>3534.44</c:v>
                </c:pt>
                <c:pt idx="80">
                  <c:v>3601.11</c:v>
                </c:pt>
                <c:pt idx="81">
                  <c:v>3667.77</c:v>
                </c:pt>
                <c:pt idx="82">
                  <c:v>3667.77</c:v>
                </c:pt>
                <c:pt idx="83">
                  <c:v>3717.77</c:v>
                </c:pt>
                <c:pt idx="84">
                  <c:v>3767.76</c:v>
                </c:pt>
              </c:numCache>
            </c:numRef>
          </c:yVal>
          <c:smooth val="1"/>
          <c:extLst>
            <c:ext xmlns:c16="http://schemas.microsoft.com/office/drawing/2014/chart" uri="{C3380CC4-5D6E-409C-BE32-E72D297353CC}">
              <c16:uniqueId val="{00000048-75FB-4B9B-8611-8D7716F32BE6}"/>
            </c:ext>
          </c:extLst>
        </c:ser>
        <c:ser>
          <c:idx val="4"/>
          <c:order val="4"/>
          <c:tx>
            <c:v>SOL 0</c:v>
          </c:tx>
          <c:marker>
            <c:symbol val="circle"/>
            <c:size val="8"/>
            <c:spPr>
              <a:solidFill>
                <a:srgbClr val="FF0000"/>
              </a:solidFill>
              <a:ln>
                <a:solidFill>
                  <a:srgbClr val="000000"/>
                </a:solidFill>
                <a:prstDash val="solid"/>
              </a:ln>
            </c:spPr>
          </c:marker>
          <c:xVal>
            <c:numRef>
              <c:f>'Downhole Equipment Sens'!$AG$75</c:f>
              <c:numCache>
                <c:formatCode>0.0;\-0.0;"--"</c:formatCode>
                <c:ptCount val="1"/>
                <c:pt idx="0">
                  <c:v>870.51700000000005</c:v>
                </c:pt>
              </c:numCache>
            </c:numRef>
          </c:xVal>
          <c:yVal>
            <c:numRef>
              <c:f>'Downhole Equipment Sens'!$AE$75</c:f>
              <c:numCache>
                <c:formatCode>0.0;\-0.0;"--"</c:formatCode>
                <c:ptCount val="1"/>
                <c:pt idx="0">
                  <c:v>1219.98</c:v>
                </c:pt>
              </c:numCache>
            </c:numRef>
          </c:yVal>
          <c:smooth val="1"/>
          <c:extLst>
            <c:ext xmlns:c16="http://schemas.microsoft.com/office/drawing/2014/chart" uri="{C3380CC4-5D6E-409C-BE32-E72D297353CC}">
              <c16:uniqueId val="{00000049-75FB-4B9B-8611-8D7716F32BE6}"/>
            </c:ext>
          </c:extLst>
        </c:ser>
        <c:ser>
          <c:idx val="5"/>
          <c:order val="5"/>
          <c:tx>
            <c:v>SOL 1</c:v>
          </c:tx>
          <c:marker>
            <c:symbol val="circle"/>
            <c:size val="8"/>
            <c:spPr>
              <a:solidFill>
                <a:srgbClr val="FFFF00"/>
              </a:solidFill>
              <a:ln>
                <a:solidFill>
                  <a:srgbClr val="000000"/>
                </a:solidFill>
                <a:prstDash val="solid"/>
              </a:ln>
            </c:spPr>
          </c:marker>
          <c:xVal>
            <c:numRef>
              <c:f>'Downhole Equipment Sens'!$BK$107</c:f>
              <c:numCache>
                <c:formatCode>0.0;\-0.0;"--"</c:formatCode>
                <c:ptCount val="1"/>
                <c:pt idx="0">
                  <c:v>1094.6099999999999</c:v>
                </c:pt>
              </c:numCache>
            </c:numRef>
          </c:xVal>
          <c:yVal>
            <c:numRef>
              <c:f>'Downhole Equipment Sens'!$BI$107</c:f>
              <c:numCache>
                <c:formatCode>0.0;\-0.0;"--"</c:formatCode>
                <c:ptCount val="1"/>
                <c:pt idx="0">
                  <c:v>2499.98</c:v>
                </c:pt>
              </c:numCache>
            </c:numRef>
          </c:yVal>
          <c:smooth val="1"/>
          <c:extLst>
            <c:ext xmlns:c16="http://schemas.microsoft.com/office/drawing/2014/chart" uri="{C3380CC4-5D6E-409C-BE32-E72D297353CC}">
              <c16:uniqueId val="{0000004A-75FB-4B9B-8611-8D7716F32BE6}"/>
            </c:ext>
          </c:extLst>
        </c:ser>
        <c:ser>
          <c:idx val="6"/>
          <c:order val="6"/>
          <c:tx>
            <c:v>SOL 2</c:v>
          </c:tx>
          <c:marker>
            <c:symbol val="circle"/>
            <c:size val="8"/>
            <c:spPr>
              <a:solidFill>
                <a:srgbClr val="0000FF"/>
              </a:solidFill>
              <a:ln>
                <a:solidFill>
                  <a:srgbClr val="000000"/>
                </a:solidFill>
                <a:prstDash val="solid"/>
              </a:ln>
            </c:spPr>
          </c:marker>
          <c:xVal>
            <c:numRef>
              <c:f>'Downhole Equipment Sens'!$CO$120</c:f>
              <c:numCache>
                <c:formatCode>General</c:formatCode>
                <c:ptCount val="1"/>
                <c:pt idx="0">
                  <c:v>1240.6199999999999</c:v>
                </c:pt>
              </c:numCache>
            </c:numRef>
          </c:xVal>
          <c:yVal>
            <c:numRef>
              <c:f>'Downhole Equipment Sens'!$CM$120</c:f>
              <c:numCache>
                <c:formatCode>General</c:formatCode>
                <c:ptCount val="1"/>
                <c:pt idx="0">
                  <c:v>3499.98</c:v>
                </c:pt>
              </c:numCache>
            </c:numRef>
          </c:yVal>
          <c:smooth val="1"/>
          <c:extLst>
            <c:ext xmlns:c16="http://schemas.microsoft.com/office/drawing/2014/chart" uri="{C3380CC4-5D6E-409C-BE32-E72D297353CC}">
              <c16:uniqueId val="{0000004B-75FB-4B9B-8611-8D7716F32BE6}"/>
            </c:ext>
          </c:extLst>
        </c:ser>
        <c:ser>
          <c:idx val="7"/>
          <c:order val="7"/>
          <c:tx>
            <c:v>SOL 3</c:v>
          </c:tx>
          <c:marker>
            <c:symbol val="circle"/>
            <c:size val="8"/>
            <c:spPr>
              <a:solidFill>
                <a:srgbClr val="00CC00"/>
              </a:solidFill>
              <a:ln>
                <a:solidFill>
                  <a:srgbClr val="000000"/>
                </a:solidFill>
                <a:prstDash val="solid"/>
              </a:ln>
            </c:spPr>
          </c:marker>
          <c:xVal>
            <c:numRef>
              <c:f>'Downhole Equipment Sens'!$DS$121</c:f>
              <c:numCache>
                <c:formatCode>General</c:formatCode>
                <c:ptCount val="1"/>
                <c:pt idx="0">
                  <c:v>3629.29</c:v>
                </c:pt>
              </c:numCache>
            </c:numRef>
          </c:xVal>
          <c:yVal>
            <c:numRef>
              <c:f>'Downhole Equipment Sens'!$DQ$121</c:f>
              <c:numCache>
                <c:formatCode>General</c:formatCode>
                <c:ptCount val="1"/>
                <c:pt idx="0">
                  <c:v>3699.98</c:v>
                </c:pt>
              </c:numCache>
            </c:numRef>
          </c:yVal>
          <c:smooth val="1"/>
          <c:extLst>
            <c:ext xmlns:c16="http://schemas.microsoft.com/office/drawing/2014/chart" uri="{C3380CC4-5D6E-409C-BE32-E72D297353CC}">
              <c16:uniqueId val="{0000004C-75FB-4B9B-8611-8D7716F32BE6}"/>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640"/>
        <c:crossesAt val="0"/>
        <c:crossBetween val="midCat"/>
      </c:valAx>
      <c:valAx>
        <c:axId val="54568640"/>
        <c:scaling>
          <c:orientation val="maxMin"/>
          <c:min val="0"/>
        </c:scaling>
        <c:delete val="0"/>
        <c:axPos val="l"/>
        <c:majorGridlines>
          <c:spPr>
            <a:ln w="3175">
              <a:solidFill>
                <a:schemeClr val="bg1">
                  <a:lumMod val="95000"/>
                </a:schemeClr>
              </a:solidFill>
              <a:prstDash val="sysDash"/>
            </a:ln>
          </c:spPr>
        </c:majorGridlines>
        <c:title>
          <c:tx>
            <c:rich>
              <a:bodyPr/>
              <a:lstStyle/>
              <a:p>
                <a:pPr>
                  <a:defRPr/>
                </a:pPr>
                <a:r>
                  <a:rPr lang="es-BO"/>
                  <a:t>Depth</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Multi_Layer_Sens!$AD$10:$AD$29</c:f>
              <c:numCache>
                <c:formatCode>#,##0.00</c:formatCode>
                <c:ptCount val="20"/>
                <c:pt idx="0">
                  <c:v>3.6800800000000002E-2</c:v>
                </c:pt>
                <c:pt idx="1">
                  <c:v>1.9702</c:v>
                </c:pt>
                <c:pt idx="2">
                  <c:v>3.9035899999999999</c:v>
                </c:pt>
                <c:pt idx="3">
                  <c:v>5.8369900000000001</c:v>
                </c:pt>
                <c:pt idx="4">
                  <c:v>7.7703899999999999</c:v>
                </c:pt>
                <c:pt idx="5">
                  <c:v>9.7037800000000001</c:v>
                </c:pt>
                <c:pt idx="6">
                  <c:v>11.6372</c:v>
                </c:pt>
                <c:pt idx="7">
                  <c:v>13.570600000000001</c:v>
                </c:pt>
                <c:pt idx="8">
                  <c:v>15.504</c:v>
                </c:pt>
                <c:pt idx="9">
                  <c:v>17.4374</c:v>
                </c:pt>
                <c:pt idx="10">
                  <c:v>19.370799999999999</c:v>
                </c:pt>
                <c:pt idx="11">
                  <c:v>21.304200000000002</c:v>
                </c:pt>
                <c:pt idx="12">
                  <c:v>23.2376</c:v>
                </c:pt>
                <c:pt idx="13">
                  <c:v>25.170999999999999</c:v>
                </c:pt>
                <c:pt idx="14">
                  <c:v>27.104399999999998</c:v>
                </c:pt>
                <c:pt idx="15">
                  <c:v>29.037800000000001</c:v>
                </c:pt>
                <c:pt idx="16">
                  <c:v>30.9712</c:v>
                </c:pt>
                <c:pt idx="17">
                  <c:v>32.904600000000002</c:v>
                </c:pt>
                <c:pt idx="18">
                  <c:v>34.837899999999998</c:v>
                </c:pt>
                <c:pt idx="19">
                  <c:v>36.771299999999997</c:v>
                </c:pt>
              </c:numCache>
            </c:numRef>
          </c:xVal>
          <c:yVal>
            <c:numRef>
              <c:f>Multi_Layer_Sens!$AE$10:$AE$29</c:f>
              <c:numCache>
                <c:formatCode>#,##0.00</c:formatCode>
                <c:ptCount val="20"/>
                <c:pt idx="0">
                  <c:v>4126.93</c:v>
                </c:pt>
                <c:pt idx="1">
                  <c:v>1145.78</c:v>
                </c:pt>
                <c:pt idx="2">
                  <c:v>1694.35</c:v>
                </c:pt>
                <c:pt idx="3">
                  <c:v>1857.12</c:v>
                </c:pt>
                <c:pt idx="4">
                  <c:v>2074.62</c:v>
                </c:pt>
                <c:pt idx="5">
                  <c:v>2353.21</c:v>
                </c:pt>
                <c:pt idx="6">
                  <c:v>2673.8</c:v>
                </c:pt>
                <c:pt idx="7">
                  <c:v>3008.11</c:v>
                </c:pt>
                <c:pt idx="8">
                  <c:v>3340.9</c:v>
                </c:pt>
                <c:pt idx="9">
                  <c:v>3666.75</c:v>
                </c:pt>
                <c:pt idx="10">
                  <c:v>3992.79</c:v>
                </c:pt>
                <c:pt idx="11">
                  <c:v>4320.24</c:v>
                </c:pt>
                <c:pt idx="12">
                  <c:v>4650.34</c:v>
                </c:pt>
                <c:pt idx="13">
                  <c:v>4984.55</c:v>
                </c:pt>
                <c:pt idx="14">
                  <c:v>5324.71</c:v>
                </c:pt>
                <c:pt idx="15">
                  <c:v>5673.7</c:v>
                </c:pt>
                <c:pt idx="16">
                  <c:v>6037.5</c:v>
                </c:pt>
                <c:pt idx="17">
                  <c:v>6429.58</c:v>
                </c:pt>
                <c:pt idx="18">
                  <c:v>6804.52</c:v>
                </c:pt>
                <c:pt idx="19">
                  <c:v>7166.31</c:v>
                </c:pt>
              </c:numCache>
            </c:numRef>
          </c:yVal>
          <c:smooth val="1"/>
          <c:extLst>
            <c:ext xmlns:c16="http://schemas.microsoft.com/office/drawing/2014/chart" uri="{C3380CC4-5D6E-409C-BE32-E72D297353CC}">
              <c16:uniqueId val="{00000036-D191-4080-90CB-189A86C8FDE4}"/>
            </c:ext>
          </c:extLst>
        </c:ser>
        <c:ser>
          <c:idx val="1"/>
          <c:order val="1"/>
          <c:tx>
            <c:v>Gas Rate 0</c:v>
          </c:tx>
          <c:spPr>
            <a:ln w="12700">
              <a:solidFill>
                <a:srgbClr val="000000"/>
              </a:solidFill>
            </a:ln>
          </c:spPr>
          <c:marker>
            <c:symbol val="none"/>
          </c:marker>
          <c:xVal>
            <c:numRef>
              <c:f>Multi_Layer_Sens!$AD$10:$AD$29</c:f>
              <c:numCache>
                <c:formatCode>#,##0.00</c:formatCode>
                <c:ptCount val="20"/>
                <c:pt idx="0">
                  <c:v>3.6800800000000002E-2</c:v>
                </c:pt>
                <c:pt idx="1">
                  <c:v>1.9702</c:v>
                </c:pt>
                <c:pt idx="2">
                  <c:v>3.9035899999999999</c:v>
                </c:pt>
                <c:pt idx="3">
                  <c:v>5.8369900000000001</c:v>
                </c:pt>
                <c:pt idx="4">
                  <c:v>7.7703899999999999</c:v>
                </c:pt>
                <c:pt idx="5">
                  <c:v>9.7037800000000001</c:v>
                </c:pt>
                <c:pt idx="6">
                  <c:v>11.6372</c:v>
                </c:pt>
                <c:pt idx="7">
                  <c:v>13.570600000000001</c:v>
                </c:pt>
                <c:pt idx="8">
                  <c:v>15.504</c:v>
                </c:pt>
                <c:pt idx="9">
                  <c:v>17.4374</c:v>
                </c:pt>
                <c:pt idx="10">
                  <c:v>19.370799999999999</c:v>
                </c:pt>
                <c:pt idx="11">
                  <c:v>21.304200000000002</c:v>
                </c:pt>
                <c:pt idx="12">
                  <c:v>23.2376</c:v>
                </c:pt>
                <c:pt idx="13">
                  <c:v>25.170999999999999</c:v>
                </c:pt>
                <c:pt idx="14">
                  <c:v>27.104399999999998</c:v>
                </c:pt>
                <c:pt idx="15">
                  <c:v>29.037800000000001</c:v>
                </c:pt>
                <c:pt idx="16">
                  <c:v>30.9712</c:v>
                </c:pt>
                <c:pt idx="17">
                  <c:v>32.904600000000002</c:v>
                </c:pt>
                <c:pt idx="18">
                  <c:v>34.837899999999998</c:v>
                </c:pt>
                <c:pt idx="19">
                  <c:v>36.771299999999997</c:v>
                </c:pt>
              </c:numCache>
            </c:numRef>
          </c:xVal>
          <c:yVal>
            <c:numRef>
              <c:f>Multi_Layer_Sens!$AF$10:$AF$29</c:f>
              <c:numCache>
                <c:formatCode>#,##0.00</c:formatCode>
                <c:ptCount val="20"/>
                <c:pt idx="0">
                  <c:v>1907.97</c:v>
                </c:pt>
                <c:pt idx="1">
                  <c:v>1854.5</c:v>
                </c:pt>
                <c:pt idx="2">
                  <c:v>1799.74</c:v>
                </c:pt>
                <c:pt idx="3">
                  <c:v>1743.58</c:v>
                </c:pt>
                <c:pt idx="4">
                  <c:v>1685.86</c:v>
                </c:pt>
                <c:pt idx="5">
                  <c:v>1626.43</c:v>
                </c:pt>
                <c:pt idx="6">
                  <c:v>1565.09</c:v>
                </c:pt>
                <c:pt idx="7">
                  <c:v>1501.6</c:v>
                </c:pt>
                <c:pt idx="8">
                  <c:v>1435.69</c:v>
                </c:pt>
                <c:pt idx="9">
                  <c:v>1366.99</c:v>
                </c:pt>
                <c:pt idx="10">
                  <c:v>1295.07</c:v>
                </c:pt>
                <c:pt idx="11">
                  <c:v>1219.3599999999999</c:v>
                </c:pt>
                <c:pt idx="12">
                  <c:v>1139.0999999999999</c:v>
                </c:pt>
                <c:pt idx="13">
                  <c:v>1053.25</c:v>
                </c:pt>
                <c:pt idx="14">
                  <c:v>960.31600000000003</c:v>
                </c:pt>
                <c:pt idx="15">
                  <c:v>857.99599999999998</c:v>
                </c:pt>
                <c:pt idx="16">
                  <c:v>742.41899999999998</c:v>
                </c:pt>
                <c:pt idx="17">
                  <c:v>606.05100000000004</c:v>
                </c:pt>
                <c:pt idx="18">
                  <c:v>429.52199999999999</c:v>
                </c:pt>
                <c:pt idx="19">
                  <c:v>52.55</c:v>
                </c:pt>
              </c:numCache>
            </c:numRef>
          </c:yVal>
          <c:smooth val="1"/>
          <c:extLst>
            <c:ext xmlns:c16="http://schemas.microsoft.com/office/drawing/2014/chart" uri="{C3380CC4-5D6E-409C-BE32-E72D297353CC}">
              <c16:uniqueId val="{00000037-D191-4080-90CB-189A86C8FDE4}"/>
            </c:ext>
          </c:extLst>
        </c:ser>
        <c:ser>
          <c:idx val="2"/>
          <c:order val="2"/>
          <c:tx>
            <c:v>VLP 1</c:v>
          </c:tx>
          <c:spPr>
            <a:ln w="12700">
              <a:solidFill>
                <a:srgbClr val="FF0000"/>
              </a:solidFill>
            </a:ln>
          </c:spPr>
          <c:marker>
            <c:symbol val="none"/>
          </c:marker>
          <c:xVal>
            <c:numRef>
              <c:f>Multi_Layer_Sens!$AG$10:$AG$29</c:f>
              <c:numCache>
                <c:formatCode>#,##0.00</c:formatCode>
                <c:ptCount val="20"/>
                <c:pt idx="0">
                  <c:v>7.4400099999999997E-2</c:v>
                </c:pt>
                <c:pt idx="1">
                  <c:v>3.9831500000000002</c:v>
                </c:pt>
                <c:pt idx="2">
                  <c:v>7.8918999999999997</c:v>
                </c:pt>
                <c:pt idx="3">
                  <c:v>11.800599999999999</c:v>
                </c:pt>
                <c:pt idx="4">
                  <c:v>15.7094</c:v>
                </c:pt>
                <c:pt idx="5">
                  <c:v>19.618099999999998</c:v>
                </c:pt>
                <c:pt idx="6">
                  <c:v>23.526900000000001</c:v>
                </c:pt>
                <c:pt idx="7">
                  <c:v>27.435600000000001</c:v>
                </c:pt>
                <c:pt idx="8">
                  <c:v>31.3444</c:v>
                </c:pt>
                <c:pt idx="9">
                  <c:v>35.253100000000003</c:v>
                </c:pt>
                <c:pt idx="10">
                  <c:v>39.161900000000003</c:v>
                </c:pt>
                <c:pt idx="11">
                  <c:v>43.070599999999999</c:v>
                </c:pt>
                <c:pt idx="12">
                  <c:v>46.979399999999998</c:v>
                </c:pt>
                <c:pt idx="13">
                  <c:v>50.888100000000001</c:v>
                </c:pt>
                <c:pt idx="14">
                  <c:v>54.796900000000001</c:v>
                </c:pt>
                <c:pt idx="15">
                  <c:v>58.705599999999997</c:v>
                </c:pt>
                <c:pt idx="16">
                  <c:v>62.614400000000003</c:v>
                </c:pt>
                <c:pt idx="17">
                  <c:v>66.523099999999999</c:v>
                </c:pt>
                <c:pt idx="18">
                  <c:v>70.431899999999999</c:v>
                </c:pt>
                <c:pt idx="19">
                  <c:v>74.340599999999995</c:v>
                </c:pt>
              </c:numCache>
            </c:numRef>
          </c:xVal>
          <c:yVal>
            <c:numRef>
              <c:f>Multi_Layer_Sens!$AH$10:$AH$29</c:f>
              <c:numCache>
                <c:formatCode>#,##0.00</c:formatCode>
                <c:ptCount val="20"/>
                <c:pt idx="0">
                  <c:v>4332.67</c:v>
                </c:pt>
                <c:pt idx="1">
                  <c:v>1692.65</c:v>
                </c:pt>
                <c:pt idx="2">
                  <c:v>2082.61</c:v>
                </c:pt>
                <c:pt idx="3">
                  <c:v>2695.53</c:v>
                </c:pt>
                <c:pt idx="4">
                  <c:v>3368.66</c:v>
                </c:pt>
                <c:pt idx="5">
                  <c:v>4027.12</c:v>
                </c:pt>
                <c:pt idx="6">
                  <c:v>4691.8900000000003</c:v>
                </c:pt>
                <c:pt idx="7">
                  <c:v>5374.69</c:v>
                </c:pt>
                <c:pt idx="8">
                  <c:v>6099.98</c:v>
                </c:pt>
                <c:pt idx="9">
                  <c:v>6871.34</c:v>
                </c:pt>
                <c:pt idx="10">
                  <c:v>7612.92</c:v>
                </c:pt>
                <c:pt idx="11">
                  <c:v>8383.69</c:v>
                </c:pt>
                <c:pt idx="12">
                  <c:v>9178.0300000000007</c:v>
                </c:pt>
                <c:pt idx="13">
                  <c:v>10001.6</c:v>
                </c:pt>
                <c:pt idx="14">
                  <c:v>10860.8</c:v>
                </c:pt>
                <c:pt idx="15">
                  <c:v>11746.6</c:v>
                </c:pt>
                <c:pt idx="16">
                  <c:v>12665.6</c:v>
                </c:pt>
              </c:numCache>
            </c:numRef>
          </c:yVal>
          <c:smooth val="1"/>
          <c:extLst>
            <c:ext xmlns:c16="http://schemas.microsoft.com/office/drawing/2014/chart" uri="{C3380CC4-5D6E-409C-BE32-E72D297353CC}">
              <c16:uniqueId val="{00000038-D191-4080-90CB-189A86C8FDE4}"/>
            </c:ext>
          </c:extLst>
        </c:ser>
        <c:ser>
          <c:idx val="3"/>
          <c:order val="3"/>
          <c:tx>
            <c:v>Gas Rate 1</c:v>
          </c:tx>
          <c:spPr>
            <a:ln w="12700">
              <a:solidFill>
                <a:srgbClr val="000000"/>
              </a:solidFill>
            </a:ln>
          </c:spPr>
          <c:marker>
            <c:symbol val="none"/>
          </c:marker>
          <c:xVal>
            <c:numRef>
              <c:f>Multi_Layer_Sens!$AG$10:$AG$29</c:f>
              <c:numCache>
                <c:formatCode>#,##0.00</c:formatCode>
                <c:ptCount val="20"/>
                <c:pt idx="0">
                  <c:v>7.4400099999999997E-2</c:v>
                </c:pt>
                <c:pt idx="1">
                  <c:v>3.9831500000000002</c:v>
                </c:pt>
                <c:pt idx="2">
                  <c:v>7.8918999999999997</c:v>
                </c:pt>
                <c:pt idx="3">
                  <c:v>11.800599999999999</c:v>
                </c:pt>
                <c:pt idx="4">
                  <c:v>15.7094</c:v>
                </c:pt>
                <c:pt idx="5">
                  <c:v>19.618099999999998</c:v>
                </c:pt>
                <c:pt idx="6">
                  <c:v>23.526900000000001</c:v>
                </c:pt>
                <c:pt idx="7">
                  <c:v>27.435600000000001</c:v>
                </c:pt>
                <c:pt idx="8">
                  <c:v>31.3444</c:v>
                </c:pt>
                <c:pt idx="9">
                  <c:v>35.253100000000003</c:v>
                </c:pt>
                <c:pt idx="10">
                  <c:v>39.161900000000003</c:v>
                </c:pt>
                <c:pt idx="11">
                  <c:v>43.070599999999999</c:v>
                </c:pt>
                <c:pt idx="12">
                  <c:v>46.979399999999998</c:v>
                </c:pt>
                <c:pt idx="13">
                  <c:v>50.888100000000001</c:v>
                </c:pt>
                <c:pt idx="14">
                  <c:v>54.796900000000001</c:v>
                </c:pt>
                <c:pt idx="15">
                  <c:v>58.705599999999997</c:v>
                </c:pt>
                <c:pt idx="16">
                  <c:v>62.614400000000003</c:v>
                </c:pt>
                <c:pt idx="17">
                  <c:v>66.523099999999999</c:v>
                </c:pt>
                <c:pt idx="18">
                  <c:v>70.431899999999999</c:v>
                </c:pt>
                <c:pt idx="19">
                  <c:v>74.340599999999995</c:v>
                </c:pt>
              </c:numCache>
            </c:numRef>
          </c:xVal>
          <c:yVal>
            <c:numRef>
              <c:f>Multi_Layer_Sens!$AI$10:$AI$29</c:f>
              <c:numCache>
                <c:formatCode>#,##0.00</c:formatCode>
                <c:ptCount val="20"/>
                <c:pt idx="0">
                  <c:v>1906.23</c:v>
                </c:pt>
                <c:pt idx="1">
                  <c:v>1852.88</c:v>
                </c:pt>
                <c:pt idx="2">
                  <c:v>1798.24</c:v>
                </c:pt>
                <c:pt idx="3">
                  <c:v>1742.18</c:v>
                </c:pt>
                <c:pt idx="4">
                  <c:v>1684.58</c:v>
                </c:pt>
                <c:pt idx="5">
                  <c:v>1625.25</c:v>
                </c:pt>
                <c:pt idx="6">
                  <c:v>1564.02</c:v>
                </c:pt>
                <c:pt idx="7">
                  <c:v>1500.63</c:v>
                </c:pt>
                <c:pt idx="8">
                  <c:v>1434.82</c:v>
                </c:pt>
                <c:pt idx="9">
                  <c:v>1366.21</c:v>
                </c:pt>
                <c:pt idx="10">
                  <c:v>1294.3900000000001</c:v>
                </c:pt>
                <c:pt idx="11">
                  <c:v>1218.76</c:v>
                </c:pt>
                <c:pt idx="12">
                  <c:v>1138.5899999999999</c:v>
                </c:pt>
                <c:pt idx="13">
                  <c:v>1052.82</c:v>
                </c:pt>
                <c:pt idx="14">
                  <c:v>959.96299999999997</c:v>
                </c:pt>
                <c:pt idx="15">
                  <c:v>857.71500000000003</c:v>
                </c:pt>
                <c:pt idx="16">
                  <c:v>742.20699999999999</c:v>
                </c:pt>
                <c:pt idx="17">
                  <c:v>605.90200000000004</c:v>
                </c:pt>
                <c:pt idx="18">
                  <c:v>429.43200000000002</c:v>
                </c:pt>
                <c:pt idx="19">
                  <c:v>52.514299999999999</c:v>
                </c:pt>
              </c:numCache>
            </c:numRef>
          </c:yVal>
          <c:smooth val="1"/>
          <c:extLst>
            <c:ext xmlns:c16="http://schemas.microsoft.com/office/drawing/2014/chart" uri="{C3380CC4-5D6E-409C-BE32-E72D297353CC}">
              <c16:uniqueId val="{00000039-D191-4080-90CB-189A86C8FDE4}"/>
            </c:ext>
          </c:extLst>
        </c:ser>
        <c:ser>
          <c:idx val="4"/>
          <c:order val="4"/>
          <c:tx>
            <c:v>VLP 2</c:v>
          </c:tx>
          <c:spPr>
            <a:ln w="12700">
              <a:solidFill>
                <a:srgbClr val="FF0000"/>
              </a:solidFill>
            </a:ln>
          </c:spPr>
          <c:marker>
            <c:symbol val="none"/>
          </c:marker>
          <c:xVal>
            <c:numRef>
              <c:f>Multi_Layer_Sens!$AJ$10:$AJ$29</c:f>
              <c:numCache>
                <c:formatCode>#,##0.00</c:formatCode>
                <c:ptCount val="20"/>
                <c:pt idx="0">
                  <c:v>7.5891799999999995E-2</c:v>
                </c:pt>
                <c:pt idx="1">
                  <c:v>4.0630100000000002</c:v>
                </c:pt>
                <c:pt idx="2">
                  <c:v>8.0501199999999997</c:v>
                </c:pt>
                <c:pt idx="3">
                  <c:v>12.0372</c:v>
                </c:pt>
                <c:pt idx="4">
                  <c:v>16.0243</c:v>
                </c:pt>
                <c:pt idx="5">
                  <c:v>20.011500000000002</c:v>
                </c:pt>
                <c:pt idx="6">
                  <c:v>23.9986</c:v>
                </c:pt>
                <c:pt idx="7">
                  <c:v>27.985700000000001</c:v>
                </c:pt>
                <c:pt idx="8">
                  <c:v>31.972799999999999</c:v>
                </c:pt>
                <c:pt idx="9">
                  <c:v>35.959899999999998</c:v>
                </c:pt>
                <c:pt idx="10">
                  <c:v>39.947000000000003</c:v>
                </c:pt>
                <c:pt idx="11">
                  <c:v>43.934100000000001</c:v>
                </c:pt>
                <c:pt idx="12">
                  <c:v>47.921300000000002</c:v>
                </c:pt>
                <c:pt idx="13">
                  <c:v>51.9084</c:v>
                </c:pt>
                <c:pt idx="14">
                  <c:v>55.895499999999998</c:v>
                </c:pt>
                <c:pt idx="15">
                  <c:v>59.882599999999996</c:v>
                </c:pt>
                <c:pt idx="16">
                  <c:v>63.869700000000002</c:v>
                </c:pt>
                <c:pt idx="17">
                  <c:v>67.856800000000007</c:v>
                </c:pt>
                <c:pt idx="18">
                  <c:v>71.843900000000005</c:v>
                </c:pt>
                <c:pt idx="19">
                  <c:v>75.831100000000006</c:v>
                </c:pt>
              </c:numCache>
            </c:numRef>
          </c:xVal>
          <c:yVal>
            <c:numRef>
              <c:f>Multi_Layer_Sens!$AK$10:$AK$29</c:f>
              <c:numCache>
                <c:formatCode>#,##0.00</c:formatCode>
                <c:ptCount val="20"/>
                <c:pt idx="0">
                  <c:v>4502.08</c:v>
                </c:pt>
                <c:pt idx="1">
                  <c:v>1712.96</c:v>
                </c:pt>
                <c:pt idx="2">
                  <c:v>2111.86</c:v>
                </c:pt>
                <c:pt idx="3">
                  <c:v>2742.01</c:v>
                </c:pt>
                <c:pt idx="4">
                  <c:v>3425.6</c:v>
                </c:pt>
                <c:pt idx="5">
                  <c:v>4096.3900000000003</c:v>
                </c:pt>
                <c:pt idx="6">
                  <c:v>4775</c:v>
                </c:pt>
                <c:pt idx="7">
                  <c:v>5474.38</c:v>
                </c:pt>
                <c:pt idx="8">
                  <c:v>6225.7</c:v>
                </c:pt>
                <c:pt idx="9">
                  <c:v>7003.35</c:v>
                </c:pt>
                <c:pt idx="10">
                  <c:v>7764.36</c:v>
                </c:pt>
                <c:pt idx="11">
                  <c:v>8554.42</c:v>
                </c:pt>
                <c:pt idx="12">
                  <c:v>9370.91</c:v>
                </c:pt>
                <c:pt idx="13">
                  <c:v>10218.200000000001</c:v>
                </c:pt>
                <c:pt idx="14">
                  <c:v>11103.9</c:v>
                </c:pt>
                <c:pt idx="15">
                  <c:v>12014.5</c:v>
                </c:pt>
                <c:pt idx="16">
                  <c:v>12961.1</c:v>
                </c:pt>
              </c:numCache>
            </c:numRef>
          </c:yVal>
          <c:smooth val="1"/>
          <c:extLst>
            <c:ext xmlns:c16="http://schemas.microsoft.com/office/drawing/2014/chart" uri="{C3380CC4-5D6E-409C-BE32-E72D297353CC}">
              <c16:uniqueId val="{0000003A-D191-4080-90CB-189A86C8FDE4}"/>
            </c:ext>
          </c:extLst>
        </c:ser>
        <c:ser>
          <c:idx val="5"/>
          <c:order val="5"/>
          <c:tx>
            <c:v>Gas Rate 2</c:v>
          </c:tx>
          <c:spPr>
            <a:ln w="12700">
              <a:solidFill>
                <a:srgbClr val="000000"/>
              </a:solidFill>
            </a:ln>
          </c:spPr>
          <c:marker>
            <c:symbol val="none"/>
          </c:marker>
          <c:xVal>
            <c:numRef>
              <c:f>Multi_Layer_Sens!$AJ$10:$AJ$29</c:f>
              <c:numCache>
                <c:formatCode>#,##0.00</c:formatCode>
                <c:ptCount val="20"/>
                <c:pt idx="0">
                  <c:v>7.5891799999999995E-2</c:v>
                </c:pt>
                <c:pt idx="1">
                  <c:v>4.0630100000000002</c:v>
                </c:pt>
                <c:pt idx="2">
                  <c:v>8.0501199999999997</c:v>
                </c:pt>
                <c:pt idx="3">
                  <c:v>12.0372</c:v>
                </c:pt>
                <c:pt idx="4">
                  <c:v>16.0243</c:v>
                </c:pt>
                <c:pt idx="5">
                  <c:v>20.011500000000002</c:v>
                </c:pt>
                <c:pt idx="6">
                  <c:v>23.9986</c:v>
                </c:pt>
                <c:pt idx="7">
                  <c:v>27.985700000000001</c:v>
                </c:pt>
                <c:pt idx="8">
                  <c:v>31.972799999999999</c:v>
                </c:pt>
                <c:pt idx="9">
                  <c:v>35.959899999999998</c:v>
                </c:pt>
                <c:pt idx="10">
                  <c:v>39.947000000000003</c:v>
                </c:pt>
                <c:pt idx="11">
                  <c:v>43.934100000000001</c:v>
                </c:pt>
                <c:pt idx="12">
                  <c:v>47.921300000000002</c:v>
                </c:pt>
                <c:pt idx="13">
                  <c:v>51.9084</c:v>
                </c:pt>
                <c:pt idx="14">
                  <c:v>55.895499999999998</c:v>
                </c:pt>
                <c:pt idx="15">
                  <c:v>59.882599999999996</c:v>
                </c:pt>
                <c:pt idx="16">
                  <c:v>63.869700000000002</c:v>
                </c:pt>
                <c:pt idx="17">
                  <c:v>67.856800000000007</c:v>
                </c:pt>
                <c:pt idx="18">
                  <c:v>71.843900000000005</c:v>
                </c:pt>
                <c:pt idx="19">
                  <c:v>75.831100000000006</c:v>
                </c:pt>
              </c:numCache>
            </c:numRef>
          </c:xVal>
          <c:yVal>
            <c:numRef>
              <c:f>Multi_Layer_Sens!$AL$10:$AL$29</c:f>
              <c:numCache>
                <c:formatCode>#,##0.00</c:formatCode>
                <c:ptCount val="20"/>
                <c:pt idx="0">
                  <c:v>1903.56</c:v>
                </c:pt>
                <c:pt idx="1">
                  <c:v>1850.3</c:v>
                </c:pt>
                <c:pt idx="2">
                  <c:v>1795.75</c:v>
                </c:pt>
                <c:pt idx="3">
                  <c:v>1739.79</c:v>
                </c:pt>
                <c:pt idx="4">
                  <c:v>1682.28</c:v>
                </c:pt>
                <c:pt idx="5">
                  <c:v>1623.05</c:v>
                </c:pt>
                <c:pt idx="6">
                  <c:v>1561.91</c:v>
                </c:pt>
                <c:pt idx="7">
                  <c:v>1498.62</c:v>
                </c:pt>
                <c:pt idx="8">
                  <c:v>1432.91</c:v>
                </c:pt>
                <c:pt idx="9">
                  <c:v>1364.41</c:v>
                </c:pt>
                <c:pt idx="10">
                  <c:v>1292.69</c:v>
                </c:pt>
                <c:pt idx="11">
                  <c:v>1217.18</c:v>
                </c:pt>
                <c:pt idx="12">
                  <c:v>1137.1199999999999</c:v>
                </c:pt>
                <c:pt idx="13">
                  <c:v>1051.47</c:v>
                </c:pt>
                <c:pt idx="14">
                  <c:v>958.73900000000003</c:v>
                </c:pt>
                <c:pt idx="15">
                  <c:v>856.63</c:v>
                </c:pt>
                <c:pt idx="16">
                  <c:v>741.27599999999995</c:v>
                </c:pt>
                <c:pt idx="17">
                  <c:v>605.14800000000002</c:v>
                </c:pt>
                <c:pt idx="18">
                  <c:v>428.904</c:v>
                </c:pt>
                <c:pt idx="19">
                  <c:v>52.476199999999999</c:v>
                </c:pt>
              </c:numCache>
            </c:numRef>
          </c:yVal>
          <c:smooth val="1"/>
          <c:extLst>
            <c:ext xmlns:c16="http://schemas.microsoft.com/office/drawing/2014/chart" uri="{C3380CC4-5D6E-409C-BE32-E72D297353CC}">
              <c16:uniqueId val="{0000003B-D191-4080-90CB-189A86C8FDE4}"/>
            </c:ext>
          </c:extLst>
        </c:ser>
        <c:ser>
          <c:idx val="6"/>
          <c:order val="6"/>
          <c:tx>
            <c:v>VLP 3</c:v>
          </c:tx>
          <c:spPr>
            <a:ln w="12700">
              <a:solidFill>
                <a:srgbClr val="FF0000"/>
              </a:solidFill>
            </a:ln>
          </c:spPr>
          <c:marker>
            <c:symbol val="none"/>
          </c:marker>
          <c:xVal>
            <c:numRef>
              <c:f>Multi_Layer_Sens!$AM$10:$AM$29</c:f>
              <c:numCache>
                <c:formatCode>#,##0.00</c:formatCode>
                <c:ptCount val="20"/>
                <c:pt idx="0">
                  <c:v>7.8896800000000003E-2</c:v>
                </c:pt>
                <c:pt idx="1">
                  <c:v>4.2238899999999999</c:v>
                </c:pt>
                <c:pt idx="2">
                  <c:v>8.3688699999999994</c:v>
                </c:pt>
                <c:pt idx="3">
                  <c:v>12.5139</c:v>
                </c:pt>
                <c:pt idx="4">
                  <c:v>16.658799999999999</c:v>
                </c:pt>
                <c:pt idx="5">
                  <c:v>20.803799999999999</c:v>
                </c:pt>
                <c:pt idx="6">
                  <c:v>24.948799999999999</c:v>
                </c:pt>
                <c:pt idx="7">
                  <c:v>29.093800000000002</c:v>
                </c:pt>
                <c:pt idx="8">
                  <c:v>33.238799999999998</c:v>
                </c:pt>
                <c:pt idx="9">
                  <c:v>37.383800000000001</c:v>
                </c:pt>
                <c:pt idx="10">
                  <c:v>41.528799999999997</c:v>
                </c:pt>
                <c:pt idx="11">
                  <c:v>45.6738</c:v>
                </c:pt>
                <c:pt idx="12">
                  <c:v>49.818800000000003</c:v>
                </c:pt>
                <c:pt idx="13">
                  <c:v>53.963700000000003</c:v>
                </c:pt>
                <c:pt idx="14">
                  <c:v>58.108699999999999</c:v>
                </c:pt>
                <c:pt idx="15">
                  <c:v>62.253700000000002</c:v>
                </c:pt>
                <c:pt idx="16">
                  <c:v>66.398700000000005</c:v>
                </c:pt>
                <c:pt idx="17">
                  <c:v>70.543700000000001</c:v>
                </c:pt>
                <c:pt idx="18">
                  <c:v>74.688699999999997</c:v>
                </c:pt>
                <c:pt idx="19">
                  <c:v>78.833699999999993</c:v>
                </c:pt>
              </c:numCache>
            </c:numRef>
          </c:xVal>
          <c:yVal>
            <c:numRef>
              <c:f>Multi_Layer_Sens!$AN$10:$AN$29</c:f>
              <c:numCache>
                <c:formatCode>#,##0.00</c:formatCode>
                <c:ptCount val="20"/>
                <c:pt idx="0">
                  <c:v>4792.6099999999997</c:v>
                </c:pt>
                <c:pt idx="1">
                  <c:v>1747.57</c:v>
                </c:pt>
                <c:pt idx="2">
                  <c:v>2176.6799999999998</c:v>
                </c:pt>
                <c:pt idx="3">
                  <c:v>2847.74</c:v>
                </c:pt>
                <c:pt idx="4">
                  <c:v>3557.76</c:v>
                </c:pt>
                <c:pt idx="5">
                  <c:v>4258.91</c:v>
                </c:pt>
                <c:pt idx="6">
                  <c:v>4973.46</c:v>
                </c:pt>
                <c:pt idx="7">
                  <c:v>5714.26</c:v>
                </c:pt>
                <c:pt idx="8">
                  <c:v>6530.18</c:v>
                </c:pt>
                <c:pt idx="9">
                  <c:v>7315.95</c:v>
                </c:pt>
                <c:pt idx="10">
                  <c:v>8122.2</c:v>
                </c:pt>
                <c:pt idx="11">
                  <c:v>8958.98</c:v>
                </c:pt>
                <c:pt idx="12">
                  <c:v>9827.01</c:v>
                </c:pt>
                <c:pt idx="13">
                  <c:v>10732.5</c:v>
                </c:pt>
                <c:pt idx="14">
                  <c:v>11673.8</c:v>
                </c:pt>
                <c:pt idx="15">
                  <c:v>12649</c:v>
                </c:pt>
              </c:numCache>
            </c:numRef>
          </c:yVal>
          <c:smooth val="1"/>
          <c:extLst>
            <c:ext xmlns:c16="http://schemas.microsoft.com/office/drawing/2014/chart" uri="{C3380CC4-5D6E-409C-BE32-E72D297353CC}">
              <c16:uniqueId val="{0000003C-D191-4080-90CB-189A86C8FDE4}"/>
            </c:ext>
          </c:extLst>
        </c:ser>
        <c:ser>
          <c:idx val="7"/>
          <c:order val="7"/>
          <c:tx>
            <c:v>Gas Rate 3</c:v>
          </c:tx>
          <c:spPr>
            <a:ln w="12700">
              <a:solidFill>
                <a:srgbClr val="000000"/>
              </a:solidFill>
            </a:ln>
          </c:spPr>
          <c:marker>
            <c:symbol val="none"/>
          </c:marker>
          <c:xVal>
            <c:numRef>
              <c:f>Multi_Layer_Sens!$AM$10:$AM$29</c:f>
              <c:numCache>
                <c:formatCode>#,##0.00</c:formatCode>
                <c:ptCount val="20"/>
                <c:pt idx="0">
                  <c:v>7.8896800000000003E-2</c:v>
                </c:pt>
                <c:pt idx="1">
                  <c:v>4.2238899999999999</c:v>
                </c:pt>
                <c:pt idx="2">
                  <c:v>8.3688699999999994</c:v>
                </c:pt>
                <c:pt idx="3">
                  <c:v>12.5139</c:v>
                </c:pt>
                <c:pt idx="4">
                  <c:v>16.658799999999999</c:v>
                </c:pt>
                <c:pt idx="5">
                  <c:v>20.803799999999999</c:v>
                </c:pt>
                <c:pt idx="6">
                  <c:v>24.948799999999999</c:v>
                </c:pt>
                <c:pt idx="7">
                  <c:v>29.093800000000002</c:v>
                </c:pt>
                <c:pt idx="8">
                  <c:v>33.238799999999998</c:v>
                </c:pt>
                <c:pt idx="9">
                  <c:v>37.383800000000001</c:v>
                </c:pt>
                <c:pt idx="10">
                  <c:v>41.528799999999997</c:v>
                </c:pt>
                <c:pt idx="11">
                  <c:v>45.6738</c:v>
                </c:pt>
                <c:pt idx="12">
                  <c:v>49.818800000000003</c:v>
                </c:pt>
                <c:pt idx="13">
                  <c:v>53.963700000000003</c:v>
                </c:pt>
                <c:pt idx="14">
                  <c:v>58.108699999999999</c:v>
                </c:pt>
                <c:pt idx="15">
                  <c:v>62.253700000000002</c:v>
                </c:pt>
                <c:pt idx="16">
                  <c:v>66.398700000000005</c:v>
                </c:pt>
                <c:pt idx="17">
                  <c:v>70.543700000000001</c:v>
                </c:pt>
                <c:pt idx="18">
                  <c:v>74.688699999999997</c:v>
                </c:pt>
                <c:pt idx="19">
                  <c:v>78.833699999999993</c:v>
                </c:pt>
              </c:numCache>
            </c:numRef>
          </c:xVal>
          <c:yVal>
            <c:numRef>
              <c:f>Multi_Layer_Sens!$AO$10:$AO$29</c:f>
              <c:numCache>
                <c:formatCode>#,##0.00</c:formatCode>
                <c:ptCount val="20"/>
                <c:pt idx="0">
                  <c:v>1899</c:v>
                </c:pt>
                <c:pt idx="1">
                  <c:v>1845.91</c:v>
                </c:pt>
                <c:pt idx="2">
                  <c:v>1791.53</c:v>
                </c:pt>
                <c:pt idx="3">
                  <c:v>1735.74</c:v>
                </c:pt>
                <c:pt idx="4">
                  <c:v>1678.4</c:v>
                </c:pt>
                <c:pt idx="5">
                  <c:v>1619.35</c:v>
                </c:pt>
                <c:pt idx="6">
                  <c:v>1558.38</c:v>
                </c:pt>
                <c:pt idx="7">
                  <c:v>1495.28</c:v>
                </c:pt>
                <c:pt idx="8">
                  <c:v>1429.74</c:v>
                </c:pt>
                <c:pt idx="9">
                  <c:v>1361.43</c:v>
                </c:pt>
                <c:pt idx="10">
                  <c:v>1289.8900000000001</c:v>
                </c:pt>
                <c:pt idx="11">
                  <c:v>1214.57</c:v>
                </c:pt>
                <c:pt idx="12">
                  <c:v>1134.71</c:v>
                </c:pt>
                <c:pt idx="13">
                  <c:v>1049.27</c:v>
                </c:pt>
                <c:pt idx="14">
                  <c:v>956.75699999999995</c:v>
                </c:pt>
                <c:pt idx="15">
                  <c:v>854.87900000000002</c:v>
                </c:pt>
                <c:pt idx="16">
                  <c:v>739.77800000000002</c:v>
                </c:pt>
                <c:pt idx="17">
                  <c:v>603.94000000000005</c:v>
                </c:pt>
                <c:pt idx="18">
                  <c:v>428.05799999999999</c:v>
                </c:pt>
                <c:pt idx="19">
                  <c:v>52.361699999999999</c:v>
                </c:pt>
              </c:numCache>
            </c:numRef>
          </c:yVal>
          <c:smooth val="1"/>
          <c:extLst>
            <c:ext xmlns:c16="http://schemas.microsoft.com/office/drawing/2014/chart" uri="{C3380CC4-5D6E-409C-BE32-E72D297353CC}">
              <c16:uniqueId val="{0000003D-D191-4080-90CB-189A86C8FDE4}"/>
            </c:ext>
          </c:extLst>
        </c:ser>
        <c:ser>
          <c:idx val="8"/>
          <c:order val="8"/>
          <c:tx>
            <c:v>VLP 4</c:v>
          </c:tx>
          <c:spPr>
            <a:ln w="12700">
              <a:solidFill>
                <a:srgbClr val="FF0000"/>
              </a:solidFill>
            </a:ln>
          </c:spPr>
          <c:marker>
            <c:symbol val="none"/>
          </c:marker>
          <c:xVal>
            <c:numRef>
              <c:f>Multi_Layer_Sens!$AP$10:$AP$29</c:f>
              <c:numCache>
                <c:formatCode>#,##0.00</c:formatCode>
                <c:ptCount val="20"/>
                <c:pt idx="0">
                  <c:v>8.1255400000000005E-2</c:v>
                </c:pt>
                <c:pt idx="1">
                  <c:v>4.3501500000000002</c:v>
                </c:pt>
                <c:pt idx="2">
                  <c:v>8.6190499999999997</c:v>
                </c:pt>
                <c:pt idx="3">
                  <c:v>12.888</c:v>
                </c:pt>
                <c:pt idx="4">
                  <c:v>17.1569</c:v>
                </c:pt>
                <c:pt idx="5">
                  <c:v>21.425799999999999</c:v>
                </c:pt>
                <c:pt idx="6">
                  <c:v>25.694700000000001</c:v>
                </c:pt>
                <c:pt idx="7">
                  <c:v>29.9636</c:v>
                </c:pt>
                <c:pt idx="8">
                  <c:v>34.232500000000002</c:v>
                </c:pt>
                <c:pt idx="9">
                  <c:v>38.501399999999997</c:v>
                </c:pt>
                <c:pt idx="10">
                  <c:v>42.770200000000003</c:v>
                </c:pt>
                <c:pt idx="11">
                  <c:v>47.039099999999998</c:v>
                </c:pt>
                <c:pt idx="12">
                  <c:v>51.308</c:v>
                </c:pt>
                <c:pt idx="13">
                  <c:v>55.576900000000002</c:v>
                </c:pt>
                <c:pt idx="14">
                  <c:v>59.845799999999997</c:v>
                </c:pt>
                <c:pt idx="15">
                  <c:v>64.114699999999999</c:v>
                </c:pt>
                <c:pt idx="16">
                  <c:v>68.383600000000001</c:v>
                </c:pt>
                <c:pt idx="17">
                  <c:v>72.652500000000003</c:v>
                </c:pt>
                <c:pt idx="18">
                  <c:v>76.921400000000006</c:v>
                </c:pt>
                <c:pt idx="19">
                  <c:v>81.190299999999993</c:v>
                </c:pt>
              </c:numCache>
            </c:numRef>
          </c:xVal>
          <c:yVal>
            <c:numRef>
              <c:f>Multi_Layer_Sens!$AQ$10:$AQ$29</c:f>
              <c:numCache>
                <c:formatCode>#,##0.00</c:formatCode>
                <c:ptCount val="20"/>
                <c:pt idx="0">
                  <c:v>4785.16</c:v>
                </c:pt>
                <c:pt idx="1">
                  <c:v>1753.34</c:v>
                </c:pt>
                <c:pt idx="2">
                  <c:v>2218.38</c:v>
                </c:pt>
                <c:pt idx="3">
                  <c:v>2942.57</c:v>
                </c:pt>
                <c:pt idx="4">
                  <c:v>3688.41</c:v>
                </c:pt>
                <c:pt idx="5">
                  <c:v>4427.54</c:v>
                </c:pt>
                <c:pt idx="6">
                  <c:v>5181.6099999999997</c:v>
                </c:pt>
                <c:pt idx="7">
                  <c:v>5974.82</c:v>
                </c:pt>
                <c:pt idx="8">
                  <c:v>6832.62</c:v>
                </c:pt>
                <c:pt idx="9">
                  <c:v>7654.88</c:v>
                </c:pt>
                <c:pt idx="10">
                  <c:v>8512.36</c:v>
                </c:pt>
                <c:pt idx="11">
                  <c:v>9403.48</c:v>
                </c:pt>
                <c:pt idx="12">
                  <c:v>10330.5</c:v>
                </c:pt>
                <c:pt idx="13">
                  <c:v>11299.3</c:v>
                </c:pt>
                <c:pt idx="14">
                  <c:v>12308</c:v>
                </c:pt>
              </c:numCache>
            </c:numRef>
          </c:yVal>
          <c:smooth val="1"/>
          <c:extLst>
            <c:ext xmlns:c16="http://schemas.microsoft.com/office/drawing/2014/chart" uri="{C3380CC4-5D6E-409C-BE32-E72D297353CC}">
              <c16:uniqueId val="{0000003E-D191-4080-90CB-189A86C8FDE4}"/>
            </c:ext>
          </c:extLst>
        </c:ser>
        <c:ser>
          <c:idx val="9"/>
          <c:order val="9"/>
          <c:tx>
            <c:v>Gas Rate 4</c:v>
          </c:tx>
          <c:spPr>
            <a:ln w="12700">
              <a:solidFill>
                <a:srgbClr val="000000"/>
              </a:solidFill>
            </a:ln>
          </c:spPr>
          <c:marker>
            <c:symbol val="none"/>
          </c:marker>
          <c:xVal>
            <c:numRef>
              <c:f>Multi_Layer_Sens!$AP$10:$AP$29</c:f>
              <c:numCache>
                <c:formatCode>#,##0.00</c:formatCode>
                <c:ptCount val="20"/>
                <c:pt idx="0">
                  <c:v>8.1255400000000005E-2</c:v>
                </c:pt>
                <c:pt idx="1">
                  <c:v>4.3501500000000002</c:v>
                </c:pt>
                <c:pt idx="2">
                  <c:v>8.6190499999999997</c:v>
                </c:pt>
                <c:pt idx="3">
                  <c:v>12.888</c:v>
                </c:pt>
                <c:pt idx="4">
                  <c:v>17.1569</c:v>
                </c:pt>
                <c:pt idx="5">
                  <c:v>21.425799999999999</c:v>
                </c:pt>
                <c:pt idx="6">
                  <c:v>25.694700000000001</c:v>
                </c:pt>
                <c:pt idx="7">
                  <c:v>29.9636</c:v>
                </c:pt>
                <c:pt idx="8">
                  <c:v>34.232500000000002</c:v>
                </c:pt>
                <c:pt idx="9">
                  <c:v>38.501399999999997</c:v>
                </c:pt>
                <c:pt idx="10">
                  <c:v>42.770200000000003</c:v>
                </c:pt>
                <c:pt idx="11">
                  <c:v>47.039099999999998</c:v>
                </c:pt>
                <c:pt idx="12">
                  <c:v>51.308</c:v>
                </c:pt>
                <c:pt idx="13">
                  <c:v>55.576900000000002</c:v>
                </c:pt>
                <c:pt idx="14">
                  <c:v>59.845799999999997</c:v>
                </c:pt>
                <c:pt idx="15">
                  <c:v>64.114699999999999</c:v>
                </c:pt>
                <c:pt idx="16">
                  <c:v>68.383600000000001</c:v>
                </c:pt>
                <c:pt idx="17">
                  <c:v>72.652500000000003</c:v>
                </c:pt>
                <c:pt idx="18">
                  <c:v>76.921400000000006</c:v>
                </c:pt>
                <c:pt idx="19">
                  <c:v>81.190299999999993</c:v>
                </c:pt>
              </c:numCache>
            </c:numRef>
          </c:xVal>
          <c:yVal>
            <c:numRef>
              <c:f>Multi_Layer_Sens!$AR$10:$AR$29</c:f>
              <c:numCache>
                <c:formatCode>#,##0.00</c:formatCode>
                <c:ptCount val="20"/>
                <c:pt idx="0">
                  <c:v>1886.81</c:v>
                </c:pt>
                <c:pt idx="1">
                  <c:v>1834.19</c:v>
                </c:pt>
                <c:pt idx="2">
                  <c:v>1780.23</c:v>
                </c:pt>
                <c:pt idx="3">
                  <c:v>1724.87</c:v>
                </c:pt>
                <c:pt idx="4">
                  <c:v>1667.96</c:v>
                </c:pt>
                <c:pt idx="5">
                  <c:v>1609.34</c:v>
                </c:pt>
                <c:pt idx="6">
                  <c:v>1548.81</c:v>
                </c:pt>
                <c:pt idx="7">
                  <c:v>1486.16</c:v>
                </c:pt>
                <c:pt idx="8">
                  <c:v>1421.08</c:v>
                </c:pt>
                <c:pt idx="9">
                  <c:v>1353.24</c:v>
                </c:pt>
                <c:pt idx="10">
                  <c:v>1282.19</c:v>
                </c:pt>
                <c:pt idx="11">
                  <c:v>1207.3699999999999</c:v>
                </c:pt>
                <c:pt idx="12">
                  <c:v>1128.03</c:v>
                </c:pt>
                <c:pt idx="13">
                  <c:v>1043.1400000000001</c:v>
                </c:pt>
                <c:pt idx="14">
                  <c:v>951.21</c:v>
                </c:pt>
                <c:pt idx="15">
                  <c:v>849.96</c:v>
                </c:pt>
                <c:pt idx="16">
                  <c:v>735.55399999999997</c:v>
                </c:pt>
                <c:pt idx="17">
                  <c:v>600.51800000000003</c:v>
                </c:pt>
                <c:pt idx="18">
                  <c:v>425.65100000000001</c:v>
                </c:pt>
                <c:pt idx="19">
                  <c:v>52.048099999999998</c:v>
                </c:pt>
              </c:numCache>
            </c:numRef>
          </c:yVal>
          <c:smooth val="1"/>
          <c:extLst>
            <c:ext xmlns:c16="http://schemas.microsoft.com/office/drawing/2014/chart" uri="{C3380CC4-5D6E-409C-BE32-E72D297353CC}">
              <c16:uniqueId val="{0000003F-D191-4080-90CB-189A86C8FDE4}"/>
            </c:ext>
          </c:extLst>
        </c:ser>
        <c:ser>
          <c:idx val="10"/>
          <c:order val="10"/>
          <c:tx>
            <c:v>VLP 5</c:v>
          </c:tx>
          <c:spPr>
            <a:ln w="12700">
              <a:solidFill>
                <a:srgbClr val="FF0000"/>
              </a:solidFill>
            </a:ln>
          </c:spPr>
          <c:marker>
            <c:symbol val="none"/>
          </c:marker>
          <c:xVal>
            <c:numRef>
              <c:f>Multi_Layer_Sens!$AS$10:$AS$29</c:f>
              <c:numCache>
                <c:formatCode>#,##0.00</c:formatCode>
                <c:ptCount val="20"/>
                <c:pt idx="0">
                  <c:v>8.2846900000000001E-2</c:v>
                </c:pt>
                <c:pt idx="1">
                  <c:v>4.4353600000000002</c:v>
                </c:pt>
                <c:pt idx="2">
                  <c:v>8.7878699999999998</c:v>
                </c:pt>
                <c:pt idx="3">
                  <c:v>13.1404</c:v>
                </c:pt>
                <c:pt idx="4">
                  <c:v>17.492899999999999</c:v>
                </c:pt>
                <c:pt idx="5">
                  <c:v>21.845400000000001</c:v>
                </c:pt>
                <c:pt idx="6">
                  <c:v>26.197900000000001</c:v>
                </c:pt>
                <c:pt idx="7">
                  <c:v>30.5504</c:v>
                </c:pt>
                <c:pt idx="8">
                  <c:v>34.902900000000002</c:v>
                </c:pt>
                <c:pt idx="9">
                  <c:v>39.255499999999998</c:v>
                </c:pt>
                <c:pt idx="10">
                  <c:v>43.607999999999997</c:v>
                </c:pt>
                <c:pt idx="11">
                  <c:v>47.960500000000003</c:v>
                </c:pt>
                <c:pt idx="12">
                  <c:v>52.313000000000002</c:v>
                </c:pt>
                <c:pt idx="13">
                  <c:v>56.665500000000002</c:v>
                </c:pt>
                <c:pt idx="14">
                  <c:v>61.018000000000001</c:v>
                </c:pt>
                <c:pt idx="15">
                  <c:v>65.370500000000007</c:v>
                </c:pt>
                <c:pt idx="16">
                  <c:v>69.723100000000002</c:v>
                </c:pt>
                <c:pt idx="17">
                  <c:v>74.075599999999994</c:v>
                </c:pt>
                <c:pt idx="18">
                  <c:v>78.428100000000001</c:v>
                </c:pt>
                <c:pt idx="19">
                  <c:v>82.780600000000007</c:v>
                </c:pt>
              </c:numCache>
            </c:numRef>
          </c:xVal>
          <c:yVal>
            <c:numRef>
              <c:f>Multi_Layer_Sens!$AT$10:$AT$29</c:f>
              <c:numCache>
                <c:formatCode>#,##0.00</c:formatCode>
                <c:ptCount val="20"/>
                <c:pt idx="0">
                  <c:v>4785.17</c:v>
                </c:pt>
                <c:pt idx="1">
                  <c:v>1759.98</c:v>
                </c:pt>
                <c:pt idx="2">
                  <c:v>2230.56</c:v>
                </c:pt>
                <c:pt idx="3">
                  <c:v>2950.02</c:v>
                </c:pt>
                <c:pt idx="4">
                  <c:v>3691.49</c:v>
                </c:pt>
                <c:pt idx="5">
                  <c:v>4428.09</c:v>
                </c:pt>
                <c:pt idx="6">
                  <c:v>5182.8999999999996</c:v>
                </c:pt>
                <c:pt idx="7">
                  <c:v>6235.06</c:v>
                </c:pt>
                <c:pt idx="8">
                  <c:v>7300.05</c:v>
                </c:pt>
                <c:pt idx="9">
                  <c:v>8366.66</c:v>
                </c:pt>
                <c:pt idx="10">
                  <c:v>9477.7000000000007</c:v>
                </c:pt>
                <c:pt idx="11">
                  <c:v>10633.8</c:v>
                </c:pt>
                <c:pt idx="12">
                  <c:v>11842.4</c:v>
                </c:pt>
              </c:numCache>
            </c:numRef>
          </c:yVal>
          <c:smooth val="1"/>
          <c:extLst>
            <c:ext xmlns:c16="http://schemas.microsoft.com/office/drawing/2014/chart" uri="{C3380CC4-5D6E-409C-BE32-E72D297353CC}">
              <c16:uniqueId val="{00000040-D191-4080-90CB-189A86C8FDE4}"/>
            </c:ext>
          </c:extLst>
        </c:ser>
        <c:ser>
          <c:idx val="11"/>
          <c:order val="11"/>
          <c:tx>
            <c:v>Gas Rate 5</c:v>
          </c:tx>
          <c:spPr>
            <a:ln w="12700">
              <a:solidFill>
                <a:srgbClr val="000000"/>
              </a:solidFill>
            </a:ln>
          </c:spPr>
          <c:marker>
            <c:symbol val="none"/>
          </c:marker>
          <c:xVal>
            <c:numRef>
              <c:f>Multi_Layer_Sens!$AS$10:$AS$29</c:f>
              <c:numCache>
                <c:formatCode>#,##0.00</c:formatCode>
                <c:ptCount val="20"/>
                <c:pt idx="0">
                  <c:v>8.2846900000000001E-2</c:v>
                </c:pt>
                <c:pt idx="1">
                  <c:v>4.4353600000000002</c:v>
                </c:pt>
                <c:pt idx="2">
                  <c:v>8.7878699999999998</c:v>
                </c:pt>
                <c:pt idx="3">
                  <c:v>13.1404</c:v>
                </c:pt>
                <c:pt idx="4">
                  <c:v>17.492899999999999</c:v>
                </c:pt>
                <c:pt idx="5">
                  <c:v>21.845400000000001</c:v>
                </c:pt>
                <c:pt idx="6">
                  <c:v>26.197900000000001</c:v>
                </c:pt>
                <c:pt idx="7">
                  <c:v>30.5504</c:v>
                </c:pt>
                <c:pt idx="8">
                  <c:v>34.902900000000002</c:v>
                </c:pt>
                <c:pt idx="9">
                  <c:v>39.255499999999998</c:v>
                </c:pt>
                <c:pt idx="10">
                  <c:v>43.607999999999997</c:v>
                </c:pt>
                <c:pt idx="11">
                  <c:v>47.960500000000003</c:v>
                </c:pt>
                <c:pt idx="12">
                  <c:v>52.313000000000002</c:v>
                </c:pt>
                <c:pt idx="13">
                  <c:v>56.665500000000002</c:v>
                </c:pt>
                <c:pt idx="14">
                  <c:v>61.018000000000001</c:v>
                </c:pt>
                <c:pt idx="15">
                  <c:v>65.370500000000007</c:v>
                </c:pt>
                <c:pt idx="16">
                  <c:v>69.723100000000002</c:v>
                </c:pt>
                <c:pt idx="17">
                  <c:v>74.075599999999994</c:v>
                </c:pt>
                <c:pt idx="18">
                  <c:v>78.428100000000001</c:v>
                </c:pt>
                <c:pt idx="19">
                  <c:v>82.780600000000007</c:v>
                </c:pt>
              </c:numCache>
            </c:numRef>
          </c:xVal>
          <c:yVal>
            <c:numRef>
              <c:f>Multi_Layer_Sens!$AU$10:$AU$29</c:f>
              <c:numCache>
                <c:formatCode>#,##0.00</c:formatCode>
                <c:ptCount val="20"/>
                <c:pt idx="0">
                  <c:v>1826.92</c:v>
                </c:pt>
                <c:pt idx="1">
                  <c:v>1776.43</c:v>
                </c:pt>
                <c:pt idx="2">
                  <c:v>1724.63</c:v>
                </c:pt>
                <c:pt idx="3">
                  <c:v>1671.41</c:v>
                </c:pt>
                <c:pt idx="4">
                  <c:v>1616.64</c:v>
                </c:pt>
                <c:pt idx="5">
                  <c:v>1560.16</c:v>
                </c:pt>
                <c:pt idx="6">
                  <c:v>1501.75</c:v>
                </c:pt>
                <c:pt idx="7">
                  <c:v>1441.23</c:v>
                </c:pt>
                <c:pt idx="8">
                  <c:v>1378.34</c:v>
                </c:pt>
                <c:pt idx="9">
                  <c:v>1312.75</c:v>
                </c:pt>
                <c:pt idx="10">
                  <c:v>1244.03</c:v>
                </c:pt>
                <c:pt idx="11">
                  <c:v>1171.6300000000001</c:v>
                </c:pt>
                <c:pt idx="12">
                  <c:v>1094.82</c:v>
                </c:pt>
                <c:pt idx="13">
                  <c:v>1012.59</c:v>
                </c:pt>
                <c:pt idx="14">
                  <c:v>923.505</c:v>
                </c:pt>
                <c:pt idx="15">
                  <c:v>825.34100000000001</c:v>
                </c:pt>
                <c:pt idx="16">
                  <c:v>714.36800000000005</c:v>
                </c:pt>
                <c:pt idx="17">
                  <c:v>583.31899999999996</c:v>
                </c:pt>
                <c:pt idx="18">
                  <c:v>413.52800000000002</c:v>
                </c:pt>
                <c:pt idx="19">
                  <c:v>50.566800000000001</c:v>
                </c:pt>
              </c:numCache>
            </c:numRef>
          </c:yVal>
          <c:smooth val="1"/>
          <c:extLst>
            <c:ext xmlns:c16="http://schemas.microsoft.com/office/drawing/2014/chart" uri="{C3380CC4-5D6E-409C-BE32-E72D297353CC}">
              <c16:uniqueId val="{00000041-D191-4080-90CB-189A86C8FDE4}"/>
            </c:ext>
          </c:extLst>
        </c:ser>
        <c:ser>
          <c:idx val="12"/>
          <c:order val="12"/>
          <c:tx>
            <c:v>SOL 0</c:v>
          </c:tx>
          <c:marker>
            <c:symbol val="circle"/>
            <c:size val="8"/>
            <c:spPr>
              <a:solidFill>
                <a:srgbClr val="FF0000"/>
              </a:solidFill>
              <a:ln>
                <a:solidFill>
                  <a:srgbClr val="000000"/>
                </a:solidFill>
                <a:prstDash val="solid"/>
              </a:ln>
            </c:spPr>
          </c:marker>
          <c:xVal>
            <c:numRef>
              <c:f>Multi_Layer_Sens!$D$33</c:f>
              <c:numCache>
                <c:formatCode>#,##0.0</c:formatCode>
                <c:ptCount val="1"/>
                <c:pt idx="0">
                  <c:v>4.8335013389999997</c:v>
                </c:pt>
              </c:numCache>
            </c:numRef>
          </c:xVal>
          <c:yVal>
            <c:numRef>
              <c:f>Multi_Layer_Sens!$D$32</c:f>
              <c:numCache>
                <c:formatCode>#,##0.0</c:formatCode>
                <c:ptCount val="1"/>
                <c:pt idx="0">
                  <c:v>1772.9128417970001</c:v>
                </c:pt>
              </c:numCache>
            </c:numRef>
          </c:yVal>
          <c:smooth val="1"/>
          <c:extLst>
            <c:ext xmlns:c16="http://schemas.microsoft.com/office/drawing/2014/chart" uri="{C3380CC4-5D6E-409C-BE32-E72D297353CC}">
              <c16:uniqueId val="{00000042-D191-4080-90CB-189A86C8FDE4}"/>
            </c:ext>
          </c:extLst>
        </c:ser>
        <c:ser>
          <c:idx val="13"/>
          <c:order val="13"/>
          <c:tx>
            <c:v>SOL 1</c:v>
          </c:tx>
          <c:marker>
            <c:symbol val="circle"/>
            <c:size val="8"/>
            <c:spPr>
              <a:solidFill>
                <a:srgbClr val="FFFF00"/>
              </a:solidFill>
              <a:ln>
                <a:solidFill>
                  <a:srgbClr val="000000"/>
                </a:solidFill>
                <a:prstDash val="solid"/>
              </a:ln>
            </c:spPr>
          </c:marker>
          <c:xVal>
            <c:numRef>
              <c:f>Multi_Layer_Sens!$E$33</c:f>
              <c:numCache>
                <c:formatCode>#,##0.0</c:formatCode>
                <c:ptCount val="1"/>
                <c:pt idx="0">
                  <c:v>5.3926196099999997</c:v>
                </c:pt>
              </c:numCache>
            </c:numRef>
          </c:xVal>
          <c:yVal>
            <c:numRef>
              <c:f>Multi_Layer_Sens!$E$32</c:f>
              <c:numCache>
                <c:formatCode>#,##0.0</c:formatCode>
                <c:ptCount val="1"/>
                <c:pt idx="0">
                  <c:v>1833.327514648</c:v>
                </c:pt>
              </c:numCache>
            </c:numRef>
          </c:yVal>
          <c:smooth val="1"/>
          <c:extLst>
            <c:ext xmlns:c16="http://schemas.microsoft.com/office/drawing/2014/chart" uri="{C3380CC4-5D6E-409C-BE32-E72D297353CC}">
              <c16:uniqueId val="{00000043-D191-4080-90CB-189A86C8FDE4}"/>
            </c:ext>
          </c:extLst>
        </c:ser>
        <c:ser>
          <c:idx val="14"/>
          <c:order val="14"/>
          <c:tx>
            <c:v>SOL 2</c:v>
          </c:tx>
          <c:marker>
            <c:symbol val="circle"/>
            <c:size val="8"/>
            <c:spPr>
              <a:solidFill>
                <a:srgbClr val="0000FF"/>
              </a:solidFill>
              <a:ln>
                <a:solidFill>
                  <a:srgbClr val="000000"/>
                </a:solidFill>
                <a:prstDash val="solid"/>
              </a:ln>
            </c:spPr>
          </c:marker>
          <c:xVal>
            <c:numRef>
              <c:f>Multi_Layer_Sens!$F$33</c:f>
              <c:numCache>
                <c:formatCode>#,##0.0</c:formatCode>
                <c:ptCount val="1"/>
                <c:pt idx="0">
                  <c:v>5.2704620359999996</c:v>
                </c:pt>
              </c:numCache>
            </c:numRef>
          </c:xVal>
          <c:yVal>
            <c:numRef>
              <c:f>Multi_Layer_Sens!$F$32</c:f>
              <c:numCache>
                <c:formatCode>#,##0.0</c:formatCode>
                <c:ptCount val="1"/>
                <c:pt idx="0">
                  <c:v>1833.9184570309999</c:v>
                </c:pt>
              </c:numCache>
            </c:numRef>
          </c:yVal>
          <c:smooth val="1"/>
          <c:extLst>
            <c:ext xmlns:c16="http://schemas.microsoft.com/office/drawing/2014/chart" uri="{C3380CC4-5D6E-409C-BE32-E72D297353CC}">
              <c16:uniqueId val="{00000044-D191-4080-90CB-189A86C8FDE4}"/>
            </c:ext>
          </c:extLst>
        </c:ser>
        <c:ser>
          <c:idx val="15"/>
          <c:order val="15"/>
          <c:tx>
            <c:v>SOL 3</c:v>
          </c:tx>
          <c:marker>
            <c:symbol val="circle"/>
            <c:size val="8"/>
            <c:spPr>
              <a:solidFill>
                <a:srgbClr val="00CC00"/>
              </a:solidFill>
              <a:ln>
                <a:solidFill>
                  <a:srgbClr val="000000"/>
                </a:solidFill>
                <a:prstDash val="solid"/>
              </a:ln>
            </c:spPr>
          </c:marker>
          <c:xVal>
            <c:numRef>
              <c:f>Multi_Layer_Sens!$G$33</c:f>
              <c:numCache>
                <c:formatCode>#,##0.0</c:formatCode>
                <c:ptCount val="1"/>
                <c:pt idx="0">
                  <c:v>5.0670261380000001</c:v>
                </c:pt>
              </c:numCache>
            </c:numRef>
          </c:xVal>
          <c:yVal>
            <c:numRef>
              <c:f>Multi_Layer_Sens!$G$32</c:f>
              <c:numCache>
                <c:formatCode>#,##0.0</c:formatCode>
                <c:ptCount val="1"/>
                <c:pt idx="0">
                  <c:v>1834.9575195309999</c:v>
                </c:pt>
              </c:numCache>
            </c:numRef>
          </c:yVal>
          <c:smooth val="1"/>
          <c:extLst>
            <c:ext xmlns:c16="http://schemas.microsoft.com/office/drawing/2014/chart" uri="{C3380CC4-5D6E-409C-BE32-E72D297353CC}">
              <c16:uniqueId val="{00000045-D191-4080-90CB-189A86C8FDE4}"/>
            </c:ext>
          </c:extLst>
        </c:ser>
        <c:ser>
          <c:idx val="16"/>
          <c:order val="16"/>
          <c:tx>
            <c:v>SOL 4</c:v>
          </c:tx>
          <c:marker>
            <c:symbol val="circle"/>
            <c:size val="8"/>
            <c:spPr>
              <a:solidFill>
                <a:srgbClr val="000000"/>
              </a:solidFill>
              <a:ln>
                <a:solidFill>
                  <a:srgbClr val="000000"/>
                </a:solidFill>
                <a:prstDash val="solid"/>
              </a:ln>
            </c:spPr>
          </c:marker>
          <c:xVal>
            <c:numRef>
              <c:f>Multi_Layer_Sens!$H$33</c:f>
              <c:numCache>
                <c:formatCode>#,##0.0</c:formatCode>
                <c:ptCount val="1"/>
                <c:pt idx="0">
                  <c:v>5.0159664150000003</c:v>
                </c:pt>
              </c:numCache>
            </c:numRef>
          </c:xVal>
          <c:yVal>
            <c:numRef>
              <c:f>Multi_Layer_Sens!$H$32</c:f>
              <c:numCache>
                <c:formatCode>#,##0.0</c:formatCode>
                <c:ptCount val="1"/>
                <c:pt idx="0">
                  <c:v>1825.857421875</c:v>
                </c:pt>
              </c:numCache>
            </c:numRef>
          </c:yVal>
          <c:smooth val="1"/>
          <c:extLst>
            <c:ext xmlns:c16="http://schemas.microsoft.com/office/drawing/2014/chart" uri="{C3380CC4-5D6E-409C-BE32-E72D297353CC}">
              <c16:uniqueId val="{00000046-D191-4080-90CB-189A86C8FDE4}"/>
            </c:ext>
          </c:extLst>
        </c:ser>
        <c:ser>
          <c:idx val="17"/>
          <c:order val="17"/>
          <c:tx>
            <c:v>SOL 5</c:v>
          </c:tx>
          <c:marker>
            <c:symbol val="circle"/>
            <c:size val="8"/>
            <c:spPr>
              <a:solidFill>
                <a:srgbClr val="DCDAFF"/>
              </a:solidFill>
              <a:ln>
                <a:solidFill>
                  <a:srgbClr val="000000"/>
                </a:solidFill>
                <a:prstDash val="solid"/>
              </a:ln>
            </c:spPr>
          </c:marker>
          <c:xVal>
            <c:numRef>
              <c:f>Multi_Layer_Sens!$I$33</c:f>
              <c:numCache>
                <c:formatCode>#,##0.0</c:formatCode>
                <c:ptCount val="1"/>
                <c:pt idx="0">
                  <c:v>4.5726232529999997</c:v>
                </c:pt>
              </c:numCache>
            </c:numRef>
          </c:xVal>
          <c:yVal>
            <c:numRef>
              <c:f>Multi_Layer_Sens!$I$32</c:f>
              <c:numCache>
                <c:formatCode>#,##0.0</c:formatCode>
                <c:ptCount val="1"/>
                <c:pt idx="0">
                  <c:v>1774.8125</c:v>
                </c:pt>
              </c:numCache>
            </c:numRef>
          </c:yVal>
          <c:smooth val="1"/>
          <c:extLst>
            <c:ext xmlns:c16="http://schemas.microsoft.com/office/drawing/2014/chart" uri="{C3380CC4-5D6E-409C-BE32-E72D297353CC}">
              <c16:uniqueId val="{00000047-D191-4080-90CB-189A86C8FDE4}"/>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640"/>
        <c:crossesAt val="0"/>
        <c:crossBetween val="midCat"/>
      </c:valAx>
      <c:valAx>
        <c:axId val="54568640"/>
        <c:scaling>
          <c:orientation val="minMax"/>
          <c:max val="2500"/>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ES"/>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ES"/>
    </a:p>
  </c:txPr>
  <c:printSettings>
    <c:headerFooter alignWithMargins="0"/>
    <c:pageMargins b="1" l="0.75" r="0.75" t="1" header="0.5" footer="0.5"/>
    <c:pageSetup paperSize="9"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solidFill>
                <a:latin typeface="+mn-lt"/>
                <a:ea typeface="+mn-ea"/>
                <a:cs typeface="+mn-cs"/>
              </a:defRPr>
            </a:pPr>
            <a:r>
              <a:rPr lang="es-BO" sz="1100" b="1">
                <a:solidFill>
                  <a:schemeClr val="tx1"/>
                </a:solidFill>
              </a:rPr>
              <a:t>Gas Rate</a:t>
            </a:r>
          </a:p>
        </c:rich>
      </c:tx>
      <c:layout>
        <c:manualLayout>
          <c:xMode val="edge"/>
          <c:yMode val="edge"/>
          <c:x val="5.7567804024496955E-3"/>
          <c:y val="1.6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6.6580927384076991E-2"/>
          <c:y val="0.13848062992125981"/>
          <c:w val="0.90286351706036749"/>
          <c:h val="0.73779527559055114"/>
        </c:manualLayout>
      </c:layout>
      <c:barChart>
        <c:barDir val="col"/>
        <c:grouping val="clustered"/>
        <c:varyColors val="0"/>
        <c:ser>
          <c:idx val="1"/>
          <c:order val="0"/>
          <c:tx>
            <c:v>Layer 1</c:v>
          </c:tx>
          <c:spPr>
            <a:solidFill>
              <a:schemeClr val="accent1">
                <a:lumMod val="20000"/>
                <a:lumOff val="80000"/>
              </a:schemeClr>
            </a:solidFill>
            <a:ln>
              <a:solidFill>
                <a:srgbClr val="0000F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Multi_Layer_Sens!$D$31:$I$31</c:f>
              <c:strCache>
                <c:ptCount val="6"/>
                <c:pt idx="0">
                  <c:v>SOL 0</c:v>
                </c:pt>
                <c:pt idx="1">
                  <c:v>SOL 1</c:v>
                </c:pt>
                <c:pt idx="2">
                  <c:v>SOL 2</c:v>
                </c:pt>
                <c:pt idx="3">
                  <c:v>SOL 3</c:v>
                </c:pt>
                <c:pt idx="4">
                  <c:v>SOL 4</c:v>
                </c:pt>
                <c:pt idx="5">
                  <c:v>SOL 5</c:v>
                </c:pt>
              </c:strCache>
            </c:strRef>
          </c:cat>
          <c:val>
            <c:numRef>
              <c:f>Multi_Layer_Sens!$D$40:$I$40</c:f>
              <c:numCache>
                <c:formatCode>#,##0.00</c:formatCode>
                <c:ptCount val="6"/>
                <c:pt idx="0">
                  <c:v>0.36894431700000002</c:v>
                </c:pt>
                <c:pt idx="1">
                  <c:v>0.64567476499999998</c:v>
                </c:pt>
                <c:pt idx="2">
                  <c:v>0.56495010899999998</c:v>
                </c:pt>
                <c:pt idx="3">
                  <c:v>0.43445894099999999</c:v>
                </c:pt>
                <c:pt idx="4">
                  <c:v>-0.25416719900000001</c:v>
                </c:pt>
                <c:pt idx="5">
                  <c:v>-4.2252378459999997</c:v>
                </c:pt>
              </c:numCache>
            </c:numRef>
          </c:val>
          <c:extLst>
            <c:ext xmlns:c16="http://schemas.microsoft.com/office/drawing/2014/chart" uri="{C3380CC4-5D6E-409C-BE32-E72D297353CC}">
              <c16:uniqueId val="{00000001-CBDC-4304-9D57-8CF96C13ECDA}"/>
            </c:ext>
          </c:extLst>
        </c:ser>
        <c:ser>
          <c:idx val="0"/>
          <c:order val="1"/>
          <c:tx>
            <c:v>Layer 2</c:v>
          </c:tx>
          <c:spPr>
            <a:solidFill>
              <a:schemeClr val="accent2">
                <a:lumMod val="40000"/>
                <a:lumOff val="6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Multi_Layer_Sens!$D$31:$I$31</c:f>
              <c:strCache>
                <c:ptCount val="6"/>
                <c:pt idx="0">
                  <c:v>SOL 0</c:v>
                </c:pt>
                <c:pt idx="1">
                  <c:v>SOL 1</c:v>
                </c:pt>
                <c:pt idx="2">
                  <c:v>SOL 2</c:v>
                </c:pt>
                <c:pt idx="3">
                  <c:v>SOL 3</c:v>
                </c:pt>
                <c:pt idx="4">
                  <c:v>SOL 4</c:v>
                </c:pt>
                <c:pt idx="5">
                  <c:v>SOL 5</c:v>
                </c:pt>
              </c:strCache>
            </c:strRef>
          </c:cat>
          <c:val>
            <c:numRef>
              <c:f>Multi_Layer_Sens!$D$43:$I$43</c:f>
              <c:numCache>
                <c:formatCode>#,##0.00</c:formatCode>
                <c:ptCount val="6"/>
                <c:pt idx="0">
                  <c:v>4.464557171</c:v>
                </c:pt>
                <c:pt idx="1">
                  <c:v>4.7469449040000002</c:v>
                </c:pt>
                <c:pt idx="2">
                  <c:v>4.705512047</c:v>
                </c:pt>
                <c:pt idx="3">
                  <c:v>4.6325674059999997</c:v>
                </c:pt>
                <c:pt idx="4">
                  <c:v>5.2701334949999996</c:v>
                </c:pt>
                <c:pt idx="5">
                  <c:v>8.7978610990000004</c:v>
                </c:pt>
              </c:numCache>
            </c:numRef>
          </c:val>
          <c:extLst>
            <c:ext xmlns:c16="http://schemas.microsoft.com/office/drawing/2014/chart" uri="{C3380CC4-5D6E-409C-BE32-E72D297353CC}">
              <c16:uniqueId val="{00000000-CBDC-4304-9D57-8CF96C13ECDA}"/>
            </c:ext>
          </c:extLst>
        </c:ser>
        <c:dLbls>
          <c:showLegendKey val="0"/>
          <c:showVal val="0"/>
          <c:showCatName val="0"/>
          <c:showSerName val="0"/>
          <c:showPercent val="0"/>
          <c:showBubbleSize val="0"/>
        </c:dLbls>
        <c:gapWidth val="219"/>
        <c:overlap val="-27"/>
        <c:axId val="1301122271"/>
        <c:axId val="1301112287"/>
      </c:barChart>
      <c:catAx>
        <c:axId val="1301122271"/>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ES"/>
          </a:p>
        </c:txPr>
        <c:crossAx val="1301112287"/>
        <c:crosses val="autoZero"/>
        <c:auto val="1"/>
        <c:lblAlgn val="ctr"/>
        <c:lblOffset val="100"/>
        <c:noMultiLvlLbl val="0"/>
      </c:catAx>
      <c:valAx>
        <c:axId val="1301112287"/>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0"/>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01122271"/>
        <c:crosses val="autoZero"/>
        <c:crossBetween val="between"/>
      </c:valAx>
      <c:spPr>
        <a:noFill/>
        <a:ln>
          <a:noFill/>
        </a:ln>
        <a:effectLst/>
      </c:spPr>
    </c:plotArea>
    <c:legend>
      <c:legendPos val="t"/>
      <c:layout>
        <c:manualLayout>
          <c:xMode val="edge"/>
          <c:yMode val="edge"/>
          <c:x val="0.72353893263342084"/>
          <c:y val="3.2480000000000016E-2"/>
          <c:w val="0.2072665916760405"/>
          <c:h val="8.2721167207040314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strRef>
              <c:f>Well_Survey!$B$6</c:f>
              <c:strCache>
                <c:ptCount val="1"/>
                <c:pt idx="0">
                  <c:v>Well Deviation Survey</c:v>
                </c:pt>
              </c:strCache>
            </c:strRef>
          </c:tx>
          <c:spPr>
            <a:ln w="12700" cap="rnd">
              <a:solidFill>
                <a:schemeClr val="tx1"/>
              </a:solidFill>
              <a:round/>
            </a:ln>
            <a:effectLst/>
          </c:spPr>
          <c:marker>
            <c:symbol val="none"/>
          </c:marker>
          <c:xVal>
            <c:numRef>
              <c:f>Well_Survey!$B$10:$B$1000</c:f>
              <c:numCache>
                <c:formatCode>0.00</c:formatCode>
                <c:ptCount val="991"/>
                <c:pt idx="0">
                  <c:v>0</c:v>
                </c:pt>
                <c:pt idx="1">
                  <c:v>200</c:v>
                </c:pt>
                <c:pt idx="2">
                  <c:v>326</c:v>
                </c:pt>
                <c:pt idx="3">
                  <c:v>354</c:v>
                </c:pt>
                <c:pt idx="4">
                  <c:v>383</c:v>
                </c:pt>
                <c:pt idx="5">
                  <c:v>416</c:v>
                </c:pt>
                <c:pt idx="6">
                  <c:v>445</c:v>
                </c:pt>
                <c:pt idx="7">
                  <c:v>474</c:v>
                </c:pt>
                <c:pt idx="8">
                  <c:v>502</c:v>
                </c:pt>
                <c:pt idx="9">
                  <c:v>531</c:v>
                </c:pt>
                <c:pt idx="10">
                  <c:v>560</c:v>
                </c:pt>
                <c:pt idx="11">
                  <c:v>588</c:v>
                </c:pt>
                <c:pt idx="12">
                  <c:v>617</c:v>
                </c:pt>
                <c:pt idx="13">
                  <c:v>627</c:v>
                </c:pt>
                <c:pt idx="14">
                  <c:v>644</c:v>
                </c:pt>
                <c:pt idx="15">
                  <c:v>673</c:v>
                </c:pt>
                <c:pt idx="16">
                  <c:v>701</c:v>
                </c:pt>
                <c:pt idx="17">
                  <c:v>730</c:v>
                </c:pt>
                <c:pt idx="18">
                  <c:v>759</c:v>
                </c:pt>
                <c:pt idx="19">
                  <c:v>787</c:v>
                </c:pt>
                <c:pt idx="20">
                  <c:v>816</c:v>
                </c:pt>
                <c:pt idx="21">
                  <c:v>845</c:v>
                </c:pt>
                <c:pt idx="22">
                  <c:v>874</c:v>
                </c:pt>
                <c:pt idx="23">
                  <c:v>902</c:v>
                </c:pt>
                <c:pt idx="24">
                  <c:v>931</c:v>
                </c:pt>
                <c:pt idx="25">
                  <c:v>960</c:v>
                </c:pt>
                <c:pt idx="26">
                  <c:v>988</c:v>
                </c:pt>
                <c:pt idx="27">
                  <c:v>1017</c:v>
                </c:pt>
                <c:pt idx="28">
                  <c:v>1046</c:v>
                </c:pt>
                <c:pt idx="29">
                  <c:v>1074</c:v>
                </c:pt>
                <c:pt idx="30">
                  <c:v>1103</c:v>
                </c:pt>
                <c:pt idx="31">
                  <c:v>1131</c:v>
                </c:pt>
                <c:pt idx="32">
                  <c:v>1160</c:v>
                </c:pt>
                <c:pt idx="33">
                  <c:v>1189</c:v>
                </c:pt>
                <c:pt idx="34">
                  <c:v>1217</c:v>
                </c:pt>
                <c:pt idx="35">
                  <c:v>1246</c:v>
                </c:pt>
                <c:pt idx="36">
                  <c:v>1275</c:v>
                </c:pt>
                <c:pt idx="37">
                  <c:v>1303</c:v>
                </c:pt>
                <c:pt idx="38">
                  <c:v>1332</c:v>
                </c:pt>
                <c:pt idx="39">
                  <c:v>1361</c:v>
                </c:pt>
                <c:pt idx="40">
                  <c:v>1390</c:v>
                </c:pt>
                <c:pt idx="41">
                  <c:v>1418</c:v>
                </c:pt>
                <c:pt idx="42">
                  <c:v>1447</c:v>
                </c:pt>
                <c:pt idx="43">
                  <c:v>1476</c:v>
                </c:pt>
                <c:pt idx="44">
                  <c:v>1504</c:v>
                </c:pt>
                <c:pt idx="45">
                  <c:v>1538</c:v>
                </c:pt>
                <c:pt idx="46">
                  <c:v>1567</c:v>
                </c:pt>
                <c:pt idx="47">
                  <c:v>1595</c:v>
                </c:pt>
                <c:pt idx="48">
                  <c:v>1619</c:v>
                </c:pt>
                <c:pt idx="49">
                  <c:v>1648</c:v>
                </c:pt>
                <c:pt idx="50">
                  <c:v>1676</c:v>
                </c:pt>
                <c:pt idx="51">
                  <c:v>1705</c:v>
                </c:pt>
                <c:pt idx="52">
                  <c:v>1734</c:v>
                </c:pt>
                <c:pt idx="53">
                  <c:v>1763</c:v>
                </c:pt>
                <c:pt idx="54">
                  <c:v>1791</c:v>
                </c:pt>
                <c:pt idx="55">
                  <c:v>1819</c:v>
                </c:pt>
                <c:pt idx="56">
                  <c:v>1848</c:v>
                </c:pt>
                <c:pt idx="57">
                  <c:v>1877</c:v>
                </c:pt>
                <c:pt idx="58">
                  <c:v>1905</c:v>
                </c:pt>
                <c:pt idx="59">
                  <c:v>1929</c:v>
                </c:pt>
                <c:pt idx="60">
                  <c:v>1990</c:v>
                </c:pt>
                <c:pt idx="61">
                  <c:v>2017</c:v>
                </c:pt>
                <c:pt idx="62">
                  <c:v>2046</c:v>
                </c:pt>
                <c:pt idx="63">
                  <c:v>2075</c:v>
                </c:pt>
                <c:pt idx="64">
                  <c:v>2104</c:v>
                </c:pt>
                <c:pt idx="65">
                  <c:v>2132</c:v>
                </c:pt>
                <c:pt idx="66">
                  <c:v>2161</c:v>
                </c:pt>
                <c:pt idx="67">
                  <c:v>2190</c:v>
                </c:pt>
                <c:pt idx="68">
                  <c:v>2218</c:v>
                </c:pt>
                <c:pt idx="69">
                  <c:v>2247</c:v>
                </c:pt>
                <c:pt idx="70">
                  <c:v>2275</c:v>
                </c:pt>
                <c:pt idx="71">
                  <c:v>2289</c:v>
                </c:pt>
                <c:pt idx="72">
                  <c:v>2320</c:v>
                </c:pt>
                <c:pt idx="73">
                  <c:v>2335</c:v>
                </c:pt>
                <c:pt idx="74">
                  <c:v>2363</c:v>
                </c:pt>
                <c:pt idx="75">
                  <c:v>2392</c:v>
                </c:pt>
                <c:pt idx="76">
                  <c:v>2421</c:v>
                </c:pt>
                <c:pt idx="77">
                  <c:v>2449</c:v>
                </c:pt>
                <c:pt idx="78">
                  <c:v>2478</c:v>
                </c:pt>
                <c:pt idx="79">
                  <c:v>2507</c:v>
                </c:pt>
                <c:pt idx="80">
                  <c:v>2535</c:v>
                </c:pt>
                <c:pt idx="81">
                  <c:v>2564</c:v>
                </c:pt>
                <c:pt idx="82">
                  <c:v>2593</c:v>
                </c:pt>
                <c:pt idx="83">
                  <c:v>2621</c:v>
                </c:pt>
                <c:pt idx="84">
                  <c:v>2650</c:v>
                </c:pt>
                <c:pt idx="85">
                  <c:v>2679</c:v>
                </c:pt>
                <c:pt idx="86">
                  <c:v>2708</c:v>
                </c:pt>
                <c:pt idx="87">
                  <c:v>2736</c:v>
                </c:pt>
                <c:pt idx="88">
                  <c:v>2765</c:v>
                </c:pt>
                <c:pt idx="89">
                  <c:v>2793</c:v>
                </c:pt>
                <c:pt idx="90">
                  <c:v>2822</c:v>
                </c:pt>
                <c:pt idx="91">
                  <c:v>2851</c:v>
                </c:pt>
                <c:pt idx="92">
                  <c:v>2879</c:v>
                </c:pt>
                <c:pt idx="93">
                  <c:v>2908</c:v>
                </c:pt>
                <c:pt idx="94">
                  <c:v>2929</c:v>
                </c:pt>
                <c:pt idx="95">
                  <c:v>2935</c:v>
                </c:pt>
                <c:pt idx="96">
                  <c:v>2963</c:v>
                </c:pt>
                <c:pt idx="97">
                  <c:v>2992</c:v>
                </c:pt>
                <c:pt idx="98">
                  <c:v>3021</c:v>
                </c:pt>
                <c:pt idx="99">
                  <c:v>3049</c:v>
                </c:pt>
                <c:pt idx="100">
                  <c:v>3078</c:v>
                </c:pt>
                <c:pt idx="101">
                  <c:v>3107</c:v>
                </c:pt>
                <c:pt idx="102">
                  <c:v>3135</c:v>
                </c:pt>
                <c:pt idx="103">
                  <c:v>3164</c:v>
                </c:pt>
                <c:pt idx="104">
                  <c:v>3193</c:v>
                </c:pt>
                <c:pt idx="105">
                  <c:v>3221</c:v>
                </c:pt>
                <c:pt idx="106">
                  <c:v>3250</c:v>
                </c:pt>
                <c:pt idx="107">
                  <c:v>3279</c:v>
                </c:pt>
                <c:pt idx="108">
                  <c:v>3308</c:v>
                </c:pt>
                <c:pt idx="109">
                  <c:v>3337</c:v>
                </c:pt>
                <c:pt idx="110">
                  <c:v>3366</c:v>
                </c:pt>
                <c:pt idx="111">
                  <c:v>3394</c:v>
                </c:pt>
                <c:pt idx="112">
                  <c:v>3423</c:v>
                </c:pt>
                <c:pt idx="113">
                  <c:v>3456</c:v>
                </c:pt>
                <c:pt idx="114">
                  <c:v>3484</c:v>
                </c:pt>
                <c:pt idx="115">
                  <c:v>3513</c:v>
                </c:pt>
                <c:pt idx="116">
                  <c:v>3542</c:v>
                </c:pt>
                <c:pt idx="117">
                  <c:v>3570</c:v>
                </c:pt>
                <c:pt idx="118">
                  <c:v>3599</c:v>
                </c:pt>
                <c:pt idx="119">
                  <c:v>3628</c:v>
                </c:pt>
                <c:pt idx="120">
                  <c:v>3657</c:v>
                </c:pt>
                <c:pt idx="121">
                  <c:v>3679</c:v>
                </c:pt>
                <c:pt idx="122">
                  <c:v>3707</c:v>
                </c:pt>
                <c:pt idx="123">
                  <c:v>3736</c:v>
                </c:pt>
                <c:pt idx="124">
                  <c:v>3765</c:v>
                </c:pt>
                <c:pt idx="125">
                  <c:v>3794</c:v>
                </c:pt>
                <c:pt idx="126">
                  <c:v>3822</c:v>
                </c:pt>
                <c:pt idx="127">
                  <c:v>3855</c:v>
                </c:pt>
                <c:pt idx="128">
                  <c:v>3883</c:v>
                </c:pt>
                <c:pt idx="129">
                  <c:v>3904</c:v>
                </c:pt>
                <c:pt idx="130">
                  <c:v>3911</c:v>
                </c:pt>
                <c:pt idx="131">
                  <c:v>3919</c:v>
                </c:pt>
                <c:pt idx="132">
                  <c:v>3940</c:v>
                </c:pt>
                <c:pt idx="133">
                  <c:v>3945</c:v>
                </c:pt>
                <c:pt idx="134">
                  <c:v>3963</c:v>
                </c:pt>
                <c:pt idx="135">
                  <c:v>3973</c:v>
                </c:pt>
                <c:pt idx="136">
                  <c:v>3983</c:v>
                </c:pt>
                <c:pt idx="137">
                  <c:v>3992</c:v>
                </c:pt>
                <c:pt idx="138">
                  <c:v>4001</c:v>
                </c:pt>
                <c:pt idx="139">
                  <c:v>4010</c:v>
                </c:pt>
                <c:pt idx="140">
                  <c:v>4019</c:v>
                </c:pt>
                <c:pt idx="141">
                  <c:v>4029</c:v>
                </c:pt>
                <c:pt idx="142">
                  <c:v>4039</c:v>
                </c:pt>
                <c:pt idx="143">
                  <c:v>4049</c:v>
                </c:pt>
                <c:pt idx="144">
                  <c:v>4057</c:v>
                </c:pt>
                <c:pt idx="145">
                  <c:v>4065</c:v>
                </c:pt>
                <c:pt idx="146">
                  <c:v>4070</c:v>
                </c:pt>
                <c:pt idx="147">
                  <c:v>4080</c:v>
                </c:pt>
                <c:pt idx="148">
                  <c:v>4084</c:v>
                </c:pt>
                <c:pt idx="149">
                  <c:v>4093</c:v>
                </c:pt>
                <c:pt idx="150">
                  <c:v>4104</c:v>
                </c:pt>
                <c:pt idx="151">
                  <c:v>4114</c:v>
                </c:pt>
                <c:pt idx="152">
                  <c:v>4123</c:v>
                </c:pt>
                <c:pt idx="153">
                  <c:v>4133</c:v>
                </c:pt>
                <c:pt idx="154">
                  <c:v>4143</c:v>
                </c:pt>
                <c:pt idx="155">
                  <c:v>4153</c:v>
                </c:pt>
                <c:pt idx="156">
                  <c:v>4164</c:v>
                </c:pt>
                <c:pt idx="157">
                  <c:v>4174</c:v>
                </c:pt>
                <c:pt idx="158">
                  <c:v>4183</c:v>
                </c:pt>
                <c:pt idx="159">
                  <c:v>4193</c:v>
                </c:pt>
                <c:pt idx="160">
                  <c:v>4203</c:v>
                </c:pt>
                <c:pt idx="161">
                  <c:v>4212</c:v>
                </c:pt>
                <c:pt idx="162">
                  <c:v>4222</c:v>
                </c:pt>
                <c:pt idx="163">
                  <c:v>4230</c:v>
                </c:pt>
                <c:pt idx="164">
                  <c:v>4240</c:v>
                </c:pt>
                <c:pt idx="165">
                  <c:v>4250</c:v>
                </c:pt>
                <c:pt idx="166">
                  <c:v>4260</c:v>
                </c:pt>
                <c:pt idx="167">
                  <c:v>4269</c:v>
                </c:pt>
                <c:pt idx="168">
                  <c:v>4279</c:v>
                </c:pt>
                <c:pt idx="169">
                  <c:v>4289</c:v>
                </c:pt>
                <c:pt idx="170">
                  <c:v>4299</c:v>
                </c:pt>
                <c:pt idx="171">
                  <c:v>4309</c:v>
                </c:pt>
                <c:pt idx="172">
                  <c:v>4319</c:v>
                </c:pt>
                <c:pt idx="173">
                  <c:v>4329</c:v>
                </c:pt>
                <c:pt idx="174">
                  <c:v>4339</c:v>
                </c:pt>
                <c:pt idx="175">
                  <c:v>4349</c:v>
                </c:pt>
                <c:pt idx="176">
                  <c:v>4359</c:v>
                </c:pt>
                <c:pt idx="177">
                  <c:v>4369</c:v>
                </c:pt>
                <c:pt idx="178">
                  <c:v>4379</c:v>
                </c:pt>
                <c:pt idx="179">
                  <c:v>4389</c:v>
                </c:pt>
                <c:pt idx="180">
                  <c:v>4399</c:v>
                </c:pt>
                <c:pt idx="181">
                  <c:v>4409</c:v>
                </c:pt>
                <c:pt idx="182">
                  <c:v>4423</c:v>
                </c:pt>
                <c:pt idx="183">
                  <c:v>4432</c:v>
                </c:pt>
                <c:pt idx="184">
                  <c:v>4442</c:v>
                </c:pt>
                <c:pt idx="185">
                  <c:v>4452</c:v>
                </c:pt>
                <c:pt idx="186">
                  <c:v>4462</c:v>
                </c:pt>
                <c:pt idx="187">
                  <c:v>4471</c:v>
                </c:pt>
                <c:pt idx="188">
                  <c:v>4481</c:v>
                </c:pt>
                <c:pt idx="189">
                  <c:v>4490</c:v>
                </c:pt>
                <c:pt idx="190">
                  <c:v>4499</c:v>
                </c:pt>
                <c:pt idx="191">
                  <c:v>4509</c:v>
                </c:pt>
                <c:pt idx="192">
                  <c:v>4523</c:v>
                </c:pt>
              </c:numCache>
            </c:numRef>
          </c:xVal>
          <c:yVal>
            <c:numRef>
              <c:f>Well_Survey!$C$10:$C$1000</c:f>
              <c:numCache>
                <c:formatCode>0.00</c:formatCode>
                <c:ptCount val="991"/>
                <c:pt idx="0">
                  <c:v>0</c:v>
                </c:pt>
                <c:pt idx="1">
                  <c:v>200</c:v>
                </c:pt>
                <c:pt idx="2">
                  <c:v>325.99799999999999</c:v>
                </c:pt>
                <c:pt idx="3">
                  <c:v>353.99599999999998</c:v>
                </c:pt>
                <c:pt idx="4">
                  <c:v>382.99099999999999</c:v>
                </c:pt>
                <c:pt idx="5">
                  <c:v>415.98599999999999</c:v>
                </c:pt>
                <c:pt idx="6">
                  <c:v>444.98500000000001</c:v>
                </c:pt>
                <c:pt idx="7">
                  <c:v>473.983</c:v>
                </c:pt>
                <c:pt idx="8">
                  <c:v>501.98</c:v>
                </c:pt>
                <c:pt idx="9">
                  <c:v>530.97900000000004</c:v>
                </c:pt>
                <c:pt idx="10">
                  <c:v>559.97900000000004</c:v>
                </c:pt>
                <c:pt idx="11">
                  <c:v>587.97799999999995</c:v>
                </c:pt>
                <c:pt idx="12">
                  <c:v>616.976</c:v>
                </c:pt>
                <c:pt idx="13">
                  <c:v>626.97500000000002</c:v>
                </c:pt>
                <c:pt idx="14">
                  <c:v>643.97199999999998</c:v>
                </c:pt>
                <c:pt idx="15">
                  <c:v>672.96500000000003</c:v>
                </c:pt>
                <c:pt idx="16">
                  <c:v>700.95699999999999</c:v>
                </c:pt>
                <c:pt idx="17">
                  <c:v>729.94899999999996</c:v>
                </c:pt>
                <c:pt idx="18">
                  <c:v>758.94299999999998</c:v>
                </c:pt>
                <c:pt idx="19">
                  <c:v>786.94</c:v>
                </c:pt>
                <c:pt idx="20">
                  <c:v>815.93899999999996</c:v>
                </c:pt>
                <c:pt idx="21">
                  <c:v>844.93799999999999</c:v>
                </c:pt>
                <c:pt idx="22">
                  <c:v>873.93700000000001</c:v>
                </c:pt>
                <c:pt idx="23">
                  <c:v>901.93700000000001</c:v>
                </c:pt>
                <c:pt idx="24">
                  <c:v>930.93600000000004</c:v>
                </c:pt>
                <c:pt idx="25">
                  <c:v>959.93499999999995</c:v>
                </c:pt>
                <c:pt idx="26">
                  <c:v>987.93399999999997</c:v>
                </c:pt>
                <c:pt idx="27">
                  <c:v>1016.93</c:v>
                </c:pt>
                <c:pt idx="28">
                  <c:v>1045.93</c:v>
                </c:pt>
                <c:pt idx="29">
                  <c:v>1073.93</c:v>
                </c:pt>
                <c:pt idx="30">
                  <c:v>1102.93</c:v>
                </c:pt>
                <c:pt idx="31">
                  <c:v>1130.92</c:v>
                </c:pt>
                <c:pt idx="32">
                  <c:v>1159.92</c:v>
                </c:pt>
                <c:pt idx="33">
                  <c:v>1188.92</c:v>
                </c:pt>
                <c:pt idx="34">
                  <c:v>1216.92</c:v>
                </c:pt>
                <c:pt idx="35">
                  <c:v>1245.92</c:v>
                </c:pt>
                <c:pt idx="36">
                  <c:v>1274.92</c:v>
                </c:pt>
                <c:pt idx="37">
                  <c:v>1302.92</c:v>
                </c:pt>
                <c:pt idx="38">
                  <c:v>1331.92</c:v>
                </c:pt>
                <c:pt idx="39">
                  <c:v>1360.92</c:v>
                </c:pt>
                <c:pt idx="40">
                  <c:v>1389.92</c:v>
                </c:pt>
                <c:pt idx="41">
                  <c:v>1417.91</c:v>
                </c:pt>
                <c:pt idx="42">
                  <c:v>1446.91</c:v>
                </c:pt>
                <c:pt idx="43">
                  <c:v>1475.91</c:v>
                </c:pt>
                <c:pt idx="44">
                  <c:v>1503.91</c:v>
                </c:pt>
                <c:pt idx="45">
                  <c:v>1537.91</c:v>
                </c:pt>
                <c:pt idx="46">
                  <c:v>1566.91</c:v>
                </c:pt>
                <c:pt idx="47">
                  <c:v>1594.91</c:v>
                </c:pt>
                <c:pt idx="48">
                  <c:v>1618.91</c:v>
                </c:pt>
                <c:pt idx="49">
                  <c:v>1647.91</c:v>
                </c:pt>
                <c:pt idx="50">
                  <c:v>1675.91</c:v>
                </c:pt>
                <c:pt idx="51">
                  <c:v>1704.91</c:v>
                </c:pt>
                <c:pt idx="52">
                  <c:v>1733.91</c:v>
                </c:pt>
                <c:pt idx="53">
                  <c:v>1762.91</c:v>
                </c:pt>
                <c:pt idx="54">
                  <c:v>1790.91</c:v>
                </c:pt>
                <c:pt idx="55">
                  <c:v>1818.91</c:v>
                </c:pt>
                <c:pt idx="56">
                  <c:v>1847.91</c:v>
                </c:pt>
                <c:pt idx="57">
                  <c:v>1876.9</c:v>
                </c:pt>
                <c:pt idx="58">
                  <c:v>1904.89</c:v>
                </c:pt>
                <c:pt idx="59">
                  <c:v>1928.88</c:v>
                </c:pt>
                <c:pt idx="60">
                  <c:v>1989.86</c:v>
                </c:pt>
                <c:pt idx="61">
                  <c:v>2016.85</c:v>
                </c:pt>
                <c:pt idx="62">
                  <c:v>2045.85</c:v>
                </c:pt>
                <c:pt idx="63">
                  <c:v>2074.84</c:v>
                </c:pt>
                <c:pt idx="64">
                  <c:v>2103.84</c:v>
                </c:pt>
                <c:pt idx="65">
                  <c:v>2131.83</c:v>
                </c:pt>
                <c:pt idx="66">
                  <c:v>2160.83</c:v>
                </c:pt>
                <c:pt idx="67">
                  <c:v>2189.83</c:v>
                </c:pt>
                <c:pt idx="68">
                  <c:v>2217.83</c:v>
                </c:pt>
                <c:pt idx="69">
                  <c:v>2246.83</c:v>
                </c:pt>
                <c:pt idx="70">
                  <c:v>2274.83</c:v>
                </c:pt>
                <c:pt idx="71">
                  <c:v>2288.83</c:v>
                </c:pt>
                <c:pt idx="72">
                  <c:v>2319.83</c:v>
                </c:pt>
                <c:pt idx="73">
                  <c:v>2334.83</c:v>
                </c:pt>
                <c:pt idx="74">
                  <c:v>2362.83</c:v>
                </c:pt>
                <c:pt idx="75">
                  <c:v>2391.83</c:v>
                </c:pt>
                <c:pt idx="76">
                  <c:v>2420.8200000000002</c:v>
                </c:pt>
                <c:pt idx="77">
                  <c:v>2448.8200000000002</c:v>
                </c:pt>
                <c:pt idx="78">
                  <c:v>2477.81</c:v>
                </c:pt>
                <c:pt idx="79">
                  <c:v>2506.8000000000002</c:v>
                </c:pt>
                <c:pt idx="80">
                  <c:v>2534.79</c:v>
                </c:pt>
                <c:pt idx="81">
                  <c:v>2563.79</c:v>
                </c:pt>
                <c:pt idx="82">
                  <c:v>2592.7800000000002</c:v>
                </c:pt>
                <c:pt idx="83">
                  <c:v>2620.77</c:v>
                </c:pt>
                <c:pt idx="84">
                  <c:v>2649.77</c:v>
                </c:pt>
                <c:pt idx="85">
                  <c:v>2678.76</c:v>
                </c:pt>
                <c:pt idx="86">
                  <c:v>2707.75</c:v>
                </c:pt>
                <c:pt idx="87">
                  <c:v>2735.75</c:v>
                </c:pt>
                <c:pt idx="88">
                  <c:v>2764.74</c:v>
                </c:pt>
                <c:pt idx="89">
                  <c:v>2792.73</c:v>
                </c:pt>
                <c:pt idx="90">
                  <c:v>2821.73</c:v>
                </c:pt>
                <c:pt idx="91">
                  <c:v>2850.72</c:v>
                </c:pt>
                <c:pt idx="92">
                  <c:v>2878.72</c:v>
                </c:pt>
                <c:pt idx="93">
                  <c:v>2907.72</c:v>
                </c:pt>
                <c:pt idx="94">
                  <c:v>2928.72</c:v>
                </c:pt>
                <c:pt idx="95">
                  <c:v>2934.72</c:v>
                </c:pt>
                <c:pt idx="96">
                  <c:v>2962.71</c:v>
                </c:pt>
                <c:pt idx="97">
                  <c:v>2991.71</c:v>
                </c:pt>
                <c:pt idx="98">
                  <c:v>3020.71</c:v>
                </c:pt>
                <c:pt idx="99">
                  <c:v>3048.71</c:v>
                </c:pt>
                <c:pt idx="100">
                  <c:v>3077.71</c:v>
                </c:pt>
                <c:pt idx="101">
                  <c:v>3106.7</c:v>
                </c:pt>
                <c:pt idx="102">
                  <c:v>3134.69</c:v>
                </c:pt>
                <c:pt idx="103">
                  <c:v>3163.68</c:v>
                </c:pt>
                <c:pt idx="104">
                  <c:v>3192.67</c:v>
                </c:pt>
                <c:pt idx="105">
                  <c:v>3220.66</c:v>
                </c:pt>
                <c:pt idx="106">
                  <c:v>3249.65</c:v>
                </c:pt>
                <c:pt idx="107">
                  <c:v>3278.65</c:v>
                </c:pt>
                <c:pt idx="108">
                  <c:v>3307.64</c:v>
                </c:pt>
                <c:pt idx="109">
                  <c:v>3336.64</c:v>
                </c:pt>
                <c:pt idx="110">
                  <c:v>3365.64</c:v>
                </c:pt>
                <c:pt idx="111">
                  <c:v>3393.64</c:v>
                </c:pt>
                <c:pt idx="112">
                  <c:v>3422.63</c:v>
                </c:pt>
                <c:pt idx="113">
                  <c:v>3455.63</c:v>
                </c:pt>
                <c:pt idx="114">
                  <c:v>3483.63</c:v>
                </c:pt>
                <c:pt idx="115">
                  <c:v>3512.63</c:v>
                </c:pt>
                <c:pt idx="116">
                  <c:v>3541.63</c:v>
                </c:pt>
                <c:pt idx="117">
                  <c:v>3569.63</c:v>
                </c:pt>
                <c:pt idx="118">
                  <c:v>3598.62</c:v>
                </c:pt>
                <c:pt idx="119">
                  <c:v>3627.61</c:v>
                </c:pt>
                <c:pt idx="120">
                  <c:v>3656.6</c:v>
                </c:pt>
                <c:pt idx="121">
                  <c:v>3678.58</c:v>
                </c:pt>
                <c:pt idx="122">
                  <c:v>3706.56</c:v>
                </c:pt>
                <c:pt idx="123">
                  <c:v>3735.53</c:v>
                </c:pt>
                <c:pt idx="124">
                  <c:v>3764.5</c:v>
                </c:pt>
                <c:pt idx="125">
                  <c:v>3793.47</c:v>
                </c:pt>
                <c:pt idx="126">
                  <c:v>3821.43</c:v>
                </c:pt>
                <c:pt idx="127">
                  <c:v>3854.37</c:v>
                </c:pt>
                <c:pt idx="128">
                  <c:v>3882.3</c:v>
                </c:pt>
                <c:pt idx="129">
                  <c:v>3903.25</c:v>
                </c:pt>
                <c:pt idx="130">
                  <c:v>3910.22</c:v>
                </c:pt>
                <c:pt idx="131">
                  <c:v>3918.15</c:v>
                </c:pt>
                <c:pt idx="132">
                  <c:v>3938.94</c:v>
                </c:pt>
                <c:pt idx="133">
                  <c:v>3943.88</c:v>
                </c:pt>
                <c:pt idx="134">
                  <c:v>3961.67</c:v>
                </c:pt>
                <c:pt idx="135">
                  <c:v>3971.53</c:v>
                </c:pt>
                <c:pt idx="136">
                  <c:v>3981.33</c:v>
                </c:pt>
                <c:pt idx="137">
                  <c:v>3990.08</c:v>
                </c:pt>
                <c:pt idx="138">
                  <c:v>3998.76</c:v>
                </c:pt>
                <c:pt idx="139">
                  <c:v>4007.37</c:v>
                </c:pt>
                <c:pt idx="140">
                  <c:v>4015.93</c:v>
                </c:pt>
                <c:pt idx="141">
                  <c:v>4025.37</c:v>
                </c:pt>
                <c:pt idx="142">
                  <c:v>4034.74</c:v>
                </c:pt>
                <c:pt idx="143">
                  <c:v>4044.01</c:v>
                </c:pt>
                <c:pt idx="144">
                  <c:v>4051.36</c:v>
                </c:pt>
                <c:pt idx="145">
                  <c:v>4058.65</c:v>
                </c:pt>
                <c:pt idx="146">
                  <c:v>4063.17</c:v>
                </c:pt>
                <c:pt idx="147">
                  <c:v>4072.1</c:v>
                </c:pt>
                <c:pt idx="148">
                  <c:v>4075.63</c:v>
                </c:pt>
                <c:pt idx="149">
                  <c:v>4083.44</c:v>
                </c:pt>
                <c:pt idx="150">
                  <c:v>4092.82</c:v>
                </c:pt>
                <c:pt idx="151">
                  <c:v>4101.16</c:v>
                </c:pt>
                <c:pt idx="152">
                  <c:v>4108.49</c:v>
                </c:pt>
                <c:pt idx="153">
                  <c:v>4116.4399999999996</c:v>
                </c:pt>
                <c:pt idx="154">
                  <c:v>4124.21</c:v>
                </c:pt>
                <c:pt idx="155">
                  <c:v>4131.8500000000004</c:v>
                </c:pt>
                <c:pt idx="156">
                  <c:v>4140.1400000000003</c:v>
                </c:pt>
                <c:pt idx="157">
                  <c:v>4147.6000000000004</c:v>
                </c:pt>
                <c:pt idx="158">
                  <c:v>4154.3500000000004</c:v>
                </c:pt>
                <c:pt idx="159">
                  <c:v>4161.9399999999996</c:v>
                </c:pt>
                <c:pt idx="160">
                  <c:v>4169.5200000000004</c:v>
                </c:pt>
                <c:pt idx="161">
                  <c:v>4176.37</c:v>
                </c:pt>
                <c:pt idx="162">
                  <c:v>4184</c:v>
                </c:pt>
                <c:pt idx="163">
                  <c:v>4190.1099999999997</c:v>
                </c:pt>
                <c:pt idx="164">
                  <c:v>4197.72</c:v>
                </c:pt>
                <c:pt idx="165">
                  <c:v>4205.32</c:v>
                </c:pt>
                <c:pt idx="166">
                  <c:v>4212.91</c:v>
                </c:pt>
                <c:pt idx="167">
                  <c:v>4219.71</c:v>
                </c:pt>
                <c:pt idx="168">
                  <c:v>4227.24</c:v>
                </c:pt>
                <c:pt idx="169">
                  <c:v>4234.74</c:v>
                </c:pt>
                <c:pt idx="170">
                  <c:v>4242.22</c:v>
                </c:pt>
                <c:pt idx="171">
                  <c:v>4249.66</c:v>
                </c:pt>
                <c:pt idx="172">
                  <c:v>4257.0600000000004</c:v>
                </c:pt>
                <c:pt idx="173">
                  <c:v>4264.43</c:v>
                </c:pt>
                <c:pt idx="174">
                  <c:v>4271.7700000000004</c:v>
                </c:pt>
                <c:pt idx="175">
                  <c:v>4279.0600000000004</c:v>
                </c:pt>
                <c:pt idx="176">
                  <c:v>4286.3100000000004</c:v>
                </c:pt>
                <c:pt idx="177">
                  <c:v>4293.54</c:v>
                </c:pt>
                <c:pt idx="178">
                  <c:v>4300.75</c:v>
                </c:pt>
                <c:pt idx="179">
                  <c:v>4307.9799999999996</c:v>
                </c:pt>
                <c:pt idx="180">
                  <c:v>4315.2299999999996</c:v>
                </c:pt>
                <c:pt idx="181">
                  <c:v>4322.5</c:v>
                </c:pt>
                <c:pt idx="182">
                  <c:v>4332.6899999999996</c:v>
                </c:pt>
                <c:pt idx="183">
                  <c:v>4339.26</c:v>
                </c:pt>
                <c:pt idx="184">
                  <c:v>4346.6000000000004</c:v>
                </c:pt>
                <c:pt idx="185">
                  <c:v>4353.96</c:v>
                </c:pt>
                <c:pt idx="186">
                  <c:v>4361.32</c:v>
                </c:pt>
                <c:pt idx="187">
                  <c:v>4367.9399999999996</c:v>
                </c:pt>
                <c:pt idx="188">
                  <c:v>4375.32</c:v>
                </c:pt>
                <c:pt idx="189">
                  <c:v>4381.97</c:v>
                </c:pt>
                <c:pt idx="190">
                  <c:v>4388.63</c:v>
                </c:pt>
                <c:pt idx="191">
                  <c:v>4396.04</c:v>
                </c:pt>
                <c:pt idx="192">
                  <c:v>4406.4399999999996</c:v>
                </c:pt>
              </c:numCache>
            </c:numRef>
          </c:yVal>
          <c:smooth val="1"/>
          <c:extLst>
            <c:ext xmlns:c16="http://schemas.microsoft.com/office/drawing/2014/chart" uri="{C3380CC4-5D6E-409C-BE32-E72D297353CC}">
              <c16:uniqueId val="{00000000-9301-4A11-B3C5-EFA734CE191A}"/>
            </c:ext>
          </c:extLst>
        </c:ser>
        <c:ser>
          <c:idx val="1"/>
          <c:order val="1"/>
          <c:tx>
            <c:strRef>
              <c:f>Well_Survey!$J$6</c:f>
              <c:strCache>
                <c:ptCount val="1"/>
                <c:pt idx="0">
                  <c:v>PROSPER Data</c:v>
                </c:pt>
              </c:strCache>
            </c:strRef>
          </c:tx>
          <c:spPr>
            <a:ln w="19050" cap="rnd">
              <a:noFill/>
              <a:round/>
            </a:ln>
            <a:effectLst/>
          </c:spPr>
          <c:marker>
            <c:symbol val="circle"/>
            <c:size val="7"/>
            <c:spPr>
              <a:solidFill>
                <a:schemeClr val="accent1">
                  <a:lumMod val="20000"/>
                  <a:lumOff val="80000"/>
                </a:schemeClr>
              </a:solidFill>
              <a:ln w="9525">
                <a:solidFill>
                  <a:srgbClr val="0000FF"/>
                </a:solidFill>
              </a:ln>
              <a:effectLst/>
            </c:spPr>
          </c:marker>
          <c:xVal>
            <c:numRef>
              <c:f>Well_Survey!$J$10:$J$29</c:f>
              <c:numCache>
                <c:formatCode>0.00</c:formatCode>
                <c:ptCount val="20"/>
                <c:pt idx="0">
                  <c:v>0</c:v>
                </c:pt>
                <c:pt idx="1">
                  <c:v>1712.2</c:v>
                </c:pt>
                <c:pt idx="2">
                  <c:v>3142.9</c:v>
                </c:pt>
                <c:pt idx="3">
                  <c:v>4026.27</c:v>
                </c:pt>
                <c:pt idx="4">
                  <c:v>4700</c:v>
                </c:pt>
                <c:pt idx="5">
                  <c:v>4846.5</c:v>
                </c:pt>
                <c:pt idx="6">
                  <c:v>4933.79</c:v>
                </c:pt>
                <c:pt idx="7">
                  <c:v>5270</c:v>
                </c:pt>
                <c:pt idx="8">
                  <c:v>5370</c:v>
                </c:pt>
                <c:pt idx="9">
                  <c:v>5610</c:v>
                </c:pt>
                <c:pt idx="10">
                  <c:v>5710</c:v>
                </c:pt>
                <c:pt idx="11">
                  <c:v>5720</c:v>
                </c:pt>
                <c:pt idx="12">
                  <c:v>5740</c:v>
                </c:pt>
                <c:pt idx="13">
                  <c:v>5760</c:v>
                </c:pt>
                <c:pt idx="14">
                  <c:v>5770</c:v>
                </c:pt>
                <c:pt idx="15">
                  <c:v>5810</c:v>
                </c:pt>
                <c:pt idx="16">
                  <c:v>5820</c:v>
                </c:pt>
                <c:pt idx="17">
                  <c:v>5860</c:v>
                </c:pt>
                <c:pt idx="18">
                  <c:v>5880</c:v>
                </c:pt>
                <c:pt idx="19">
                  <c:v>6030</c:v>
                </c:pt>
              </c:numCache>
            </c:numRef>
          </c:xVal>
          <c:yVal>
            <c:numRef>
              <c:f>Well_Survey!$K$10:$K$29</c:f>
              <c:numCache>
                <c:formatCode>0.00</c:formatCode>
                <c:ptCount val="20"/>
                <c:pt idx="0">
                  <c:v>0</c:v>
                </c:pt>
                <c:pt idx="1">
                  <c:v>1711.67</c:v>
                </c:pt>
                <c:pt idx="2">
                  <c:v>3140.13</c:v>
                </c:pt>
                <c:pt idx="3">
                  <c:v>3978.95</c:v>
                </c:pt>
                <c:pt idx="4">
                  <c:v>4543.5</c:v>
                </c:pt>
                <c:pt idx="5">
                  <c:v>4643.63</c:v>
                </c:pt>
                <c:pt idx="6">
                  <c:v>4697.8</c:v>
                </c:pt>
                <c:pt idx="7">
                  <c:v>4872.54</c:v>
                </c:pt>
                <c:pt idx="8">
                  <c:v>4909.74</c:v>
                </c:pt>
                <c:pt idx="9">
                  <c:v>4933.33</c:v>
                </c:pt>
                <c:pt idx="10">
                  <c:v>4937.6099999999997</c:v>
                </c:pt>
                <c:pt idx="11">
                  <c:v>4938.3900000000003</c:v>
                </c:pt>
                <c:pt idx="12">
                  <c:v>4939.8999999999996</c:v>
                </c:pt>
                <c:pt idx="13">
                  <c:v>4941.21</c:v>
                </c:pt>
                <c:pt idx="14">
                  <c:v>4941.87</c:v>
                </c:pt>
                <c:pt idx="15">
                  <c:v>4944.7</c:v>
                </c:pt>
                <c:pt idx="16">
                  <c:v>4945.42</c:v>
                </c:pt>
                <c:pt idx="17">
                  <c:v>4948.33</c:v>
                </c:pt>
                <c:pt idx="18">
                  <c:v>4949.96</c:v>
                </c:pt>
                <c:pt idx="19">
                  <c:v>4961</c:v>
                </c:pt>
              </c:numCache>
            </c:numRef>
          </c:yVal>
          <c:smooth val="0"/>
          <c:extLst>
            <c:ext xmlns:c16="http://schemas.microsoft.com/office/drawing/2014/chart" uri="{C3380CC4-5D6E-409C-BE32-E72D297353CC}">
              <c16:uniqueId val="{00000001-9301-4A11-B3C5-EFA734CE191A}"/>
            </c:ext>
          </c:extLst>
        </c:ser>
        <c:dLbls>
          <c:showLegendKey val="0"/>
          <c:showVal val="0"/>
          <c:showCatName val="0"/>
          <c:showSerName val="0"/>
          <c:showPercent val="0"/>
          <c:showBubbleSize val="0"/>
        </c:dLbls>
        <c:axId val="364944128"/>
        <c:axId val="364944704"/>
      </c:scatterChart>
      <c:valAx>
        <c:axId val="364944128"/>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364944704"/>
        <c:crosses val="autoZero"/>
        <c:crossBetween val="midCat"/>
      </c:valAx>
      <c:valAx>
        <c:axId val="364944704"/>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364944128"/>
        <c:crosses val="autoZero"/>
        <c:crossBetween val="midCat"/>
      </c:valAx>
      <c:spPr>
        <a:noFill/>
        <a:ln>
          <a:noFill/>
        </a:ln>
        <a:effectLst/>
      </c:spPr>
    </c:plotArea>
    <c:legend>
      <c:legendPos val="r"/>
      <c:layout>
        <c:manualLayout>
          <c:xMode val="edge"/>
          <c:yMode val="edge"/>
          <c:x val="0.5879984689413823"/>
          <c:y val="0.13664157111939954"/>
          <c:w val="0.30644597550306213"/>
          <c:h val="9.8684901229451602E-2"/>
        </c:manualLayout>
      </c:layout>
      <c:overlay val="0"/>
      <c:spPr>
        <a:solidFill>
          <a:schemeClr val="bg1"/>
        </a:solidFill>
        <a:ln>
          <a:solidFill>
            <a:schemeClr val="bg1">
              <a:lumMod val="9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BHA</c:v>
          </c:tx>
          <c:spPr>
            <a:ln w="19050" cap="rnd">
              <a:solidFill>
                <a:schemeClr val="tx1"/>
              </a:solidFill>
              <a:round/>
            </a:ln>
            <a:effectLst/>
          </c:spPr>
          <c:marker>
            <c:symbol val="square"/>
            <c:size val="5"/>
            <c:spPr>
              <a:solidFill>
                <a:srgbClr val="00B0F0"/>
              </a:solidFill>
              <a:ln w="9525">
                <a:solidFill>
                  <a:srgbClr val="002060"/>
                </a:solidFill>
              </a:ln>
              <a:effectLst/>
            </c:spPr>
          </c:marker>
          <c:dLbls>
            <c:dLbl>
              <c:idx val="0"/>
              <c:tx>
                <c:rich>
                  <a:bodyPr/>
                  <a:lstStyle/>
                  <a:p>
                    <a:r>
                      <a:rPr lang="en-US"/>
                      <a:t>2.75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8ED-4278-AE22-8717C1E1887B}"/>
                </c:ext>
              </c:extLst>
            </c:dLbl>
            <c:dLbl>
              <c:idx val="2"/>
              <c:tx>
                <c:rich>
                  <a:bodyPr/>
                  <a:lstStyle/>
                  <a:p>
                    <a:r>
                      <a:rPr lang="en-US"/>
                      <a:t>3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8ED-4278-AE22-8717C1E1887B}"/>
                </c:ext>
              </c:extLst>
            </c:dLbl>
            <c:dLbl>
              <c:idx val="4"/>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8ED-4278-AE22-8717C1E1887B}"/>
                </c:ext>
              </c:extLst>
            </c:dLbl>
            <c:dLbl>
              <c:idx val="6"/>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8ED-4278-AE22-8717C1E1887B}"/>
                </c:ext>
              </c:extLst>
            </c:dLbl>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1.496</c:v>
              </c:pt>
              <c:pt idx="1">
                <c:v>1.496</c:v>
              </c:pt>
              <c:pt idx="2">
                <c:v>1.496</c:v>
              </c:pt>
              <c:pt idx="3">
                <c:v>1.496</c:v>
              </c:pt>
              <c:pt idx="4">
                <c:v>1.496</c:v>
              </c:pt>
              <c:pt idx="5">
                <c:v>1.496</c:v>
              </c:pt>
              <c:pt idx="6">
                <c:v>1.496</c:v>
              </c:pt>
              <c:pt idx="7">
                <c:v>1.496</c:v>
              </c:pt>
              <c:pt idx="8">
                <c:v>1.496</c:v>
              </c:pt>
              <c:pt idx="9">
                <c:v>1.496</c:v>
              </c:pt>
              <c:pt idx="10">
                <c:v>1.46</c:v>
              </c:pt>
              <c:pt idx="11">
                <c:v>1.46</c:v>
              </c:pt>
              <c:pt idx="12">
                <c:v>1.2809999999999999</c:v>
              </c:pt>
              <c:pt idx="13">
                <c:v>1.2809999999999999</c:v>
              </c:pt>
              <c:pt idx="14">
                <c:v>1.46</c:v>
              </c:pt>
              <c:pt idx="15">
                <c:v>1.46</c:v>
              </c:pt>
              <c:pt idx="16">
                <c:v>1.496</c:v>
              </c:pt>
              <c:pt idx="17">
                <c:v>1.496</c:v>
              </c:pt>
              <c:pt idx="18">
                <c:v>1.2809999999999999</c:v>
              </c:pt>
              <c:pt idx="19">
                <c:v>1.2809999999999999</c:v>
              </c:pt>
              <c:pt idx="20">
                <c:v>1.496</c:v>
              </c:pt>
              <c:pt idx="21">
                <c:v>1.496</c:v>
              </c:pt>
              <c:pt idx="22">
                <c:v>1.1645000000000001</c:v>
              </c:pt>
              <c:pt idx="23">
                <c:v>1.1645000000000001</c:v>
              </c:pt>
            </c:numLit>
          </c:xVal>
          <c:yVal>
            <c:numLit>
              <c:formatCode>General</c:formatCode>
              <c:ptCount val="24"/>
              <c:pt idx="0">
                <c:v>0</c:v>
              </c:pt>
              <c:pt idx="1">
                <c:v>4.87</c:v>
              </c:pt>
              <c:pt idx="2">
                <c:v>4.87</c:v>
              </c:pt>
              <c:pt idx="3">
                <c:v>14.12</c:v>
              </c:pt>
              <c:pt idx="4">
                <c:v>14.12</c:v>
              </c:pt>
              <c:pt idx="5">
                <c:v>14.57</c:v>
              </c:pt>
              <c:pt idx="6">
                <c:v>14.57</c:v>
              </c:pt>
              <c:pt idx="7">
                <c:v>18.72</c:v>
              </c:pt>
              <c:pt idx="8">
                <c:v>18.72</c:v>
              </c:pt>
              <c:pt idx="9">
                <c:v>84.75</c:v>
              </c:pt>
              <c:pt idx="10">
                <c:v>84.75</c:v>
              </c:pt>
              <c:pt idx="11">
                <c:v>84.97</c:v>
              </c:pt>
              <c:pt idx="12">
                <c:v>84.97</c:v>
              </c:pt>
              <c:pt idx="13">
                <c:v>86.87</c:v>
              </c:pt>
              <c:pt idx="14">
                <c:v>86.87</c:v>
              </c:pt>
              <c:pt idx="15">
                <c:v>87.19</c:v>
              </c:pt>
              <c:pt idx="16">
                <c:v>87.19</c:v>
              </c:pt>
              <c:pt idx="17">
                <c:v>4000.22</c:v>
              </c:pt>
              <c:pt idx="18">
                <c:v>4000.22</c:v>
              </c:pt>
              <c:pt idx="19">
                <c:v>4001.47</c:v>
              </c:pt>
              <c:pt idx="20">
                <c:v>4001.47</c:v>
              </c:pt>
              <c:pt idx="21">
                <c:v>4011.01</c:v>
              </c:pt>
              <c:pt idx="22">
                <c:v>4011.01</c:v>
              </c:pt>
              <c:pt idx="23">
                <c:v>4011.41</c:v>
              </c:pt>
            </c:numLit>
          </c:yVal>
          <c:smooth val="0"/>
          <c:extLst>
            <c:ext xmlns:c16="http://schemas.microsoft.com/office/drawing/2014/chart" uri="{C3380CC4-5D6E-409C-BE32-E72D297353CC}">
              <c16:uniqueId val="{00000004-C8ED-4278-AE22-8717C1E1887B}"/>
            </c:ext>
          </c:extLst>
        </c:ser>
        <c:ser>
          <c:idx val="1"/>
          <c:order val="1"/>
          <c:tx>
            <c:v>BHA</c:v>
          </c:tx>
          <c:spPr>
            <a:ln w="19050" cap="rnd">
              <a:solidFill>
                <a:schemeClr val="tx1"/>
              </a:solidFill>
              <a:round/>
            </a:ln>
            <a:effectLst/>
          </c:spPr>
          <c:marker>
            <c:symbol val="square"/>
            <c:size val="5"/>
            <c:spPr>
              <a:solidFill>
                <a:srgbClr val="00B0F0"/>
              </a:solidFill>
              <a:ln w="9525">
                <a:solidFill>
                  <a:srgbClr val="002060"/>
                </a:solidFill>
              </a:ln>
              <a:effectLst/>
            </c:spPr>
          </c:marker>
          <c:xVal>
            <c:numLit>
              <c:formatCode>General</c:formatCode>
              <c:ptCount val="24"/>
              <c:pt idx="0">
                <c:v>-1.496</c:v>
              </c:pt>
              <c:pt idx="1">
                <c:v>-1.496</c:v>
              </c:pt>
              <c:pt idx="2">
                <c:v>-1.496</c:v>
              </c:pt>
              <c:pt idx="3">
                <c:v>-1.496</c:v>
              </c:pt>
              <c:pt idx="4">
                <c:v>-1.496</c:v>
              </c:pt>
              <c:pt idx="5">
                <c:v>-1.496</c:v>
              </c:pt>
              <c:pt idx="6">
                <c:v>-1.496</c:v>
              </c:pt>
              <c:pt idx="7">
                <c:v>-1.496</c:v>
              </c:pt>
              <c:pt idx="8">
                <c:v>-1.496</c:v>
              </c:pt>
              <c:pt idx="9">
                <c:v>-1.496</c:v>
              </c:pt>
              <c:pt idx="10">
                <c:v>-1.46</c:v>
              </c:pt>
              <c:pt idx="11">
                <c:v>-1.46</c:v>
              </c:pt>
              <c:pt idx="12">
                <c:v>-1.2809999999999999</c:v>
              </c:pt>
              <c:pt idx="13">
                <c:v>-1.2809999999999999</c:v>
              </c:pt>
              <c:pt idx="14">
                <c:v>-1.46</c:v>
              </c:pt>
              <c:pt idx="15">
                <c:v>-1.46</c:v>
              </c:pt>
              <c:pt idx="16">
                <c:v>-1.496</c:v>
              </c:pt>
              <c:pt idx="17">
                <c:v>-1.496</c:v>
              </c:pt>
              <c:pt idx="18">
                <c:v>-1.2809999999999999</c:v>
              </c:pt>
              <c:pt idx="19">
                <c:v>-1.2809999999999999</c:v>
              </c:pt>
              <c:pt idx="20">
                <c:v>-1.496</c:v>
              </c:pt>
              <c:pt idx="21">
                <c:v>-1.496</c:v>
              </c:pt>
              <c:pt idx="22">
                <c:v>-1.1645000000000001</c:v>
              </c:pt>
              <c:pt idx="23">
                <c:v>-1.1645000000000001</c:v>
              </c:pt>
            </c:numLit>
          </c:xVal>
          <c:yVal>
            <c:numLit>
              <c:formatCode>General</c:formatCode>
              <c:ptCount val="24"/>
              <c:pt idx="0">
                <c:v>0</c:v>
              </c:pt>
              <c:pt idx="1">
                <c:v>4.87</c:v>
              </c:pt>
              <c:pt idx="2">
                <c:v>4.87</c:v>
              </c:pt>
              <c:pt idx="3">
                <c:v>14.12</c:v>
              </c:pt>
              <c:pt idx="4">
                <c:v>14.12</c:v>
              </c:pt>
              <c:pt idx="5">
                <c:v>14.57</c:v>
              </c:pt>
              <c:pt idx="6">
                <c:v>14.57</c:v>
              </c:pt>
              <c:pt idx="7">
                <c:v>18.72</c:v>
              </c:pt>
              <c:pt idx="8">
                <c:v>18.72</c:v>
              </c:pt>
              <c:pt idx="9">
                <c:v>84.75</c:v>
              </c:pt>
              <c:pt idx="10">
                <c:v>84.75</c:v>
              </c:pt>
              <c:pt idx="11">
                <c:v>84.97</c:v>
              </c:pt>
              <c:pt idx="12">
                <c:v>84.97</c:v>
              </c:pt>
              <c:pt idx="13">
                <c:v>86.87</c:v>
              </c:pt>
              <c:pt idx="14">
                <c:v>86.87</c:v>
              </c:pt>
              <c:pt idx="15">
                <c:v>87.19</c:v>
              </c:pt>
              <c:pt idx="16">
                <c:v>87.19</c:v>
              </c:pt>
              <c:pt idx="17">
                <c:v>4000.22</c:v>
              </c:pt>
              <c:pt idx="18">
                <c:v>4000.22</c:v>
              </c:pt>
              <c:pt idx="19">
                <c:v>4001.47</c:v>
              </c:pt>
              <c:pt idx="20">
                <c:v>4001.47</c:v>
              </c:pt>
              <c:pt idx="21">
                <c:v>4011.01</c:v>
              </c:pt>
              <c:pt idx="22">
                <c:v>4011.01</c:v>
              </c:pt>
              <c:pt idx="23">
                <c:v>4011.41</c:v>
              </c:pt>
            </c:numLit>
          </c:yVal>
          <c:smooth val="0"/>
          <c:extLst>
            <c:ext xmlns:c16="http://schemas.microsoft.com/office/drawing/2014/chart" uri="{C3380CC4-5D6E-409C-BE32-E72D297353CC}">
              <c16:uniqueId val="{00000005-C8ED-4278-AE22-8717C1E1887B}"/>
            </c:ext>
          </c:extLst>
        </c:ser>
        <c:dLbls>
          <c:showLegendKey val="0"/>
          <c:showVal val="0"/>
          <c:showCatName val="0"/>
          <c:showSerName val="0"/>
          <c:showPercent val="0"/>
          <c:showBubbleSize val="0"/>
        </c:dLbls>
        <c:axId val="564645824"/>
        <c:axId val="564646400"/>
      </c:scatterChart>
      <c:valAx>
        <c:axId val="564645824"/>
        <c:scaling>
          <c:orientation val="minMax"/>
          <c:max val="2.992"/>
          <c:min val="-2.992"/>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ID</a:t>
                </a:r>
              </a:p>
            </c:rich>
          </c:tx>
          <c:overlay val="0"/>
          <c:spPr>
            <a:noFill/>
            <a:ln>
              <a:noFill/>
            </a:ln>
            <a:effectLst/>
          </c:spPr>
        </c:title>
        <c:numFmt formatCode="0.0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ES"/>
          </a:p>
        </c:txPr>
        <c:crossAx val="564646400"/>
        <c:crosses val="autoZero"/>
        <c:crossBetween val="midCat"/>
      </c:valAx>
      <c:valAx>
        <c:axId val="5646464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564645824"/>
        <c:crossesAt val="-2.99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1"/>
          <c:order val="0"/>
          <c:tx>
            <c:strRef>
              <c:f>Geothermal_Gradient!$E$7:$E$8</c:f>
              <c:strCache>
                <c:ptCount val="2"/>
                <c:pt idx="0">
                  <c:v>Formation</c:v>
                </c:pt>
                <c:pt idx="1">
                  <c:v>Temperature</c:v>
                </c:pt>
              </c:strCache>
            </c:strRef>
          </c:tx>
          <c:spPr>
            <a:ln w="19050" cap="rnd">
              <a:noFill/>
              <a:round/>
            </a:ln>
            <a:effectLst/>
          </c:spPr>
          <c:marker>
            <c:symbol val="circle"/>
            <c:size val="7"/>
            <c:spPr>
              <a:solidFill>
                <a:srgbClr val="FFC000"/>
              </a:solidFill>
              <a:ln w="9525">
                <a:solidFill>
                  <a:srgbClr val="C00000"/>
                </a:solidFill>
              </a:ln>
              <a:effectLst/>
            </c:spPr>
          </c:marker>
          <c:xVal>
            <c:numRef>
              <c:f>Geothermal_Gradient!$E$10:$E$100</c:f>
              <c:numCache>
                <c:formatCode>0.00;\-0.0;0.00</c:formatCode>
                <c:ptCount val="91"/>
                <c:pt idx="0">
                  <c:v>66.92</c:v>
                </c:pt>
                <c:pt idx="1">
                  <c:v>123</c:v>
                </c:pt>
                <c:pt idx="2">
                  <c:v>164.6</c:v>
                </c:pt>
                <c:pt idx="3">
                  <c:v>202.7</c:v>
                </c:pt>
                <c:pt idx="4">
                  <c:v>224.2</c:v>
                </c:pt>
                <c:pt idx="5">
                  <c:v>225</c:v>
                </c:pt>
              </c:numCache>
            </c:numRef>
          </c:xVal>
          <c:yVal>
            <c:numRef>
              <c:f>Geothermal_Gradient!$C$10:$C$100</c:f>
              <c:numCache>
                <c:formatCode>0.00;\-0.0;0.00</c:formatCode>
                <c:ptCount val="91"/>
                <c:pt idx="0">
                  <c:v>0</c:v>
                </c:pt>
                <c:pt idx="1">
                  <c:v>2138.8000000000002</c:v>
                </c:pt>
                <c:pt idx="2">
                  <c:v>3234.23</c:v>
                </c:pt>
                <c:pt idx="3">
                  <c:v>4675.59</c:v>
                </c:pt>
                <c:pt idx="4">
                  <c:v>4848.63</c:v>
                </c:pt>
                <c:pt idx="5">
                  <c:v>4866.3</c:v>
                </c:pt>
              </c:numCache>
            </c:numRef>
          </c:yVal>
          <c:smooth val="0"/>
          <c:extLst>
            <c:ext xmlns:c16="http://schemas.microsoft.com/office/drawing/2014/chart" uri="{C3380CC4-5D6E-409C-BE32-E72D297353CC}">
              <c16:uniqueId val="{00000000-0680-422A-8984-E3D92DB03E03}"/>
            </c:ext>
          </c:extLst>
        </c:ser>
        <c:dLbls>
          <c:showLegendKey val="0"/>
          <c:showVal val="0"/>
          <c:showCatName val="0"/>
          <c:showSerName val="0"/>
          <c:showPercent val="0"/>
          <c:showBubbleSize val="0"/>
        </c:dLbls>
        <c:axId val="564646976"/>
        <c:axId val="564647552"/>
      </c:scatterChart>
      <c:valAx>
        <c:axId val="564646976"/>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Temperature</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564647552"/>
        <c:crosses val="autoZero"/>
        <c:crossBetween val="midCat"/>
      </c:valAx>
      <c:valAx>
        <c:axId val="564647552"/>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564646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54083239595050614"/>
          <c:h val="0.85817838559653725"/>
        </c:manualLayout>
      </c:layout>
      <c:scatterChart>
        <c:scatterStyle val="lineMarker"/>
        <c:varyColors val="0"/>
        <c:ser>
          <c:idx val="0"/>
          <c:order val="0"/>
          <c:tx>
            <c:v>Duns and Ross Modified</c:v>
          </c:tx>
          <c:spPr>
            <a:ln w="25400" cap="rnd">
              <a:noFill/>
              <a:round/>
            </a:ln>
            <a:effectLst/>
          </c:spPr>
          <c:marker>
            <c:symbol val="diamond"/>
            <c:size val="5"/>
            <c:spPr>
              <a:solidFill>
                <a:schemeClr val="bg1">
                  <a:lumMod val="85000"/>
                </a:schemeClr>
              </a:solidFill>
              <a:ln w="9525">
                <a:solidFill>
                  <a:schemeClr val="tx1"/>
                </a:solidFill>
              </a:ln>
              <a:effectLst/>
            </c:spPr>
          </c:marker>
          <c:xVal>
            <c:numRef>
              <c:f>'Grad Match Results'!$D$13:$D$105</c:f>
              <c:numCache>
                <c:formatCode>_(* #,##0.00_);_(* \(#,##0.00\);_(* "-"??_);_(@_)</c:formatCode>
                <c:ptCount val="93"/>
              </c:numCache>
            </c:numRef>
          </c:xVal>
          <c:yVal>
            <c:numRef>
              <c:f>'Grad Match Results'!$C$13:$C$105</c:f>
              <c:numCache>
                <c:formatCode>_(* #,##0.00_);_(* \(#,##0.00\);_(* "-"??_);_(@_)</c:formatCode>
                <c:ptCount val="93"/>
              </c:numCache>
            </c:numRef>
          </c:yVal>
          <c:smooth val="0"/>
          <c:extLst>
            <c:ext xmlns:c16="http://schemas.microsoft.com/office/drawing/2014/chart" uri="{C3380CC4-5D6E-409C-BE32-E72D297353CC}">
              <c16:uniqueId val="{00000002-CD0A-4D45-8A8F-B9DBCB73C9BA}"/>
            </c:ext>
          </c:extLst>
        </c:ser>
        <c:ser>
          <c:idx val="2"/>
          <c:order val="1"/>
          <c:tx>
            <c:v>Hagedorn and Brown</c:v>
          </c:tx>
          <c:spPr>
            <a:ln w="25400" cap="rnd">
              <a:noFill/>
              <a:round/>
            </a:ln>
            <a:effectLst/>
          </c:spPr>
          <c:marker>
            <c:symbol val="circle"/>
            <c:size val="5"/>
            <c:spPr>
              <a:solidFill>
                <a:schemeClr val="accent3"/>
              </a:solidFill>
              <a:ln w="9525">
                <a:solidFill>
                  <a:schemeClr val="accent3"/>
                </a:solidFill>
              </a:ln>
              <a:effectLst/>
            </c:spPr>
          </c:marker>
          <c:xVal>
            <c:numRef>
              <c:f>'Grad Match Results'!$M$13:$M$105</c:f>
              <c:numCache>
                <c:formatCode>_(* #,##0.00_);_(* \(#,##0.00\);_(* "-"??_);_(@_)</c:formatCode>
                <c:ptCount val="93"/>
              </c:numCache>
            </c:numRef>
          </c:xVal>
          <c:yVal>
            <c:numRef>
              <c:f>'Grad Match Results'!$L$13:$L$105</c:f>
              <c:numCache>
                <c:formatCode>_(* #,##0.00_);_(* \(#,##0.00\);_(* "-"??_);_(@_)</c:formatCode>
                <c:ptCount val="93"/>
              </c:numCache>
            </c:numRef>
          </c:yVal>
          <c:smooth val="0"/>
          <c:extLst>
            <c:ext xmlns:c16="http://schemas.microsoft.com/office/drawing/2014/chart" uri="{C3380CC4-5D6E-409C-BE32-E72D297353CC}">
              <c16:uniqueId val="{00000003-CD0A-4D45-8A8F-B9DBCB73C9BA}"/>
            </c:ext>
          </c:extLst>
        </c:ser>
        <c:ser>
          <c:idx val="3"/>
          <c:order val="2"/>
          <c:tx>
            <c:v>Gray</c:v>
          </c:tx>
          <c:spPr>
            <a:ln w="25400" cap="rnd">
              <a:noFill/>
              <a:round/>
            </a:ln>
            <a:effectLst/>
          </c:spPr>
          <c:marker>
            <c:symbol val="circle"/>
            <c:size val="5"/>
            <c:spPr>
              <a:solidFill>
                <a:schemeClr val="accent4"/>
              </a:solidFill>
              <a:ln w="9525">
                <a:solidFill>
                  <a:schemeClr val="accent4"/>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4-CD0A-4D45-8A8F-B9DBCB73C9BA}"/>
            </c:ext>
          </c:extLst>
        </c:ser>
        <c:ser>
          <c:idx val="4"/>
          <c:order val="3"/>
          <c:tx>
            <c:v>Mukerjee Brill</c:v>
          </c:tx>
          <c:spPr>
            <a:ln w="25400" cap="rnd">
              <a:noFill/>
              <a:round/>
            </a:ln>
            <a:effectLst/>
          </c:spPr>
          <c:marker>
            <c:symbol val="circle"/>
            <c:size val="5"/>
            <c:spPr>
              <a:solidFill>
                <a:schemeClr val="accent5"/>
              </a:solidFill>
              <a:ln w="9525">
                <a:solidFill>
                  <a:schemeClr val="accent5"/>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5-CD0A-4D45-8A8F-B9DBCB73C9BA}"/>
            </c:ext>
          </c:extLst>
        </c:ser>
        <c:ser>
          <c:idx val="5"/>
          <c:order val="4"/>
          <c:tx>
            <c:v>Beggs and Brill</c:v>
          </c:tx>
          <c:spPr>
            <a:ln w="25400" cap="rnd">
              <a:noFill/>
              <a:round/>
            </a:ln>
            <a:effectLst/>
          </c:spPr>
          <c:marker>
            <c:symbol val="circle"/>
            <c:size val="5"/>
            <c:spPr>
              <a:solidFill>
                <a:schemeClr val="accent6"/>
              </a:solidFill>
              <a:ln w="9525">
                <a:solidFill>
                  <a:schemeClr val="accent6"/>
                </a:solidFill>
              </a:ln>
              <a:effectLst/>
            </c:spPr>
          </c:marker>
          <c:xVal>
            <c:numRef>
              <c:f>'Grad Match Results'!$AN$13:$AN$105</c:f>
              <c:numCache>
                <c:formatCode>_(* #,##0.00_);_(* \(#,##0.00\);_(* "-"??_);_(@_)</c:formatCode>
                <c:ptCount val="93"/>
              </c:numCache>
            </c:numRef>
          </c:xVal>
          <c:yVal>
            <c:numRef>
              <c:f>'Grad Match Results'!$AM$13:$AM$105</c:f>
              <c:numCache>
                <c:formatCode>_(* #,##0.00_);_(* \(#,##0.00\);_(* "-"??_);_(@_)</c:formatCode>
                <c:ptCount val="93"/>
              </c:numCache>
            </c:numRef>
          </c:yVal>
          <c:smooth val="0"/>
          <c:extLst>
            <c:ext xmlns:c16="http://schemas.microsoft.com/office/drawing/2014/chart" uri="{C3380CC4-5D6E-409C-BE32-E72D297353CC}">
              <c16:uniqueId val="{00000006-CD0A-4D45-8A8F-B9DBCB73C9BA}"/>
            </c:ext>
          </c:extLst>
        </c:ser>
        <c:ser>
          <c:idx val="6"/>
          <c:order val="5"/>
          <c:tx>
            <c:v>Petroleum Experts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7-CD0A-4D45-8A8F-B9DBCB73C9BA}"/>
            </c:ext>
          </c:extLst>
        </c:ser>
        <c:ser>
          <c:idx val="7"/>
          <c:order val="6"/>
          <c:tx>
            <c:v>Orkiszewski</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'Grad Match Results'!$BF$13:$BF$105</c:f>
              <c:numCache>
                <c:formatCode>_(* #,##0.00_);_(* \(#,##0.00\);_(* "-"??_);_(@_)</c:formatCode>
                <c:ptCount val="93"/>
              </c:numCache>
            </c:numRef>
          </c:xVal>
          <c:yVal>
            <c:numRef>
              <c:f>'Grad Match Results'!$BE$13:$BE$105</c:f>
              <c:numCache>
                <c:formatCode>_(* #,##0.00_);_(* \(#,##0.00\);_(* "-"??_);_(@_)</c:formatCode>
                <c:ptCount val="93"/>
              </c:numCache>
            </c:numRef>
          </c:yVal>
          <c:smooth val="0"/>
          <c:extLst>
            <c:ext xmlns:c16="http://schemas.microsoft.com/office/drawing/2014/chart" uri="{C3380CC4-5D6E-409C-BE32-E72D297353CC}">
              <c16:uniqueId val="{00000008-CD0A-4D45-8A8F-B9DBCB73C9BA}"/>
            </c:ext>
          </c:extLst>
        </c:ser>
        <c:ser>
          <c:idx val="8"/>
          <c:order val="7"/>
          <c:tx>
            <c:v>Petroleum Experts 2</c:v>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'Grad Match Results'!$BO$13:$BO$105</c:f>
              <c:numCache>
                <c:formatCode>_(* #,##0.00_);_(* \(#,##0.00\);_(* "-"??_);_(@_)</c:formatCode>
                <c:ptCount val="93"/>
              </c:numCache>
            </c:numRef>
          </c:xVal>
          <c:yVal>
            <c:numRef>
              <c:f>'Grad Match Results'!$BN$13:$BN$105</c:f>
              <c:numCache>
                <c:formatCode>_(* #,##0.00_);_(* \(#,##0.00\);_(* "-"??_);_(@_)</c:formatCode>
                <c:ptCount val="93"/>
              </c:numCache>
            </c:numRef>
          </c:yVal>
          <c:smooth val="0"/>
          <c:extLst>
            <c:ext xmlns:c16="http://schemas.microsoft.com/office/drawing/2014/chart" uri="{C3380CC4-5D6E-409C-BE32-E72D297353CC}">
              <c16:uniqueId val="{00000009-CD0A-4D45-8A8F-B9DBCB73C9BA}"/>
            </c:ext>
          </c:extLst>
        </c:ser>
        <c:ser>
          <c:idx val="9"/>
          <c:order val="8"/>
          <c:tx>
            <c:v>Duns and Ros Original</c:v>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A-CD0A-4D45-8A8F-B9DBCB73C9BA}"/>
            </c:ext>
          </c:extLst>
        </c:ser>
        <c:ser>
          <c:idx val="10"/>
          <c:order val="9"/>
          <c:tx>
            <c:v>Petroleum Experts 3</c:v>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B-CD0A-4D45-8A8F-B9DBCB73C9BA}"/>
            </c:ext>
          </c:extLst>
        </c:ser>
        <c:ser>
          <c:idx val="11"/>
          <c:order val="10"/>
          <c:tx>
            <c:v>GRE (modified by PE)</c:v>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C-CD0A-4D45-8A8F-B9DBCB73C9BA}"/>
            </c:ext>
          </c:extLst>
        </c:ser>
        <c:ser>
          <c:idx val="12"/>
          <c:order val="11"/>
          <c:tx>
            <c:v>Petroleum Experts 4</c:v>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D-CD0A-4D45-8A8F-B9DBCB73C9BA}"/>
            </c:ext>
          </c:extLst>
        </c:ser>
        <c:ser>
          <c:idx val="13"/>
          <c:order val="12"/>
          <c:tx>
            <c:v>Hydro-3P</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E-CD0A-4D45-8A8F-B9DBCB73C9BA}"/>
            </c:ext>
          </c:extLst>
        </c:ser>
        <c:ser>
          <c:idx val="14"/>
          <c:order val="13"/>
          <c:tx>
            <c:v>Petroleum Experts 5</c:v>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F-CD0A-4D45-8A8F-B9DBCB73C9BA}"/>
            </c:ext>
          </c:extLst>
        </c:ser>
        <c:ser>
          <c:idx val="15"/>
          <c:order val="14"/>
          <c:tx>
            <c:v>Hydro-2P</c:v>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0-CD0A-4D45-8A8F-B9DBCB73C9BA}"/>
            </c:ext>
          </c:extLst>
        </c:ser>
        <c:ser>
          <c:idx val="16"/>
          <c:order val="15"/>
          <c:tx>
            <c:v>Petroleum Experts 2 (modified)</c:v>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1-CD0A-4D45-8A8F-B9DBCB73C9BA}"/>
            </c:ext>
          </c:extLst>
        </c:ser>
        <c:ser>
          <c:idx val="1"/>
          <c:order val="16"/>
          <c:tx>
            <c:v>Dinamic Gradient Meassured</c:v>
          </c:tx>
          <c:spPr>
            <a:ln w="19050" cap="rnd">
              <a:noFill/>
              <a:round/>
            </a:ln>
            <a:effectLst/>
          </c:spPr>
          <c:marker>
            <c:symbol val="circle"/>
            <c:size val="7"/>
            <c:spPr>
              <a:solidFill>
                <a:srgbClr val="FFC000"/>
              </a:solidFill>
              <a:ln w="9525">
                <a:solidFill>
                  <a:srgbClr val="0000FF"/>
                </a:solidFill>
              </a:ln>
              <a:effectLst/>
            </c:spPr>
          </c:marker>
          <c:xVal>
            <c:numRef>
              <c:f>'Gradient Matching'!$D$13:$D$45</c:f>
              <c:numCache>
                <c:formatCode>_(* #,##0.00_);_(* \(#,##0.00\);_(* "-"??_);_(@_)</c:formatCode>
                <c:ptCount val="33"/>
                <c:pt idx="0">
                  <c:v>1702.17</c:v>
                </c:pt>
                <c:pt idx="1">
                  <c:v>1974.88</c:v>
                </c:pt>
                <c:pt idx="2">
                  <c:v>2105.2800000000002</c:v>
                </c:pt>
                <c:pt idx="3">
                  <c:v>2402.6799999999998</c:v>
                </c:pt>
                <c:pt idx="4">
                  <c:v>2634.17</c:v>
                </c:pt>
                <c:pt idx="5">
                  <c:v>2693.41</c:v>
                </c:pt>
              </c:numCache>
            </c:numRef>
          </c:xVal>
          <c:yVal>
            <c:numRef>
              <c:f>'Gradient Matching'!$C$13:$C$45</c:f>
              <c:numCache>
                <c:formatCode>_(* #,##0.00_);_(* \(#,##0.00\);_(* "-"??_);_(@_)</c:formatCode>
                <c:ptCount val="33"/>
                <c:pt idx="0">
                  <c:v>508</c:v>
                </c:pt>
                <c:pt idx="1">
                  <c:v>1508</c:v>
                </c:pt>
                <c:pt idx="2">
                  <c:v>2008</c:v>
                </c:pt>
                <c:pt idx="3">
                  <c:v>3008</c:v>
                </c:pt>
                <c:pt idx="4">
                  <c:v>3757</c:v>
                </c:pt>
                <c:pt idx="5">
                  <c:v>3894</c:v>
                </c:pt>
              </c:numCache>
            </c:numRef>
          </c:yVal>
          <c:smooth val="0"/>
          <c:extLst>
            <c:ext xmlns:c16="http://schemas.microsoft.com/office/drawing/2014/chart" uri="{C3380CC4-5D6E-409C-BE32-E72D297353CC}">
              <c16:uniqueId val="{00000000-CD0A-4D45-8A8F-B9DBCB73C9BA}"/>
            </c:ext>
          </c:extLst>
        </c:ser>
        <c:dLbls>
          <c:showLegendKey val="0"/>
          <c:showVal val="0"/>
          <c:showCatName val="0"/>
          <c:showSerName val="0"/>
          <c:showPercent val="0"/>
          <c:showBubbleSize val="0"/>
        </c:dLbls>
        <c:axId val="564648704"/>
        <c:axId val="569753600"/>
      </c:scatterChart>
      <c:valAx>
        <c:axId val="564648704"/>
        <c:scaling>
          <c:orientation val="minMax"/>
          <c:min val="1500"/>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Pressure, psi</a:t>
                </a:r>
              </a:p>
            </c:rich>
          </c:tx>
          <c:layout>
            <c:manualLayout>
              <c:xMode val="edge"/>
              <c:yMode val="edge"/>
              <c:x val="0.36547523396310155"/>
              <c:y val="1.9031302435634244E-2"/>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569753600"/>
        <c:crosses val="autoZero"/>
        <c:crossBetween val="midCat"/>
      </c:valAx>
      <c:valAx>
        <c:axId val="5697536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ES"/>
          </a:p>
        </c:txPr>
        <c:crossAx val="564648704"/>
        <c:crosses val="autoZero"/>
        <c:crossBetween val="midCat"/>
      </c:valAx>
      <c:spPr>
        <a:noFill/>
        <a:ln>
          <a:noFill/>
        </a:ln>
        <a:effectLst/>
      </c:spPr>
    </c:plotArea>
    <c:legend>
      <c:legendPos val="r"/>
      <c:legendEntry>
        <c:idx val="16"/>
        <c:txPr>
          <a:bodyPr rot="0" spcFirstLastPara="1" vertOverflow="ellipsis" vert="horz" wrap="square" anchor="ctr" anchorCtr="1"/>
          <a:lstStyle/>
          <a:p>
            <a:pPr>
              <a:defRPr sz="900" b="1" i="0" u="none" strike="noStrike" kern="1200" baseline="0">
                <a:solidFill>
                  <a:srgbClr val="0000FF"/>
                </a:solidFill>
                <a:latin typeface="+mn-lt"/>
                <a:ea typeface="+mn-ea"/>
                <a:cs typeface="+mn-cs"/>
              </a:defRPr>
            </a:pPr>
            <a:endParaRPr lang="es-ES"/>
          </a:p>
        </c:txPr>
      </c:legendEntry>
      <c:layout>
        <c:manualLayout>
          <c:xMode val="edge"/>
          <c:yMode val="edge"/>
          <c:x val="0.73481631122640279"/>
          <c:y val="0.11343409813946574"/>
          <c:w val="0.25352188119342223"/>
          <c:h val="0.833826869367938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3.emf"/></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495300</xdr:colOff>
          <xdr:row>1</xdr:row>
          <xdr:rowOff>76200</xdr:rowOff>
        </xdr:from>
        <xdr:to>
          <xdr:col>15</xdr:col>
          <xdr:colOff>9525</xdr:colOff>
          <xdr:row>4</xdr:row>
          <xdr:rowOff>123825</xdr:rowOff>
        </xdr:to>
        <xdr:sp macro="" textlink="">
          <xdr:nvSpPr>
            <xdr:cNvPr id="19457" name="CommandButton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9525</xdr:colOff>
      <xdr:row>0</xdr:row>
      <xdr:rowOff>38100</xdr:rowOff>
    </xdr:from>
    <xdr:to>
      <xdr:col>25</xdr:col>
      <xdr:colOff>504825</xdr:colOff>
      <xdr:row>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8801100" y="38100"/>
          <a:ext cx="7353300" cy="42862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000"/>
            <a:t>Specify the number of tables to create format. Also, during creation the script will import the Units for each variable from PROSPER. Table format is based on Fluid Type. </a:t>
          </a:r>
          <a:r>
            <a:rPr lang="en-US" sz="1000" b="1">
              <a:solidFill>
                <a:srgbClr val="0000FF"/>
              </a:solidFill>
            </a:rPr>
            <a:t>PETEX does not recommend to match Lab data when Fluid Type is Retrograde condensate.</a:t>
          </a:r>
        </a:p>
      </xdr:txBody>
    </xdr:sp>
    <xdr:clientData/>
  </xdr:twoCellAnchor>
  <mc:AlternateContent xmlns:mc="http://schemas.openxmlformats.org/markup-compatibility/2006">
    <mc:Choice xmlns:a14="http://schemas.microsoft.com/office/drawing/2010/main" Requires="a14">
      <xdr:twoCellAnchor editAs="oneCell">
        <xdr:from>
          <xdr:col>10</xdr:col>
          <xdr:colOff>85725</xdr:colOff>
          <xdr:row>0</xdr:row>
          <xdr:rowOff>57150</xdr:rowOff>
        </xdr:from>
        <xdr:to>
          <xdr:col>12</xdr:col>
          <xdr:colOff>600075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0</xdr:colOff>
      <xdr:row>18</xdr:row>
      <xdr:rowOff>0</xdr:rowOff>
    </xdr:to>
    <xdr:graphicFrame macro="">
      <xdr:nvGraphicFramePr>
        <xdr:cNvPr id="4" name="ZFactor">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13</xdr:col>
      <xdr:colOff>0</xdr:colOff>
      <xdr:row>18</xdr:row>
      <xdr:rowOff>0</xdr:rowOff>
    </xdr:to>
    <xdr:graphicFrame macro="">
      <xdr:nvGraphicFramePr>
        <xdr:cNvPr id="6" name="GasViscosity">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7</xdr:col>
      <xdr:colOff>0</xdr:colOff>
      <xdr:row>35</xdr:row>
      <xdr:rowOff>0</xdr:rowOff>
    </xdr:to>
    <xdr:graphicFrame macro="">
      <xdr:nvGraphicFramePr>
        <xdr:cNvPr id="7" name="Bg">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0</xdr:colOff>
      <xdr:row>18</xdr:row>
      <xdr:rowOff>0</xdr:rowOff>
    </xdr:from>
    <xdr:to>
      <xdr:col>13</xdr:col>
      <xdr:colOff>0</xdr:colOff>
      <xdr:row>35</xdr:row>
      <xdr:rowOff>0</xdr:rowOff>
    </xdr:to>
    <xdr:graphicFrame macro="">
      <xdr:nvGraphicFramePr>
        <xdr:cNvPr id="5" name="GasDensity">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14</xdr:col>
      <xdr:colOff>419100</xdr:colOff>
      <xdr:row>30</xdr:row>
      <xdr:rowOff>0</xdr:rowOff>
    </xdr:to>
    <xdr:graphicFrame macro="">
      <xdr:nvGraphicFramePr>
        <xdr:cNvPr id="2" name="IPR">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0</xdr:rowOff>
    </xdr:from>
    <xdr:to>
      <xdr:col>24</xdr:col>
      <xdr:colOff>0</xdr:colOff>
      <xdr:row>30</xdr:row>
      <xdr:rowOff>0</xdr:rowOff>
    </xdr:to>
    <xdr:graphicFrame macro="">
      <xdr:nvGraphicFramePr>
        <xdr:cNvPr id="4" name="dP_Completion">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0</xdr:rowOff>
    </xdr:from>
    <xdr:to>
      <xdr:col>28</xdr:col>
      <xdr:colOff>0</xdr:colOff>
      <xdr:row>31</xdr:row>
      <xdr:rowOff>0</xdr:rowOff>
    </xdr:to>
    <xdr:graphicFrame macro="">
      <xdr:nvGraphicFramePr>
        <xdr:cNvPr id="2" name="System_Sens">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31</xdr:row>
      <xdr:rowOff>0</xdr:rowOff>
    </xdr:from>
    <xdr:to>
      <xdr:col>20</xdr:col>
      <xdr:colOff>0</xdr:colOff>
      <xdr:row>48</xdr:row>
      <xdr:rowOff>0</xdr:rowOff>
    </xdr:to>
    <xdr:graphicFrame macro="">
      <xdr:nvGraphicFramePr>
        <xdr:cNvPr id="4" name="Static">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0</xdr:colOff>
      <xdr:row>31</xdr:row>
      <xdr:rowOff>0</xdr:rowOff>
    </xdr:from>
    <xdr:to>
      <xdr:col>28</xdr:col>
      <xdr:colOff>0</xdr:colOff>
      <xdr:row>48</xdr:row>
      <xdr:rowOff>0</xdr:rowOff>
    </xdr:to>
    <xdr:graphicFrame macro="">
      <xdr:nvGraphicFramePr>
        <xdr:cNvPr id="3" name="dP_System">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123825</xdr:colOff>
      <xdr:row>41</xdr:row>
      <xdr:rowOff>133350</xdr:rowOff>
    </xdr:from>
    <xdr:to>
      <xdr:col>2</xdr:col>
      <xdr:colOff>1257300</xdr:colOff>
      <xdr:row>71</xdr:row>
      <xdr:rowOff>28575</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19325" y="6381750"/>
          <a:ext cx="1133475" cy="446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xdr:colOff>
      <xdr:row>40</xdr:row>
      <xdr:rowOff>47626</xdr:rowOff>
    </xdr:from>
    <xdr:to>
      <xdr:col>9</xdr:col>
      <xdr:colOff>647700</xdr:colOff>
      <xdr:row>49</xdr:row>
      <xdr:rowOff>9526</xdr:rowOff>
    </xdr:to>
    <xdr:sp macro="" textlink="">
      <xdr:nvSpPr>
        <xdr:cNvPr id="4" name="Snip Single Corner Rectangle 3" descr="d1c29780-d406-4ee5-92f2-87ce6a78791e">
          <a:extLst>
            <a:ext uri="{FF2B5EF4-FFF2-40B4-BE49-F238E27FC236}">
              <a16:creationId xmlns:a16="http://schemas.microsoft.com/office/drawing/2014/main" id="{00000000-0008-0000-0600-000004000000}"/>
            </a:ext>
          </a:extLst>
        </xdr:cNvPr>
        <xdr:cNvSpPr/>
      </xdr:nvSpPr>
      <xdr:spPr>
        <a:xfrm>
          <a:off x="161925" y="6057901"/>
          <a:ext cx="4981575" cy="1304925"/>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s-BO" sz="1100" b="1">
              <a:latin typeface="Consolas" pitchFamily="49" charset="0"/>
              <a:cs typeface="Consolas" pitchFamily="49" charset="0"/>
            </a:rPr>
            <a:t>How to:</a:t>
          </a:r>
        </a:p>
        <a:p>
          <a:pPr algn="l"/>
          <a:r>
            <a:rPr lang="es-BO" sz="1100">
              <a:latin typeface="Consolas" pitchFamily="49" charset="0"/>
              <a:cs typeface="Consolas" pitchFamily="49" charset="0"/>
            </a:rPr>
            <a:t>1. Importar soluciones de la sensibilidad al sistema</a:t>
          </a:r>
        </a:p>
        <a:p>
          <a:pPr algn="l"/>
          <a:r>
            <a:rPr lang="es-BO" sz="1100">
              <a:latin typeface="Consolas" pitchFamily="49" charset="0"/>
              <a:cs typeface="Consolas" pitchFamily="49" charset="0"/>
            </a:rPr>
            <a:t>2. Introducir los periodos</a:t>
          </a:r>
          <a:r>
            <a:rPr lang="es-BO" sz="1100" baseline="0">
              <a:latin typeface="Consolas" pitchFamily="49" charset="0"/>
              <a:cs typeface="Consolas" pitchFamily="49" charset="0"/>
            </a:rPr>
            <a:t> (Choke, Tiempo y Descripción)</a:t>
          </a:r>
        </a:p>
        <a:p>
          <a:pPr algn="l"/>
          <a:r>
            <a:rPr lang="es-BO" sz="1100" baseline="0">
              <a:latin typeface="Consolas" pitchFamily="49" charset="0"/>
              <a:cs typeface="Consolas" pitchFamily="49" charset="0"/>
            </a:rPr>
            <a:t>3. Generar Tablas para cada periodo</a:t>
          </a:r>
        </a:p>
        <a:p>
          <a:pPr algn="l"/>
          <a:r>
            <a:rPr lang="es-BO" sz="1100" baseline="0">
              <a:latin typeface="Consolas" pitchFamily="49" charset="0"/>
              <a:cs typeface="Consolas" pitchFamily="49" charset="0"/>
            </a:rPr>
            <a:t>4. Exportar reporte a PowerPoint</a:t>
          </a:r>
          <a:endParaRPr lang="es-BO" sz="1100">
            <a:latin typeface="Consolas" pitchFamily="49" charset="0"/>
            <a:cs typeface="Consolas" pitchFamily="49"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xdr:row>
      <xdr:rowOff>6350</xdr:rowOff>
    </xdr:from>
    <xdr:to>
      <xdr:col>21</xdr:col>
      <xdr:colOff>0</xdr:colOff>
      <xdr:row>29</xdr:row>
      <xdr:rowOff>6350</xdr:rowOff>
    </xdr:to>
    <xdr:graphicFrame macro="">
      <xdr:nvGraphicFramePr>
        <xdr:cNvPr id="3" name="Static">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0</xdr:colOff>
      <xdr:row>1</xdr:row>
      <xdr:rowOff>6350</xdr:rowOff>
    </xdr:from>
    <xdr:to>
      <xdr:col>28</xdr:col>
      <xdr:colOff>0</xdr:colOff>
      <xdr:row>29</xdr:row>
      <xdr:rowOff>6350</xdr:rowOff>
    </xdr:to>
    <xdr:graphicFrame macro="">
      <xdr:nvGraphicFramePr>
        <xdr:cNvPr id="4" name="Gradient">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320675</xdr:colOff>
      <xdr:row>12</xdr:row>
      <xdr:rowOff>127000</xdr:rowOff>
    </xdr:from>
    <xdr:to>
      <xdr:col>3</xdr:col>
      <xdr:colOff>464675</xdr:colOff>
      <xdr:row>13</xdr:row>
      <xdr:rowOff>118600</xdr:rowOff>
    </xdr:to>
    <xdr:sp macro="" textlink="">
      <xdr:nvSpPr>
        <xdr:cNvPr id="2" name="Oval 1">
          <a:extLst>
            <a:ext uri="{FF2B5EF4-FFF2-40B4-BE49-F238E27FC236}">
              <a16:creationId xmlns:a16="http://schemas.microsoft.com/office/drawing/2014/main" id="{00000000-0008-0000-0700-000002000000}"/>
            </a:ext>
          </a:extLst>
        </xdr:cNvPr>
        <xdr:cNvSpPr/>
      </xdr:nvSpPr>
      <xdr:spPr>
        <a:xfrm>
          <a:off x="2749550" y="19558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320675</xdr:colOff>
      <xdr:row>12</xdr:row>
      <xdr:rowOff>127000</xdr:rowOff>
    </xdr:from>
    <xdr:to>
      <xdr:col>4</xdr:col>
      <xdr:colOff>464675</xdr:colOff>
      <xdr:row>13</xdr:row>
      <xdr:rowOff>118600</xdr:rowOff>
    </xdr:to>
    <xdr:sp macro="" textlink="">
      <xdr:nvSpPr>
        <xdr:cNvPr id="5" name="Oval 2">
          <a:extLst>
            <a:ext uri="{FF2B5EF4-FFF2-40B4-BE49-F238E27FC236}">
              <a16:creationId xmlns:a16="http://schemas.microsoft.com/office/drawing/2014/main" id="{00000000-0008-0000-0700-000005000000}"/>
            </a:ext>
          </a:extLst>
        </xdr:cNvPr>
        <xdr:cNvSpPr/>
      </xdr:nvSpPr>
      <xdr:spPr>
        <a:xfrm>
          <a:off x="3340100" y="195580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320675</xdr:colOff>
      <xdr:row>12</xdr:row>
      <xdr:rowOff>127000</xdr:rowOff>
    </xdr:from>
    <xdr:to>
      <xdr:col>5</xdr:col>
      <xdr:colOff>464675</xdr:colOff>
      <xdr:row>13</xdr:row>
      <xdr:rowOff>118600</xdr:rowOff>
    </xdr:to>
    <xdr:sp macro="" textlink="">
      <xdr:nvSpPr>
        <xdr:cNvPr id="6" name="Oval 3">
          <a:extLst>
            <a:ext uri="{FF2B5EF4-FFF2-40B4-BE49-F238E27FC236}">
              <a16:creationId xmlns:a16="http://schemas.microsoft.com/office/drawing/2014/main" id="{00000000-0008-0000-0700-000006000000}"/>
            </a:ext>
          </a:extLst>
        </xdr:cNvPr>
        <xdr:cNvSpPr/>
      </xdr:nvSpPr>
      <xdr:spPr>
        <a:xfrm>
          <a:off x="3930650" y="195580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320675</xdr:colOff>
      <xdr:row>12</xdr:row>
      <xdr:rowOff>127000</xdr:rowOff>
    </xdr:from>
    <xdr:to>
      <xdr:col>6</xdr:col>
      <xdr:colOff>464675</xdr:colOff>
      <xdr:row>13</xdr:row>
      <xdr:rowOff>118600</xdr:rowOff>
    </xdr:to>
    <xdr:sp macro="" textlink="">
      <xdr:nvSpPr>
        <xdr:cNvPr id="7" name="Oval 4">
          <a:extLst>
            <a:ext uri="{FF2B5EF4-FFF2-40B4-BE49-F238E27FC236}">
              <a16:creationId xmlns:a16="http://schemas.microsoft.com/office/drawing/2014/main" id="{00000000-0008-0000-0700-000007000000}"/>
            </a:ext>
          </a:extLst>
        </xdr:cNvPr>
        <xdr:cNvSpPr/>
      </xdr:nvSpPr>
      <xdr:spPr>
        <a:xfrm>
          <a:off x="4521200" y="195580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499</xdr:row>
      <xdr:rowOff>0</xdr:rowOff>
    </xdr:from>
    <xdr:to>
      <xdr:col>4</xdr:col>
      <xdr:colOff>144000</xdr:colOff>
      <xdr:row>499</xdr:row>
      <xdr:rowOff>144000</xdr:rowOff>
    </xdr:to>
    <xdr:sp macro="" textlink="">
      <xdr:nvSpPr>
        <xdr:cNvPr id="8" name="Oval 5">
          <a:extLst>
            <a:ext uri="{FF2B5EF4-FFF2-40B4-BE49-F238E27FC236}">
              <a16:creationId xmlns:a16="http://schemas.microsoft.com/office/drawing/2014/main" id="{00000000-0008-0000-0700-000008000000}"/>
            </a:ext>
          </a:extLst>
        </xdr:cNvPr>
        <xdr:cNvSpPr/>
      </xdr:nvSpPr>
      <xdr:spPr>
        <a:xfrm>
          <a:off x="30194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499</xdr:row>
      <xdr:rowOff>0</xdr:rowOff>
    </xdr:from>
    <xdr:to>
      <xdr:col>5</xdr:col>
      <xdr:colOff>144000</xdr:colOff>
      <xdr:row>499</xdr:row>
      <xdr:rowOff>144000</xdr:rowOff>
    </xdr:to>
    <xdr:sp macro="" textlink="">
      <xdr:nvSpPr>
        <xdr:cNvPr id="9" name="Oval 6">
          <a:extLst>
            <a:ext uri="{FF2B5EF4-FFF2-40B4-BE49-F238E27FC236}">
              <a16:creationId xmlns:a16="http://schemas.microsoft.com/office/drawing/2014/main" id="{00000000-0008-0000-0700-000009000000}"/>
            </a:ext>
          </a:extLst>
        </xdr:cNvPr>
        <xdr:cNvSpPr/>
      </xdr:nvSpPr>
      <xdr:spPr>
        <a:xfrm>
          <a:off x="36099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499</xdr:row>
      <xdr:rowOff>0</xdr:rowOff>
    </xdr:from>
    <xdr:to>
      <xdr:col>6</xdr:col>
      <xdr:colOff>144000</xdr:colOff>
      <xdr:row>499</xdr:row>
      <xdr:rowOff>144000</xdr:rowOff>
    </xdr:to>
    <xdr:sp macro="" textlink="">
      <xdr:nvSpPr>
        <xdr:cNvPr id="10" name="Oval 7">
          <a:extLst>
            <a:ext uri="{FF2B5EF4-FFF2-40B4-BE49-F238E27FC236}">
              <a16:creationId xmlns:a16="http://schemas.microsoft.com/office/drawing/2014/main" id="{00000000-0008-0000-0700-00000A000000}"/>
            </a:ext>
          </a:extLst>
        </xdr:cNvPr>
        <xdr:cNvSpPr/>
      </xdr:nvSpPr>
      <xdr:spPr>
        <a:xfrm>
          <a:off x="42005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1" name="Oval 8">
          <a:extLst>
            <a:ext uri="{FF2B5EF4-FFF2-40B4-BE49-F238E27FC236}">
              <a16:creationId xmlns:a16="http://schemas.microsoft.com/office/drawing/2014/main" id="{00000000-0008-0000-0700-00000B000000}"/>
            </a:ext>
          </a:extLst>
        </xdr:cNvPr>
        <xdr:cNvSpPr/>
      </xdr:nvSpPr>
      <xdr:spPr>
        <a:xfrm>
          <a:off x="47910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2" name="Oval 9">
          <a:extLst>
            <a:ext uri="{FF2B5EF4-FFF2-40B4-BE49-F238E27FC236}">
              <a16:creationId xmlns:a16="http://schemas.microsoft.com/office/drawing/2014/main" id="{00000000-0008-0000-0700-00000C000000}"/>
            </a:ext>
          </a:extLst>
        </xdr:cNvPr>
        <xdr:cNvSpPr/>
      </xdr:nvSpPr>
      <xdr:spPr>
        <a:xfrm>
          <a:off x="53816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3" name="Oval 10">
          <a:extLst>
            <a:ext uri="{FF2B5EF4-FFF2-40B4-BE49-F238E27FC236}">
              <a16:creationId xmlns:a16="http://schemas.microsoft.com/office/drawing/2014/main" id="{00000000-0008-0000-0700-00000D000000}"/>
            </a:ext>
          </a:extLst>
        </xdr:cNvPr>
        <xdr:cNvSpPr/>
      </xdr:nvSpPr>
      <xdr:spPr>
        <a:xfrm>
          <a:off x="59721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317500</xdr:colOff>
      <xdr:row>28</xdr:row>
      <xdr:rowOff>127000</xdr:rowOff>
    </xdr:from>
    <xdr:to>
      <xdr:col>3</xdr:col>
      <xdr:colOff>461500</xdr:colOff>
      <xdr:row>29</xdr:row>
      <xdr:rowOff>118600</xdr:rowOff>
    </xdr:to>
    <xdr:sp macro="" textlink="">
      <xdr:nvSpPr>
        <xdr:cNvPr id="2" name="Oval 1">
          <a:extLst>
            <a:ext uri="{FF2B5EF4-FFF2-40B4-BE49-F238E27FC236}">
              <a16:creationId xmlns:a16="http://schemas.microsoft.com/office/drawing/2014/main" id="{00000000-0008-0000-0800-000002000000}"/>
            </a:ext>
          </a:extLst>
        </xdr:cNvPr>
        <xdr:cNvSpPr/>
      </xdr:nvSpPr>
      <xdr:spPr>
        <a:xfrm>
          <a:off x="2832100" y="452755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317500</xdr:colOff>
      <xdr:row>28</xdr:row>
      <xdr:rowOff>127000</xdr:rowOff>
    </xdr:from>
    <xdr:to>
      <xdr:col>4</xdr:col>
      <xdr:colOff>461500</xdr:colOff>
      <xdr:row>29</xdr:row>
      <xdr:rowOff>118600</xdr:rowOff>
    </xdr:to>
    <xdr:sp macro="" textlink="">
      <xdr:nvSpPr>
        <xdr:cNvPr id="3" name="Oval 2">
          <a:extLst>
            <a:ext uri="{FF2B5EF4-FFF2-40B4-BE49-F238E27FC236}">
              <a16:creationId xmlns:a16="http://schemas.microsoft.com/office/drawing/2014/main" id="{00000000-0008-0000-0800-000003000000}"/>
            </a:ext>
          </a:extLst>
        </xdr:cNvPr>
        <xdr:cNvSpPr/>
      </xdr:nvSpPr>
      <xdr:spPr>
        <a:xfrm>
          <a:off x="3365500" y="452755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317500</xdr:colOff>
      <xdr:row>28</xdr:row>
      <xdr:rowOff>127000</xdr:rowOff>
    </xdr:from>
    <xdr:to>
      <xdr:col>5</xdr:col>
      <xdr:colOff>461500</xdr:colOff>
      <xdr:row>29</xdr:row>
      <xdr:rowOff>118600</xdr:rowOff>
    </xdr:to>
    <xdr:sp macro="" textlink="">
      <xdr:nvSpPr>
        <xdr:cNvPr id="4" name="Oval 3">
          <a:extLst>
            <a:ext uri="{FF2B5EF4-FFF2-40B4-BE49-F238E27FC236}">
              <a16:creationId xmlns:a16="http://schemas.microsoft.com/office/drawing/2014/main" id="{00000000-0008-0000-0800-000004000000}"/>
            </a:ext>
          </a:extLst>
        </xdr:cNvPr>
        <xdr:cNvSpPr/>
      </xdr:nvSpPr>
      <xdr:spPr>
        <a:xfrm>
          <a:off x="3898900" y="452755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317500</xdr:colOff>
      <xdr:row>28</xdr:row>
      <xdr:rowOff>127000</xdr:rowOff>
    </xdr:from>
    <xdr:to>
      <xdr:col>6</xdr:col>
      <xdr:colOff>461500</xdr:colOff>
      <xdr:row>29</xdr:row>
      <xdr:rowOff>118600</xdr:rowOff>
    </xdr:to>
    <xdr:sp macro="" textlink="">
      <xdr:nvSpPr>
        <xdr:cNvPr id="5" name="Oval 4">
          <a:extLst>
            <a:ext uri="{FF2B5EF4-FFF2-40B4-BE49-F238E27FC236}">
              <a16:creationId xmlns:a16="http://schemas.microsoft.com/office/drawing/2014/main" id="{00000000-0008-0000-0800-000005000000}"/>
            </a:ext>
          </a:extLst>
        </xdr:cNvPr>
        <xdr:cNvSpPr/>
      </xdr:nvSpPr>
      <xdr:spPr>
        <a:xfrm>
          <a:off x="4432300" y="452755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0</xdr:colOff>
      <xdr:row>1</xdr:row>
      <xdr:rowOff>0</xdr:rowOff>
    </xdr:from>
    <xdr:to>
      <xdr:col>25</xdr:col>
      <xdr:colOff>0</xdr:colOff>
      <xdr:row>28</xdr:row>
      <xdr:rowOff>0</xdr:rowOff>
    </xdr:to>
    <xdr:graphicFrame macro="">
      <xdr:nvGraphicFramePr>
        <xdr:cNvPr id="6" name="Static">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0</xdr:row>
          <xdr:rowOff>38100</xdr:rowOff>
        </xdr:from>
        <xdr:to>
          <xdr:col>8</xdr:col>
          <xdr:colOff>428625</xdr:colOff>
          <xdr:row>1</xdr:row>
          <xdr:rowOff>161925</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08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0</xdr:colOff>
      <xdr:row>499</xdr:row>
      <xdr:rowOff>0</xdr:rowOff>
    </xdr:from>
    <xdr:to>
      <xdr:col>6</xdr:col>
      <xdr:colOff>144000</xdr:colOff>
      <xdr:row>499</xdr:row>
      <xdr:rowOff>144000</xdr:rowOff>
    </xdr:to>
    <xdr:sp macro="" textlink="">
      <xdr:nvSpPr>
        <xdr:cNvPr id="8" name="Oval 7">
          <a:extLst>
            <a:ext uri="{FF2B5EF4-FFF2-40B4-BE49-F238E27FC236}">
              <a16:creationId xmlns:a16="http://schemas.microsoft.com/office/drawing/2014/main" id="{00000000-0008-0000-0800-000008000000}"/>
            </a:ext>
          </a:extLst>
        </xdr:cNvPr>
        <xdr:cNvSpPr/>
      </xdr:nvSpPr>
      <xdr:spPr>
        <a:xfrm>
          <a:off x="4114800" y="7618095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317500</xdr:colOff>
      <xdr:row>28</xdr:row>
      <xdr:rowOff>127000</xdr:rowOff>
    </xdr:from>
    <xdr:to>
      <xdr:col>7</xdr:col>
      <xdr:colOff>461500</xdr:colOff>
      <xdr:row>29</xdr:row>
      <xdr:rowOff>118600</xdr:rowOff>
    </xdr:to>
    <xdr:sp macro="" textlink="">
      <xdr:nvSpPr>
        <xdr:cNvPr id="12" name="Oval 5">
          <a:extLst>
            <a:ext uri="{FF2B5EF4-FFF2-40B4-BE49-F238E27FC236}">
              <a16:creationId xmlns:a16="http://schemas.microsoft.com/office/drawing/2014/main" id="{00000000-0008-0000-0800-00000C000000}"/>
            </a:ext>
          </a:extLst>
        </xdr:cNvPr>
        <xdr:cNvSpPr/>
      </xdr:nvSpPr>
      <xdr:spPr>
        <a:xfrm>
          <a:off x="4965700" y="4527550"/>
          <a:ext cx="144000" cy="144000"/>
        </a:xfrm>
        <a:prstGeom prst="ellipse">
          <a:avLst/>
        </a:prstGeom>
        <a:solidFill>
          <a:srgbClr val="00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317500</xdr:colOff>
      <xdr:row>28</xdr:row>
      <xdr:rowOff>127000</xdr:rowOff>
    </xdr:from>
    <xdr:to>
      <xdr:col>8</xdr:col>
      <xdr:colOff>461500</xdr:colOff>
      <xdr:row>29</xdr:row>
      <xdr:rowOff>118600</xdr:rowOff>
    </xdr:to>
    <xdr:sp macro="" textlink="">
      <xdr:nvSpPr>
        <xdr:cNvPr id="13" name="Oval 6">
          <a:extLst>
            <a:ext uri="{FF2B5EF4-FFF2-40B4-BE49-F238E27FC236}">
              <a16:creationId xmlns:a16="http://schemas.microsoft.com/office/drawing/2014/main" id="{00000000-0008-0000-0800-00000D000000}"/>
            </a:ext>
          </a:extLst>
        </xdr:cNvPr>
        <xdr:cNvSpPr/>
      </xdr:nvSpPr>
      <xdr:spPr>
        <a:xfrm>
          <a:off x="5499100" y="4527550"/>
          <a:ext cx="144000" cy="144000"/>
        </a:xfrm>
        <a:prstGeom prst="ellipse">
          <a:avLst/>
        </a:prstGeom>
        <a:solidFill>
          <a:srgbClr val="DCDA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5" name="Oval 8">
          <a:extLst>
            <a:ext uri="{FF2B5EF4-FFF2-40B4-BE49-F238E27FC236}">
              <a16:creationId xmlns:a16="http://schemas.microsoft.com/office/drawing/2014/main" id="{00000000-0008-0000-0800-00000F000000}"/>
            </a:ext>
          </a:extLst>
        </xdr:cNvPr>
        <xdr:cNvSpPr/>
      </xdr:nvSpPr>
      <xdr:spPr>
        <a:xfrm>
          <a:off x="4648200" y="7618095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6" name="Oval 9">
          <a:extLst>
            <a:ext uri="{FF2B5EF4-FFF2-40B4-BE49-F238E27FC236}">
              <a16:creationId xmlns:a16="http://schemas.microsoft.com/office/drawing/2014/main" id="{00000000-0008-0000-0800-000010000000}"/>
            </a:ext>
          </a:extLst>
        </xdr:cNvPr>
        <xdr:cNvSpPr/>
      </xdr:nvSpPr>
      <xdr:spPr>
        <a:xfrm>
          <a:off x="5181600" y="7618095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7" name="Oval 10">
          <a:extLst>
            <a:ext uri="{FF2B5EF4-FFF2-40B4-BE49-F238E27FC236}">
              <a16:creationId xmlns:a16="http://schemas.microsoft.com/office/drawing/2014/main" id="{00000000-0008-0000-0800-000011000000}"/>
            </a:ext>
          </a:extLst>
        </xdr:cNvPr>
        <xdr:cNvSpPr/>
      </xdr:nvSpPr>
      <xdr:spPr>
        <a:xfrm>
          <a:off x="5715000" y="7618095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28</xdr:row>
      <xdr:rowOff>0</xdr:rowOff>
    </xdr:from>
    <xdr:to>
      <xdr:col>25</xdr:col>
      <xdr:colOff>0</xdr:colOff>
      <xdr:row>45</xdr:row>
      <xdr:rowOff>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251460</xdr:colOff>
      <xdr:row>0</xdr:row>
      <xdr:rowOff>106680</xdr:rowOff>
    </xdr:from>
    <xdr:to>
      <xdr:col>22</xdr:col>
      <xdr:colOff>434340</xdr:colOff>
      <xdr:row>29</xdr:row>
      <xdr:rowOff>30480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348615</xdr:colOff>
      <xdr:row>1</xdr:row>
      <xdr:rowOff>91440</xdr:rowOff>
    </xdr:from>
    <xdr:to>
      <xdr:col>21</xdr:col>
      <xdr:colOff>531495</xdr:colOff>
      <xdr:row>27</xdr:row>
      <xdr:rowOff>60960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45720</xdr:colOff>
      <xdr:row>1</xdr:row>
      <xdr:rowOff>0</xdr:rowOff>
    </xdr:from>
    <xdr:to>
      <xdr:col>15</xdr:col>
      <xdr:colOff>228600</xdr:colOff>
      <xdr:row>29</xdr:row>
      <xdr:rowOff>76200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66675</xdr:colOff>
      <xdr:row>1</xdr:row>
      <xdr:rowOff>47625</xdr:rowOff>
    </xdr:from>
    <xdr:to>
      <xdr:col>22</xdr:col>
      <xdr:colOff>200025</xdr:colOff>
      <xdr:row>34</xdr:row>
      <xdr:rowOff>38099</xdr:rowOff>
    </xdr:to>
    <xdr:graphicFrame macro="">
      <xdr:nvGraphicFramePr>
        <xdr:cNvPr id="4" name="Gradient">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28575</xdr:colOff>
      <xdr:row>6</xdr:row>
      <xdr:rowOff>114300</xdr:rowOff>
    </xdr:from>
    <xdr:to>
      <xdr:col>6</xdr:col>
      <xdr:colOff>419100</xdr:colOff>
      <xdr:row>9</xdr:row>
      <xdr:rowOff>104775</xdr:rowOff>
    </xdr:to>
    <xdr:sp macro="" textlink="">
      <xdr:nvSpPr>
        <xdr:cNvPr id="18437" name="CommandButton1" hidden="1">
          <a:extLst>
            <a:ext uri="{63B3BB69-23CF-44E3-9099-C40C66FF867C}">
              <a14:compatExt xmlns:a14="http://schemas.microsoft.com/office/drawing/2010/main" spid="_x0000_s18437"/>
            </a:ext>
            <a:ext uri="{FF2B5EF4-FFF2-40B4-BE49-F238E27FC236}">
              <a16:creationId xmlns:a16="http://schemas.microsoft.com/office/drawing/2014/main" id="{00000000-0008-0000-0F00-000005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28575</xdr:colOff>
      <xdr:row>2</xdr:row>
      <xdr:rowOff>114300</xdr:rowOff>
    </xdr:from>
    <xdr:to>
      <xdr:col>6</xdr:col>
      <xdr:colOff>419100</xdr:colOff>
      <xdr:row>5</xdr:row>
      <xdr:rowOff>104775</xdr:rowOff>
    </xdr:to>
    <xdr:sp macro="" textlink="">
      <xdr:nvSpPr>
        <xdr:cNvPr id="18440" name="CommandButton2" hidden="1">
          <a:extLst>
            <a:ext uri="{63B3BB69-23CF-44E3-9099-C40C66FF867C}">
              <a14:compatExt xmlns:a14="http://schemas.microsoft.com/office/drawing/2010/main" spid="_x0000_s18440"/>
            </a:ext>
            <a:ext uri="{FF2B5EF4-FFF2-40B4-BE49-F238E27FC236}">
              <a16:creationId xmlns:a16="http://schemas.microsoft.com/office/drawing/2014/main" id="{00000000-0008-0000-0F00-000008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6</xdr:row>
      <xdr:rowOff>133350</xdr:rowOff>
    </xdr:from>
    <xdr:to>
      <xdr:col>9</xdr:col>
      <xdr:colOff>9525</xdr:colOff>
      <xdr:row>9</xdr:row>
      <xdr:rowOff>114300</xdr:rowOff>
    </xdr:to>
    <xdr:sp macro="" textlink="">
      <xdr:nvSpPr>
        <xdr:cNvPr id="18441" name="CommandButton3" hidden="1">
          <a:extLst>
            <a:ext uri="{63B3BB69-23CF-44E3-9099-C40C66FF867C}">
              <a14:compatExt xmlns:a14="http://schemas.microsoft.com/office/drawing/2010/main" spid="_x0000_s18441"/>
            </a:ext>
            <a:ext uri="{FF2B5EF4-FFF2-40B4-BE49-F238E27FC236}">
              <a16:creationId xmlns:a16="http://schemas.microsoft.com/office/drawing/2014/main" id="{00000000-0008-0000-0F00-000009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2</xdr:row>
      <xdr:rowOff>104775</xdr:rowOff>
    </xdr:from>
    <xdr:to>
      <xdr:col>9</xdr:col>
      <xdr:colOff>9525</xdr:colOff>
      <xdr:row>5</xdr:row>
      <xdr:rowOff>85725</xdr:rowOff>
    </xdr:to>
    <xdr:sp macro="" textlink="">
      <xdr:nvSpPr>
        <xdr:cNvPr id="18443" name="CommandButton4" hidden="1">
          <a:extLst>
            <a:ext uri="{63B3BB69-23CF-44E3-9099-C40C66FF867C}">
              <a14:compatExt xmlns:a14="http://schemas.microsoft.com/office/drawing/2010/main" spid="_x0000_s18443"/>
            </a:ext>
            <a:ext uri="{FF2B5EF4-FFF2-40B4-BE49-F238E27FC236}">
              <a16:creationId xmlns:a16="http://schemas.microsoft.com/office/drawing/2014/main" id="{00000000-0008-0000-0F00-00000B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76200</xdr:rowOff>
        </xdr:from>
        <xdr:to>
          <xdr:col>6</xdr:col>
          <xdr:colOff>400050</xdr:colOff>
          <xdr:row>7</xdr:row>
          <xdr:rowOff>123825</xdr:rowOff>
        </xdr:to>
        <xdr:sp macro="" textlink="">
          <xdr:nvSpPr>
            <xdr:cNvPr id="18444" name="CommandButton1" hidden="1">
              <a:extLst>
                <a:ext uri="{63B3BB69-23CF-44E3-9099-C40C66FF867C}">
                  <a14:compatExt spid="_x0000_s18444"/>
                </a:ext>
                <a:ext uri="{FF2B5EF4-FFF2-40B4-BE49-F238E27FC236}">
                  <a16:creationId xmlns:a16="http://schemas.microsoft.com/office/drawing/2014/main" id="{00000000-0008-0000-0F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6</xdr:col>
          <xdr:colOff>409575</xdr:colOff>
          <xdr:row>4</xdr:row>
          <xdr:rowOff>47625</xdr:rowOff>
        </xdr:to>
        <xdr:sp macro="" textlink="">
          <xdr:nvSpPr>
            <xdr:cNvPr id="18445" name="CommandButton2" hidden="1">
              <a:extLst>
                <a:ext uri="{63B3BB69-23CF-44E3-9099-C40C66FF867C}">
                  <a14:compatExt spid="_x0000_s18445"/>
                </a:ext>
                <a:ext uri="{FF2B5EF4-FFF2-40B4-BE49-F238E27FC236}">
                  <a16:creationId xmlns:a16="http://schemas.microsoft.com/office/drawing/2014/main" id="{00000000-0008-0000-0F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xdr:row>
          <xdr:rowOff>133350</xdr:rowOff>
        </xdr:from>
        <xdr:to>
          <xdr:col>9</xdr:col>
          <xdr:colOff>19050</xdr:colOff>
          <xdr:row>8</xdr:row>
          <xdr:rowOff>123825</xdr:rowOff>
        </xdr:to>
        <xdr:sp macro="" textlink="">
          <xdr:nvSpPr>
            <xdr:cNvPr id="18446" name="CommandButton3" hidden="1">
              <a:extLst>
                <a:ext uri="{63B3BB69-23CF-44E3-9099-C40C66FF867C}">
                  <a14:compatExt spid="_x0000_s18446"/>
                </a:ext>
                <a:ext uri="{FF2B5EF4-FFF2-40B4-BE49-F238E27FC236}">
                  <a16:creationId xmlns:a16="http://schemas.microsoft.com/office/drawing/2014/main" id="{00000000-0008-0000-0F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xdr:row>
          <xdr:rowOff>123825</xdr:rowOff>
        </xdr:from>
        <xdr:to>
          <xdr:col>9</xdr:col>
          <xdr:colOff>66675</xdr:colOff>
          <xdr:row>4</xdr:row>
          <xdr:rowOff>114300</xdr:rowOff>
        </xdr:to>
        <xdr:sp macro="" textlink="">
          <xdr:nvSpPr>
            <xdr:cNvPr id="18447" name="CommandButton4" hidden="1">
              <a:extLst>
                <a:ext uri="{63B3BB69-23CF-44E3-9099-C40C66FF867C}">
                  <a14:compatExt spid="_x0000_s18447"/>
                </a:ext>
                <a:ext uri="{FF2B5EF4-FFF2-40B4-BE49-F238E27FC236}">
                  <a16:creationId xmlns:a16="http://schemas.microsoft.com/office/drawing/2014/main" id="{00000000-0008-0000-0F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ivilaff\Documents\PER\02.%20VBA%202.0\PROSPER\01.%20Prosper%20Sense\04.%20PROSPER%20Sens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IPR Data"/>
      <sheetName val="PROSPER Variables"/>
      <sheetName val="Equipment Data"/>
      <sheetName val="Sensitivity"/>
      <sheetName val="Solutions"/>
      <sheetName val="Gas Burning Schedule"/>
      <sheetName val="Gas Burning Report"/>
      <sheetName val="Printers_List_Hide"/>
      <sheetName val="Sensitivity_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7">
          <cell r="D7" t="str">
            <v>Reservoir Pressure</v>
          </cell>
        </row>
        <row r="8">
          <cell r="D8" t="str">
            <v>Skin</v>
          </cell>
        </row>
        <row r="9">
          <cell r="D9" t="str">
            <v>Shot Density</v>
          </cell>
        </row>
        <row r="10">
          <cell r="D10" t="str">
            <v>Gravel Pack Permeability</v>
          </cell>
        </row>
        <row r="11">
          <cell r="D11" t="str">
            <v>Perforation Diameter</v>
          </cell>
        </row>
        <row r="12">
          <cell r="D12" t="str">
            <v>Gravel Pack Length</v>
          </cell>
        </row>
        <row r="13">
          <cell r="D13" t="str">
            <v>Water Cut</v>
          </cell>
        </row>
        <row r="14">
          <cell r="D14" t="str">
            <v>Gas Oil Ratio</v>
          </cell>
        </row>
        <row r="15">
          <cell r="D15" t="str">
            <v>Water Gas Ratio</v>
          </cell>
        </row>
        <row r="16">
          <cell r="D16" t="str">
            <v>Condensate Gas Ratio</v>
          </cell>
        </row>
        <row r="17">
          <cell r="D17" t="str">
            <v>Total GOR</v>
          </cell>
        </row>
        <row r="18">
          <cell r="D18" t="str">
            <v>Tubing/Pipe Diameter</v>
          </cell>
        </row>
        <row r="19">
          <cell r="D19" t="str">
            <v>Gaslift Gas Injection Rate</v>
          </cell>
        </row>
        <row r="20">
          <cell r="D20" t="str">
            <v>GLR Injected</v>
          </cell>
        </row>
        <row r="21">
          <cell r="D21" t="str">
            <v>GLR Free</v>
          </cell>
        </row>
        <row r="22">
          <cell r="D22" t="str">
            <v>Free Gas Rate</v>
          </cell>
        </row>
        <row r="23">
          <cell r="D23" t="str">
            <v>Tubing Roughness</v>
          </cell>
        </row>
        <row r="24">
          <cell r="D24" t="str">
            <v>Top Node Pressure</v>
          </cell>
        </row>
        <row r="25">
          <cell r="D25" t="str">
            <v>Choke Size</v>
          </cell>
        </row>
        <row r="26">
          <cell r="D26" t="str">
            <v>Casing Pressure</v>
          </cell>
        </row>
        <row r="27">
          <cell r="D27" t="str">
            <v>Delta P Across Valve</v>
          </cell>
        </row>
        <row r="28">
          <cell r="D28" t="str">
            <v>GOR Free</v>
          </cell>
        </row>
        <row r="29">
          <cell r="D29" t="str">
            <v>Dissolved and Free GLR</v>
          </cell>
        </row>
        <row r="30">
          <cell r="D30" t="str">
            <v>Water Oil Ratio</v>
          </cell>
        </row>
        <row r="31">
          <cell r="D31" t="str">
            <v>Gaslift Gas Specific Gravity</v>
          </cell>
        </row>
        <row r="32">
          <cell r="D32" t="str">
            <v>Reservoir Permeability</v>
          </cell>
        </row>
        <row r="33">
          <cell r="D33" t="str">
            <v>Reservoir Temperature</v>
          </cell>
        </row>
        <row r="34">
          <cell r="D34" t="str">
            <v>Reservoir Thickness</v>
          </cell>
        </row>
        <row r="35">
          <cell r="D35" t="str">
            <v>Drainage Area</v>
          </cell>
        </row>
        <row r="36">
          <cell r="D36" t="str">
            <v>Dietz Shape Factor</v>
          </cell>
        </row>
        <row r="37">
          <cell r="D37" t="str">
            <v>Wellbore Radius</v>
          </cell>
        </row>
        <row r="38">
          <cell r="D38" t="str">
            <v>Perforation Interval</v>
          </cell>
        </row>
        <row r="39">
          <cell r="D39" t="str">
            <v>Perforation Efficiency</v>
          </cell>
        </row>
        <row r="40">
          <cell r="D40" t="str">
            <v>Screen Inner Radius</v>
          </cell>
        </row>
        <row r="41">
          <cell r="D41" t="str">
            <v>Screen Outer Radius</v>
          </cell>
        </row>
        <row r="42">
          <cell r="D42" t="str">
            <v>Screen Permeability</v>
          </cell>
        </row>
        <row r="43">
          <cell r="D43" t="str">
            <v>Outside Permeability</v>
          </cell>
        </row>
        <row r="44">
          <cell r="D44" t="str">
            <v>Screen Turbulence Coefficient</v>
          </cell>
        </row>
        <row r="45">
          <cell r="D45" t="str">
            <v>Outside Turbulence Coefficient</v>
          </cell>
        </row>
        <row r="46">
          <cell r="D46" t="str">
            <v>Pipe Roughness</v>
          </cell>
        </row>
        <row r="47">
          <cell r="D47" t="str">
            <v>Coil Tube Inside Diameter</v>
          </cell>
        </row>
        <row r="48">
          <cell r="D48" t="str">
            <v>Coil Tube Thickness</v>
          </cell>
        </row>
        <row r="49">
          <cell r="D49" t="str">
            <v>Coil Tube Depth</v>
          </cell>
        </row>
        <row r="50">
          <cell r="D50" t="str">
            <v>Coil Tube Inside Roughness</v>
          </cell>
        </row>
        <row r="51">
          <cell r="D51" t="str">
            <v>Coil Tube Outside Roughness</v>
          </cell>
        </row>
        <row r="52">
          <cell r="D52" t="str">
            <v>Downhole Heat Transfer Coefficient</v>
          </cell>
        </row>
        <row r="53">
          <cell r="D53" t="str">
            <v>Surface Heat Transfer Coefficient</v>
          </cell>
        </row>
        <row r="54">
          <cell r="D54" t="str">
            <v>Downhole Equipment</v>
          </cell>
        </row>
        <row r="55">
          <cell r="D55" t="str">
            <v>Surface Equipment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image" Target="../media/image6.emf"/><Relationship Id="rId11" Type="http://schemas.openxmlformats.org/officeDocument/2006/relationships/comments" Target="../comments5.xml"/><Relationship Id="rId5" Type="http://schemas.openxmlformats.org/officeDocument/2006/relationships/control" Target="../activeX/activeX5.xml"/><Relationship Id="rId10" Type="http://schemas.openxmlformats.org/officeDocument/2006/relationships/image" Target="../media/image8.emf"/><Relationship Id="rId4" Type="http://schemas.openxmlformats.org/officeDocument/2006/relationships/image" Target="../media/image5.emf"/><Relationship Id="rId9"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1"/>
  </sheetPr>
  <dimension ref="A1:Q36"/>
  <sheetViews>
    <sheetView showGridLines="0" workbookViewId="0">
      <selection activeCell="D10" sqref="D10"/>
    </sheetView>
  </sheetViews>
  <sheetFormatPr defaultColWidth="9.33203125" defaultRowHeight="12" x14ac:dyDescent="0.2"/>
  <cols>
    <col min="2" max="2" width="16.1640625" customWidth="1"/>
    <col min="3" max="3" width="3.5" customWidth="1"/>
    <col min="4" max="4" width="35.5" customWidth="1"/>
    <col min="5" max="5" width="5" customWidth="1"/>
    <col min="7" max="7" width="17.83203125" customWidth="1"/>
    <col min="8" max="8" width="5.1640625" customWidth="1"/>
    <col min="17" max="17" width="9.83203125" bestFit="1" customWidth="1"/>
  </cols>
  <sheetData>
    <row r="1" spans="1:17" ht="21" x14ac:dyDescent="0.35">
      <c r="A1" s="690" t="s">
        <v>241</v>
      </c>
      <c r="B1" s="691"/>
      <c r="C1" s="691"/>
      <c r="D1" s="691"/>
      <c r="E1" s="691"/>
      <c r="F1" s="691"/>
      <c r="G1" s="691"/>
      <c r="H1" s="691"/>
      <c r="I1" s="691"/>
      <c r="J1" s="691"/>
      <c r="K1" s="691"/>
      <c r="L1" s="692"/>
    </row>
    <row r="2" spans="1:17" x14ac:dyDescent="0.2">
      <c r="A2" s="264"/>
      <c r="B2" s="265"/>
      <c r="C2" s="265"/>
      <c r="D2" s="265"/>
      <c r="E2" s="265"/>
      <c r="F2" s="265"/>
      <c r="G2" s="265"/>
      <c r="H2" s="265"/>
      <c r="I2" s="265"/>
      <c r="J2" s="265"/>
      <c r="K2" s="265"/>
      <c r="L2" s="266"/>
    </row>
    <row r="3" spans="1:17" x14ac:dyDescent="0.2">
      <c r="A3" s="243" t="s">
        <v>205</v>
      </c>
      <c r="C3" t="s">
        <v>66</v>
      </c>
      <c r="D3" t="s">
        <v>504</v>
      </c>
      <c r="L3" s="242"/>
    </row>
    <row r="4" spans="1:17" x14ac:dyDescent="0.2">
      <c r="A4" s="243" t="s">
        <v>206</v>
      </c>
      <c r="C4" t="s">
        <v>66</v>
      </c>
      <c r="D4" t="s">
        <v>503</v>
      </c>
      <c r="L4" s="242"/>
    </row>
    <row r="5" spans="1:17" x14ac:dyDescent="0.2">
      <c r="A5" s="241"/>
      <c r="L5" s="242"/>
    </row>
    <row r="6" spans="1:17" x14ac:dyDescent="0.2">
      <c r="A6" s="244" t="s">
        <v>208</v>
      </c>
      <c r="F6" s="91" t="s">
        <v>219</v>
      </c>
      <c r="L6" s="242"/>
      <c r="Q6" s="190"/>
    </row>
    <row r="7" spans="1:17" x14ac:dyDescent="0.2">
      <c r="A7" s="241"/>
      <c r="B7" s="49" t="s">
        <v>203</v>
      </c>
      <c r="C7" t="s">
        <v>66</v>
      </c>
      <c r="D7" t="s">
        <v>505</v>
      </c>
      <c r="G7" s="49" t="s">
        <v>221</v>
      </c>
      <c r="H7" t="s">
        <v>66</v>
      </c>
      <c r="I7" t="s">
        <v>484</v>
      </c>
      <c r="L7" s="242"/>
      <c r="Q7" s="190"/>
    </row>
    <row r="8" spans="1:17" x14ac:dyDescent="0.2">
      <c r="A8" s="241"/>
      <c r="B8" s="49" t="s">
        <v>167</v>
      </c>
      <c r="C8" t="s">
        <v>66</v>
      </c>
      <c r="D8" t="s">
        <v>202</v>
      </c>
      <c r="G8" s="49" t="s">
        <v>119</v>
      </c>
      <c r="H8" t="s">
        <v>66</v>
      </c>
      <c r="I8" t="s">
        <v>238</v>
      </c>
      <c r="L8" s="242"/>
      <c r="Q8" s="212"/>
    </row>
    <row r="9" spans="1:17" x14ac:dyDescent="0.2">
      <c r="A9" s="241"/>
      <c r="B9" s="49" t="s">
        <v>204</v>
      </c>
      <c r="C9" t="s">
        <v>66</v>
      </c>
      <c r="D9" t="s">
        <v>234</v>
      </c>
      <c r="G9" s="49" t="s">
        <v>222</v>
      </c>
      <c r="H9" t="s">
        <v>66</v>
      </c>
      <c r="I9" t="s">
        <v>239</v>
      </c>
      <c r="L9" s="242"/>
    </row>
    <row r="10" spans="1:17" x14ac:dyDescent="0.2">
      <c r="A10" s="241"/>
      <c r="B10" s="49" t="s">
        <v>229</v>
      </c>
      <c r="C10" t="s">
        <v>66</v>
      </c>
      <c r="D10" t="s">
        <v>235</v>
      </c>
      <c r="L10" s="242"/>
    </row>
    <row r="11" spans="1:17" x14ac:dyDescent="0.2">
      <c r="A11" s="241"/>
      <c r="B11" s="49" t="s">
        <v>101</v>
      </c>
      <c r="C11" t="s">
        <v>66</v>
      </c>
      <c r="D11" t="s">
        <v>506</v>
      </c>
      <c r="L11" s="242"/>
    </row>
    <row r="12" spans="1:17" x14ac:dyDescent="0.2">
      <c r="A12" s="241"/>
      <c r="B12" s="49" t="s">
        <v>230</v>
      </c>
      <c r="C12" t="s">
        <v>66</v>
      </c>
      <c r="D12" t="s">
        <v>507</v>
      </c>
      <c r="F12" s="91" t="s">
        <v>220</v>
      </c>
      <c r="L12" s="242"/>
    </row>
    <row r="13" spans="1:17" x14ac:dyDescent="0.2">
      <c r="A13" s="241"/>
      <c r="F13" s="49" t="s">
        <v>223</v>
      </c>
      <c r="G13" s="49"/>
      <c r="H13" t="s">
        <v>66</v>
      </c>
      <c r="I13" t="s">
        <v>278</v>
      </c>
      <c r="L13" s="242"/>
    </row>
    <row r="14" spans="1:17" x14ac:dyDescent="0.2">
      <c r="A14" s="241"/>
      <c r="L14" s="242"/>
    </row>
    <row r="15" spans="1:17" x14ac:dyDescent="0.2">
      <c r="A15" s="244" t="s">
        <v>207</v>
      </c>
      <c r="L15" s="242"/>
    </row>
    <row r="16" spans="1:17" x14ac:dyDescent="0.2">
      <c r="A16" s="241"/>
      <c r="B16" s="49" t="s">
        <v>209</v>
      </c>
      <c r="C16" t="s">
        <v>66</v>
      </c>
      <c r="D16" t="s">
        <v>231</v>
      </c>
      <c r="L16" s="242"/>
    </row>
    <row r="17" spans="1:12" x14ac:dyDescent="0.2">
      <c r="A17" s="241"/>
      <c r="B17" s="49" t="s">
        <v>210</v>
      </c>
      <c r="C17" t="s">
        <v>66</v>
      </c>
      <c r="D17" t="s">
        <v>232</v>
      </c>
      <c r="F17" s="91" t="s">
        <v>224</v>
      </c>
      <c r="L17" s="242"/>
    </row>
    <row r="18" spans="1:12" x14ac:dyDescent="0.2">
      <c r="A18" s="241"/>
      <c r="G18" s="49" t="s">
        <v>12</v>
      </c>
      <c r="H18" t="s">
        <v>66</v>
      </c>
      <c r="I18" t="s">
        <v>236</v>
      </c>
      <c r="L18" s="242"/>
    </row>
    <row r="19" spans="1:12" x14ac:dyDescent="0.2">
      <c r="A19" s="241"/>
      <c r="G19" s="49" t="s">
        <v>225</v>
      </c>
      <c r="H19" t="s">
        <v>66</v>
      </c>
      <c r="I19" t="s">
        <v>237</v>
      </c>
      <c r="L19" s="242"/>
    </row>
    <row r="20" spans="1:12" x14ac:dyDescent="0.2">
      <c r="A20" s="241"/>
      <c r="L20" s="242"/>
    </row>
    <row r="21" spans="1:12" x14ac:dyDescent="0.2">
      <c r="A21" s="244" t="s">
        <v>211</v>
      </c>
      <c r="L21" s="242"/>
    </row>
    <row r="22" spans="1:12" x14ac:dyDescent="0.2">
      <c r="A22" s="241"/>
      <c r="B22" s="49" t="s">
        <v>167</v>
      </c>
      <c r="C22" t="s">
        <v>66</v>
      </c>
      <c r="D22" t="s">
        <v>233</v>
      </c>
      <c r="L22" s="242"/>
    </row>
    <row r="23" spans="1:12" x14ac:dyDescent="0.2">
      <c r="A23" s="241"/>
      <c r="F23" s="91" t="s">
        <v>226</v>
      </c>
      <c r="L23" s="242"/>
    </row>
    <row r="24" spans="1:12" x14ac:dyDescent="0.2">
      <c r="A24" s="241"/>
      <c r="G24" s="49" t="s">
        <v>227</v>
      </c>
      <c r="H24" t="s">
        <v>66</v>
      </c>
      <c r="I24" t="s">
        <v>240</v>
      </c>
      <c r="L24" s="242"/>
    </row>
    <row r="25" spans="1:12" x14ac:dyDescent="0.2">
      <c r="A25" s="241"/>
      <c r="L25" s="242"/>
    </row>
    <row r="26" spans="1:12" x14ac:dyDescent="0.2">
      <c r="A26" s="245"/>
      <c r="B26" s="246"/>
      <c r="C26" s="246"/>
      <c r="D26" s="246"/>
      <c r="E26" s="246"/>
      <c r="F26" s="246"/>
      <c r="G26" s="246"/>
      <c r="H26" s="246"/>
      <c r="I26" s="246"/>
      <c r="J26" s="246"/>
      <c r="K26" s="246"/>
      <c r="L26" s="247"/>
    </row>
    <row r="27" spans="1:12" x14ac:dyDescent="0.2">
      <c r="A27" s="241"/>
      <c r="L27" s="242"/>
    </row>
    <row r="28" spans="1:12" x14ac:dyDescent="0.2">
      <c r="A28" s="244" t="s">
        <v>212</v>
      </c>
      <c r="F28" s="91" t="s">
        <v>228</v>
      </c>
      <c r="L28" s="242"/>
    </row>
    <row r="29" spans="1:12" x14ac:dyDescent="0.2">
      <c r="A29" s="241"/>
      <c r="B29" s="49" t="s">
        <v>213</v>
      </c>
      <c r="C29" t="s">
        <v>66</v>
      </c>
      <c r="D29" s="28" t="s">
        <v>508</v>
      </c>
      <c r="F29" s="693" t="s">
        <v>513</v>
      </c>
      <c r="G29" s="694"/>
      <c r="H29" s="694"/>
      <c r="I29" s="694"/>
      <c r="J29" s="694"/>
      <c r="K29" s="695"/>
      <c r="L29" s="242"/>
    </row>
    <row r="30" spans="1:12" x14ac:dyDescent="0.2">
      <c r="A30" s="241"/>
      <c r="B30" s="49" t="s">
        <v>214</v>
      </c>
      <c r="C30" t="s">
        <v>66</v>
      </c>
      <c r="D30" s="28" t="s">
        <v>509</v>
      </c>
      <c r="F30" s="696"/>
      <c r="G30" s="697"/>
      <c r="H30" s="697"/>
      <c r="I30" s="697"/>
      <c r="J30" s="697"/>
      <c r="K30" s="698"/>
      <c r="L30" s="242"/>
    </row>
    <row r="31" spans="1:12" x14ac:dyDescent="0.2">
      <c r="A31" s="241"/>
      <c r="B31" s="49" t="s">
        <v>215</v>
      </c>
      <c r="C31" t="s">
        <v>66</v>
      </c>
      <c r="D31" s="28" t="s">
        <v>510</v>
      </c>
      <c r="F31" s="696"/>
      <c r="G31" s="697"/>
      <c r="H31" s="697"/>
      <c r="I31" s="697"/>
      <c r="J31" s="697"/>
      <c r="K31" s="698"/>
      <c r="L31" s="242"/>
    </row>
    <row r="32" spans="1:12" x14ac:dyDescent="0.2">
      <c r="A32" s="241"/>
      <c r="B32" s="49" t="s">
        <v>216</v>
      </c>
      <c r="C32" t="s">
        <v>66</v>
      </c>
      <c r="D32" s="28" t="s">
        <v>511</v>
      </c>
      <c r="F32" s="696"/>
      <c r="G32" s="697"/>
      <c r="H32" s="697"/>
      <c r="I32" s="697"/>
      <c r="J32" s="697"/>
      <c r="K32" s="698"/>
      <c r="L32" s="242"/>
    </row>
    <row r="33" spans="1:12" x14ac:dyDescent="0.2">
      <c r="A33" s="241"/>
      <c r="B33" s="49" t="s">
        <v>217</v>
      </c>
      <c r="C33" t="s">
        <v>66</v>
      </c>
      <c r="D33" s="28"/>
      <c r="F33" s="696"/>
      <c r="G33" s="697"/>
      <c r="H33" s="697"/>
      <c r="I33" s="697"/>
      <c r="J33" s="697"/>
      <c r="K33" s="698"/>
      <c r="L33" s="242"/>
    </row>
    <row r="34" spans="1:12" x14ac:dyDescent="0.2">
      <c r="A34" s="241"/>
      <c r="B34" s="49" t="s">
        <v>218</v>
      </c>
      <c r="C34" t="s">
        <v>66</v>
      </c>
      <c r="D34" s="28"/>
      <c r="F34" s="696"/>
      <c r="G34" s="697"/>
      <c r="H34" s="697"/>
      <c r="I34" s="697"/>
      <c r="J34" s="697"/>
      <c r="K34" s="698"/>
      <c r="L34" s="242"/>
    </row>
    <row r="35" spans="1:12" x14ac:dyDescent="0.2">
      <c r="A35" s="241"/>
      <c r="B35" s="49" t="s">
        <v>43</v>
      </c>
      <c r="C35" t="s">
        <v>66</v>
      </c>
      <c r="D35" s="372" t="s">
        <v>512</v>
      </c>
      <c r="F35" s="699"/>
      <c r="G35" s="700"/>
      <c r="H35" s="700"/>
      <c r="I35" s="700"/>
      <c r="J35" s="700"/>
      <c r="K35" s="701"/>
      <c r="L35" s="242"/>
    </row>
    <row r="36" spans="1:12" x14ac:dyDescent="0.2">
      <c r="A36" s="245"/>
      <c r="B36" s="246"/>
      <c r="C36" s="246"/>
      <c r="D36" s="246"/>
      <c r="E36" s="246"/>
      <c r="F36" s="246"/>
      <c r="G36" s="246"/>
      <c r="H36" s="246"/>
      <c r="I36" s="246"/>
      <c r="J36" s="246"/>
      <c r="K36" s="246"/>
      <c r="L36" s="247"/>
    </row>
  </sheetData>
  <mergeCells count="2">
    <mergeCell ref="A1:L1"/>
    <mergeCell ref="F29:K35"/>
  </mergeCells>
  <pageMargins left="0.7" right="0.7" top="0.75" bottom="0.75" header="0.3" footer="0.3"/>
  <pageSetup orientation="portrait" r:id="rId1"/>
  <drawing r:id="rId2"/>
  <legacyDrawing r:id="rId3"/>
  <controls>
    <mc:AlternateContent xmlns:mc="http://schemas.openxmlformats.org/markup-compatibility/2006">
      <mc:Choice Requires="x14">
        <control shapeId="19457" r:id="rId4" name="CommandButton1">
          <controlPr defaultSize="0" autoLine="0" r:id="rId5">
            <anchor moveWithCells="1">
              <from>
                <xdr:col>12</xdr:col>
                <xdr:colOff>495300</xdr:colOff>
                <xdr:row>1</xdr:row>
                <xdr:rowOff>76200</xdr:rowOff>
              </from>
              <to>
                <xdr:col>15</xdr:col>
                <xdr:colOff>9525</xdr:colOff>
                <xdr:row>4</xdr:row>
                <xdr:rowOff>123825</xdr:rowOff>
              </to>
            </anchor>
          </controlPr>
        </control>
      </mc:Choice>
      <mc:Fallback>
        <control shapeId="1945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U50"/>
  <sheetViews>
    <sheetView showGridLines="0" workbookViewId="0">
      <selection activeCell="D38" sqref="D38"/>
    </sheetView>
  </sheetViews>
  <sheetFormatPr defaultColWidth="9.33203125" defaultRowHeight="12" x14ac:dyDescent="0.2"/>
  <cols>
    <col min="1" max="1" width="8.5" customWidth="1"/>
    <col min="2" max="2" width="34.1640625" customWidth="1"/>
    <col min="3" max="3" width="3.5" customWidth="1"/>
    <col min="4" max="4" width="24.1640625" customWidth="1"/>
    <col min="5" max="5" width="12.1640625" style="86" customWidth="1"/>
    <col min="6" max="7" width="3.6640625" customWidth="1"/>
    <col min="8" max="11" width="11.83203125" customWidth="1"/>
    <col min="12" max="12" width="4.83203125" customWidth="1"/>
    <col min="13" max="16" width="11.83203125" customWidth="1"/>
    <col min="17" max="17" width="4.83203125" customWidth="1"/>
    <col min="18" max="21" width="11.83203125" customWidth="1"/>
    <col min="22" max="22" width="4.83203125" customWidth="1"/>
  </cols>
  <sheetData>
    <row r="1" spans="1:21" x14ac:dyDescent="0.2">
      <c r="H1" s="702" t="s">
        <v>250</v>
      </c>
      <c r="I1" s="702"/>
      <c r="J1" s="702"/>
    </row>
    <row r="2" spans="1:21" x14ac:dyDescent="0.2">
      <c r="H2" s="703"/>
      <c r="I2" s="703"/>
      <c r="J2" s="703"/>
    </row>
    <row r="3" spans="1:21" ht="12.75" x14ac:dyDescent="0.2">
      <c r="H3" s="106" t="s">
        <v>92</v>
      </c>
      <c r="I3" s="259"/>
      <c r="J3" s="107">
        <v>3</v>
      </c>
    </row>
    <row r="5" spans="1:21" x14ac:dyDescent="0.2">
      <c r="A5" s="248"/>
      <c r="B5" s="249" t="s">
        <v>242</v>
      </c>
      <c r="C5" s="249" t="s">
        <v>66</v>
      </c>
      <c r="D5" s="250" t="s">
        <v>279</v>
      </c>
      <c r="E5" s="251">
        <v>0</v>
      </c>
      <c r="H5" s="255" t="s">
        <v>251</v>
      </c>
      <c r="I5" s="267">
        <v>1</v>
      </c>
      <c r="J5" s="255" t="s">
        <v>88</v>
      </c>
      <c r="K5" s="268">
        <v>0</v>
      </c>
      <c r="M5" s="255" t="s">
        <v>251</v>
      </c>
      <c r="N5" s="267">
        <v>2</v>
      </c>
      <c r="O5" s="255" t="s">
        <v>88</v>
      </c>
      <c r="P5" s="268">
        <v>1</v>
      </c>
      <c r="R5" s="255" t="s">
        <v>251</v>
      </c>
      <c r="S5" s="267">
        <v>3</v>
      </c>
      <c r="T5" s="255" t="s">
        <v>88</v>
      </c>
      <c r="U5" s="268">
        <v>2</v>
      </c>
    </row>
    <row r="6" spans="1:21" x14ac:dyDescent="0.2">
      <c r="A6" s="245"/>
      <c r="B6" s="252" t="s">
        <v>167</v>
      </c>
      <c r="C6" s="252" t="s">
        <v>66</v>
      </c>
      <c r="D6" s="253" t="s">
        <v>202</v>
      </c>
      <c r="E6" s="254">
        <v>0</v>
      </c>
      <c r="H6" s="269" t="s">
        <v>40</v>
      </c>
      <c r="I6" s="270"/>
      <c r="J6" s="270" t="s">
        <v>33</v>
      </c>
      <c r="K6" s="271"/>
      <c r="M6" s="269" t="s">
        <v>40</v>
      </c>
      <c r="N6" s="270"/>
      <c r="O6" s="270" t="s">
        <v>33</v>
      </c>
      <c r="P6" s="271"/>
      <c r="R6" s="269" t="s">
        <v>40</v>
      </c>
      <c r="S6" s="270"/>
      <c r="T6" s="270" t="s">
        <v>33</v>
      </c>
      <c r="U6" s="271"/>
    </row>
    <row r="7" spans="1:21" x14ac:dyDescent="0.2">
      <c r="H7" s="269" t="s">
        <v>243</v>
      </c>
      <c r="I7" s="270"/>
      <c r="J7" s="270" t="s">
        <v>67</v>
      </c>
      <c r="K7" s="272"/>
      <c r="M7" s="269" t="s">
        <v>243</v>
      </c>
      <c r="N7" s="270"/>
      <c r="O7" s="270" t="s">
        <v>67</v>
      </c>
      <c r="P7" s="272"/>
      <c r="R7" s="269" t="s">
        <v>243</v>
      </c>
      <c r="S7" s="270"/>
      <c r="T7" s="270" t="s">
        <v>67</v>
      </c>
      <c r="U7" s="272"/>
    </row>
    <row r="8" spans="1:21" x14ac:dyDescent="0.2">
      <c r="A8" s="91" t="s">
        <v>65</v>
      </c>
      <c r="H8" s="103" t="s">
        <v>58</v>
      </c>
      <c r="I8" s="51" t="s">
        <v>244</v>
      </c>
      <c r="J8" s="51" t="s">
        <v>245</v>
      </c>
      <c r="K8" s="104" t="s">
        <v>246</v>
      </c>
      <c r="M8" s="103" t="s">
        <v>58</v>
      </c>
      <c r="N8" s="51" t="s">
        <v>244</v>
      </c>
      <c r="O8" s="51" t="s">
        <v>245</v>
      </c>
      <c r="P8" s="104" t="s">
        <v>246</v>
      </c>
      <c r="R8" s="103" t="s">
        <v>58</v>
      </c>
      <c r="S8" s="51" t="s">
        <v>244</v>
      </c>
      <c r="T8" s="51" t="s">
        <v>245</v>
      </c>
      <c r="U8" s="104" t="s">
        <v>246</v>
      </c>
    </row>
    <row r="9" spans="1:21" x14ac:dyDescent="0.2">
      <c r="A9" s="89" t="s">
        <v>84</v>
      </c>
      <c r="B9" s="90" t="s">
        <v>81</v>
      </c>
      <c r="C9" s="90"/>
      <c r="D9" s="95" t="s">
        <v>82</v>
      </c>
      <c r="E9" s="94" t="s">
        <v>83</v>
      </c>
      <c r="H9" s="115" t="s">
        <v>67</v>
      </c>
      <c r="I9" s="114" t="s">
        <v>282</v>
      </c>
      <c r="J9" s="114" t="s">
        <v>109</v>
      </c>
      <c r="K9" s="116" t="s">
        <v>89</v>
      </c>
      <c r="M9" s="115" t="s">
        <v>67</v>
      </c>
      <c r="N9" s="114" t="s">
        <v>282</v>
      </c>
      <c r="O9" s="114" t="s">
        <v>109</v>
      </c>
      <c r="P9" s="116" t="s">
        <v>89</v>
      </c>
      <c r="R9" s="115" t="s">
        <v>67</v>
      </c>
      <c r="S9" s="114" t="s">
        <v>282</v>
      </c>
      <c r="T9" s="114" t="s">
        <v>109</v>
      </c>
      <c r="U9" s="116" t="s">
        <v>89</v>
      </c>
    </row>
    <row r="10" spans="1:21" x14ac:dyDescent="0.2">
      <c r="A10" s="88" t="s">
        <v>280</v>
      </c>
      <c r="B10" t="s">
        <v>281</v>
      </c>
      <c r="C10" t="s">
        <v>66</v>
      </c>
      <c r="D10" s="273">
        <v>800</v>
      </c>
      <c r="E10" s="260" t="s">
        <v>282</v>
      </c>
      <c r="H10" s="264"/>
      <c r="I10" s="265"/>
      <c r="J10" s="265"/>
      <c r="K10" s="266"/>
      <c r="M10" s="264"/>
      <c r="N10" s="265"/>
      <c r="O10" s="265"/>
      <c r="P10" s="266"/>
      <c r="R10" s="264"/>
      <c r="S10" s="265"/>
      <c r="T10" s="265"/>
      <c r="U10" s="266"/>
    </row>
    <row r="11" spans="1:21" x14ac:dyDescent="0.2">
      <c r="A11" s="88" t="s">
        <v>76</v>
      </c>
      <c r="B11" t="s">
        <v>283</v>
      </c>
      <c r="C11" t="s">
        <v>66</v>
      </c>
      <c r="D11" s="273">
        <v>65.599998474000003</v>
      </c>
      <c r="E11" s="260" t="s">
        <v>69</v>
      </c>
      <c r="H11" s="241"/>
      <c r="K11" s="242"/>
      <c r="M11" s="241"/>
      <c r="P11" s="242"/>
      <c r="R11" s="241"/>
      <c r="U11" s="242"/>
    </row>
    <row r="12" spans="1:21" x14ac:dyDescent="0.2">
      <c r="A12" s="88" t="s">
        <v>252</v>
      </c>
      <c r="B12" t="s">
        <v>253</v>
      </c>
      <c r="C12" t="s">
        <v>66</v>
      </c>
      <c r="D12" s="273">
        <v>0.680999994</v>
      </c>
      <c r="E12" s="260" t="s">
        <v>68</v>
      </c>
      <c r="H12" s="241"/>
      <c r="K12" s="242"/>
      <c r="M12" s="241"/>
      <c r="P12" s="242"/>
      <c r="R12" s="241"/>
      <c r="U12" s="242"/>
    </row>
    <row r="13" spans="1:21" x14ac:dyDescent="0.2">
      <c r="A13" s="88" t="s">
        <v>77</v>
      </c>
      <c r="B13" t="s">
        <v>70</v>
      </c>
      <c r="C13" t="s">
        <v>66</v>
      </c>
      <c r="D13" s="273">
        <v>245</v>
      </c>
      <c r="E13" s="260" t="s">
        <v>71</v>
      </c>
      <c r="H13" s="241"/>
      <c r="K13" s="242"/>
      <c r="M13" s="241"/>
      <c r="P13" s="242"/>
      <c r="R13" s="241"/>
      <c r="U13" s="242"/>
    </row>
    <row r="14" spans="1:21" x14ac:dyDescent="0.2">
      <c r="A14" s="88" t="s">
        <v>79</v>
      </c>
      <c r="B14" t="s">
        <v>284</v>
      </c>
      <c r="C14" t="s">
        <v>66</v>
      </c>
      <c r="D14" s="273">
        <v>0</v>
      </c>
      <c r="E14" s="260" t="s">
        <v>78</v>
      </c>
      <c r="H14" s="241"/>
      <c r="K14" s="242"/>
      <c r="M14" s="241"/>
      <c r="P14" s="242"/>
      <c r="R14" s="241"/>
      <c r="U14" s="242"/>
    </row>
    <row r="15" spans="1:21" x14ac:dyDescent="0.2">
      <c r="A15" s="88" t="s">
        <v>80</v>
      </c>
      <c r="B15" t="s">
        <v>285</v>
      </c>
      <c r="C15" t="s">
        <v>66</v>
      </c>
      <c r="D15" s="273">
        <v>3.1600000860000002</v>
      </c>
      <c r="E15" s="260" t="s">
        <v>78</v>
      </c>
      <c r="H15" s="241"/>
      <c r="K15" s="242"/>
      <c r="M15" s="241"/>
      <c r="P15" s="242"/>
      <c r="R15" s="241"/>
      <c r="U15" s="242"/>
    </row>
    <row r="16" spans="1:21" x14ac:dyDescent="0.2">
      <c r="A16" s="88" t="s">
        <v>74</v>
      </c>
      <c r="B16" t="s">
        <v>286</v>
      </c>
      <c r="C16" t="s">
        <v>66</v>
      </c>
      <c r="D16" s="273">
        <v>0.27000001099999998</v>
      </c>
      <c r="E16" s="260" t="s">
        <v>78</v>
      </c>
      <c r="H16" s="241"/>
      <c r="K16" s="242"/>
      <c r="M16" s="241"/>
      <c r="P16" s="242"/>
      <c r="R16" s="241"/>
      <c r="U16" s="242"/>
    </row>
    <row r="17" spans="1:21" x14ac:dyDescent="0.2">
      <c r="A17" s="88" t="s">
        <v>287</v>
      </c>
      <c r="B17" t="s">
        <v>288</v>
      </c>
      <c r="C17" t="s">
        <v>66</v>
      </c>
      <c r="D17" s="273" t="s">
        <v>289</v>
      </c>
      <c r="E17" s="260"/>
      <c r="H17" s="241"/>
      <c r="K17" s="242"/>
      <c r="M17" s="241"/>
      <c r="P17" s="242"/>
      <c r="R17" s="241"/>
      <c r="U17" s="242"/>
    </row>
    <row r="18" spans="1:21" x14ac:dyDescent="0.2">
      <c r="A18" s="88" t="s">
        <v>290</v>
      </c>
      <c r="B18" t="s">
        <v>291</v>
      </c>
      <c r="C18" t="s">
        <v>66</v>
      </c>
      <c r="D18" s="273" t="s">
        <v>292</v>
      </c>
      <c r="E18" s="260"/>
      <c r="H18" s="241"/>
      <c r="K18" s="242"/>
      <c r="M18" s="241"/>
      <c r="P18" s="242"/>
      <c r="R18" s="241"/>
      <c r="U18" s="242"/>
    </row>
    <row r="19" spans="1:21" x14ac:dyDescent="0.2">
      <c r="A19" s="88" t="s">
        <v>293</v>
      </c>
      <c r="B19" t="s">
        <v>294</v>
      </c>
      <c r="C19" t="s">
        <v>66</v>
      </c>
      <c r="D19" s="273" t="s">
        <v>295</v>
      </c>
      <c r="E19" s="260"/>
      <c r="H19" s="241"/>
      <c r="K19" s="242"/>
      <c r="M19" s="241"/>
      <c r="P19" s="242"/>
      <c r="R19" s="241"/>
      <c r="U19" s="242"/>
    </row>
    <row r="20" spans="1:21" x14ac:dyDescent="0.2">
      <c r="A20" s="88"/>
      <c r="D20" s="273"/>
      <c r="E20" s="260"/>
      <c r="H20" s="241"/>
      <c r="K20" s="242"/>
      <c r="M20" s="241"/>
      <c r="P20" s="242"/>
      <c r="R20" s="241"/>
      <c r="U20" s="242"/>
    </row>
    <row r="21" spans="1:21" x14ac:dyDescent="0.2">
      <c r="A21" s="88"/>
      <c r="D21" s="273"/>
      <c r="E21" s="260"/>
      <c r="H21" s="241"/>
      <c r="K21" s="242"/>
      <c r="M21" s="241"/>
      <c r="P21" s="242"/>
      <c r="R21" s="241"/>
      <c r="U21" s="242"/>
    </row>
    <row r="22" spans="1:21" x14ac:dyDescent="0.2">
      <c r="A22" s="88"/>
      <c r="D22" s="273"/>
      <c r="E22" s="260"/>
      <c r="H22" s="241"/>
      <c r="K22" s="242"/>
      <c r="M22" s="241"/>
      <c r="P22" s="242"/>
      <c r="R22" s="241"/>
      <c r="U22" s="242"/>
    </row>
    <row r="23" spans="1:21" x14ac:dyDescent="0.2">
      <c r="A23" s="88"/>
      <c r="D23" s="273"/>
      <c r="E23" s="260"/>
      <c r="H23" s="241"/>
      <c r="K23" s="242"/>
      <c r="M23" s="241"/>
      <c r="P23" s="242"/>
      <c r="R23" s="241"/>
      <c r="U23" s="242"/>
    </row>
    <row r="24" spans="1:21" x14ac:dyDescent="0.2">
      <c r="A24" s="88"/>
      <c r="D24" s="273"/>
      <c r="E24" s="260"/>
      <c r="H24" s="241"/>
      <c r="K24" s="242"/>
      <c r="M24" s="241"/>
      <c r="P24" s="242"/>
      <c r="R24" s="241"/>
      <c r="U24" s="242"/>
    </row>
    <row r="25" spans="1:21" x14ac:dyDescent="0.2">
      <c r="A25" s="88"/>
      <c r="D25" s="273"/>
      <c r="E25" s="260"/>
      <c r="H25" s="241"/>
      <c r="K25" s="242"/>
      <c r="M25" s="241"/>
      <c r="P25" s="242"/>
      <c r="R25" s="241"/>
      <c r="U25" s="242"/>
    </row>
    <row r="26" spans="1:21" x14ac:dyDescent="0.2">
      <c r="A26" s="88"/>
      <c r="D26" s="273"/>
      <c r="E26" s="260"/>
      <c r="H26" s="241"/>
      <c r="K26" s="242"/>
      <c r="M26" s="241"/>
      <c r="P26" s="242"/>
      <c r="R26" s="241"/>
      <c r="U26" s="242"/>
    </row>
    <row r="27" spans="1:21" x14ac:dyDescent="0.2">
      <c r="A27" s="88"/>
      <c r="D27" s="273"/>
      <c r="E27" s="260"/>
      <c r="H27" s="241"/>
      <c r="K27" s="242"/>
      <c r="M27" s="241"/>
      <c r="P27" s="242"/>
      <c r="R27" s="241"/>
      <c r="U27" s="242"/>
    </row>
    <row r="28" spans="1:21" x14ac:dyDescent="0.2">
      <c r="A28" s="88"/>
      <c r="D28" s="273"/>
      <c r="E28" s="260"/>
      <c r="H28" s="241"/>
      <c r="K28" s="242"/>
      <c r="M28" s="241"/>
      <c r="P28" s="242"/>
      <c r="R28" s="241"/>
      <c r="U28" s="242"/>
    </row>
    <row r="29" spans="1:21" x14ac:dyDescent="0.2">
      <c r="A29" s="88"/>
      <c r="D29" s="273"/>
      <c r="E29" s="260"/>
      <c r="H29" s="241"/>
      <c r="K29" s="242"/>
      <c r="M29" s="241"/>
      <c r="P29" s="242"/>
      <c r="R29" s="241"/>
      <c r="U29" s="242"/>
    </row>
    <row r="30" spans="1:21" x14ac:dyDescent="0.2">
      <c r="A30" s="88"/>
      <c r="D30" s="273"/>
      <c r="E30" s="260"/>
      <c r="H30" s="241"/>
      <c r="K30" s="242"/>
      <c r="M30" s="241"/>
      <c r="P30" s="242"/>
      <c r="R30" s="241"/>
      <c r="U30" s="242"/>
    </row>
    <row r="31" spans="1:21" x14ac:dyDescent="0.2">
      <c r="A31" s="88"/>
      <c r="D31" s="273"/>
      <c r="E31" s="260"/>
      <c r="H31" s="241"/>
      <c r="K31" s="242"/>
      <c r="M31" s="241"/>
      <c r="P31" s="242"/>
      <c r="R31" s="241"/>
      <c r="U31" s="242"/>
    </row>
    <row r="32" spans="1:21" x14ac:dyDescent="0.2">
      <c r="A32" s="88"/>
      <c r="D32" s="273"/>
      <c r="E32" s="260"/>
      <c r="H32" s="241"/>
      <c r="K32" s="242"/>
      <c r="M32" s="241"/>
      <c r="P32" s="242"/>
      <c r="R32" s="241"/>
      <c r="U32" s="242"/>
    </row>
    <row r="33" spans="1:21" x14ac:dyDescent="0.2">
      <c r="A33" s="88"/>
      <c r="D33" s="273"/>
      <c r="E33" s="260"/>
      <c r="H33" s="241"/>
      <c r="K33" s="242"/>
      <c r="M33" s="241"/>
      <c r="P33" s="242"/>
      <c r="R33" s="241"/>
      <c r="U33" s="242"/>
    </row>
    <row r="34" spans="1:21" x14ac:dyDescent="0.2">
      <c r="A34" s="88"/>
      <c r="D34" s="273"/>
      <c r="E34" s="260"/>
      <c r="H34" s="241"/>
      <c r="K34" s="242"/>
      <c r="M34" s="241"/>
      <c r="P34" s="242"/>
      <c r="R34" s="241"/>
      <c r="U34" s="242"/>
    </row>
    <row r="35" spans="1:21" x14ac:dyDescent="0.2">
      <c r="A35" s="88"/>
      <c r="D35" s="273"/>
      <c r="E35" s="260"/>
      <c r="H35" s="241"/>
      <c r="K35" s="242"/>
      <c r="M35" s="241"/>
      <c r="P35" s="242"/>
      <c r="R35" s="241"/>
      <c r="U35" s="242"/>
    </row>
    <row r="36" spans="1:21" x14ac:dyDescent="0.2">
      <c r="A36" s="88"/>
      <c r="D36" s="273"/>
      <c r="E36" s="260"/>
      <c r="H36" s="241"/>
      <c r="K36" s="242"/>
      <c r="M36" s="241"/>
      <c r="P36" s="242"/>
      <c r="R36" s="241"/>
      <c r="U36" s="242"/>
    </row>
    <row r="37" spans="1:21" x14ac:dyDescent="0.2">
      <c r="A37" s="88"/>
      <c r="D37" s="273"/>
      <c r="E37" s="260"/>
      <c r="H37" s="241"/>
      <c r="K37" s="242"/>
      <c r="M37" s="241"/>
      <c r="P37" s="242"/>
      <c r="R37" s="241"/>
      <c r="U37" s="242"/>
    </row>
    <row r="38" spans="1:21" x14ac:dyDescent="0.2">
      <c r="A38" s="88"/>
      <c r="D38" s="273"/>
      <c r="E38" s="260"/>
      <c r="H38" s="241"/>
      <c r="K38" s="242"/>
      <c r="M38" s="241"/>
      <c r="P38" s="242"/>
      <c r="R38" s="241"/>
      <c r="U38" s="242"/>
    </row>
    <row r="39" spans="1:21" x14ac:dyDescent="0.2">
      <c r="A39" s="88"/>
      <c r="D39" s="273"/>
      <c r="E39" s="260"/>
      <c r="H39" s="241"/>
      <c r="K39" s="242"/>
      <c r="M39" s="241"/>
      <c r="P39" s="242"/>
      <c r="R39" s="241"/>
      <c r="U39" s="242"/>
    </row>
    <row r="40" spans="1:21" x14ac:dyDescent="0.2">
      <c r="A40" s="88"/>
      <c r="D40" s="273"/>
      <c r="H40" s="241"/>
      <c r="K40" s="242"/>
      <c r="M40" s="241"/>
      <c r="P40" s="242"/>
      <c r="R40" s="241"/>
      <c r="U40" s="242"/>
    </row>
    <row r="41" spans="1:21" x14ac:dyDescent="0.2">
      <c r="A41" s="88"/>
      <c r="H41" s="241"/>
      <c r="K41" s="242"/>
      <c r="M41" s="241"/>
      <c r="P41" s="242"/>
      <c r="R41" s="241"/>
      <c r="U41" s="242"/>
    </row>
    <row r="42" spans="1:21" x14ac:dyDescent="0.2">
      <c r="A42" s="88"/>
      <c r="H42" s="241"/>
      <c r="K42" s="242"/>
      <c r="M42" s="241"/>
      <c r="P42" s="242"/>
      <c r="R42" s="241"/>
      <c r="U42" s="242"/>
    </row>
    <row r="43" spans="1:21" x14ac:dyDescent="0.2">
      <c r="H43" s="241"/>
      <c r="K43" s="242"/>
      <c r="M43" s="241"/>
      <c r="P43" s="242"/>
      <c r="R43" s="241"/>
      <c r="U43" s="242"/>
    </row>
    <row r="44" spans="1:21" x14ac:dyDescent="0.2">
      <c r="H44" s="241"/>
      <c r="K44" s="242"/>
      <c r="M44" s="241"/>
      <c r="P44" s="242"/>
      <c r="R44" s="241"/>
      <c r="U44" s="242"/>
    </row>
    <row r="45" spans="1:21" x14ac:dyDescent="0.2">
      <c r="H45" s="241"/>
      <c r="K45" s="242"/>
      <c r="M45" s="241"/>
      <c r="P45" s="242"/>
      <c r="R45" s="241"/>
      <c r="U45" s="242"/>
    </row>
    <row r="46" spans="1:21" x14ac:dyDescent="0.2">
      <c r="H46" s="241"/>
      <c r="K46" s="242"/>
      <c r="M46" s="241"/>
      <c r="P46" s="242"/>
      <c r="R46" s="241"/>
      <c r="U46" s="242"/>
    </row>
    <row r="47" spans="1:21" x14ac:dyDescent="0.2">
      <c r="H47" s="241"/>
      <c r="K47" s="242"/>
      <c r="M47" s="241"/>
      <c r="P47" s="242"/>
      <c r="R47" s="241"/>
      <c r="U47" s="242"/>
    </row>
    <row r="48" spans="1:21" x14ac:dyDescent="0.2">
      <c r="H48" s="241"/>
      <c r="K48" s="242"/>
      <c r="M48" s="241"/>
      <c r="P48" s="242"/>
      <c r="R48" s="241"/>
      <c r="U48" s="242"/>
    </row>
    <row r="49" spans="8:21" x14ac:dyDescent="0.2">
      <c r="H49" s="241"/>
      <c r="K49" s="242"/>
      <c r="M49" s="241"/>
      <c r="P49" s="242"/>
      <c r="R49" s="241"/>
      <c r="U49" s="242"/>
    </row>
    <row r="50" spans="8:21" x14ac:dyDescent="0.2">
      <c r="H50" s="245"/>
      <c r="I50" s="246"/>
      <c r="J50" s="246"/>
      <c r="K50" s="247"/>
      <c r="M50" s="245"/>
      <c r="N50" s="246"/>
      <c r="O50" s="246"/>
      <c r="P50" s="247"/>
      <c r="R50" s="245"/>
      <c r="S50" s="246"/>
      <c r="T50" s="246"/>
      <c r="U50" s="247"/>
    </row>
  </sheetData>
  <mergeCells count="1">
    <mergeCell ref="H1:J2"/>
  </mergeCell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10</xdr:col>
                <xdr:colOff>85725</xdr:colOff>
                <xdr:row>0</xdr:row>
                <xdr:rowOff>57150</xdr:rowOff>
              </from>
              <to>
                <xdr:col>12</xdr:col>
                <xdr:colOff>600075</xdr:colOff>
                <xdr:row>3</xdr:row>
                <xdr:rowOff>0</xdr:rowOff>
              </to>
            </anchor>
          </controlPr>
        </control>
      </mc:Choice>
      <mc:Fallback>
        <control shapeId="102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92D050"/>
  </sheetPr>
  <dimension ref="B5:Q50"/>
  <sheetViews>
    <sheetView showGridLines="0" workbookViewId="0">
      <selection activeCell="M22" sqref="M22"/>
    </sheetView>
  </sheetViews>
  <sheetFormatPr defaultColWidth="9.33203125" defaultRowHeight="12" x14ac:dyDescent="0.2"/>
  <cols>
    <col min="2" max="5" width="14.83203125" customWidth="1"/>
    <col min="7" max="10" width="16" customWidth="1"/>
    <col min="12" max="16" width="15.83203125" customWidth="1"/>
  </cols>
  <sheetData>
    <row r="5" spans="2:17" x14ac:dyDescent="0.2">
      <c r="B5" s="261" t="s">
        <v>251</v>
      </c>
      <c r="C5" s="262"/>
      <c r="D5" s="261" t="s">
        <v>88</v>
      </c>
      <c r="E5" s="263">
        <v>0</v>
      </c>
      <c r="G5" s="255" t="s">
        <v>251</v>
      </c>
      <c r="H5" s="267"/>
      <c r="I5" s="255" t="s">
        <v>88</v>
      </c>
      <c r="J5" s="268"/>
      <c r="L5" s="255" t="s">
        <v>251</v>
      </c>
      <c r="M5" s="256"/>
      <c r="N5" s="255" t="s">
        <v>88</v>
      </c>
      <c r="O5" s="256"/>
      <c r="P5" s="257"/>
    </row>
    <row r="6" spans="2:17" x14ac:dyDescent="0.2">
      <c r="B6" s="96" t="s">
        <v>91</v>
      </c>
      <c r="C6" s="97"/>
      <c r="D6" s="97" t="s">
        <v>33</v>
      </c>
      <c r="E6" s="99"/>
      <c r="G6" s="269" t="s">
        <v>40</v>
      </c>
      <c r="H6" s="270"/>
      <c r="I6" s="270"/>
      <c r="J6" s="271"/>
      <c r="L6" s="258" t="s">
        <v>40</v>
      </c>
      <c r="M6" s="97"/>
      <c r="N6" s="97"/>
      <c r="O6" s="97"/>
      <c r="P6" s="98"/>
    </row>
    <row r="7" spans="2:17" x14ac:dyDescent="0.2">
      <c r="B7" s="100"/>
      <c r="C7" s="101"/>
      <c r="D7" s="101" t="s">
        <v>54</v>
      </c>
      <c r="E7" s="102" t="s">
        <v>54</v>
      </c>
      <c r="G7" s="269" t="s">
        <v>243</v>
      </c>
      <c r="H7" s="270"/>
      <c r="I7" s="270"/>
      <c r="J7" s="272"/>
      <c r="L7" s="258" t="s">
        <v>247</v>
      </c>
      <c r="M7" s="97"/>
      <c r="N7" s="97"/>
      <c r="O7" s="97"/>
      <c r="P7" s="99"/>
    </row>
    <row r="8" spans="2:17" x14ac:dyDescent="0.2">
      <c r="B8" s="103" t="s">
        <v>58</v>
      </c>
      <c r="C8" s="51" t="s">
        <v>85</v>
      </c>
      <c r="D8" s="51" t="s">
        <v>86</v>
      </c>
      <c r="E8" s="104" t="s">
        <v>87</v>
      </c>
      <c r="G8" s="103" t="s">
        <v>58</v>
      </c>
      <c r="H8" s="51" t="s">
        <v>244</v>
      </c>
      <c r="I8" s="51" t="s">
        <v>245</v>
      </c>
      <c r="J8" s="104" t="s">
        <v>246</v>
      </c>
      <c r="L8" s="103" t="s">
        <v>58</v>
      </c>
      <c r="M8" s="51" t="s">
        <v>248</v>
      </c>
      <c r="N8" s="51" t="s">
        <v>85</v>
      </c>
      <c r="O8" s="51" t="s">
        <v>249</v>
      </c>
      <c r="P8" s="104" t="s">
        <v>95</v>
      </c>
      <c r="Q8" s="51"/>
    </row>
    <row r="9" spans="2:17" x14ac:dyDescent="0.2">
      <c r="B9" s="115"/>
      <c r="C9" s="114"/>
      <c r="D9" s="114"/>
      <c r="E9" s="116"/>
      <c r="G9" s="115"/>
      <c r="H9" s="114"/>
      <c r="I9" s="114"/>
      <c r="J9" s="116"/>
      <c r="L9" s="115"/>
      <c r="M9" s="114"/>
      <c r="N9" s="114"/>
      <c r="O9" s="114"/>
      <c r="P9" s="116"/>
    </row>
    <row r="10" spans="2:17" x14ac:dyDescent="0.2">
      <c r="B10" s="264"/>
      <c r="C10" s="265"/>
      <c r="D10" s="265"/>
      <c r="E10" s="266"/>
      <c r="G10" s="264"/>
      <c r="H10" s="265"/>
      <c r="I10" s="265"/>
      <c r="J10" s="266"/>
      <c r="L10" s="264"/>
      <c r="M10" s="265"/>
      <c r="N10" s="265"/>
      <c r="O10" s="265"/>
      <c r="P10" s="266"/>
    </row>
    <row r="11" spans="2:17" x14ac:dyDescent="0.2">
      <c r="B11" s="241"/>
      <c r="E11" s="242"/>
      <c r="G11" s="241"/>
      <c r="J11" s="242"/>
      <c r="L11" s="241"/>
      <c r="P11" s="242"/>
    </row>
    <row r="12" spans="2:17" x14ac:dyDescent="0.2">
      <c r="B12" s="241"/>
      <c r="E12" s="242"/>
      <c r="G12" s="241"/>
      <c r="J12" s="242"/>
      <c r="L12" s="241"/>
      <c r="P12" s="242"/>
    </row>
    <row r="13" spans="2:17" x14ac:dyDescent="0.2">
      <c r="B13" s="241"/>
      <c r="E13" s="242"/>
      <c r="G13" s="241"/>
      <c r="J13" s="242"/>
      <c r="L13" s="241"/>
      <c r="P13" s="242"/>
    </row>
    <row r="14" spans="2:17" x14ac:dyDescent="0.2">
      <c r="B14" s="241"/>
      <c r="E14" s="242"/>
      <c r="G14" s="241"/>
      <c r="J14" s="242"/>
      <c r="L14" s="241"/>
      <c r="P14" s="242"/>
    </row>
    <row r="15" spans="2:17" x14ac:dyDescent="0.2">
      <c r="B15" s="241"/>
      <c r="E15" s="242"/>
      <c r="G15" s="241"/>
      <c r="J15" s="242"/>
      <c r="L15" s="241"/>
      <c r="P15" s="242"/>
    </row>
    <row r="16" spans="2:17" x14ac:dyDescent="0.2">
      <c r="B16" s="241"/>
      <c r="E16" s="242"/>
      <c r="G16" s="241"/>
      <c r="J16" s="242"/>
      <c r="L16" s="241"/>
      <c r="P16" s="242"/>
    </row>
    <row r="17" spans="2:16" x14ac:dyDescent="0.2">
      <c r="B17" s="241"/>
      <c r="E17" s="242"/>
      <c r="G17" s="241"/>
      <c r="J17" s="242"/>
      <c r="L17" s="241"/>
      <c r="P17" s="242"/>
    </row>
    <row r="18" spans="2:16" x14ac:dyDescent="0.2">
      <c r="B18" s="241"/>
      <c r="E18" s="242"/>
      <c r="G18" s="241"/>
      <c r="J18" s="242"/>
      <c r="L18" s="241"/>
      <c r="P18" s="242"/>
    </row>
    <row r="19" spans="2:16" x14ac:dyDescent="0.2">
      <c r="B19" s="241"/>
      <c r="E19" s="242"/>
      <c r="G19" s="241"/>
      <c r="J19" s="242"/>
      <c r="L19" s="241"/>
      <c r="P19" s="242"/>
    </row>
    <row r="20" spans="2:16" x14ac:dyDescent="0.2">
      <c r="B20" s="241"/>
      <c r="E20" s="242"/>
      <c r="G20" s="241"/>
      <c r="J20" s="242"/>
      <c r="L20" s="241"/>
      <c r="P20" s="242"/>
    </row>
    <row r="21" spans="2:16" x14ac:dyDescent="0.2">
      <c r="B21" s="241"/>
      <c r="E21" s="242"/>
      <c r="G21" s="241"/>
      <c r="J21" s="242"/>
      <c r="L21" s="241"/>
      <c r="P21" s="242"/>
    </row>
    <row r="22" spans="2:16" x14ac:dyDescent="0.2">
      <c r="B22" s="241"/>
      <c r="E22" s="242"/>
      <c r="G22" s="241"/>
      <c r="J22" s="242"/>
      <c r="L22" s="241"/>
      <c r="P22" s="242"/>
    </row>
    <row r="23" spans="2:16" x14ac:dyDescent="0.2">
      <c r="B23" s="241"/>
      <c r="E23" s="242"/>
      <c r="G23" s="241"/>
      <c r="J23" s="242"/>
      <c r="L23" s="241"/>
      <c r="P23" s="242"/>
    </row>
    <row r="24" spans="2:16" x14ac:dyDescent="0.2">
      <c r="B24" s="241"/>
      <c r="E24" s="242"/>
      <c r="G24" s="241"/>
      <c r="J24" s="242"/>
      <c r="L24" s="241"/>
      <c r="P24" s="242"/>
    </row>
    <row r="25" spans="2:16" x14ac:dyDescent="0.2">
      <c r="B25" s="241"/>
      <c r="E25" s="242"/>
      <c r="G25" s="241"/>
      <c r="J25" s="242"/>
      <c r="L25" s="241"/>
      <c r="P25" s="242"/>
    </row>
    <row r="26" spans="2:16" x14ac:dyDescent="0.2">
      <c r="B26" s="241"/>
      <c r="E26" s="242"/>
      <c r="G26" s="241"/>
      <c r="J26" s="242"/>
      <c r="L26" s="241"/>
      <c r="P26" s="242"/>
    </row>
    <row r="27" spans="2:16" x14ac:dyDescent="0.2">
      <c r="B27" s="241"/>
      <c r="E27" s="242"/>
      <c r="G27" s="241"/>
      <c r="J27" s="242"/>
      <c r="L27" s="241"/>
      <c r="P27" s="242"/>
    </row>
    <row r="28" spans="2:16" x14ac:dyDescent="0.2">
      <c r="B28" s="241"/>
      <c r="E28" s="242"/>
      <c r="G28" s="241"/>
      <c r="J28" s="242"/>
      <c r="L28" s="241"/>
      <c r="P28" s="242"/>
    </row>
    <row r="29" spans="2:16" x14ac:dyDescent="0.2">
      <c r="B29" s="241"/>
      <c r="E29" s="242"/>
      <c r="G29" s="241"/>
      <c r="J29" s="242"/>
      <c r="L29" s="241"/>
      <c r="P29" s="242"/>
    </row>
    <row r="30" spans="2:16" x14ac:dyDescent="0.2">
      <c r="B30" s="241"/>
      <c r="E30" s="242"/>
      <c r="G30" s="241"/>
      <c r="J30" s="242"/>
      <c r="L30" s="241"/>
      <c r="P30" s="242"/>
    </row>
    <row r="31" spans="2:16" x14ac:dyDescent="0.2">
      <c r="B31" s="241"/>
      <c r="E31" s="242"/>
      <c r="G31" s="241"/>
      <c r="J31" s="242"/>
      <c r="L31" s="241"/>
      <c r="P31" s="242"/>
    </row>
    <row r="32" spans="2:16" x14ac:dyDescent="0.2">
      <c r="B32" s="241"/>
      <c r="E32" s="242"/>
      <c r="G32" s="241"/>
      <c r="J32" s="242"/>
      <c r="L32" s="241"/>
      <c r="P32" s="242"/>
    </row>
    <row r="33" spans="2:16" x14ac:dyDescent="0.2">
      <c r="B33" s="241"/>
      <c r="E33" s="242"/>
      <c r="G33" s="241"/>
      <c r="J33" s="242"/>
      <c r="L33" s="241"/>
      <c r="P33" s="242"/>
    </row>
    <row r="34" spans="2:16" x14ac:dyDescent="0.2">
      <c r="B34" s="241"/>
      <c r="E34" s="242"/>
      <c r="G34" s="241"/>
      <c r="J34" s="242"/>
      <c r="L34" s="241"/>
      <c r="P34" s="242"/>
    </row>
    <row r="35" spans="2:16" x14ac:dyDescent="0.2">
      <c r="B35" s="241"/>
      <c r="E35" s="242"/>
      <c r="G35" s="241"/>
      <c r="J35" s="242"/>
      <c r="L35" s="241"/>
      <c r="P35" s="242"/>
    </row>
    <row r="36" spans="2:16" x14ac:dyDescent="0.2">
      <c r="B36" s="241"/>
      <c r="E36" s="242"/>
      <c r="G36" s="241"/>
      <c r="J36" s="242"/>
      <c r="L36" s="241"/>
      <c r="P36" s="242"/>
    </row>
    <row r="37" spans="2:16" x14ac:dyDescent="0.2">
      <c r="B37" s="241"/>
      <c r="E37" s="242"/>
      <c r="G37" s="241"/>
      <c r="J37" s="242"/>
      <c r="L37" s="241"/>
      <c r="P37" s="242"/>
    </row>
    <row r="38" spans="2:16" x14ac:dyDescent="0.2">
      <c r="B38" s="241"/>
      <c r="E38" s="242"/>
      <c r="G38" s="241"/>
      <c r="J38" s="242"/>
      <c r="L38" s="241"/>
      <c r="P38" s="242"/>
    </row>
    <row r="39" spans="2:16" x14ac:dyDescent="0.2">
      <c r="B39" s="241"/>
      <c r="E39" s="242"/>
      <c r="G39" s="241"/>
      <c r="J39" s="242"/>
      <c r="L39" s="241"/>
      <c r="P39" s="242"/>
    </row>
    <row r="40" spans="2:16" x14ac:dyDescent="0.2">
      <c r="B40" s="241"/>
      <c r="E40" s="242"/>
      <c r="G40" s="241"/>
      <c r="J40" s="242"/>
      <c r="L40" s="241"/>
      <c r="P40" s="242"/>
    </row>
    <row r="41" spans="2:16" x14ac:dyDescent="0.2">
      <c r="B41" s="241"/>
      <c r="E41" s="242"/>
      <c r="G41" s="241"/>
      <c r="J41" s="242"/>
      <c r="L41" s="241"/>
      <c r="P41" s="242"/>
    </row>
    <row r="42" spans="2:16" x14ac:dyDescent="0.2">
      <c r="B42" s="241"/>
      <c r="E42" s="242"/>
      <c r="G42" s="241"/>
      <c r="J42" s="242"/>
      <c r="L42" s="241"/>
      <c r="P42" s="242"/>
    </row>
    <row r="43" spans="2:16" x14ac:dyDescent="0.2">
      <c r="B43" s="241"/>
      <c r="E43" s="242"/>
      <c r="G43" s="241"/>
      <c r="J43" s="242"/>
      <c r="L43" s="241"/>
      <c r="P43" s="242"/>
    </row>
    <row r="44" spans="2:16" x14ac:dyDescent="0.2">
      <c r="B44" s="241"/>
      <c r="E44" s="242"/>
      <c r="G44" s="241"/>
      <c r="J44" s="242"/>
      <c r="L44" s="241"/>
      <c r="P44" s="242"/>
    </row>
    <row r="45" spans="2:16" x14ac:dyDescent="0.2">
      <c r="B45" s="241"/>
      <c r="E45" s="242"/>
      <c r="G45" s="241"/>
      <c r="J45" s="242"/>
      <c r="L45" s="241"/>
      <c r="P45" s="242"/>
    </row>
    <row r="46" spans="2:16" x14ac:dyDescent="0.2">
      <c r="B46" s="241"/>
      <c r="E46" s="242"/>
      <c r="G46" s="241"/>
      <c r="J46" s="242"/>
      <c r="L46" s="241"/>
      <c r="P46" s="242"/>
    </row>
    <row r="47" spans="2:16" x14ac:dyDescent="0.2">
      <c r="B47" s="241"/>
      <c r="E47" s="242"/>
      <c r="G47" s="241"/>
      <c r="J47" s="242"/>
      <c r="L47" s="241"/>
      <c r="P47" s="242"/>
    </row>
    <row r="48" spans="2:16" x14ac:dyDescent="0.2">
      <c r="B48" s="241"/>
      <c r="E48" s="242"/>
      <c r="G48" s="241"/>
      <c r="J48" s="242"/>
      <c r="L48" s="241"/>
      <c r="P48" s="242"/>
    </row>
    <row r="49" spans="2:16" x14ac:dyDescent="0.2">
      <c r="B49" s="241"/>
      <c r="E49" s="242"/>
      <c r="G49" s="241"/>
      <c r="J49" s="242"/>
      <c r="L49" s="241"/>
      <c r="P49" s="242"/>
    </row>
    <row r="50" spans="2:16" x14ac:dyDescent="0.2">
      <c r="B50" s="245"/>
      <c r="C50" s="246"/>
      <c r="D50" s="246"/>
      <c r="E50" s="247"/>
      <c r="G50" s="245"/>
      <c r="H50" s="246"/>
      <c r="I50" s="246"/>
      <c r="J50" s="247"/>
      <c r="L50" s="245"/>
      <c r="M50" s="246"/>
      <c r="N50" s="246"/>
      <c r="O50" s="246"/>
      <c r="P50" s="24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O1:AC500"/>
  <sheetViews>
    <sheetView showGridLines="0" workbookViewId="0">
      <selection activeCell="G42" sqref="G42"/>
    </sheetView>
  </sheetViews>
  <sheetFormatPr defaultColWidth="9.33203125" defaultRowHeight="12" x14ac:dyDescent="0.2"/>
  <cols>
    <col min="1" max="1" width="1.6640625" customWidth="1"/>
    <col min="2" max="13" width="13.33203125" customWidth="1"/>
    <col min="14" max="14" width="3.33203125" customWidth="1"/>
    <col min="15" max="15" width="14.5" style="1" customWidth="1"/>
    <col min="16" max="19" width="13" style="1" customWidth="1"/>
    <col min="20" max="22" width="15.6640625" style="1" customWidth="1"/>
    <col min="23" max="23" width="13" style="1" customWidth="1"/>
    <col min="24" max="24" width="23.1640625" style="1" customWidth="1"/>
    <col min="25" max="29" width="20.6640625" style="1" customWidth="1"/>
  </cols>
  <sheetData>
    <row r="1" spans="15:29" x14ac:dyDescent="0.2">
      <c r="O1" s="91" t="s">
        <v>93</v>
      </c>
      <c r="P1"/>
      <c r="Q1"/>
      <c r="T1" s="13" t="s">
        <v>153</v>
      </c>
    </row>
    <row r="2" spans="15:29" x14ac:dyDescent="0.2">
      <c r="O2" s="108"/>
      <c r="P2" s="128" t="s">
        <v>96</v>
      </c>
      <c r="Q2" s="129" t="s">
        <v>97</v>
      </c>
      <c r="R2" s="130" t="s">
        <v>149</v>
      </c>
      <c r="T2" s="144"/>
      <c r="U2" s="134" t="s">
        <v>129</v>
      </c>
      <c r="V2" s="99" t="s">
        <v>58</v>
      </c>
    </row>
    <row r="3" spans="15:29" x14ac:dyDescent="0.2">
      <c r="O3" s="125" t="s">
        <v>94</v>
      </c>
      <c r="P3" s="119">
        <v>1.032347441</v>
      </c>
      <c r="Q3" s="120">
        <v>-5.2418839000000002E-2</v>
      </c>
      <c r="R3" s="131">
        <v>5.8528579999999998E-3</v>
      </c>
      <c r="T3" s="141" t="s">
        <v>150</v>
      </c>
      <c r="U3" s="135">
        <v>220</v>
      </c>
      <c r="V3" s="136">
        <v>100</v>
      </c>
    </row>
    <row r="4" spans="15:29" x14ac:dyDescent="0.2">
      <c r="O4" s="126" t="s">
        <v>95</v>
      </c>
      <c r="P4" s="121">
        <v>1.022485852</v>
      </c>
      <c r="Q4" s="122">
        <v>-3.2508576200000001E-6</v>
      </c>
      <c r="R4" s="132">
        <v>1.6992799999999999E-4</v>
      </c>
      <c r="T4" s="142" t="s">
        <v>151</v>
      </c>
      <c r="U4" s="137">
        <v>220</v>
      </c>
      <c r="V4" s="138">
        <v>10000</v>
      </c>
    </row>
    <row r="5" spans="15:29" x14ac:dyDescent="0.2">
      <c r="O5" s="126" t="s">
        <v>113</v>
      </c>
      <c r="P5" s="121">
        <v>0.91182690899999996</v>
      </c>
      <c r="Q5" s="122">
        <v>4.5104699999999999E-4</v>
      </c>
      <c r="R5" s="132">
        <v>1.3406400000000001E-4</v>
      </c>
      <c r="T5" s="143" t="s">
        <v>152</v>
      </c>
      <c r="U5" s="139">
        <v>1</v>
      </c>
      <c r="V5" s="140">
        <v>50</v>
      </c>
    </row>
    <row r="6" spans="15:29" x14ac:dyDescent="0.2">
      <c r="O6" s="127" t="s">
        <v>114</v>
      </c>
      <c r="P6" s="123">
        <v>0.88194584799999998</v>
      </c>
      <c r="Q6" s="124">
        <v>1.3600820000000001E-3</v>
      </c>
      <c r="R6" s="133">
        <v>1.17917E-4</v>
      </c>
    </row>
    <row r="8" spans="15:29" x14ac:dyDescent="0.2">
      <c r="O8" s="51" t="s">
        <v>40</v>
      </c>
      <c r="P8" s="51" t="s">
        <v>58</v>
      </c>
      <c r="Q8" s="51" t="s">
        <v>98</v>
      </c>
      <c r="R8" s="51" t="s">
        <v>99</v>
      </c>
      <c r="S8" s="51" t="s">
        <v>95</v>
      </c>
      <c r="T8" s="51" t="s">
        <v>85</v>
      </c>
      <c r="U8" s="51" t="s">
        <v>100</v>
      </c>
      <c r="V8" s="51" t="s">
        <v>101</v>
      </c>
      <c r="W8" s="51" t="s">
        <v>102</v>
      </c>
      <c r="X8" s="51" t="s">
        <v>103</v>
      </c>
      <c r="Y8" s="51" t="s">
        <v>104</v>
      </c>
      <c r="Z8" s="51" t="s">
        <v>105</v>
      </c>
      <c r="AA8" s="51" t="s">
        <v>148</v>
      </c>
      <c r="AB8" s="51" t="s">
        <v>106</v>
      </c>
      <c r="AC8" s="51" t="s">
        <v>107</v>
      </c>
    </row>
    <row r="9" spans="15:29" x14ac:dyDescent="0.2">
      <c r="O9" s="110" t="s">
        <v>33</v>
      </c>
      <c r="P9" s="110" t="s">
        <v>67</v>
      </c>
      <c r="Q9" s="110" t="s">
        <v>108</v>
      </c>
      <c r="R9" s="110" t="s">
        <v>89</v>
      </c>
      <c r="S9" s="110" t="s">
        <v>90</v>
      </c>
      <c r="T9" s="110"/>
      <c r="U9" s="110" t="s">
        <v>108</v>
      </c>
      <c r="V9" s="110" t="s">
        <v>89</v>
      </c>
      <c r="W9" s="110" t="s">
        <v>109</v>
      </c>
      <c r="X9" s="110" t="s">
        <v>110</v>
      </c>
      <c r="Y9" s="110" t="s">
        <v>111</v>
      </c>
      <c r="Z9" s="110" t="s">
        <v>112</v>
      </c>
      <c r="AA9" s="110" t="s">
        <v>112</v>
      </c>
      <c r="AB9" s="110" t="s">
        <v>112</v>
      </c>
      <c r="AC9" s="110" t="s">
        <v>112</v>
      </c>
    </row>
    <row r="10" spans="15:29" x14ac:dyDescent="0.2">
      <c r="O10" s="118">
        <v>220</v>
      </c>
      <c r="P10" s="118">
        <v>100</v>
      </c>
      <c r="Q10" s="145">
        <v>0.314029</v>
      </c>
      <c r="R10" s="145">
        <v>1.3002700000000001E-2</v>
      </c>
      <c r="S10" s="145">
        <v>0.16674900000000001</v>
      </c>
      <c r="T10" s="145">
        <v>0.97243800000000002</v>
      </c>
      <c r="U10" s="145">
        <v>59.6935</v>
      </c>
      <c r="V10" s="145">
        <v>0.27018500000000001</v>
      </c>
      <c r="W10" s="145">
        <v>1.04555</v>
      </c>
      <c r="X10" s="145">
        <v>3.3936099999999999E-6</v>
      </c>
      <c r="Y10" s="145">
        <v>889637</v>
      </c>
      <c r="Z10" s="145">
        <v>59.7851</v>
      </c>
      <c r="AA10" s="145">
        <v>135.102</v>
      </c>
      <c r="AB10" s="145">
        <v>59.7851</v>
      </c>
      <c r="AC10" s="145">
        <v>10.725</v>
      </c>
    </row>
    <row r="11" spans="15:29" x14ac:dyDescent="0.2">
      <c r="O11" s="118">
        <v>220</v>
      </c>
      <c r="P11" s="118">
        <v>302.041</v>
      </c>
      <c r="Q11" s="145">
        <v>0.87851800000000002</v>
      </c>
      <c r="R11" s="145">
        <v>1.31498E-2</v>
      </c>
      <c r="S11" s="145">
        <v>5.9604799999999999E-2</v>
      </c>
      <c r="T11" s="145">
        <v>0.95994400000000002</v>
      </c>
      <c r="U11" s="145">
        <v>59.734400000000001</v>
      </c>
      <c r="V11" s="145">
        <v>0.27053899999999997</v>
      </c>
      <c r="W11" s="145">
        <v>1.04484</v>
      </c>
      <c r="X11" s="145">
        <v>3.3785299999999999E-6</v>
      </c>
      <c r="Y11" s="145">
        <v>7235380</v>
      </c>
      <c r="Z11" s="145">
        <v>56.773000000000003</v>
      </c>
      <c r="AA11" s="145">
        <v>129.36699999999999</v>
      </c>
      <c r="AB11" s="145">
        <v>56.773000000000003</v>
      </c>
      <c r="AC11" s="145">
        <v>10.725</v>
      </c>
    </row>
    <row r="12" spans="15:29" x14ac:dyDescent="0.2">
      <c r="O12" s="118">
        <v>220</v>
      </c>
      <c r="P12" s="118">
        <v>504.08199999999999</v>
      </c>
      <c r="Q12" s="145">
        <v>1.45641</v>
      </c>
      <c r="R12" s="145">
        <v>1.3346800000000001E-2</v>
      </c>
      <c r="S12" s="145">
        <v>3.5954E-2</v>
      </c>
      <c r="T12" s="145">
        <v>0.94844200000000001</v>
      </c>
      <c r="U12" s="145">
        <v>59.775100000000002</v>
      </c>
      <c r="V12" s="145">
        <v>0.27089400000000002</v>
      </c>
      <c r="W12" s="145">
        <v>1.04413</v>
      </c>
      <c r="X12" s="145">
        <v>3.3635800000000002E-6</v>
      </c>
      <c r="Y12" s="145">
        <v>20198200</v>
      </c>
      <c r="Z12" s="145">
        <v>53.801400000000001</v>
      </c>
      <c r="AA12" s="145">
        <v>123.681</v>
      </c>
      <c r="AB12" s="145">
        <v>53.801400000000001</v>
      </c>
      <c r="AC12" s="145">
        <v>10.725</v>
      </c>
    </row>
    <row r="13" spans="15:29" x14ac:dyDescent="0.2">
      <c r="O13" s="118">
        <v>220</v>
      </c>
      <c r="P13" s="118">
        <v>706.12199999999996</v>
      </c>
      <c r="Q13" s="145">
        <v>2.0461299999999998</v>
      </c>
      <c r="R13" s="145">
        <v>1.35847E-2</v>
      </c>
      <c r="S13" s="145">
        <v>2.5591699999999998E-2</v>
      </c>
      <c r="T13" s="145">
        <v>0.93804200000000004</v>
      </c>
      <c r="U13" s="145">
        <v>59.815600000000003</v>
      </c>
      <c r="V13" s="145">
        <v>0.27124799999999999</v>
      </c>
      <c r="W13" s="145">
        <v>1.04342</v>
      </c>
      <c r="X13" s="145">
        <v>3.3487600000000002E-6</v>
      </c>
      <c r="Y13" s="145">
        <v>39465800</v>
      </c>
      <c r="Z13" s="145">
        <v>50.884099999999997</v>
      </c>
      <c r="AA13" s="145">
        <v>118.068</v>
      </c>
      <c r="AB13" s="145">
        <v>50.884099999999997</v>
      </c>
      <c r="AC13" s="145">
        <v>10.725</v>
      </c>
    </row>
    <row r="14" spans="15:29" x14ac:dyDescent="0.2">
      <c r="O14" s="118">
        <v>220</v>
      </c>
      <c r="P14" s="118">
        <v>908.16300000000001</v>
      </c>
      <c r="Q14" s="145">
        <v>2.6456599999999999</v>
      </c>
      <c r="R14" s="145">
        <v>1.38596E-2</v>
      </c>
      <c r="S14" s="145">
        <v>1.9792299999999999E-2</v>
      </c>
      <c r="T14" s="145">
        <v>0.92885200000000001</v>
      </c>
      <c r="U14" s="145">
        <v>59.856000000000002</v>
      </c>
      <c r="V14" s="145">
        <v>0.27160200000000001</v>
      </c>
      <c r="W14" s="145">
        <v>1.0427200000000001</v>
      </c>
      <c r="X14" s="145">
        <v>3.3340799999999998E-6</v>
      </c>
      <c r="Y14" s="145">
        <v>64865800</v>
      </c>
      <c r="Z14" s="145">
        <v>48.035299999999999</v>
      </c>
      <c r="AA14" s="145">
        <v>112.554</v>
      </c>
      <c r="AB14" s="145">
        <v>48.035299999999999</v>
      </c>
      <c r="AC14" s="145">
        <v>10.725</v>
      </c>
    </row>
    <row r="15" spans="15:29" x14ac:dyDescent="0.2">
      <c r="O15" s="118">
        <v>220</v>
      </c>
      <c r="P15" s="118">
        <v>1110.2</v>
      </c>
      <c r="Q15" s="145">
        <v>3.2526099999999998</v>
      </c>
      <c r="R15" s="145">
        <v>1.41692E-2</v>
      </c>
      <c r="S15" s="145">
        <v>1.6098999999999999E-2</v>
      </c>
      <c r="T15" s="145">
        <v>0.92096599999999995</v>
      </c>
      <c r="U15" s="145">
        <v>59.896299999999997</v>
      </c>
      <c r="V15" s="145">
        <v>0.27195599999999998</v>
      </c>
      <c r="W15" s="145">
        <v>1.0420199999999999</v>
      </c>
      <c r="X15" s="145">
        <v>3.3195199999999999E-6</v>
      </c>
      <c r="Y15" s="145">
        <v>96350000</v>
      </c>
      <c r="Z15" s="145">
        <v>45.269399999999997</v>
      </c>
      <c r="AA15" s="145">
        <v>107.16500000000001</v>
      </c>
      <c r="AB15" s="145">
        <v>45.269399999999997</v>
      </c>
      <c r="AC15" s="145">
        <v>10.725</v>
      </c>
    </row>
    <row r="16" spans="15:29" x14ac:dyDescent="0.2">
      <c r="O16" s="118">
        <v>220</v>
      </c>
      <c r="P16" s="118">
        <v>1312.24</v>
      </c>
      <c r="Q16" s="145">
        <v>3.86422</v>
      </c>
      <c r="R16" s="145">
        <v>1.4511700000000001E-2</v>
      </c>
      <c r="S16" s="145">
        <v>1.3550899999999999E-2</v>
      </c>
      <c r="T16" s="145">
        <v>0.91446700000000003</v>
      </c>
      <c r="U16" s="145">
        <v>59.936399999999999</v>
      </c>
      <c r="V16" s="145">
        <v>0.27231100000000003</v>
      </c>
      <c r="W16" s="145">
        <v>1.04132</v>
      </c>
      <c r="X16" s="145">
        <v>3.3050900000000001E-6</v>
      </c>
      <c r="Y16" s="145">
        <v>133571000</v>
      </c>
      <c r="Z16" s="145">
        <v>42.599899999999998</v>
      </c>
      <c r="AA16" s="145">
        <v>101.92700000000001</v>
      </c>
      <c r="AB16" s="145">
        <v>42.599899999999998</v>
      </c>
      <c r="AC16" s="145">
        <v>10.725</v>
      </c>
    </row>
    <row r="17" spans="15:29" x14ac:dyDescent="0.2">
      <c r="O17" s="118">
        <v>220</v>
      </c>
      <c r="P17" s="118">
        <v>1514.29</v>
      </c>
      <c r="Q17" s="145">
        <v>4.4774900000000004</v>
      </c>
      <c r="R17" s="145">
        <v>1.4885300000000001E-2</v>
      </c>
      <c r="S17" s="145">
        <v>1.1694899999999999E-2</v>
      </c>
      <c r="T17" s="145">
        <v>0.90941700000000003</v>
      </c>
      <c r="U17" s="145">
        <v>59.976300000000002</v>
      </c>
      <c r="V17" s="145">
        <v>0.27266499999999999</v>
      </c>
      <c r="W17" s="145">
        <v>1.0406299999999999</v>
      </c>
      <c r="X17" s="145">
        <v>3.2907800000000002E-6</v>
      </c>
      <c r="Y17" s="145">
        <v>176136000</v>
      </c>
      <c r="Z17" s="145">
        <v>40.039299999999997</v>
      </c>
      <c r="AA17" s="145">
        <v>96.864699999999999</v>
      </c>
      <c r="AB17" s="145">
        <v>40.039299999999997</v>
      </c>
      <c r="AC17" s="145">
        <v>10.725</v>
      </c>
    </row>
    <row r="18" spans="15:29" x14ac:dyDescent="0.2">
      <c r="O18" s="118">
        <v>220</v>
      </c>
      <c r="P18" s="118">
        <v>1716.33</v>
      </c>
      <c r="Q18" s="145">
        <v>5.0892799999999996</v>
      </c>
      <c r="R18" s="145">
        <v>1.5288100000000001E-2</v>
      </c>
      <c r="S18" s="145">
        <v>1.0289100000000001E-2</v>
      </c>
      <c r="T18" s="145">
        <v>0.90585400000000005</v>
      </c>
      <c r="U18" s="145">
        <v>60.016100000000002</v>
      </c>
      <c r="V18" s="145">
        <v>0.27301900000000001</v>
      </c>
      <c r="W18" s="145">
        <v>1.03993</v>
      </c>
      <c r="X18" s="145">
        <v>3.2765899999999998E-6</v>
      </c>
      <c r="Y18" s="145">
        <v>223783000</v>
      </c>
      <c r="Z18" s="145">
        <v>37.598100000000002</v>
      </c>
      <c r="AA18" s="145">
        <v>91.998999999999995</v>
      </c>
      <c r="AB18" s="145">
        <v>37.598100000000002</v>
      </c>
      <c r="AC18" s="145">
        <v>10.725</v>
      </c>
    </row>
    <row r="19" spans="15:29" x14ac:dyDescent="0.2">
      <c r="O19" s="118">
        <v>220</v>
      </c>
      <c r="P19" s="118">
        <v>1918.37</v>
      </c>
      <c r="Q19" s="145">
        <v>5.6964699999999997</v>
      </c>
      <c r="R19" s="145">
        <v>1.5717800000000001E-2</v>
      </c>
      <c r="S19" s="145">
        <v>9.1923300000000003E-3</v>
      </c>
      <c r="T19" s="145">
        <v>0.90379100000000001</v>
      </c>
      <c r="U19" s="145">
        <v>60.055799999999998</v>
      </c>
      <c r="V19" s="145">
        <v>0.27337299999999998</v>
      </c>
      <c r="W19" s="145">
        <v>1.03925</v>
      </c>
      <c r="X19" s="145">
        <v>3.2625300000000001E-6</v>
      </c>
      <c r="Y19" s="145">
        <v>276174000</v>
      </c>
      <c r="Z19" s="145">
        <v>35.284500000000001</v>
      </c>
      <c r="AA19" s="145">
        <v>87.348100000000002</v>
      </c>
      <c r="AB19" s="145">
        <v>35.284500000000001</v>
      </c>
      <c r="AC19" s="145">
        <v>10.725</v>
      </c>
    </row>
    <row r="20" spans="15:29" x14ac:dyDescent="0.2">
      <c r="O20" s="118">
        <v>220</v>
      </c>
      <c r="P20" s="118">
        <v>2120.41</v>
      </c>
      <c r="Q20" s="145">
        <v>6.2961</v>
      </c>
      <c r="R20" s="145">
        <v>1.6172099999999998E-2</v>
      </c>
      <c r="S20" s="145">
        <v>8.3168800000000005E-3</v>
      </c>
      <c r="T20" s="145">
        <v>0.90321600000000002</v>
      </c>
      <c r="U20" s="145">
        <v>60.095300000000002</v>
      </c>
      <c r="V20" s="145">
        <v>0.27372800000000003</v>
      </c>
      <c r="W20" s="145">
        <v>1.0385599999999999</v>
      </c>
      <c r="X20" s="145">
        <v>3.2485899999999998E-6</v>
      </c>
      <c r="Y20" s="145">
        <v>332797000</v>
      </c>
      <c r="Z20" s="145">
        <v>33.103999999999999</v>
      </c>
      <c r="AA20" s="145">
        <v>82.925299999999993</v>
      </c>
      <c r="AB20" s="145">
        <v>33.103999999999999</v>
      </c>
      <c r="AC20" s="145">
        <v>10.725</v>
      </c>
    </row>
    <row r="21" spans="15:29" x14ac:dyDescent="0.2">
      <c r="O21" s="118">
        <v>220</v>
      </c>
      <c r="P21" s="118">
        <v>2322.4499999999998</v>
      </c>
      <c r="Q21" s="145">
        <v>6.8854600000000001</v>
      </c>
      <c r="R21" s="145">
        <v>1.6648400000000001E-2</v>
      </c>
      <c r="S21" s="145">
        <v>7.6049899999999998E-3</v>
      </c>
      <c r="T21" s="145">
        <v>0.90409200000000001</v>
      </c>
      <c r="U21" s="145">
        <v>60.134700000000002</v>
      </c>
      <c r="V21" s="145">
        <v>0.27408199999999999</v>
      </c>
      <c r="W21" s="145">
        <v>1.0378799999999999</v>
      </c>
      <c r="X21" s="145">
        <v>3.2347699999999999E-6</v>
      </c>
      <c r="Y21" s="145">
        <v>393284000</v>
      </c>
      <c r="Z21" s="145">
        <v>31.059200000000001</v>
      </c>
      <c r="AA21" s="145">
        <v>78.739199999999997</v>
      </c>
      <c r="AB21" s="145">
        <v>31.059200000000001</v>
      </c>
      <c r="AC21" s="145">
        <v>10.725</v>
      </c>
    </row>
    <row r="22" spans="15:29" x14ac:dyDescent="0.2">
      <c r="O22" s="118">
        <v>220</v>
      </c>
      <c r="P22" s="118">
        <v>2524.4899999999998</v>
      </c>
      <c r="Q22" s="145">
        <v>7.4622200000000003</v>
      </c>
      <c r="R22" s="145">
        <v>1.7144E-2</v>
      </c>
      <c r="S22" s="145">
        <v>7.0171900000000004E-3</v>
      </c>
      <c r="T22" s="145">
        <v>0.906362</v>
      </c>
      <c r="U22" s="145">
        <v>60.173900000000003</v>
      </c>
      <c r="V22" s="145">
        <v>0.27443600000000001</v>
      </c>
      <c r="W22" s="145">
        <v>1.03721</v>
      </c>
      <c r="X22" s="145">
        <v>3.2210600000000001E-6</v>
      </c>
      <c r="Y22" s="145">
        <v>457351000</v>
      </c>
      <c r="Z22" s="145">
        <v>29.150099999999998</v>
      </c>
      <c r="AA22" s="145">
        <v>74.793400000000005</v>
      </c>
      <c r="AB22" s="145">
        <v>29.150099999999998</v>
      </c>
      <c r="AC22" s="145">
        <v>10.725</v>
      </c>
    </row>
    <row r="23" spans="15:29" x14ac:dyDescent="0.2">
      <c r="O23" s="118">
        <v>220</v>
      </c>
      <c r="P23" s="118">
        <v>2726.53</v>
      </c>
      <c r="Q23" s="145">
        <v>8.0244800000000005</v>
      </c>
      <c r="R23" s="145">
        <v>1.7656100000000001E-2</v>
      </c>
      <c r="S23" s="145">
        <v>6.52551E-3</v>
      </c>
      <c r="T23" s="145">
        <v>0.90995199999999998</v>
      </c>
      <c r="U23" s="145">
        <v>60.213000000000001</v>
      </c>
      <c r="V23" s="145">
        <v>0.27478999999999998</v>
      </c>
      <c r="W23" s="145">
        <v>1.03653</v>
      </c>
      <c r="X23" s="145">
        <v>3.2074699999999998E-6</v>
      </c>
      <c r="Y23" s="145">
        <v>524484000</v>
      </c>
      <c r="Z23" s="145">
        <v>27.374400000000001</v>
      </c>
      <c r="AA23" s="145">
        <v>71.087299999999999</v>
      </c>
      <c r="AB23" s="145">
        <v>27.374400000000001</v>
      </c>
      <c r="AC23" s="145">
        <v>10.725</v>
      </c>
    </row>
    <row r="24" spans="15:29" x14ac:dyDescent="0.2">
      <c r="O24" s="118">
        <v>220</v>
      </c>
      <c r="P24" s="118">
        <v>2928.57</v>
      </c>
      <c r="Q24" s="145">
        <v>8.5707500000000003</v>
      </c>
      <c r="R24" s="145">
        <v>1.8182199999999999E-2</v>
      </c>
      <c r="S24" s="145">
        <v>6.1095999999999998E-3</v>
      </c>
      <c r="T24" s="145">
        <v>0.91477900000000001</v>
      </c>
      <c r="U24" s="145">
        <v>60.251899999999999</v>
      </c>
      <c r="V24" s="145">
        <v>0.27514499999999997</v>
      </c>
      <c r="W24" s="145">
        <v>1.03586</v>
      </c>
      <c r="X24" s="145">
        <v>3.1939999999999998E-6</v>
      </c>
      <c r="Y24" s="145">
        <v>594334000</v>
      </c>
      <c r="Z24" s="145">
        <v>25.727699999999999</v>
      </c>
      <c r="AA24" s="145">
        <v>67.616299999999995</v>
      </c>
      <c r="AB24" s="145">
        <v>25.727699999999999</v>
      </c>
      <c r="AC24" s="145">
        <v>10.725</v>
      </c>
    </row>
    <row r="25" spans="15:29" x14ac:dyDescent="0.2">
      <c r="O25" s="118">
        <v>220</v>
      </c>
      <c r="P25" s="118">
        <v>3130.61</v>
      </c>
      <c r="Q25" s="145">
        <v>9.0999800000000004</v>
      </c>
      <c r="R25" s="145">
        <v>1.8719699999999999E-2</v>
      </c>
      <c r="S25" s="145">
        <v>5.7542799999999996E-3</v>
      </c>
      <c r="T25" s="145">
        <v>0.92075099999999999</v>
      </c>
      <c r="U25" s="145">
        <v>60.290700000000001</v>
      </c>
      <c r="V25" s="145">
        <v>0.27549899999999999</v>
      </c>
      <c r="W25" s="145">
        <v>1.0351999999999999</v>
      </c>
      <c r="X25" s="145">
        <v>3.1806300000000001E-6</v>
      </c>
      <c r="Y25" s="145">
        <v>666648000</v>
      </c>
      <c r="Z25" s="145">
        <v>24.2044</v>
      </c>
      <c r="AA25" s="145">
        <v>64.372699999999995</v>
      </c>
      <c r="AB25" s="145">
        <v>24.2044</v>
      </c>
      <c r="AC25" s="145">
        <v>10.725</v>
      </c>
    </row>
    <row r="26" spans="15:29" x14ac:dyDescent="0.2">
      <c r="O26" s="118">
        <v>220</v>
      </c>
      <c r="P26" s="118">
        <v>3332.65</v>
      </c>
      <c r="Q26" s="145">
        <v>9.6114999999999995</v>
      </c>
      <c r="R26" s="145">
        <v>1.92663E-2</v>
      </c>
      <c r="S26" s="145">
        <v>5.4480400000000003E-3</v>
      </c>
      <c r="T26" s="145">
        <v>0.92777600000000005</v>
      </c>
      <c r="U26" s="145">
        <v>60.3294</v>
      </c>
      <c r="V26" s="145">
        <v>0.27585300000000001</v>
      </c>
      <c r="W26" s="145">
        <v>1.0345299999999999</v>
      </c>
      <c r="X26" s="145">
        <v>3.1673799999999998E-6</v>
      </c>
      <c r="Y26" s="145">
        <v>741037000</v>
      </c>
      <c r="Z26" s="145">
        <v>22.797599999999999</v>
      </c>
      <c r="AA26" s="145">
        <v>61.346699999999998</v>
      </c>
      <c r="AB26" s="145">
        <v>22.797599999999999</v>
      </c>
      <c r="AC26" s="145">
        <v>10.725</v>
      </c>
    </row>
    <row r="27" spans="15:29" x14ac:dyDescent="0.2">
      <c r="O27" s="118">
        <v>220</v>
      </c>
      <c r="P27" s="118">
        <v>3534.69</v>
      </c>
      <c r="Q27" s="145">
        <v>10.105</v>
      </c>
      <c r="R27" s="145">
        <v>1.9819799999999999E-2</v>
      </c>
      <c r="S27" s="145">
        <v>5.1819800000000001E-3</v>
      </c>
      <c r="T27" s="145">
        <v>0.93576099999999995</v>
      </c>
      <c r="U27" s="145">
        <v>60.368000000000002</v>
      </c>
      <c r="V27" s="145">
        <v>0.27620699999999998</v>
      </c>
      <c r="W27" s="145">
        <v>1.0338700000000001</v>
      </c>
      <c r="X27" s="145">
        <v>3.1542400000000001E-6</v>
      </c>
      <c r="Y27" s="145">
        <v>817212000</v>
      </c>
      <c r="Z27" s="145">
        <v>21.4998</v>
      </c>
      <c r="AA27" s="145">
        <v>58.526699999999998</v>
      </c>
      <c r="AB27" s="145">
        <v>21.4998</v>
      </c>
      <c r="AC27" s="145">
        <v>10.725</v>
      </c>
    </row>
    <row r="28" spans="15:29" x14ac:dyDescent="0.2">
      <c r="O28" s="118">
        <v>220</v>
      </c>
      <c r="P28" s="118">
        <v>3736.73</v>
      </c>
      <c r="Q28" s="145">
        <v>10.580399999999999</v>
      </c>
      <c r="R28" s="145">
        <v>2.0378400000000001E-2</v>
      </c>
      <c r="S28" s="145">
        <v>4.9491500000000003E-3</v>
      </c>
      <c r="T28" s="145">
        <v>0.94461700000000004</v>
      </c>
      <c r="U28" s="145">
        <v>60.406399999999998</v>
      </c>
      <c r="V28" s="145">
        <v>0.276561</v>
      </c>
      <c r="W28" s="145">
        <v>1.03322</v>
      </c>
      <c r="X28" s="145">
        <v>3.1412099999999999E-6</v>
      </c>
      <c r="Y28" s="145">
        <v>894956000</v>
      </c>
      <c r="Z28" s="145">
        <v>20.3035</v>
      </c>
      <c r="AA28" s="145">
        <v>55.900500000000001</v>
      </c>
      <c r="AB28" s="145">
        <v>20.3035</v>
      </c>
      <c r="AC28" s="145">
        <v>10.725</v>
      </c>
    </row>
    <row r="29" spans="15:29" x14ac:dyDescent="0.2">
      <c r="O29" s="118">
        <v>220</v>
      </c>
      <c r="P29" s="118">
        <v>3938.78</v>
      </c>
      <c r="Q29" s="145">
        <v>11.037800000000001</v>
      </c>
      <c r="R29" s="145">
        <v>2.0940199999999999E-2</v>
      </c>
      <c r="S29" s="145">
        <v>4.7440399999999997E-3</v>
      </c>
      <c r="T29" s="145">
        <v>0.95426200000000005</v>
      </c>
      <c r="U29" s="145">
        <v>60.444600000000001</v>
      </c>
      <c r="V29" s="145">
        <v>0.276916</v>
      </c>
      <c r="W29" s="145">
        <v>1.0325599999999999</v>
      </c>
      <c r="X29" s="145">
        <v>3.1282800000000001E-6</v>
      </c>
      <c r="Y29" s="145">
        <v>974021000</v>
      </c>
      <c r="Z29" s="145">
        <v>19.200800000000001</v>
      </c>
      <c r="AA29" s="145">
        <v>53.455300000000001</v>
      </c>
      <c r="AB29" s="145">
        <v>19.200800000000001</v>
      </c>
      <c r="AC29" s="145">
        <v>10.725</v>
      </c>
    </row>
    <row r="30" spans="15:29" x14ac:dyDescent="0.2">
      <c r="O30" s="118">
        <v>220</v>
      </c>
      <c r="P30" s="118">
        <v>4140.82</v>
      </c>
      <c r="Q30" s="145">
        <v>11.4777</v>
      </c>
      <c r="R30" s="145">
        <v>2.1503899999999999E-2</v>
      </c>
      <c r="S30" s="145">
        <v>4.5622400000000004E-3</v>
      </c>
      <c r="T30" s="145">
        <v>0.96461699999999995</v>
      </c>
      <c r="U30" s="145">
        <v>60.482799999999997</v>
      </c>
      <c r="V30" s="145">
        <v>0.27727000000000002</v>
      </c>
      <c r="W30" s="145">
        <v>1.0319100000000001</v>
      </c>
      <c r="X30" s="145">
        <v>3.1154599999999998E-6</v>
      </c>
      <c r="Y30" s="145">
        <v>1054180000</v>
      </c>
      <c r="Z30" s="145">
        <v>18.1843</v>
      </c>
      <c r="AA30" s="145">
        <v>51.178400000000003</v>
      </c>
      <c r="AB30" s="145">
        <v>18.1843</v>
      </c>
      <c r="AC30" s="145">
        <v>10.725</v>
      </c>
    </row>
    <row r="31" spans="15:29" x14ac:dyDescent="0.2">
      <c r="O31" s="118">
        <v>220</v>
      </c>
      <c r="P31" s="118">
        <v>4342.8599999999997</v>
      </c>
      <c r="Q31" s="145">
        <v>11.900399999999999</v>
      </c>
      <c r="R31" s="145">
        <v>2.20681E-2</v>
      </c>
      <c r="S31" s="145">
        <v>4.4001800000000001E-3</v>
      </c>
      <c r="T31" s="145">
        <v>0.97561100000000001</v>
      </c>
      <c r="U31" s="145">
        <v>60.520800000000001</v>
      </c>
      <c r="V31" s="145">
        <v>0.27762399999999998</v>
      </c>
      <c r="W31" s="145">
        <v>1.0312600000000001</v>
      </c>
      <c r="X31" s="145">
        <v>3.1027399999999998E-6</v>
      </c>
      <c r="Y31" s="145">
        <v>1135270000</v>
      </c>
      <c r="Z31" s="145">
        <v>17.2469</v>
      </c>
      <c r="AA31" s="145">
        <v>49.057499999999997</v>
      </c>
      <c r="AB31" s="145">
        <v>17.2469</v>
      </c>
      <c r="AC31" s="145">
        <v>10.725</v>
      </c>
    </row>
    <row r="32" spans="15:29" x14ac:dyDescent="0.2">
      <c r="O32" s="118">
        <v>220</v>
      </c>
      <c r="P32" s="118">
        <v>4544.8999999999996</v>
      </c>
      <c r="Q32" s="145">
        <v>12.3065</v>
      </c>
      <c r="R32" s="145">
        <v>2.2631700000000001E-2</v>
      </c>
      <c r="S32" s="145">
        <v>4.2549600000000003E-3</v>
      </c>
      <c r="T32" s="145">
        <v>0.98717999999999995</v>
      </c>
      <c r="U32" s="145">
        <v>60.558599999999998</v>
      </c>
      <c r="V32" s="145">
        <v>0.277978</v>
      </c>
      <c r="W32" s="145">
        <v>1.0306200000000001</v>
      </c>
      <c r="X32" s="145">
        <v>3.0901299999999998E-6</v>
      </c>
      <c r="Y32" s="145">
        <v>1217140000</v>
      </c>
      <c r="Z32" s="145">
        <v>16.381799999999998</v>
      </c>
      <c r="AA32" s="145">
        <v>47.080599999999997</v>
      </c>
      <c r="AB32" s="145">
        <v>16.381799999999998</v>
      </c>
      <c r="AC32" s="145">
        <v>10.725</v>
      </c>
    </row>
    <row r="33" spans="15:29" x14ac:dyDescent="0.2">
      <c r="O33" s="118">
        <v>220</v>
      </c>
      <c r="P33" s="118">
        <v>4746.9399999999996</v>
      </c>
      <c r="Q33" s="145">
        <v>12.6967</v>
      </c>
      <c r="R33" s="145">
        <v>2.3193800000000001E-2</v>
      </c>
      <c r="S33" s="145">
        <v>4.1241999999999997E-3</v>
      </c>
      <c r="T33" s="145">
        <v>0.99926499999999996</v>
      </c>
      <c r="U33" s="145">
        <v>60.596400000000003</v>
      </c>
      <c r="V33" s="145">
        <v>0.278333</v>
      </c>
      <c r="W33" s="145">
        <v>1.0299799999999999</v>
      </c>
      <c r="X33" s="145">
        <v>3.0776200000000001E-6</v>
      </c>
      <c r="Y33" s="145">
        <v>1299630000</v>
      </c>
      <c r="Z33" s="145">
        <v>15.582700000000001</v>
      </c>
      <c r="AA33" s="145">
        <v>45.236600000000003</v>
      </c>
      <c r="AB33" s="145">
        <v>15.582700000000001</v>
      </c>
      <c r="AC33" s="145">
        <v>10.725</v>
      </c>
    </row>
    <row r="34" spans="15:29" x14ac:dyDescent="0.2">
      <c r="O34" s="118">
        <v>220</v>
      </c>
      <c r="P34" s="118">
        <v>4948.9799999999996</v>
      </c>
      <c r="Q34" s="145">
        <v>13.0716</v>
      </c>
      <c r="R34" s="145">
        <v>2.3753400000000001E-2</v>
      </c>
      <c r="S34" s="145">
        <v>4.0059199999999996E-3</v>
      </c>
      <c r="T34" s="145">
        <v>1.0118100000000001</v>
      </c>
      <c r="U34" s="145">
        <v>60.634</v>
      </c>
      <c r="V34" s="145">
        <v>0.27868700000000002</v>
      </c>
      <c r="W34" s="145">
        <v>1.0293399999999999</v>
      </c>
      <c r="X34" s="145">
        <v>3.0652100000000002E-6</v>
      </c>
      <c r="Y34" s="145">
        <v>1382620000</v>
      </c>
      <c r="Z34" s="145">
        <v>14.8439</v>
      </c>
      <c r="AA34" s="145">
        <v>43.515000000000001</v>
      </c>
      <c r="AB34" s="145">
        <v>14.8439</v>
      </c>
      <c r="AC34" s="145">
        <v>10.725</v>
      </c>
    </row>
    <row r="35" spans="15:29" x14ac:dyDescent="0.2">
      <c r="O35" s="118">
        <v>220</v>
      </c>
      <c r="P35" s="118">
        <v>5151.0200000000004</v>
      </c>
      <c r="Q35" s="145">
        <v>13.431900000000001</v>
      </c>
      <c r="R35" s="145">
        <v>2.4309999999999998E-2</v>
      </c>
      <c r="S35" s="145">
        <v>3.8984800000000002E-3</v>
      </c>
      <c r="T35" s="145">
        <v>1.02478</v>
      </c>
      <c r="U35" s="145">
        <v>60.671500000000002</v>
      </c>
      <c r="V35" s="145">
        <v>0.27904099999999998</v>
      </c>
      <c r="W35" s="145">
        <v>1.0286999999999999</v>
      </c>
      <c r="X35" s="145">
        <v>3.0529E-6</v>
      </c>
      <c r="Y35" s="145">
        <v>1466010000</v>
      </c>
      <c r="Z35" s="145">
        <v>14.16</v>
      </c>
      <c r="AA35" s="145">
        <v>41.905999999999999</v>
      </c>
      <c r="AB35" s="145">
        <v>14.16</v>
      </c>
      <c r="AC35" s="145">
        <v>10.725</v>
      </c>
    </row>
    <row r="36" spans="15:29" x14ac:dyDescent="0.2">
      <c r="O36" s="118">
        <v>220</v>
      </c>
      <c r="P36" s="118">
        <v>5353.06</v>
      </c>
      <c r="Q36" s="145">
        <v>13.7781</v>
      </c>
      <c r="R36" s="145">
        <v>2.48629E-2</v>
      </c>
      <c r="S36" s="145">
        <v>3.80051E-3</v>
      </c>
      <c r="T36" s="145">
        <v>1.0381199999999999</v>
      </c>
      <c r="U36" s="145">
        <v>60.708799999999997</v>
      </c>
      <c r="V36" s="145">
        <v>0.279395</v>
      </c>
      <c r="W36" s="145">
        <v>1.02807</v>
      </c>
      <c r="X36" s="145">
        <v>3.0406900000000001E-6</v>
      </c>
      <c r="Y36" s="145">
        <v>1549690000</v>
      </c>
      <c r="Z36" s="145">
        <v>13.5261</v>
      </c>
      <c r="AA36" s="145">
        <v>40.400500000000001</v>
      </c>
      <c r="AB36" s="145">
        <v>13.5261</v>
      </c>
      <c r="AC36" s="145">
        <v>10.725</v>
      </c>
    </row>
    <row r="37" spans="15:29" x14ac:dyDescent="0.2">
      <c r="O37" s="118">
        <v>220</v>
      </c>
      <c r="P37" s="118">
        <v>5555.1</v>
      </c>
      <c r="Q37" s="145">
        <v>14.1111</v>
      </c>
      <c r="R37" s="145">
        <v>2.5411699999999999E-2</v>
      </c>
      <c r="S37" s="145">
        <v>3.71083E-3</v>
      </c>
      <c r="T37" s="145">
        <v>1.0518000000000001</v>
      </c>
      <c r="U37" s="145">
        <v>60.746099999999998</v>
      </c>
      <c r="V37" s="145">
        <v>0.27975</v>
      </c>
      <c r="W37" s="145">
        <v>1.0274399999999999</v>
      </c>
      <c r="X37" s="145">
        <v>3.02858E-6</v>
      </c>
      <c r="Y37" s="145">
        <v>1633590000</v>
      </c>
      <c r="Z37" s="145">
        <v>12.937900000000001</v>
      </c>
      <c r="AA37" s="145">
        <v>38.990400000000001</v>
      </c>
      <c r="AB37" s="145">
        <v>12.937900000000001</v>
      </c>
      <c r="AC37" s="145">
        <v>10.725</v>
      </c>
    </row>
    <row r="38" spans="15:29" x14ac:dyDescent="0.2">
      <c r="O38" s="118">
        <v>220</v>
      </c>
      <c r="P38" s="118">
        <v>5757.14</v>
      </c>
      <c r="Q38" s="145">
        <v>14.4314</v>
      </c>
      <c r="R38" s="145">
        <v>2.59559E-2</v>
      </c>
      <c r="S38" s="145">
        <v>3.62846E-3</v>
      </c>
      <c r="T38" s="145">
        <v>1.0657799999999999</v>
      </c>
      <c r="U38" s="145">
        <v>60.783200000000001</v>
      </c>
      <c r="V38" s="145">
        <v>0.28010400000000002</v>
      </c>
      <c r="W38" s="145">
        <v>1.02681</v>
      </c>
      <c r="X38" s="145">
        <v>3.0165599999999998E-6</v>
      </c>
      <c r="Y38" s="145">
        <v>1717630000</v>
      </c>
      <c r="Z38" s="145">
        <v>12.391400000000001</v>
      </c>
      <c r="AA38" s="145">
        <v>37.667999999999999</v>
      </c>
      <c r="AB38" s="145">
        <v>12.391400000000001</v>
      </c>
      <c r="AC38" s="145">
        <v>10.725</v>
      </c>
    </row>
    <row r="39" spans="15:29" x14ac:dyDescent="0.2">
      <c r="O39" s="118">
        <v>220</v>
      </c>
      <c r="P39" s="118">
        <v>5959.18</v>
      </c>
      <c r="Q39" s="145">
        <v>14.739699999999999</v>
      </c>
      <c r="R39" s="145">
        <v>2.64952E-2</v>
      </c>
      <c r="S39" s="145">
        <v>3.5525700000000001E-3</v>
      </c>
      <c r="T39" s="145">
        <v>1.0800399999999999</v>
      </c>
      <c r="U39" s="145">
        <v>60.8202</v>
      </c>
      <c r="V39" s="145">
        <v>0.28045799999999999</v>
      </c>
      <c r="W39" s="145">
        <v>1.0261899999999999</v>
      </c>
      <c r="X39" s="145">
        <v>3.0046399999999998E-6</v>
      </c>
      <c r="Y39" s="145">
        <v>1801760000</v>
      </c>
      <c r="Z39" s="145">
        <v>11.8828</v>
      </c>
      <c r="AA39" s="145">
        <v>36.426299999999998</v>
      </c>
      <c r="AB39" s="145">
        <v>11.8828</v>
      </c>
      <c r="AC39" s="145">
        <v>10.725</v>
      </c>
    </row>
    <row r="40" spans="15:29" x14ac:dyDescent="0.2">
      <c r="O40" s="118">
        <v>220</v>
      </c>
      <c r="P40" s="118">
        <v>6161.22</v>
      </c>
      <c r="Q40" s="145">
        <v>15.0366</v>
      </c>
      <c r="R40" s="145">
        <v>2.7029399999999999E-2</v>
      </c>
      <c r="S40" s="145">
        <v>3.4824299999999999E-3</v>
      </c>
      <c r="T40" s="145">
        <v>1.0945400000000001</v>
      </c>
      <c r="U40" s="145">
        <v>60.856999999999999</v>
      </c>
      <c r="V40" s="145">
        <v>0.28081200000000001</v>
      </c>
      <c r="W40" s="145">
        <v>1.0255700000000001</v>
      </c>
      <c r="X40" s="145">
        <v>2.9928099999999998E-6</v>
      </c>
      <c r="Y40" s="145">
        <v>1885910000</v>
      </c>
      <c r="Z40" s="145">
        <v>11.409000000000001</v>
      </c>
      <c r="AA40" s="145">
        <v>35.259</v>
      </c>
      <c r="AB40" s="145">
        <v>11.409000000000001</v>
      </c>
      <c r="AC40" s="145">
        <v>10.725</v>
      </c>
    </row>
    <row r="41" spans="15:29" x14ac:dyDescent="0.2">
      <c r="O41" s="118">
        <v>220</v>
      </c>
      <c r="P41" s="118">
        <v>6363.27</v>
      </c>
      <c r="Q41" s="145">
        <v>15.3226</v>
      </c>
      <c r="R41" s="145">
        <v>2.7558300000000001E-2</v>
      </c>
      <c r="S41" s="145">
        <v>3.41742E-3</v>
      </c>
      <c r="T41" s="145">
        <v>1.10927</v>
      </c>
      <c r="U41" s="145">
        <v>60.893799999999999</v>
      </c>
      <c r="V41" s="145">
        <v>0.281167</v>
      </c>
      <c r="W41" s="145">
        <v>1.02495</v>
      </c>
      <c r="X41" s="145">
        <v>2.9810700000000002E-6</v>
      </c>
      <c r="Y41" s="145">
        <v>1970040000</v>
      </c>
      <c r="Z41" s="145">
        <v>10.966900000000001</v>
      </c>
      <c r="AA41" s="145">
        <v>34.160200000000003</v>
      </c>
      <c r="AB41" s="145">
        <v>10.966900000000001</v>
      </c>
      <c r="AC41" s="145">
        <v>10.725</v>
      </c>
    </row>
    <row r="42" spans="15:29" x14ac:dyDescent="0.2">
      <c r="O42" s="118">
        <v>220</v>
      </c>
      <c r="P42" s="118">
        <v>6565.31</v>
      </c>
      <c r="Q42" s="145">
        <v>15.5984</v>
      </c>
      <c r="R42" s="145">
        <v>2.8081700000000001E-2</v>
      </c>
      <c r="S42" s="145">
        <v>3.3570000000000002E-3</v>
      </c>
      <c r="T42" s="145">
        <v>1.12419</v>
      </c>
      <c r="U42" s="145">
        <v>60.930399999999999</v>
      </c>
      <c r="V42" s="145">
        <v>0.28152100000000002</v>
      </c>
      <c r="W42" s="145">
        <v>1.02433</v>
      </c>
      <c r="X42" s="145">
        <v>2.9694299999999999E-6</v>
      </c>
      <c r="Y42" s="145">
        <v>2054120000</v>
      </c>
      <c r="Z42" s="145">
        <v>10.553900000000001</v>
      </c>
      <c r="AA42" s="145">
        <v>33.124699999999997</v>
      </c>
      <c r="AB42" s="145">
        <v>10.553900000000001</v>
      </c>
      <c r="AC42" s="145">
        <v>10.725</v>
      </c>
    </row>
    <row r="43" spans="15:29" x14ac:dyDescent="0.2">
      <c r="O43" s="118">
        <v>220</v>
      </c>
      <c r="P43" s="118">
        <v>6767.35</v>
      </c>
      <c r="Q43" s="145">
        <v>15.8645</v>
      </c>
      <c r="R43" s="145">
        <v>2.8599599999999999E-2</v>
      </c>
      <c r="S43" s="145">
        <v>3.3007000000000002E-3</v>
      </c>
      <c r="T43" s="145">
        <v>1.1393</v>
      </c>
      <c r="U43" s="145">
        <v>60.966900000000003</v>
      </c>
      <c r="V43" s="145">
        <v>0.28187499999999999</v>
      </c>
      <c r="W43" s="145">
        <v>1.02372</v>
      </c>
      <c r="X43" s="145">
        <v>2.9578700000000001E-6</v>
      </c>
      <c r="Y43" s="145">
        <v>2138100000</v>
      </c>
      <c r="Z43" s="145">
        <v>10.1675</v>
      </c>
      <c r="AA43" s="145">
        <v>32.147599999999997</v>
      </c>
      <c r="AB43" s="145">
        <v>10.1675</v>
      </c>
      <c r="AC43" s="145">
        <v>10.725</v>
      </c>
    </row>
    <row r="44" spans="15:29" x14ac:dyDescent="0.2">
      <c r="O44" s="118">
        <v>220</v>
      </c>
      <c r="P44" s="118">
        <v>6969.39</v>
      </c>
      <c r="Q44" s="145">
        <v>16.121300000000002</v>
      </c>
      <c r="R44" s="145">
        <v>2.9111700000000001E-2</v>
      </c>
      <c r="S44" s="145">
        <v>3.2481200000000002E-3</v>
      </c>
      <c r="T44" s="145">
        <v>1.1545700000000001</v>
      </c>
      <c r="U44" s="145">
        <v>61.003300000000003</v>
      </c>
      <c r="V44" s="145">
        <v>0.28222900000000001</v>
      </c>
      <c r="W44" s="145">
        <v>1.02311</v>
      </c>
      <c r="X44" s="145">
        <v>2.9464100000000001E-6</v>
      </c>
      <c r="Y44" s="145">
        <v>2221960000</v>
      </c>
      <c r="Z44" s="145">
        <v>9.8055000000000003</v>
      </c>
      <c r="AA44" s="145">
        <v>31.224399999999999</v>
      </c>
      <c r="AB44" s="145">
        <v>9.8055000000000003</v>
      </c>
      <c r="AC44" s="145">
        <v>10.725</v>
      </c>
    </row>
    <row r="45" spans="15:29" x14ac:dyDescent="0.2">
      <c r="O45" s="118">
        <v>220</v>
      </c>
      <c r="P45" s="118">
        <v>7171.43</v>
      </c>
      <c r="Q45" s="145">
        <v>16.369299999999999</v>
      </c>
      <c r="R45" s="145">
        <v>2.9618200000000001E-2</v>
      </c>
      <c r="S45" s="145">
        <v>3.1989000000000002E-3</v>
      </c>
      <c r="T45" s="145">
        <v>1.16998</v>
      </c>
      <c r="U45" s="145">
        <v>61.039499999999997</v>
      </c>
      <c r="V45" s="145">
        <v>0.282584</v>
      </c>
      <c r="W45" s="145">
        <v>1.0225</v>
      </c>
      <c r="X45" s="145">
        <v>2.9350299999999998E-6</v>
      </c>
      <c r="Y45" s="145">
        <v>2305670000</v>
      </c>
      <c r="Z45" s="145">
        <v>9.4659399999999998</v>
      </c>
      <c r="AA45" s="145">
        <v>30.351199999999999</v>
      </c>
      <c r="AB45" s="145">
        <v>9.4659399999999998</v>
      </c>
      <c r="AC45" s="145">
        <v>10.725</v>
      </c>
    </row>
    <row r="46" spans="15:29" x14ac:dyDescent="0.2">
      <c r="O46" s="118">
        <v>220</v>
      </c>
      <c r="P46" s="118">
        <v>7373.47</v>
      </c>
      <c r="Q46" s="145">
        <v>16.609000000000002</v>
      </c>
      <c r="R46" s="145">
        <v>3.0119E-2</v>
      </c>
      <c r="S46" s="145">
        <v>3.1527299999999999E-3</v>
      </c>
      <c r="T46" s="145">
        <v>1.18553</v>
      </c>
      <c r="U46" s="145">
        <v>61.075600000000001</v>
      </c>
      <c r="V46" s="145">
        <v>0.28293800000000002</v>
      </c>
      <c r="W46" s="145">
        <v>1.02189</v>
      </c>
      <c r="X46" s="145">
        <v>2.9237500000000002E-6</v>
      </c>
      <c r="Y46" s="145">
        <v>2389200000</v>
      </c>
      <c r="Z46" s="145">
        <v>9.1470099999999999</v>
      </c>
      <c r="AA46" s="145">
        <v>29.5243</v>
      </c>
      <c r="AB46" s="145">
        <v>9.1470099999999999</v>
      </c>
      <c r="AC46" s="145">
        <v>10.725</v>
      </c>
    </row>
    <row r="47" spans="15:29" x14ac:dyDescent="0.2">
      <c r="O47" s="118">
        <v>220</v>
      </c>
      <c r="P47" s="118">
        <v>7575.51</v>
      </c>
      <c r="Q47" s="145">
        <v>16.840900000000001</v>
      </c>
      <c r="R47" s="145">
        <v>3.0613999999999999E-2</v>
      </c>
      <c r="S47" s="145">
        <v>3.10933E-3</v>
      </c>
      <c r="T47" s="145">
        <v>1.2012</v>
      </c>
      <c r="U47" s="145">
        <v>61.111699999999999</v>
      </c>
      <c r="V47" s="145">
        <v>0.28329199999999999</v>
      </c>
      <c r="W47" s="145">
        <v>1.02129</v>
      </c>
      <c r="X47" s="145">
        <v>2.9125500000000002E-6</v>
      </c>
      <c r="Y47" s="145">
        <v>2472550000</v>
      </c>
      <c r="Z47" s="145">
        <v>8.8470600000000008</v>
      </c>
      <c r="AA47" s="145">
        <v>28.740300000000001</v>
      </c>
      <c r="AB47" s="145">
        <v>8.8470600000000008</v>
      </c>
      <c r="AC47" s="145">
        <v>10.725</v>
      </c>
    </row>
    <row r="48" spans="15:29" x14ac:dyDescent="0.2">
      <c r="O48" s="118">
        <v>220</v>
      </c>
      <c r="P48" s="118">
        <v>7777.55</v>
      </c>
      <c r="Q48" s="145">
        <v>17.065200000000001</v>
      </c>
      <c r="R48" s="145">
        <v>3.11034E-2</v>
      </c>
      <c r="S48" s="145">
        <v>3.0684499999999999E-3</v>
      </c>
      <c r="T48" s="145">
        <v>1.21698</v>
      </c>
      <c r="U48" s="145">
        <v>61.147599999999997</v>
      </c>
      <c r="V48" s="145">
        <v>0.28364600000000001</v>
      </c>
      <c r="W48" s="145">
        <v>1.0206900000000001</v>
      </c>
      <c r="X48" s="145">
        <v>2.9014299999999998E-6</v>
      </c>
      <c r="Y48" s="145">
        <v>2555680000</v>
      </c>
      <c r="Z48" s="145">
        <v>8.5646100000000001</v>
      </c>
      <c r="AA48" s="145">
        <v>27.996099999999998</v>
      </c>
      <c r="AB48" s="145">
        <v>8.5646100000000001</v>
      </c>
      <c r="AC48" s="145">
        <v>10.725</v>
      </c>
    </row>
    <row r="49" spans="15:29" x14ac:dyDescent="0.2">
      <c r="O49" s="118">
        <v>220</v>
      </c>
      <c r="P49" s="118">
        <v>7979.59</v>
      </c>
      <c r="Q49" s="145">
        <v>17.282499999999999</v>
      </c>
      <c r="R49" s="145">
        <v>3.1587200000000003E-2</v>
      </c>
      <c r="S49" s="145">
        <v>3.02988E-3</v>
      </c>
      <c r="T49" s="145">
        <v>1.2328600000000001</v>
      </c>
      <c r="U49" s="145">
        <v>61.183399999999999</v>
      </c>
      <c r="V49" s="145">
        <v>0.28399999999999997</v>
      </c>
      <c r="W49" s="145">
        <v>1.0201</v>
      </c>
      <c r="X49" s="145">
        <v>2.8903999999999999E-6</v>
      </c>
      <c r="Y49" s="145">
        <v>2638590000</v>
      </c>
      <c r="Z49" s="145">
        <v>8.2983200000000004</v>
      </c>
      <c r="AA49" s="145">
        <v>27.289000000000001</v>
      </c>
      <c r="AB49" s="145">
        <v>8.2983200000000004</v>
      </c>
      <c r="AC49" s="145">
        <v>10.725</v>
      </c>
    </row>
    <row r="50" spans="15:29" x14ac:dyDescent="0.2">
      <c r="O50" s="118">
        <v>220</v>
      </c>
      <c r="P50" s="118">
        <v>8181.63</v>
      </c>
      <c r="Q50" s="145">
        <v>17.492999999999999</v>
      </c>
      <c r="R50" s="145">
        <v>3.2065400000000001E-2</v>
      </c>
      <c r="S50" s="145">
        <v>2.9934200000000001E-3</v>
      </c>
      <c r="T50" s="145">
        <v>1.2488300000000001</v>
      </c>
      <c r="U50" s="145">
        <v>61.219000000000001</v>
      </c>
      <c r="V50" s="145">
        <v>0.28435500000000002</v>
      </c>
      <c r="W50" s="145">
        <v>1.0195000000000001</v>
      </c>
      <c r="X50" s="145">
        <v>2.87945E-6</v>
      </c>
      <c r="Y50" s="145">
        <v>2721280000</v>
      </c>
      <c r="Z50" s="145">
        <v>8.0469600000000003</v>
      </c>
      <c r="AA50" s="145">
        <v>26.616299999999999</v>
      </c>
      <c r="AB50" s="145">
        <v>8.0469600000000003</v>
      </c>
      <c r="AC50" s="145">
        <v>10.725</v>
      </c>
    </row>
    <row r="51" spans="15:29" x14ac:dyDescent="0.2">
      <c r="O51" s="118">
        <v>220</v>
      </c>
      <c r="P51" s="118">
        <v>8383.67</v>
      </c>
      <c r="Q51" s="145">
        <v>17.696999999999999</v>
      </c>
      <c r="R51" s="145">
        <v>3.25381E-2</v>
      </c>
      <c r="S51" s="145">
        <v>2.9589E-3</v>
      </c>
      <c r="T51" s="145">
        <v>1.2648699999999999</v>
      </c>
      <c r="U51" s="145">
        <v>61.254600000000003</v>
      </c>
      <c r="V51" s="145">
        <v>0.28470899999999999</v>
      </c>
      <c r="W51" s="145">
        <v>1.01891</v>
      </c>
      <c r="X51" s="145">
        <v>2.8685799999999998E-6</v>
      </c>
      <c r="Y51" s="145">
        <v>2803710000</v>
      </c>
      <c r="Z51" s="145">
        <v>7.8094099999999997</v>
      </c>
      <c r="AA51" s="145">
        <v>25.9757</v>
      </c>
      <c r="AB51" s="145">
        <v>7.8094099999999997</v>
      </c>
      <c r="AC51" s="145">
        <v>10.725</v>
      </c>
    </row>
    <row r="52" spans="15:29" x14ac:dyDescent="0.2">
      <c r="O52" s="118">
        <v>220</v>
      </c>
      <c r="P52" s="118">
        <v>8585.7099999999991</v>
      </c>
      <c r="Q52" s="145">
        <v>17.895</v>
      </c>
      <c r="R52" s="145">
        <v>3.3005399999999997E-2</v>
      </c>
      <c r="S52" s="145">
        <v>2.9261700000000001E-3</v>
      </c>
      <c r="T52" s="145">
        <v>1.28098</v>
      </c>
      <c r="U52" s="145">
        <v>61.29</v>
      </c>
      <c r="V52" s="145">
        <v>0.28506300000000001</v>
      </c>
      <c r="W52" s="145">
        <v>1.0183199999999999</v>
      </c>
      <c r="X52" s="145">
        <v>2.8578E-6</v>
      </c>
      <c r="Y52" s="145">
        <v>2885890000</v>
      </c>
      <c r="Z52" s="145">
        <v>7.5846600000000004</v>
      </c>
      <c r="AA52" s="145">
        <v>25.364999999999998</v>
      </c>
      <c r="AB52" s="145">
        <v>7.5846600000000004</v>
      </c>
      <c r="AC52" s="145">
        <v>10.725</v>
      </c>
    </row>
    <row r="53" spans="15:29" x14ac:dyDescent="0.2">
      <c r="O53" s="118">
        <v>220</v>
      </c>
      <c r="P53" s="118">
        <v>8787.75</v>
      </c>
      <c r="Q53" s="145">
        <v>18.087199999999999</v>
      </c>
      <c r="R53" s="145">
        <v>3.3467299999999998E-2</v>
      </c>
      <c r="S53" s="145">
        <v>2.89508E-3</v>
      </c>
      <c r="T53" s="145">
        <v>1.2971600000000001</v>
      </c>
      <c r="U53" s="145">
        <v>61.325400000000002</v>
      </c>
      <c r="V53" s="145">
        <v>0.28541699999999998</v>
      </c>
      <c r="W53" s="145">
        <v>1.01773</v>
      </c>
      <c r="X53" s="145">
        <v>2.8470999999999998E-6</v>
      </c>
      <c r="Y53" s="145">
        <v>2967820000</v>
      </c>
      <c r="Z53" s="145">
        <v>7.3717899999999998</v>
      </c>
      <c r="AA53" s="145">
        <v>24.782299999999999</v>
      </c>
      <c r="AB53" s="145">
        <v>7.3717899999999998</v>
      </c>
      <c r="AC53" s="145">
        <v>10.725</v>
      </c>
    </row>
    <row r="54" spans="15:29" x14ac:dyDescent="0.2">
      <c r="O54" s="118">
        <v>220</v>
      </c>
      <c r="P54" s="118">
        <v>8989.7999999999993</v>
      </c>
      <c r="Q54" s="145">
        <v>18.273800000000001</v>
      </c>
      <c r="R54" s="145">
        <v>3.3924099999999999E-2</v>
      </c>
      <c r="S54" s="145">
        <v>2.8655099999999999E-3</v>
      </c>
      <c r="T54" s="145">
        <v>1.3133999999999999</v>
      </c>
      <c r="U54" s="145">
        <v>61.360599999999998</v>
      </c>
      <c r="V54" s="145">
        <v>0.28577200000000003</v>
      </c>
      <c r="W54" s="145">
        <v>1.01715</v>
      </c>
      <c r="X54" s="145">
        <v>2.8364699999999999E-6</v>
      </c>
      <c r="Y54" s="145">
        <v>3049490000</v>
      </c>
      <c r="Z54" s="145">
        <v>7.1699400000000004</v>
      </c>
      <c r="AA54" s="145">
        <v>24.2258</v>
      </c>
      <c r="AB54" s="145">
        <v>7.1699400000000004</v>
      </c>
      <c r="AC54" s="145">
        <v>10.725</v>
      </c>
    </row>
    <row r="55" spans="15:29" x14ac:dyDescent="0.2">
      <c r="O55" s="118">
        <v>220</v>
      </c>
      <c r="P55" s="118">
        <v>9191.84</v>
      </c>
      <c r="Q55" s="145">
        <v>18.455200000000001</v>
      </c>
      <c r="R55" s="145">
        <v>3.4375599999999999E-2</v>
      </c>
      <c r="S55" s="145">
        <v>2.8373500000000002E-3</v>
      </c>
      <c r="T55" s="145">
        <v>1.32969</v>
      </c>
      <c r="U55" s="145">
        <v>61.395699999999998</v>
      </c>
      <c r="V55" s="145">
        <v>0.28612599999999999</v>
      </c>
      <c r="W55" s="145">
        <v>1.01657</v>
      </c>
      <c r="X55" s="145">
        <v>2.8259299999999999E-6</v>
      </c>
      <c r="Y55" s="145">
        <v>3130880000</v>
      </c>
      <c r="Z55" s="145">
        <v>6.9783400000000002</v>
      </c>
      <c r="AA55" s="145">
        <v>23.6937</v>
      </c>
      <c r="AB55" s="145">
        <v>6.9783400000000002</v>
      </c>
      <c r="AC55" s="145">
        <v>10.725</v>
      </c>
    </row>
    <row r="56" spans="15:29" x14ac:dyDescent="0.2">
      <c r="O56" s="118">
        <v>220</v>
      </c>
      <c r="P56" s="118">
        <v>9393.8799999999992</v>
      </c>
      <c r="Q56" s="145">
        <v>18.631599999999999</v>
      </c>
      <c r="R56" s="145">
        <v>3.4822199999999998E-2</v>
      </c>
      <c r="S56" s="145">
        <v>2.8104900000000001E-3</v>
      </c>
      <c r="T56" s="145">
        <v>1.34602</v>
      </c>
      <c r="U56" s="145">
        <v>61.430700000000002</v>
      </c>
      <c r="V56" s="145">
        <v>0.28648000000000001</v>
      </c>
      <c r="W56" s="145">
        <v>1.0159899999999999</v>
      </c>
      <c r="X56" s="145">
        <v>2.8154600000000001E-6</v>
      </c>
      <c r="Y56" s="145">
        <v>3212000000</v>
      </c>
      <c r="Z56" s="145">
        <v>6.7962999999999996</v>
      </c>
      <c r="AA56" s="145">
        <v>23.1845</v>
      </c>
      <c r="AB56" s="145">
        <v>6.7962999999999996</v>
      </c>
      <c r="AC56" s="145">
        <v>10.725</v>
      </c>
    </row>
    <row r="57" spans="15:29" x14ac:dyDescent="0.2">
      <c r="O57" s="118">
        <v>220</v>
      </c>
      <c r="P57" s="118">
        <v>9595.92</v>
      </c>
      <c r="Q57" s="145">
        <v>18.8032</v>
      </c>
      <c r="R57" s="145">
        <v>3.5263799999999998E-2</v>
      </c>
      <c r="S57" s="145">
        <v>2.7848399999999998E-3</v>
      </c>
      <c r="T57" s="145">
        <v>1.36239</v>
      </c>
      <c r="U57" s="145">
        <v>61.465600000000002</v>
      </c>
      <c r="V57" s="145">
        <v>0.28683399999999998</v>
      </c>
      <c r="W57" s="145">
        <v>1.0154099999999999</v>
      </c>
      <c r="X57" s="145">
        <v>2.8050799999999999E-6</v>
      </c>
      <c r="Y57" s="145">
        <v>3292850000</v>
      </c>
      <c r="Z57" s="145">
        <v>6.6231499999999999</v>
      </c>
      <c r="AA57" s="145">
        <v>22.6967</v>
      </c>
      <c r="AB57" s="145">
        <v>6.6231499999999999</v>
      </c>
      <c r="AC57" s="145">
        <v>10.725</v>
      </c>
    </row>
    <row r="58" spans="15:29" x14ac:dyDescent="0.2">
      <c r="O58" s="118">
        <v>220</v>
      </c>
      <c r="P58" s="118">
        <v>9797.9599999999991</v>
      </c>
      <c r="Q58" s="145">
        <v>18.970199999999998</v>
      </c>
      <c r="R58" s="145">
        <v>3.5700500000000003E-2</v>
      </c>
      <c r="S58" s="145">
        <v>2.7603200000000001E-3</v>
      </c>
      <c r="T58" s="145">
        <v>1.3788</v>
      </c>
      <c r="U58" s="145">
        <v>61.500399999999999</v>
      </c>
      <c r="V58" s="145">
        <v>0.28718900000000003</v>
      </c>
      <c r="W58" s="145">
        <v>1.01484</v>
      </c>
      <c r="X58" s="145">
        <v>2.7947600000000001E-6</v>
      </c>
      <c r="Y58" s="145">
        <v>3373420000</v>
      </c>
      <c r="Z58" s="145">
        <v>6.45831</v>
      </c>
      <c r="AA58" s="145">
        <v>22.229199999999999</v>
      </c>
      <c r="AB58" s="145">
        <v>6.45831</v>
      </c>
      <c r="AC58" s="145">
        <v>10.725</v>
      </c>
    </row>
    <row r="59" spans="15:29" x14ac:dyDescent="0.2">
      <c r="O59" s="118">
        <v>220</v>
      </c>
      <c r="P59" s="118">
        <v>10000</v>
      </c>
      <c r="Q59" s="145">
        <v>19.132899999999999</v>
      </c>
      <c r="R59" s="145">
        <v>3.6132499999999998E-2</v>
      </c>
      <c r="S59" s="145">
        <v>2.7368499999999999E-3</v>
      </c>
      <c r="T59" s="145">
        <v>1.39523</v>
      </c>
      <c r="U59" s="145">
        <v>61.534999999999997</v>
      </c>
      <c r="V59" s="145">
        <v>0.28754299999999999</v>
      </c>
      <c r="W59" s="145">
        <v>1.01427</v>
      </c>
      <c r="X59" s="145">
        <v>2.7845300000000002E-6</v>
      </c>
      <c r="Y59" s="145">
        <v>3453710000</v>
      </c>
      <c r="Z59" s="145">
        <v>6.3012300000000003</v>
      </c>
      <c r="AA59" s="145">
        <v>21.7806</v>
      </c>
      <c r="AB59" s="145">
        <v>6.3012300000000003</v>
      </c>
      <c r="AC59" s="145">
        <v>10.725</v>
      </c>
    </row>
    <row r="60" spans="15:29" x14ac:dyDescent="0.2">
      <c r="O60" s="118"/>
      <c r="P60" s="118"/>
      <c r="Q60" s="145"/>
      <c r="R60" s="145"/>
      <c r="S60" s="145"/>
      <c r="T60" s="145"/>
      <c r="U60" s="145"/>
      <c r="V60" s="145"/>
      <c r="W60" s="145"/>
      <c r="X60" s="145"/>
      <c r="Y60" s="145"/>
      <c r="Z60" s="145"/>
      <c r="AA60" s="145"/>
      <c r="AB60" s="145"/>
      <c r="AC60" s="145"/>
    </row>
    <row r="61" spans="15:29" x14ac:dyDescent="0.2">
      <c r="O61" s="118"/>
      <c r="P61" s="118"/>
      <c r="Q61" s="145"/>
      <c r="R61" s="145"/>
      <c r="S61" s="145"/>
      <c r="T61" s="145"/>
      <c r="U61" s="145"/>
      <c r="V61" s="145"/>
      <c r="W61" s="145"/>
      <c r="X61" s="145"/>
      <c r="Y61" s="145"/>
      <c r="Z61" s="145"/>
      <c r="AA61" s="145"/>
      <c r="AB61" s="145"/>
      <c r="AC61" s="145"/>
    </row>
    <row r="62" spans="15:29" x14ac:dyDescent="0.2">
      <c r="O62" s="118"/>
      <c r="P62" s="118"/>
      <c r="Q62" s="145"/>
      <c r="R62" s="145"/>
      <c r="S62" s="145"/>
      <c r="T62" s="145"/>
      <c r="U62" s="145"/>
      <c r="V62" s="145"/>
      <c r="W62" s="145"/>
      <c r="X62" s="145"/>
      <c r="Y62" s="145"/>
      <c r="Z62" s="145"/>
      <c r="AA62" s="145"/>
      <c r="AB62" s="145"/>
      <c r="AC62" s="145"/>
    </row>
    <row r="63" spans="15:29" x14ac:dyDescent="0.2">
      <c r="O63" s="118"/>
      <c r="P63" s="118"/>
      <c r="Q63" s="145"/>
      <c r="R63" s="145"/>
      <c r="S63" s="145"/>
      <c r="T63" s="145"/>
      <c r="U63" s="145"/>
      <c r="V63" s="145"/>
      <c r="W63" s="145"/>
      <c r="X63" s="145"/>
      <c r="Y63" s="145"/>
      <c r="Z63" s="145"/>
      <c r="AA63" s="145"/>
      <c r="AB63" s="145"/>
      <c r="AC63" s="145"/>
    </row>
    <row r="64" spans="15:29" x14ac:dyDescent="0.2">
      <c r="O64" s="118"/>
      <c r="P64" s="118"/>
      <c r="Q64" s="145"/>
      <c r="R64" s="145"/>
      <c r="S64" s="145"/>
      <c r="T64" s="145"/>
      <c r="U64" s="145"/>
      <c r="V64" s="145"/>
      <c r="W64" s="145"/>
      <c r="X64" s="145"/>
      <c r="Y64" s="145"/>
      <c r="Z64" s="145"/>
      <c r="AA64" s="145"/>
      <c r="AB64" s="145"/>
      <c r="AC64" s="145"/>
    </row>
    <row r="65" spans="15:29" x14ac:dyDescent="0.2">
      <c r="O65" s="118"/>
      <c r="P65" s="118"/>
      <c r="Q65" s="145"/>
      <c r="R65" s="145"/>
      <c r="S65" s="145"/>
      <c r="T65" s="145"/>
      <c r="U65" s="145"/>
      <c r="V65" s="145"/>
      <c r="W65" s="145"/>
      <c r="X65" s="145"/>
      <c r="Y65" s="145"/>
      <c r="Z65" s="145"/>
      <c r="AA65" s="145"/>
      <c r="AB65" s="145"/>
      <c r="AC65" s="145"/>
    </row>
    <row r="66" spans="15:29" x14ac:dyDescent="0.2">
      <c r="O66" s="118"/>
      <c r="P66" s="118"/>
      <c r="Q66" s="145"/>
      <c r="R66" s="145"/>
      <c r="S66" s="145"/>
      <c r="T66" s="145"/>
      <c r="U66" s="145"/>
      <c r="V66" s="145"/>
      <c r="W66" s="145"/>
      <c r="X66" s="145"/>
      <c r="Y66" s="145"/>
      <c r="Z66" s="145"/>
      <c r="AA66" s="145"/>
      <c r="AB66" s="145"/>
      <c r="AC66" s="145"/>
    </row>
    <row r="67" spans="15:29" x14ac:dyDescent="0.2">
      <c r="O67" s="118"/>
      <c r="P67" s="118"/>
      <c r="Q67" s="145"/>
      <c r="R67" s="145"/>
      <c r="S67" s="145"/>
      <c r="T67" s="145"/>
      <c r="U67" s="145"/>
      <c r="V67" s="145"/>
      <c r="W67" s="145"/>
      <c r="X67" s="145"/>
      <c r="Y67" s="145"/>
      <c r="Z67" s="145"/>
      <c r="AA67" s="145"/>
      <c r="AB67" s="145"/>
      <c r="AC67" s="145"/>
    </row>
    <row r="68" spans="15:29" x14ac:dyDescent="0.2">
      <c r="O68" s="118"/>
      <c r="P68" s="118"/>
      <c r="Q68" s="145"/>
      <c r="R68" s="145"/>
      <c r="S68" s="145"/>
      <c r="T68" s="145"/>
      <c r="U68" s="145"/>
      <c r="V68" s="145"/>
      <c r="W68" s="145"/>
      <c r="X68" s="145"/>
      <c r="Y68" s="145"/>
      <c r="Z68" s="145"/>
      <c r="AA68" s="145"/>
      <c r="AB68" s="145"/>
      <c r="AC68" s="145"/>
    </row>
    <row r="69" spans="15:29" x14ac:dyDescent="0.2">
      <c r="O69" s="118"/>
      <c r="P69" s="118"/>
      <c r="Q69" s="145"/>
      <c r="R69" s="145"/>
      <c r="S69" s="145"/>
      <c r="T69" s="145"/>
      <c r="U69" s="145"/>
      <c r="V69" s="145"/>
      <c r="W69" s="145"/>
      <c r="X69" s="145"/>
      <c r="Y69" s="145"/>
      <c r="Z69" s="145"/>
      <c r="AA69" s="145"/>
      <c r="AB69" s="145"/>
      <c r="AC69" s="145"/>
    </row>
    <row r="70" spans="15:29" x14ac:dyDescent="0.2">
      <c r="O70" s="118"/>
      <c r="P70" s="118"/>
      <c r="Q70" s="145"/>
      <c r="R70" s="145"/>
      <c r="S70" s="145"/>
      <c r="T70" s="145"/>
      <c r="U70" s="145"/>
      <c r="V70" s="145"/>
      <c r="W70" s="145"/>
      <c r="X70" s="145"/>
      <c r="Y70" s="145"/>
      <c r="Z70" s="145"/>
      <c r="AA70" s="145"/>
      <c r="AB70" s="145"/>
      <c r="AC70" s="145"/>
    </row>
    <row r="71" spans="15:29" x14ac:dyDescent="0.2">
      <c r="O71" s="118"/>
      <c r="P71" s="118"/>
      <c r="Q71" s="145"/>
      <c r="R71" s="145"/>
      <c r="S71" s="145"/>
      <c r="T71" s="145"/>
      <c r="U71" s="145"/>
      <c r="V71" s="145"/>
      <c r="W71" s="145"/>
      <c r="X71" s="145"/>
      <c r="Y71" s="145"/>
      <c r="Z71" s="145"/>
      <c r="AA71" s="145"/>
      <c r="AB71" s="145"/>
      <c r="AC71" s="145"/>
    </row>
    <row r="72" spans="15:29" x14ac:dyDescent="0.2">
      <c r="O72" s="118"/>
      <c r="P72" s="118"/>
      <c r="Q72" s="145"/>
      <c r="R72" s="145"/>
      <c r="S72" s="145"/>
      <c r="T72" s="145"/>
      <c r="U72" s="145"/>
      <c r="V72" s="145"/>
      <c r="W72" s="145"/>
      <c r="X72" s="145"/>
      <c r="Y72" s="145"/>
      <c r="Z72" s="145"/>
      <c r="AA72" s="145"/>
      <c r="AB72" s="145"/>
      <c r="AC72" s="145"/>
    </row>
    <row r="73" spans="15:29" x14ac:dyDescent="0.2">
      <c r="O73" s="118"/>
      <c r="P73" s="118"/>
      <c r="Q73" s="145"/>
      <c r="R73" s="145"/>
      <c r="S73" s="145"/>
      <c r="T73" s="145"/>
      <c r="U73" s="145"/>
      <c r="V73" s="145"/>
      <c r="W73" s="145"/>
      <c r="X73" s="145"/>
      <c r="Y73" s="145"/>
      <c r="Z73" s="145"/>
      <c r="AA73" s="145"/>
      <c r="AB73" s="145"/>
      <c r="AC73" s="145"/>
    </row>
    <row r="74" spans="15:29" x14ac:dyDescent="0.2">
      <c r="O74" s="118"/>
      <c r="P74" s="118"/>
      <c r="Q74" s="145"/>
      <c r="R74" s="145"/>
      <c r="S74" s="145"/>
      <c r="T74" s="145"/>
      <c r="U74" s="145"/>
      <c r="V74" s="145"/>
      <c r="W74" s="145"/>
      <c r="X74" s="145"/>
      <c r="Y74" s="145"/>
      <c r="Z74" s="145"/>
      <c r="AA74" s="145"/>
      <c r="AB74" s="145"/>
      <c r="AC74" s="145"/>
    </row>
    <row r="75" spans="15:29" x14ac:dyDescent="0.2">
      <c r="O75" s="118"/>
      <c r="P75" s="118"/>
      <c r="Q75" s="145"/>
      <c r="R75" s="145"/>
      <c r="S75" s="145"/>
      <c r="T75" s="145"/>
      <c r="U75" s="145"/>
      <c r="V75" s="145"/>
      <c r="W75" s="145"/>
      <c r="X75" s="145"/>
      <c r="Y75" s="145"/>
      <c r="Z75" s="145"/>
      <c r="AA75" s="145"/>
      <c r="AB75" s="145"/>
      <c r="AC75" s="145"/>
    </row>
    <row r="76" spans="15:29" x14ac:dyDescent="0.2">
      <c r="O76" s="118"/>
      <c r="P76" s="118"/>
      <c r="Q76" s="145"/>
      <c r="R76" s="145"/>
      <c r="S76" s="145"/>
      <c r="T76" s="145"/>
      <c r="U76" s="145"/>
      <c r="V76" s="145"/>
      <c r="W76" s="145"/>
      <c r="X76" s="145"/>
      <c r="Y76" s="145"/>
      <c r="Z76" s="145"/>
      <c r="AA76" s="145"/>
      <c r="AB76" s="145"/>
      <c r="AC76" s="145"/>
    </row>
    <row r="77" spans="15:29" x14ac:dyDescent="0.2">
      <c r="O77" s="118"/>
      <c r="P77" s="118"/>
      <c r="Q77" s="145"/>
      <c r="R77" s="145"/>
      <c r="S77" s="145"/>
      <c r="T77" s="145"/>
      <c r="U77" s="145"/>
      <c r="V77" s="145"/>
      <c r="W77" s="145"/>
      <c r="X77" s="145"/>
      <c r="Y77" s="145"/>
      <c r="Z77" s="145"/>
      <c r="AA77" s="145"/>
      <c r="AB77" s="145"/>
      <c r="AC77" s="145"/>
    </row>
    <row r="78" spans="15:29" x14ac:dyDescent="0.2">
      <c r="O78" s="118"/>
      <c r="P78" s="118"/>
      <c r="Q78" s="145"/>
      <c r="R78" s="145"/>
      <c r="S78" s="145"/>
      <c r="T78" s="145"/>
      <c r="U78" s="145"/>
      <c r="V78" s="145"/>
      <c r="W78" s="145"/>
      <c r="X78" s="145"/>
      <c r="Y78" s="145"/>
      <c r="Z78" s="145"/>
      <c r="AA78" s="145"/>
      <c r="AB78" s="145"/>
      <c r="AC78" s="145"/>
    </row>
    <row r="79" spans="15:29" x14ac:dyDescent="0.2">
      <c r="O79" s="118"/>
      <c r="P79" s="118"/>
      <c r="Q79" s="145"/>
      <c r="R79" s="145"/>
      <c r="S79" s="145"/>
      <c r="T79" s="145"/>
      <c r="U79" s="145"/>
      <c r="V79" s="145"/>
      <c r="W79" s="145"/>
      <c r="X79" s="145"/>
      <c r="Y79" s="145"/>
      <c r="Z79" s="145"/>
      <c r="AA79" s="145"/>
      <c r="AB79" s="145"/>
      <c r="AC79" s="145"/>
    </row>
    <row r="80" spans="15:29" x14ac:dyDescent="0.2">
      <c r="O80" s="118"/>
      <c r="P80" s="118"/>
      <c r="Q80" s="145"/>
      <c r="R80" s="145"/>
      <c r="S80" s="145"/>
      <c r="T80" s="145"/>
      <c r="U80" s="145"/>
      <c r="V80" s="145"/>
      <c r="W80" s="145"/>
      <c r="X80" s="145"/>
      <c r="Y80" s="145"/>
      <c r="Z80" s="145"/>
      <c r="AA80" s="145"/>
      <c r="AB80" s="145"/>
      <c r="AC80" s="145"/>
    </row>
    <row r="81" spans="15:29" x14ac:dyDescent="0.2">
      <c r="O81" s="118"/>
      <c r="P81" s="118"/>
      <c r="Q81" s="145"/>
      <c r="R81" s="145"/>
      <c r="S81" s="145"/>
      <c r="T81" s="145"/>
      <c r="U81" s="145"/>
      <c r="V81" s="145"/>
      <c r="W81" s="145"/>
      <c r="X81" s="145"/>
      <c r="Y81" s="145"/>
      <c r="Z81" s="145"/>
      <c r="AA81" s="145"/>
      <c r="AB81" s="145"/>
      <c r="AC81" s="145"/>
    </row>
    <row r="82" spans="15:29" x14ac:dyDescent="0.2">
      <c r="O82" s="118"/>
      <c r="P82" s="118"/>
      <c r="Q82" s="145"/>
      <c r="R82" s="145"/>
      <c r="S82" s="145"/>
      <c r="T82" s="145"/>
      <c r="U82" s="145"/>
      <c r="V82" s="145"/>
      <c r="W82" s="145"/>
      <c r="X82" s="145"/>
      <c r="Y82" s="145"/>
      <c r="Z82" s="145"/>
      <c r="AA82" s="145"/>
      <c r="AB82" s="145"/>
      <c r="AC82" s="145"/>
    </row>
    <row r="83" spans="15:29" x14ac:dyDescent="0.2">
      <c r="O83" s="118"/>
      <c r="P83" s="118"/>
      <c r="Q83" s="145"/>
      <c r="R83" s="145"/>
      <c r="S83" s="145"/>
      <c r="T83" s="145"/>
      <c r="U83" s="145"/>
      <c r="V83" s="145"/>
      <c r="W83" s="145"/>
      <c r="X83" s="145"/>
      <c r="Y83" s="145"/>
      <c r="Z83" s="145"/>
      <c r="AA83" s="145"/>
      <c r="AB83" s="145"/>
      <c r="AC83" s="145"/>
    </row>
    <row r="84" spans="15:29" x14ac:dyDescent="0.2">
      <c r="O84" s="118"/>
      <c r="P84" s="118"/>
      <c r="Q84" s="145"/>
      <c r="R84" s="145"/>
      <c r="S84" s="145"/>
      <c r="T84" s="145"/>
      <c r="U84" s="145"/>
      <c r="V84" s="145"/>
      <c r="W84" s="145"/>
      <c r="X84" s="145"/>
      <c r="Y84" s="145"/>
      <c r="Z84" s="145"/>
      <c r="AA84" s="145"/>
      <c r="AB84" s="145"/>
      <c r="AC84" s="145"/>
    </row>
    <row r="85" spans="15:29" x14ac:dyDescent="0.2">
      <c r="O85" s="118"/>
      <c r="P85" s="118"/>
      <c r="Q85" s="145"/>
      <c r="R85" s="145"/>
      <c r="S85" s="145"/>
      <c r="T85" s="145"/>
      <c r="U85" s="145"/>
      <c r="V85" s="145"/>
      <c r="W85" s="145"/>
      <c r="X85" s="145"/>
      <c r="Y85" s="145"/>
      <c r="Z85" s="145"/>
      <c r="AA85" s="145"/>
      <c r="AB85" s="145"/>
      <c r="AC85" s="145"/>
    </row>
    <row r="86" spans="15:29" x14ac:dyDescent="0.2">
      <c r="O86" s="118"/>
      <c r="P86" s="118"/>
      <c r="Q86" s="145"/>
      <c r="R86" s="145"/>
      <c r="S86" s="145"/>
      <c r="T86" s="145"/>
      <c r="U86" s="145"/>
      <c r="V86" s="145"/>
      <c r="W86" s="145"/>
      <c r="X86" s="145"/>
      <c r="Y86" s="145"/>
      <c r="Z86" s="145"/>
      <c r="AA86" s="145"/>
      <c r="AB86" s="145"/>
      <c r="AC86" s="145"/>
    </row>
    <row r="87" spans="15:29" x14ac:dyDescent="0.2">
      <c r="O87" s="118"/>
      <c r="P87" s="118"/>
      <c r="Q87" s="145"/>
      <c r="R87" s="145"/>
      <c r="S87" s="145"/>
      <c r="T87" s="145"/>
      <c r="U87" s="145"/>
      <c r="V87" s="145"/>
      <c r="W87" s="145"/>
      <c r="X87" s="145"/>
      <c r="Y87" s="145"/>
      <c r="Z87" s="145"/>
      <c r="AA87" s="145"/>
      <c r="AB87" s="145"/>
      <c r="AC87" s="145"/>
    </row>
    <row r="88" spans="15:29" x14ac:dyDescent="0.2">
      <c r="O88" s="118"/>
      <c r="P88" s="118"/>
      <c r="Q88" s="145"/>
      <c r="R88" s="145"/>
      <c r="S88" s="145"/>
      <c r="T88" s="145"/>
      <c r="U88" s="145"/>
      <c r="V88" s="145"/>
      <c r="W88" s="145"/>
      <c r="X88" s="145"/>
      <c r="Y88" s="145"/>
      <c r="Z88" s="145"/>
      <c r="AA88" s="145"/>
      <c r="AB88" s="145"/>
      <c r="AC88" s="145"/>
    </row>
    <row r="89" spans="15:29" x14ac:dyDescent="0.2">
      <c r="O89" s="118"/>
      <c r="P89" s="118"/>
      <c r="Q89" s="145"/>
      <c r="R89" s="145"/>
      <c r="S89" s="145"/>
      <c r="T89" s="145"/>
      <c r="U89" s="145"/>
      <c r="V89" s="145"/>
      <c r="W89" s="145"/>
      <c r="X89" s="145"/>
      <c r="Y89" s="145"/>
      <c r="Z89" s="145"/>
      <c r="AA89" s="145"/>
      <c r="AB89" s="145"/>
      <c r="AC89" s="145"/>
    </row>
    <row r="90" spans="15:29" x14ac:dyDescent="0.2">
      <c r="O90" s="118"/>
      <c r="P90" s="118"/>
      <c r="Q90" s="145"/>
      <c r="R90" s="145"/>
      <c r="S90" s="145"/>
      <c r="T90" s="145"/>
      <c r="U90" s="145"/>
      <c r="V90" s="145"/>
      <c r="W90" s="145"/>
      <c r="X90" s="145"/>
      <c r="Y90" s="145"/>
      <c r="Z90" s="145"/>
      <c r="AA90" s="145"/>
      <c r="AB90" s="145"/>
      <c r="AC90" s="145"/>
    </row>
    <row r="91" spans="15:29" x14ac:dyDescent="0.2">
      <c r="O91" s="118"/>
      <c r="P91" s="118"/>
      <c r="Q91" s="145"/>
      <c r="R91" s="145"/>
      <c r="S91" s="145"/>
      <c r="T91" s="145"/>
      <c r="U91" s="145"/>
      <c r="V91" s="145"/>
      <c r="W91" s="145"/>
      <c r="X91" s="145"/>
      <c r="Y91" s="145"/>
      <c r="Z91" s="145"/>
      <c r="AA91" s="145"/>
      <c r="AB91" s="145"/>
      <c r="AC91" s="145"/>
    </row>
    <row r="92" spans="15:29" x14ac:dyDescent="0.2">
      <c r="O92" s="118"/>
      <c r="P92" s="118"/>
      <c r="Q92" s="145"/>
      <c r="R92" s="145"/>
      <c r="S92" s="145"/>
      <c r="T92" s="145"/>
      <c r="U92" s="145"/>
      <c r="V92" s="145"/>
      <c r="W92" s="145"/>
      <c r="X92" s="145"/>
      <c r="Y92" s="145"/>
      <c r="Z92" s="145"/>
      <c r="AA92" s="145"/>
      <c r="AB92" s="145"/>
      <c r="AC92" s="145"/>
    </row>
    <row r="93" spans="15:29" x14ac:dyDescent="0.2">
      <c r="O93" s="118"/>
      <c r="P93" s="118"/>
      <c r="Q93" s="145"/>
      <c r="R93" s="145"/>
      <c r="S93" s="145"/>
      <c r="T93" s="145"/>
      <c r="U93" s="145"/>
      <c r="V93" s="145"/>
      <c r="W93" s="145"/>
      <c r="X93" s="145"/>
      <c r="Y93" s="145"/>
      <c r="Z93" s="145"/>
      <c r="AA93" s="145"/>
      <c r="AB93" s="145"/>
      <c r="AC93" s="145"/>
    </row>
    <row r="94" spans="15:29" x14ac:dyDescent="0.2">
      <c r="O94" s="118"/>
      <c r="P94" s="118"/>
      <c r="Q94" s="145"/>
      <c r="R94" s="145"/>
      <c r="S94" s="145"/>
      <c r="T94" s="145"/>
      <c r="U94" s="145"/>
      <c r="V94" s="145"/>
      <c r="W94" s="145"/>
      <c r="X94" s="145"/>
      <c r="Y94" s="145"/>
      <c r="Z94" s="145"/>
      <c r="AA94" s="145"/>
      <c r="AB94" s="145"/>
      <c r="AC94" s="145"/>
    </row>
    <row r="95" spans="15:29" x14ac:dyDescent="0.2">
      <c r="O95" s="118"/>
      <c r="P95" s="118"/>
      <c r="Q95" s="145"/>
      <c r="R95" s="145"/>
      <c r="S95" s="145"/>
      <c r="T95" s="145"/>
      <c r="U95" s="145"/>
      <c r="V95" s="145"/>
      <c r="W95" s="145"/>
      <c r="X95" s="145"/>
      <c r="Y95" s="145"/>
      <c r="Z95" s="145"/>
      <c r="AA95" s="145"/>
      <c r="AB95" s="145"/>
      <c r="AC95" s="145"/>
    </row>
    <row r="96" spans="15:29" x14ac:dyDescent="0.2">
      <c r="O96" s="118"/>
      <c r="P96" s="118"/>
      <c r="Q96" s="145"/>
      <c r="R96" s="145"/>
      <c r="S96" s="145"/>
      <c r="T96" s="145"/>
      <c r="U96" s="145"/>
      <c r="V96" s="145"/>
      <c r="W96" s="145"/>
      <c r="X96" s="145"/>
      <c r="Y96" s="145"/>
      <c r="Z96" s="145"/>
      <c r="AA96" s="145"/>
      <c r="AB96" s="145"/>
      <c r="AC96" s="145"/>
    </row>
    <row r="97" spans="15:29" x14ac:dyDescent="0.2">
      <c r="O97" s="118"/>
      <c r="P97" s="118"/>
      <c r="Q97" s="145"/>
      <c r="R97" s="145"/>
      <c r="S97" s="145"/>
      <c r="T97" s="145"/>
      <c r="U97" s="145"/>
      <c r="V97" s="145"/>
      <c r="W97" s="145"/>
      <c r="X97" s="145"/>
      <c r="Y97" s="145"/>
      <c r="Z97" s="145"/>
      <c r="AA97" s="145"/>
      <c r="AB97" s="145"/>
      <c r="AC97" s="145"/>
    </row>
    <row r="98" spans="15:29" x14ac:dyDescent="0.2">
      <c r="O98" s="118"/>
      <c r="P98" s="118"/>
      <c r="Q98" s="145"/>
      <c r="R98" s="145"/>
      <c r="S98" s="145"/>
      <c r="T98" s="145"/>
      <c r="U98" s="145"/>
      <c r="V98" s="145"/>
      <c r="W98" s="145"/>
      <c r="X98" s="145"/>
      <c r="Y98" s="145"/>
      <c r="Z98" s="145"/>
      <c r="AA98" s="145"/>
      <c r="AB98" s="145"/>
      <c r="AC98" s="145"/>
    </row>
    <row r="99" spans="15:29" x14ac:dyDescent="0.2">
      <c r="O99" s="118"/>
      <c r="P99" s="118"/>
      <c r="Q99" s="145"/>
      <c r="R99" s="145"/>
      <c r="S99" s="145"/>
      <c r="T99" s="145"/>
      <c r="U99" s="145"/>
      <c r="V99" s="145"/>
      <c r="W99" s="145"/>
      <c r="X99" s="145"/>
      <c r="Y99" s="145"/>
      <c r="Z99" s="145"/>
      <c r="AA99" s="145"/>
      <c r="AB99" s="145"/>
      <c r="AC99" s="145"/>
    </row>
    <row r="100" spans="15:29" x14ac:dyDescent="0.2">
      <c r="O100" s="118"/>
      <c r="P100" s="118"/>
      <c r="Q100" s="145"/>
      <c r="R100" s="145"/>
      <c r="S100" s="145"/>
      <c r="T100" s="145"/>
      <c r="U100" s="145"/>
      <c r="V100" s="145"/>
      <c r="W100" s="145"/>
      <c r="X100" s="145"/>
      <c r="Y100" s="145"/>
      <c r="Z100" s="145"/>
      <c r="AA100" s="145"/>
      <c r="AB100" s="145"/>
      <c r="AC100" s="145"/>
    </row>
    <row r="101" spans="15:29" x14ac:dyDescent="0.2">
      <c r="O101" s="118"/>
      <c r="P101" s="118"/>
      <c r="Q101" s="145"/>
      <c r="R101" s="145"/>
      <c r="S101" s="145"/>
      <c r="T101" s="145"/>
      <c r="U101" s="145"/>
      <c r="V101" s="145"/>
      <c r="W101" s="145"/>
      <c r="X101" s="145"/>
      <c r="Y101" s="145"/>
      <c r="Z101" s="145"/>
      <c r="AA101" s="145"/>
      <c r="AB101" s="145"/>
      <c r="AC101" s="145"/>
    </row>
    <row r="102" spans="15:29" x14ac:dyDescent="0.2">
      <c r="O102" s="118"/>
      <c r="P102" s="118"/>
      <c r="Q102" s="145"/>
      <c r="R102" s="145"/>
      <c r="S102" s="145"/>
      <c r="T102" s="145"/>
      <c r="U102" s="145"/>
      <c r="V102" s="145"/>
      <c r="W102" s="145"/>
      <c r="X102" s="145"/>
      <c r="Y102" s="145"/>
      <c r="Z102" s="145"/>
      <c r="AA102" s="145"/>
      <c r="AB102" s="145"/>
      <c r="AC102" s="145"/>
    </row>
    <row r="103" spans="15:29" x14ac:dyDescent="0.2">
      <c r="O103" s="118"/>
      <c r="P103" s="118"/>
      <c r="Q103" s="145"/>
      <c r="R103" s="145"/>
      <c r="S103" s="145"/>
      <c r="T103" s="145"/>
      <c r="U103" s="145"/>
      <c r="V103" s="145"/>
      <c r="W103" s="145"/>
      <c r="X103" s="145"/>
      <c r="Y103" s="145"/>
      <c r="Z103" s="145"/>
      <c r="AA103" s="145"/>
      <c r="AB103" s="145"/>
      <c r="AC103" s="145"/>
    </row>
    <row r="104" spans="15:29" x14ac:dyDescent="0.2">
      <c r="O104" s="118"/>
      <c r="P104" s="118"/>
      <c r="Q104" s="145"/>
      <c r="R104" s="145"/>
      <c r="S104" s="145"/>
      <c r="T104" s="145"/>
      <c r="U104" s="145"/>
      <c r="V104" s="145"/>
      <c r="W104" s="145"/>
      <c r="X104" s="145"/>
      <c r="Y104" s="145"/>
      <c r="Z104" s="145"/>
      <c r="AA104" s="145"/>
      <c r="AB104" s="145"/>
      <c r="AC104" s="145"/>
    </row>
    <row r="105" spans="15:29" x14ac:dyDescent="0.2">
      <c r="O105" s="118"/>
      <c r="P105" s="118"/>
      <c r="Q105" s="145"/>
      <c r="R105" s="145"/>
      <c r="S105" s="145"/>
      <c r="T105" s="145"/>
      <c r="U105" s="145"/>
      <c r="V105" s="145"/>
      <c r="W105" s="145"/>
      <c r="X105" s="145"/>
      <c r="Y105" s="145"/>
      <c r="Z105" s="145"/>
      <c r="AA105" s="145"/>
      <c r="AB105" s="145"/>
      <c r="AC105" s="145"/>
    </row>
    <row r="106" spans="15:29" x14ac:dyDescent="0.2">
      <c r="O106" s="118"/>
      <c r="P106" s="118"/>
      <c r="Q106" s="145"/>
      <c r="R106" s="145"/>
      <c r="S106" s="145"/>
      <c r="T106" s="145"/>
      <c r="U106" s="145"/>
      <c r="V106" s="145"/>
      <c r="W106" s="145"/>
      <c r="X106" s="145"/>
      <c r="Y106" s="145"/>
      <c r="Z106" s="145"/>
      <c r="AA106" s="145"/>
      <c r="AB106" s="145"/>
      <c r="AC106" s="145"/>
    </row>
    <row r="107" spans="15:29" x14ac:dyDescent="0.2">
      <c r="O107" s="118"/>
      <c r="P107" s="118"/>
      <c r="Q107" s="145"/>
      <c r="R107" s="145"/>
      <c r="S107" s="145"/>
      <c r="T107" s="145"/>
      <c r="U107" s="145"/>
      <c r="V107" s="145"/>
      <c r="W107" s="145"/>
      <c r="X107" s="145"/>
      <c r="Y107" s="145"/>
      <c r="Z107" s="145"/>
      <c r="AA107" s="145"/>
      <c r="AB107" s="145"/>
      <c r="AC107" s="145"/>
    </row>
    <row r="108" spans="15:29" x14ac:dyDescent="0.2">
      <c r="O108" s="118"/>
      <c r="P108" s="118"/>
      <c r="Q108" s="145"/>
      <c r="R108" s="145"/>
      <c r="S108" s="145"/>
      <c r="T108" s="145"/>
      <c r="U108" s="145"/>
      <c r="V108" s="145"/>
      <c r="W108" s="145"/>
      <c r="X108" s="145"/>
      <c r="Y108" s="145"/>
      <c r="Z108" s="145"/>
      <c r="AA108" s="145"/>
      <c r="AB108" s="145"/>
      <c r="AC108" s="145"/>
    </row>
    <row r="109" spans="15:29" x14ac:dyDescent="0.2">
      <c r="O109" s="118"/>
      <c r="P109" s="118"/>
      <c r="Q109" s="145"/>
      <c r="R109" s="145"/>
      <c r="S109" s="145"/>
      <c r="T109" s="145"/>
      <c r="U109" s="145"/>
      <c r="V109" s="145"/>
      <c r="W109" s="145"/>
      <c r="X109" s="145"/>
      <c r="Y109" s="145"/>
      <c r="Z109" s="145"/>
      <c r="AA109" s="145"/>
      <c r="AB109" s="145"/>
      <c r="AC109" s="145"/>
    </row>
    <row r="110" spans="15:29" x14ac:dyDescent="0.2">
      <c r="O110" s="118"/>
      <c r="P110" s="118"/>
      <c r="Q110" s="145"/>
      <c r="R110" s="145"/>
      <c r="S110" s="145"/>
      <c r="T110" s="145"/>
      <c r="U110" s="145"/>
      <c r="V110" s="145"/>
      <c r="W110" s="145"/>
      <c r="X110" s="145"/>
      <c r="Y110" s="145"/>
      <c r="Z110" s="145"/>
      <c r="AA110" s="145"/>
      <c r="AB110" s="145"/>
      <c r="AC110" s="145"/>
    </row>
    <row r="111" spans="15:29" x14ac:dyDescent="0.2">
      <c r="O111" s="118"/>
      <c r="P111" s="118"/>
      <c r="Q111" s="145"/>
      <c r="R111" s="145"/>
      <c r="S111" s="145"/>
      <c r="T111" s="145"/>
      <c r="U111" s="145"/>
      <c r="V111" s="145"/>
      <c r="W111" s="145"/>
      <c r="X111" s="145"/>
      <c r="Y111" s="145"/>
      <c r="Z111" s="145"/>
      <c r="AA111" s="145"/>
      <c r="AB111" s="145"/>
      <c r="AC111" s="145"/>
    </row>
    <row r="112" spans="15:29" x14ac:dyDescent="0.2">
      <c r="O112" s="118"/>
      <c r="P112" s="118"/>
      <c r="Q112" s="145"/>
      <c r="R112" s="145"/>
      <c r="S112" s="145"/>
      <c r="T112" s="145"/>
      <c r="U112" s="145"/>
      <c r="V112" s="145"/>
      <c r="W112" s="145"/>
      <c r="X112" s="145"/>
      <c r="Y112" s="145"/>
      <c r="Z112" s="145"/>
      <c r="AA112" s="145"/>
      <c r="AB112" s="145"/>
      <c r="AC112" s="145"/>
    </row>
    <row r="113" spans="15:29" x14ac:dyDescent="0.2">
      <c r="O113" s="118"/>
      <c r="P113" s="118"/>
      <c r="Q113" s="145"/>
      <c r="R113" s="145"/>
      <c r="S113" s="145"/>
      <c r="T113" s="145"/>
      <c r="U113" s="145"/>
      <c r="V113" s="145"/>
      <c r="W113" s="145"/>
      <c r="X113" s="145"/>
      <c r="Y113" s="145"/>
      <c r="Z113" s="145"/>
      <c r="AA113" s="145"/>
      <c r="AB113" s="145"/>
      <c r="AC113" s="145"/>
    </row>
    <row r="114" spans="15:29" x14ac:dyDescent="0.2">
      <c r="O114" s="118"/>
      <c r="P114" s="118"/>
      <c r="Q114" s="145"/>
      <c r="R114" s="145"/>
      <c r="S114" s="145"/>
      <c r="T114" s="145"/>
      <c r="U114" s="145"/>
      <c r="V114" s="145"/>
      <c r="W114" s="145"/>
      <c r="X114" s="145"/>
      <c r="Y114" s="145"/>
      <c r="Z114" s="145"/>
      <c r="AA114" s="145"/>
      <c r="AB114" s="145"/>
      <c r="AC114" s="145"/>
    </row>
    <row r="115" spans="15:29" x14ac:dyDescent="0.2">
      <c r="O115" s="118"/>
      <c r="P115" s="118"/>
      <c r="Q115" s="145"/>
      <c r="R115" s="145"/>
      <c r="S115" s="145"/>
      <c r="T115" s="145"/>
      <c r="U115" s="145"/>
      <c r="V115" s="145"/>
      <c r="W115" s="145"/>
      <c r="X115" s="145"/>
      <c r="Y115" s="145"/>
      <c r="Z115" s="145"/>
      <c r="AA115" s="145"/>
      <c r="AB115" s="145"/>
      <c r="AC115" s="145"/>
    </row>
    <row r="116" spans="15:29" x14ac:dyDescent="0.2">
      <c r="O116" s="118"/>
      <c r="P116" s="118"/>
      <c r="Q116" s="145"/>
      <c r="R116" s="145"/>
      <c r="S116" s="145"/>
      <c r="T116" s="145"/>
      <c r="U116" s="145"/>
      <c r="V116" s="145"/>
      <c r="W116" s="145"/>
      <c r="X116" s="145"/>
      <c r="Y116" s="145"/>
      <c r="Z116" s="145"/>
      <c r="AA116" s="145"/>
      <c r="AB116" s="145"/>
      <c r="AC116" s="145"/>
    </row>
    <row r="117" spans="15:29" x14ac:dyDescent="0.2">
      <c r="O117" s="118"/>
      <c r="P117" s="118"/>
      <c r="Q117" s="145"/>
      <c r="R117" s="145"/>
      <c r="S117" s="145"/>
      <c r="T117" s="145"/>
      <c r="U117" s="145"/>
      <c r="V117" s="145"/>
      <c r="W117" s="145"/>
      <c r="X117" s="145"/>
      <c r="Y117" s="145"/>
      <c r="Z117" s="145"/>
      <c r="AA117" s="145"/>
      <c r="AB117" s="145"/>
      <c r="AC117" s="145"/>
    </row>
    <row r="118" spans="15:29" x14ac:dyDescent="0.2">
      <c r="O118" s="118"/>
      <c r="P118" s="118"/>
      <c r="Q118" s="145"/>
      <c r="R118" s="145"/>
      <c r="S118" s="145"/>
      <c r="T118" s="145"/>
      <c r="U118" s="145"/>
      <c r="V118" s="145"/>
      <c r="W118" s="145"/>
      <c r="X118" s="145"/>
      <c r="Y118" s="145"/>
      <c r="Z118" s="145"/>
      <c r="AA118" s="145"/>
      <c r="AB118" s="145"/>
      <c r="AC118" s="145"/>
    </row>
    <row r="119" spans="15:29" x14ac:dyDescent="0.2">
      <c r="O119" s="118"/>
      <c r="P119" s="118"/>
      <c r="Q119" s="145"/>
      <c r="R119" s="145"/>
      <c r="S119" s="145"/>
      <c r="T119" s="145"/>
      <c r="U119" s="145"/>
      <c r="V119" s="145"/>
      <c r="W119" s="145"/>
      <c r="X119" s="145"/>
      <c r="Y119" s="145"/>
      <c r="Z119" s="145"/>
      <c r="AA119" s="145"/>
      <c r="AB119" s="145"/>
      <c r="AC119" s="145"/>
    </row>
    <row r="120" spans="15:29" x14ac:dyDescent="0.2">
      <c r="O120" s="118"/>
      <c r="P120" s="118"/>
      <c r="Q120" s="145"/>
      <c r="R120" s="145"/>
      <c r="S120" s="145"/>
      <c r="T120" s="145"/>
      <c r="U120" s="145"/>
      <c r="V120" s="145"/>
      <c r="W120" s="145"/>
      <c r="X120" s="145"/>
      <c r="Y120" s="145"/>
      <c r="Z120" s="145"/>
      <c r="AA120" s="145"/>
      <c r="AB120" s="145"/>
      <c r="AC120" s="145"/>
    </row>
    <row r="121" spans="15:29" x14ac:dyDescent="0.2">
      <c r="O121" s="118"/>
      <c r="P121" s="118"/>
      <c r="Q121" s="145"/>
      <c r="R121" s="145"/>
      <c r="S121" s="145"/>
      <c r="T121" s="145"/>
      <c r="U121" s="145"/>
      <c r="V121" s="145"/>
      <c r="W121" s="145"/>
      <c r="X121" s="145"/>
      <c r="Y121" s="145"/>
      <c r="Z121" s="145"/>
      <c r="AA121" s="145"/>
      <c r="AB121" s="145"/>
      <c r="AC121" s="145"/>
    </row>
    <row r="122" spans="15:29" x14ac:dyDescent="0.2">
      <c r="O122" s="118"/>
      <c r="P122" s="118"/>
      <c r="Q122" s="145"/>
      <c r="R122" s="145"/>
      <c r="S122" s="145"/>
      <c r="T122" s="145"/>
      <c r="U122" s="145"/>
      <c r="V122" s="145"/>
      <c r="W122" s="145"/>
      <c r="X122" s="145"/>
      <c r="Y122" s="145"/>
      <c r="Z122" s="145"/>
      <c r="AA122" s="145"/>
      <c r="AB122" s="145"/>
      <c r="AC122" s="145"/>
    </row>
    <row r="123" spans="15:29" x14ac:dyDescent="0.2">
      <c r="O123" s="118"/>
      <c r="P123" s="118"/>
      <c r="Q123" s="145"/>
      <c r="R123" s="145"/>
      <c r="S123" s="145"/>
      <c r="T123" s="145"/>
      <c r="U123" s="145"/>
      <c r="V123" s="145"/>
      <c r="W123" s="145"/>
      <c r="X123" s="145"/>
      <c r="Y123" s="145"/>
      <c r="Z123" s="145"/>
      <c r="AA123" s="145"/>
      <c r="AB123" s="145"/>
      <c r="AC123" s="145"/>
    </row>
    <row r="124" spans="15:29" x14ac:dyDescent="0.2">
      <c r="O124" s="118"/>
      <c r="P124" s="118"/>
      <c r="Q124" s="145"/>
      <c r="R124" s="145"/>
      <c r="S124" s="145"/>
      <c r="T124" s="145"/>
      <c r="U124" s="145"/>
      <c r="V124" s="145"/>
      <c r="W124" s="145"/>
      <c r="X124" s="145"/>
      <c r="Y124" s="145"/>
      <c r="Z124" s="145"/>
      <c r="AA124" s="145"/>
      <c r="AB124" s="145"/>
      <c r="AC124" s="145"/>
    </row>
    <row r="125" spans="15:29" x14ac:dyDescent="0.2">
      <c r="O125" s="118"/>
      <c r="P125" s="118"/>
      <c r="Q125" s="145"/>
      <c r="R125" s="145"/>
      <c r="S125" s="145"/>
      <c r="T125" s="145"/>
      <c r="U125" s="145"/>
      <c r="V125" s="145"/>
      <c r="W125" s="145"/>
      <c r="X125" s="145"/>
      <c r="Y125" s="145"/>
      <c r="Z125" s="145"/>
      <c r="AA125" s="145"/>
      <c r="AB125" s="145"/>
      <c r="AC125" s="145"/>
    </row>
    <row r="126" spans="15:29" x14ac:dyDescent="0.2">
      <c r="O126" s="118"/>
      <c r="P126" s="118"/>
      <c r="Q126" s="145"/>
      <c r="R126" s="145"/>
      <c r="S126" s="145"/>
      <c r="T126" s="145"/>
      <c r="U126" s="145"/>
      <c r="V126" s="145"/>
      <c r="W126" s="145"/>
      <c r="X126" s="145"/>
      <c r="Y126" s="145"/>
      <c r="Z126" s="145"/>
      <c r="AA126" s="145"/>
      <c r="AB126" s="145"/>
      <c r="AC126" s="145"/>
    </row>
    <row r="127" spans="15:29" x14ac:dyDescent="0.2">
      <c r="O127" s="118"/>
      <c r="P127" s="118"/>
      <c r="Q127" s="145"/>
      <c r="R127" s="145"/>
      <c r="S127" s="145"/>
      <c r="T127" s="145"/>
      <c r="U127" s="145"/>
      <c r="V127" s="145"/>
      <c r="W127" s="145"/>
      <c r="X127" s="145"/>
      <c r="Y127" s="145"/>
      <c r="Z127" s="145"/>
      <c r="AA127" s="145"/>
      <c r="AB127" s="145"/>
      <c r="AC127" s="145"/>
    </row>
    <row r="128" spans="15:29" x14ac:dyDescent="0.2">
      <c r="O128" s="118"/>
      <c r="P128" s="118"/>
      <c r="Q128" s="145"/>
      <c r="R128" s="145"/>
      <c r="S128" s="145"/>
      <c r="T128" s="145"/>
      <c r="U128" s="145"/>
      <c r="V128" s="145"/>
      <c r="W128" s="145"/>
      <c r="X128" s="145"/>
      <c r="Y128" s="145"/>
      <c r="Z128" s="145"/>
      <c r="AA128" s="145"/>
      <c r="AB128" s="145"/>
      <c r="AC128" s="145"/>
    </row>
    <row r="129" spans="15:29" x14ac:dyDescent="0.2">
      <c r="O129" s="118"/>
      <c r="P129" s="118"/>
      <c r="Q129" s="145"/>
      <c r="R129" s="145"/>
      <c r="S129" s="145"/>
      <c r="T129" s="145"/>
      <c r="U129" s="145"/>
      <c r="V129" s="145"/>
      <c r="W129" s="145"/>
      <c r="X129" s="145"/>
      <c r="Y129" s="145"/>
      <c r="Z129" s="145"/>
      <c r="AA129" s="145"/>
      <c r="AB129" s="145"/>
      <c r="AC129" s="145"/>
    </row>
    <row r="130" spans="15:29" x14ac:dyDescent="0.2">
      <c r="O130" s="118"/>
      <c r="P130" s="118"/>
      <c r="Q130" s="145"/>
      <c r="R130" s="145"/>
      <c r="S130" s="145"/>
      <c r="T130" s="145"/>
      <c r="U130" s="145"/>
      <c r="V130" s="145"/>
      <c r="W130" s="145"/>
      <c r="X130" s="145"/>
      <c r="Y130" s="145"/>
      <c r="Z130" s="145"/>
      <c r="AA130" s="145"/>
      <c r="AB130" s="145"/>
      <c r="AC130" s="145"/>
    </row>
    <row r="131" spans="15:29" x14ac:dyDescent="0.2">
      <c r="O131" s="118"/>
      <c r="P131" s="118"/>
      <c r="Q131" s="145"/>
      <c r="R131" s="145"/>
      <c r="S131" s="145"/>
      <c r="T131" s="145"/>
      <c r="U131" s="145"/>
      <c r="V131" s="145"/>
      <c r="W131" s="145"/>
      <c r="X131" s="145"/>
      <c r="Y131" s="145"/>
      <c r="Z131" s="145"/>
      <c r="AA131" s="145"/>
      <c r="AB131" s="145"/>
      <c r="AC131" s="145"/>
    </row>
    <row r="132" spans="15:29" x14ac:dyDescent="0.2">
      <c r="O132" s="118"/>
      <c r="P132" s="118"/>
      <c r="Q132" s="145"/>
      <c r="R132" s="145"/>
      <c r="S132" s="145"/>
      <c r="T132" s="145"/>
      <c r="U132" s="145"/>
      <c r="V132" s="145"/>
      <c r="W132" s="145"/>
      <c r="X132" s="145"/>
      <c r="Y132" s="145"/>
      <c r="Z132" s="145"/>
      <c r="AA132" s="145"/>
      <c r="AB132" s="145"/>
      <c r="AC132" s="145"/>
    </row>
    <row r="133" spans="15:29" x14ac:dyDescent="0.2">
      <c r="O133" s="118"/>
      <c r="P133" s="118"/>
      <c r="Q133" s="145"/>
      <c r="R133" s="145"/>
      <c r="S133" s="145"/>
      <c r="T133" s="145"/>
      <c r="U133" s="145"/>
      <c r="V133" s="145"/>
      <c r="W133" s="145"/>
      <c r="X133" s="145"/>
      <c r="Y133" s="145"/>
      <c r="Z133" s="145"/>
      <c r="AA133" s="145"/>
      <c r="AB133" s="145"/>
      <c r="AC133" s="145"/>
    </row>
    <row r="134" spans="15:29" x14ac:dyDescent="0.2">
      <c r="O134" s="118"/>
      <c r="P134" s="118"/>
      <c r="Q134" s="145"/>
      <c r="R134" s="145"/>
      <c r="S134" s="145"/>
      <c r="T134" s="145"/>
      <c r="U134" s="145"/>
      <c r="V134" s="145"/>
      <c r="W134" s="145"/>
      <c r="X134" s="145"/>
      <c r="Y134" s="145"/>
      <c r="Z134" s="145"/>
      <c r="AA134" s="145"/>
      <c r="AB134" s="145"/>
      <c r="AC134" s="145"/>
    </row>
    <row r="135" spans="15:29" x14ac:dyDescent="0.2">
      <c r="O135" s="118"/>
      <c r="P135" s="118"/>
      <c r="Q135" s="145"/>
      <c r="R135" s="145"/>
      <c r="S135" s="145"/>
      <c r="T135" s="145"/>
      <c r="U135" s="145"/>
      <c r="V135" s="145"/>
      <c r="W135" s="145"/>
      <c r="X135" s="145"/>
      <c r="Y135" s="145"/>
      <c r="Z135" s="145"/>
      <c r="AA135" s="145"/>
      <c r="AB135" s="145"/>
      <c r="AC135" s="145"/>
    </row>
    <row r="136" spans="15:29" x14ac:dyDescent="0.2">
      <c r="O136" s="118"/>
      <c r="P136" s="118"/>
      <c r="Q136" s="145"/>
      <c r="R136" s="145"/>
      <c r="S136" s="145"/>
      <c r="T136" s="145"/>
      <c r="U136" s="145"/>
      <c r="V136" s="145"/>
      <c r="W136" s="145"/>
      <c r="X136" s="145"/>
      <c r="Y136" s="145"/>
      <c r="Z136" s="145"/>
      <c r="AA136" s="145"/>
      <c r="AB136" s="145"/>
      <c r="AC136" s="145"/>
    </row>
    <row r="137" spans="15:29" x14ac:dyDescent="0.2">
      <c r="O137" s="118"/>
      <c r="P137" s="118"/>
      <c r="Q137" s="145"/>
      <c r="R137" s="145"/>
      <c r="S137" s="145"/>
      <c r="T137" s="145"/>
      <c r="U137" s="145"/>
      <c r="V137" s="145"/>
      <c r="W137" s="145"/>
      <c r="X137" s="145"/>
      <c r="Y137" s="145"/>
      <c r="Z137" s="145"/>
      <c r="AA137" s="145"/>
      <c r="AB137" s="145"/>
      <c r="AC137" s="145"/>
    </row>
    <row r="138" spans="15:29" x14ac:dyDescent="0.2">
      <c r="O138" s="118"/>
      <c r="P138" s="118"/>
      <c r="Q138" s="145"/>
      <c r="R138" s="145"/>
      <c r="S138" s="145"/>
      <c r="T138" s="145"/>
      <c r="U138" s="145"/>
      <c r="V138" s="145"/>
      <c r="W138" s="145"/>
      <c r="X138" s="145"/>
      <c r="Y138" s="145"/>
      <c r="Z138" s="145"/>
      <c r="AA138" s="145"/>
      <c r="AB138" s="145"/>
      <c r="AC138" s="145"/>
    </row>
    <row r="139" spans="15:29" x14ac:dyDescent="0.2">
      <c r="O139" s="118"/>
      <c r="P139" s="118"/>
      <c r="Q139" s="145"/>
      <c r="R139" s="145"/>
      <c r="S139" s="145"/>
      <c r="T139" s="145"/>
      <c r="U139" s="145"/>
      <c r="V139" s="145"/>
      <c r="W139" s="145"/>
      <c r="X139" s="145"/>
      <c r="Y139" s="145"/>
      <c r="Z139" s="145"/>
      <c r="AA139" s="145"/>
      <c r="AB139" s="145"/>
      <c r="AC139" s="145"/>
    </row>
    <row r="140" spans="15:29" x14ac:dyDescent="0.2">
      <c r="O140" s="118"/>
      <c r="P140" s="118"/>
      <c r="Q140" s="145"/>
      <c r="R140" s="145"/>
      <c r="S140" s="145"/>
      <c r="T140" s="145"/>
      <c r="U140" s="145"/>
      <c r="V140" s="145"/>
      <c r="W140" s="145"/>
      <c r="X140" s="145"/>
      <c r="Y140" s="145"/>
      <c r="Z140" s="145"/>
      <c r="AA140" s="145"/>
      <c r="AB140" s="145"/>
      <c r="AC140" s="145"/>
    </row>
    <row r="141" spans="15:29" x14ac:dyDescent="0.2">
      <c r="O141" s="118"/>
      <c r="P141" s="118"/>
      <c r="Q141" s="145"/>
      <c r="R141" s="145"/>
      <c r="S141" s="145"/>
      <c r="T141" s="145"/>
      <c r="U141" s="145"/>
      <c r="V141" s="145"/>
      <c r="W141" s="145"/>
      <c r="X141" s="145"/>
      <c r="Y141" s="145"/>
      <c r="Z141" s="145"/>
      <c r="AA141" s="145"/>
      <c r="AB141" s="145"/>
      <c r="AC141" s="145"/>
    </row>
    <row r="142" spans="15:29" x14ac:dyDescent="0.2">
      <c r="O142" s="118"/>
      <c r="P142" s="118"/>
      <c r="Q142" s="145"/>
      <c r="R142" s="145"/>
      <c r="S142" s="145"/>
      <c r="T142" s="145"/>
      <c r="U142" s="145"/>
      <c r="V142" s="145"/>
      <c r="W142" s="145"/>
      <c r="X142" s="145"/>
      <c r="Y142" s="145"/>
      <c r="Z142" s="145"/>
      <c r="AA142" s="145"/>
      <c r="AB142" s="145"/>
      <c r="AC142" s="145"/>
    </row>
    <row r="143" spans="15:29" x14ac:dyDescent="0.2">
      <c r="O143" s="118"/>
      <c r="P143" s="118"/>
      <c r="Q143" s="145"/>
      <c r="R143" s="145"/>
      <c r="S143" s="145"/>
      <c r="T143" s="145"/>
      <c r="U143" s="145"/>
      <c r="V143" s="145"/>
      <c r="W143" s="145"/>
      <c r="X143" s="145"/>
      <c r="Y143" s="145"/>
      <c r="Z143" s="145"/>
      <c r="AA143" s="145"/>
      <c r="AB143" s="145"/>
      <c r="AC143" s="145"/>
    </row>
    <row r="144" spans="15:29" x14ac:dyDescent="0.2">
      <c r="O144" s="118"/>
      <c r="P144" s="118"/>
      <c r="Q144" s="145"/>
      <c r="R144" s="145"/>
      <c r="S144" s="145"/>
      <c r="T144" s="145"/>
      <c r="U144" s="145"/>
      <c r="V144" s="145"/>
      <c r="W144" s="145"/>
      <c r="X144" s="145"/>
      <c r="Y144" s="145"/>
      <c r="Z144" s="145"/>
      <c r="AA144" s="145"/>
      <c r="AB144" s="145"/>
      <c r="AC144" s="145"/>
    </row>
    <row r="145" spans="15:29" x14ac:dyDescent="0.2">
      <c r="O145" s="118"/>
      <c r="P145" s="118"/>
      <c r="Q145" s="145"/>
      <c r="R145" s="145"/>
      <c r="S145" s="145"/>
      <c r="T145" s="145"/>
      <c r="U145" s="145"/>
      <c r="V145" s="145"/>
      <c r="W145" s="145"/>
      <c r="X145" s="145"/>
      <c r="Y145" s="145"/>
      <c r="Z145" s="145"/>
      <c r="AA145" s="145"/>
      <c r="AB145" s="145"/>
      <c r="AC145" s="145"/>
    </row>
    <row r="146" spans="15:29" x14ac:dyDescent="0.2">
      <c r="O146" s="118"/>
      <c r="P146" s="118"/>
      <c r="Q146" s="145"/>
      <c r="R146" s="145"/>
      <c r="S146" s="145"/>
      <c r="T146" s="145"/>
      <c r="U146" s="145"/>
      <c r="V146" s="145"/>
      <c r="W146" s="145"/>
      <c r="X146" s="145"/>
      <c r="Y146" s="145"/>
      <c r="Z146" s="145"/>
      <c r="AA146" s="145"/>
      <c r="AB146" s="145"/>
      <c r="AC146" s="145"/>
    </row>
    <row r="147" spans="15:29" x14ac:dyDescent="0.2">
      <c r="O147" s="118"/>
      <c r="P147" s="118"/>
      <c r="Q147" s="145"/>
      <c r="R147" s="145"/>
      <c r="S147" s="145"/>
      <c r="T147" s="145"/>
      <c r="U147" s="145"/>
      <c r="V147" s="145"/>
      <c r="W147" s="145"/>
      <c r="X147" s="145"/>
      <c r="Y147" s="145"/>
      <c r="Z147" s="145"/>
      <c r="AA147" s="145"/>
      <c r="AB147" s="145"/>
      <c r="AC147" s="145"/>
    </row>
    <row r="148" spans="15:29" x14ac:dyDescent="0.2">
      <c r="O148" s="118"/>
      <c r="P148" s="118"/>
      <c r="Q148" s="145"/>
      <c r="R148" s="145"/>
      <c r="S148" s="145"/>
      <c r="T148" s="145"/>
      <c r="U148" s="145"/>
      <c r="V148" s="145"/>
      <c r="W148" s="145"/>
      <c r="X148" s="145"/>
      <c r="Y148" s="145"/>
      <c r="Z148" s="145"/>
      <c r="AA148" s="145"/>
      <c r="AB148" s="145"/>
      <c r="AC148" s="145"/>
    </row>
    <row r="149" spans="15:29" x14ac:dyDescent="0.2">
      <c r="O149" s="118"/>
      <c r="P149" s="118"/>
      <c r="Q149" s="145"/>
      <c r="R149" s="145"/>
      <c r="S149" s="145"/>
      <c r="T149" s="145"/>
      <c r="U149" s="145"/>
      <c r="V149" s="145"/>
      <c r="W149" s="145"/>
      <c r="X149" s="145"/>
      <c r="Y149" s="145"/>
      <c r="Z149" s="145"/>
      <c r="AA149" s="145"/>
      <c r="AB149" s="145"/>
      <c r="AC149" s="145"/>
    </row>
    <row r="150" spans="15:29" x14ac:dyDescent="0.2">
      <c r="O150" s="118"/>
      <c r="P150" s="118"/>
      <c r="Q150" s="145"/>
      <c r="R150" s="145"/>
      <c r="S150" s="145"/>
      <c r="T150" s="145"/>
      <c r="U150" s="145"/>
      <c r="V150" s="145"/>
      <c r="W150" s="145"/>
      <c r="X150" s="145"/>
      <c r="Y150" s="145"/>
      <c r="Z150" s="145"/>
      <c r="AA150" s="145"/>
      <c r="AB150" s="145"/>
      <c r="AC150" s="145"/>
    </row>
    <row r="151" spans="15:29" x14ac:dyDescent="0.2">
      <c r="O151" s="118"/>
      <c r="P151" s="118"/>
      <c r="Q151" s="145"/>
      <c r="R151" s="145"/>
      <c r="S151" s="145"/>
      <c r="T151" s="145"/>
      <c r="U151" s="145"/>
      <c r="V151" s="145"/>
      <c r="W151" s="145"/>
      <c r="X151" s="145"/>
      <c r="Y151" s="145"/>
      <c r="Z151" s="145"/>
      <c r="AA151" s="145"/>
      <c r="AB151" s="145"/>
      <c r="AC151" s="145"/>
    </row>
    <row r="152" spans="15:29" x14ac:dyDescent="0.2">
      <c r="O152" s="118"/>
      <c r="P152" s="118"/>
      <c r="Q152" s="145"/>
      <c r="R152" s="145"/>
      <c r="S152" s="145"/>
      <c r="T152" s="145"/>
      <c r="U152" s="145"/>
      <c r="V152" s="145"/>
      <c r="W152" s="145"/>
      <c r="X152" s="145"/>
      <c r="Y152" s="145"/>
      <c r="Z152" s="145"/>
      <c r="AA152" s="145"/>
      <c r="AB152" s="145"/>
      <c r="AC152" s="145"/>
    </row>
    <row r="153" spans="15:29" x14ac:dyDescent="0.2">
      <c r="O153" s="118"/>
      <c r="P153" s="118"/>
      <c r="Q153" s="145"/>
      <c r="R153" s="145"/>
      <c r="S153" s="145"/>
      <c r="T153" s="145"/>
      <c r="U153" s="145"/>
      <c r="V153" s="145"/>
      <c r="W153" s="145"/>
      <c r="X153" s="145"/>
      <c r="Y153" s="145"/>
      <c r="Z153" s="145"/>
      <c r="AA153" s="145"/>
      <c r="AB153" s="145"/>
      <c r="AC153" s="145"/>
    </row>
    <row r="154" spans="15:29" x14ac:dyDescent="0.2">
      <c r="O154" s="118"/>
      <c r="P154" s="118"/>
      <c r="Q154" s="145"/>
      <c r="R154" s="145"/>
      <c r="S154" s="145"/>
      <c r="T154" s="145"/>
      <c r="U154" s="145"/>
      <c r="V154" s="145"/>
      <c r="W154" s="145"/>
      <c r="X154" s="145"/>
      <c r="Y154" s="145"/>
      <c r="Z154" s="145"/>
      <c r="AA154" s="145"/>
      <c r="AB154" s="145"/>
      <c r="AC154" s="145"/>
    </row>
    <row r="155" spans="15:29" x14ac:dyDescent="0.2">
      <c r="O155" s="118"/>
      <c r="P155" s="118"/>
      <c r="Q155" s="145"/>
      <c r="R155" s="145"/>
      <c r="S155" s="145"/>
      <c r="T155" s="145"/>
      <c r="U155" s="145"/>
      <c r="V155" s="145"/>
      <c r="W155" s="145"/>
      <c r="X155" s="145"/>
      <c r="Y155" s="145"/>
      <c r="Z155" s="145"/>
      <c r="AA155" s="145"/>
      <c r="AB155" s="145"/>
      <c r="AC155" s="145"/>
    </row>
    <row r="156" spans="15:29" x14ac:dyDescent="0.2">
      <c r="O156" s="118"/>
      <c r="P156" s="118"/>
      <c r="Q156" s="145"/>
      <c r="R156" s="145"/>
      <c r="S156" s="145"/>
      <c r="T156" s="145"/>
      <c r="U156" s="145"/>
      <c r="V156" s="145"/>
      <c r="W156" s="145"/>
      <c r="X156" s="145"/>
      <c r="Y156" s="145"/>
      <c r="Z156" s="145"/>
      <c r="AA156" s="145"/>
      <c r="AB156" s="145"/>
      <c r="AC156" s="145"/>
    </row>
    <row r="157" spans="15:29" x14ac:dyDescent="0.2">
      <c r="O157" s="118"/>
      <c r="P157" s="118"/>
      <c r="Q157" s="145"/>
      <c r="R157" s="145"/>
      <c r="S157" s="145"/>
      <c r="T157" s="145"/>
      <c r="U157" s="145"/>
      <c r="V157" s="145"/>
      <c r="W157" s="145"/>
      <c r="X157" s="145"/>
      <c r="Y157" s="145"/>
      <c r="Z157" s="145"/>
      <c r="AA157" s="145"/>
      <c r="AB157" s="145"/>
      <c r="AC157" s="145"/>
    </row>
    <row r="158" spans="15:29" x14ac:dyDescent="0.2">
      <c r="O158" s="118"/>
      <c r="P158" s="118"/>
      <c r="Q158" s="145"/>
      <c r="R158" s="145"/>
      <c r="S158" s="145"/>
      <c r="T158" s="145"/>
      <c r="U158" s="145"/>
      <c r="V158" s="145"/>
      <c r="W158" s="145"/>
      <c r="X158" s="145"/>
      <c r="Y158" s="145"/>
      <c r="Z158" s="145"/>
      <c r="AA158" s="145"/>
      <c r="AB158" s="145"/>
      <c r="AC158" s="145"/>
    </row>
    <row r="159" spans="15:29" x14ac:dyDescent="0.2">
      <c r="O159" s="118"/>
      <c r="P159" s="118"/>
      <c r="Q159" s="145"/>
      <c r="R159" s="145"/>
      <c r="S159" s="145"/>
      <c r="T159" s="145"/>
      <c r="U159" s="145"/>
      <c r="V159" s="145"/>
      <c r="W159" s="145"/>
      <c r="X159" s="145"/>
      <c r="Y159" s="145"/>
      <c r="Z159" s="145"/>
      <c r="AA159" s="145"/>
      <c r="AB159" s="145"/>
      <c r="AC159" s="145"/>
    </row>
    <row r="160" spans="15:29" x14ac:dyDescent="0.2">
      <c r="O160" s="118"/>
      <c r="P160" s="118"/>
      <c r="Q160" s="145"/>
      <c r="R160" s="145"/>
      <c r="S160" s="145"/>
      <c r="T160" s="145"/>
      <c r="U160" s="145"/>
      <c r="V160" s="145"/>
      <c r="W160" s="145"/>
      <c r="X160" s="145"/>
      <c r="Y160" s="145"/>
      <c r="Z160" s="145"/>
      <c r="AA160" s="145"/>
      <c r="AB160" s="145"/>
      <c r="AC160" s="145"/>
    </row>
    <row r="161" spans="15:29" x14ac:dyDescent="0.2">
      <c r="O161" s="118"/>
      <c r="P161" s="118"/>
      <c r="Q161" s="145"/>
      <c r="R161" s="145"/>
      <c r="S161" s="145"/>
      <c r="T161" s="145"/>
      <c r="U161" s="145"/>
      <c r="V161" s="145"/>
      <c r="W161" s="145"/>
      <c r="X161" s="145"/>
      <c r="Y161" s="145"/>
      <c r="Z161" s="145"/>
      <c r="AA161" s="145"/>
      <c r="AB161" s="145"/>
      <c r="AC161" s="145"/>
    </row>
    <row r="162" spans="15:29" x14ac:dyDescent="0.2">
      <c r="O162" s="118"/>
      <c r="P162" s="118"/>
      <c r="Q162" s="145"/>
      <c r="R162" s="145"/>
      <c r="S162" s="145"/>
      <c r="T162" s="145"/>
      <c r="U162" s="145"/>
      <c r="V162" s="145"/>
      <c r="W162" s="145"/>
      <c r="X162" s="145"/>
      <c r="Y162" s="145"/>
      <c r="Z162" s="145"/>
      <c r="AA162" s="145"/>
      <c r="AB162" s="145"/>
      <c r="AC162" s="145"/>
    </row>
    <row r="163" spans="15:29" x14ac:dyDescent="0.2">
      <c r="O163" s="118"/>
      <c r="P163" s="118"/>
      <c r="Q163" s="145"/>
      <c r="R163" s="145"/>
      <c r="S163" s="145"/>
      <c r="T163" s="145"/>
      <c r="U163" s="145"/>
      <c r="V163" s="145"/>
      <c r="W163" s="145"/>
      <c r="X163" s="145"/>
      <c r="Y163" s="145"/>
      <c r="Z163" s="145"/>
      <c r="AA163" s="145"/>
      <c r="AB163" s="145"/>
      <c r="AC163" s="145"/>
    </row>
    <row r="164" spans="15:29" x14ac:dyDescent="0.2">
      <c r="O164" s="118"/>
      <c r="P164" s="118"/>
      <c r="Q164" s="145"/>
      <c r="R164" s="145"/>
      <c r="S164" s="145"/>
      <c r="T164" s="145"/>
      <c r="U164" s="145"/>
      <c r="V164" s="145"/>
      <c r="W164" s="145"/>
      <c r="X164" s="145"/>
      <c r="Y164" s="145"/>
      <c r="Z164" s="145"/>
      <c r="AA164" s="145"/>
      <c r="AB164" s="145"/>
      <c r="AC164" s="145"/>
    </row>
    <row r="165" spans="15:29" x14ac:dyDescent="0.2">
      <c r="O165" s="118"/>
      <c r="P165" s="118"/>
      <c r="Q165" s="145"/>
      <c r="R165" s="145"/>
      <c r="S165" s="145"/>
      <c r="T165" s="145"/>
      <c r="U165" s="145"/>
      <c r="V165" s="145"/>
      <c r="W165" s="145"/>
      <c r="X165" s="145"/>
      <c r="Y165" s="145"/>
      <c r="Z165" s="145"/>
      <c r="AA165" s="145"/>
      <c r="AB165" s="145"/>
      <c r="AC165" s="145"/>
    </row>
    <row r="166" spans="15:29" x14ac:dyDescent="0.2">
      <c r="O166" s="118"/>
      <c r="P166" s="118"/>
      <c r="Q166" s="145"/>
      <c r="R166" s="145"/>
      <c r="S166" s="145"/>
      <c r="T166" s="145"/>
      <c r="U166" s="145"/>
      <c r="V166" s="145"/>
      <c r="W166" s="145"/>
      <c r="X166" s="145"/>
      <c r="Y166" s="145"/>
      <c r="Z166" s="145"/>
      <c r="AA166" s="145"/>
      <c r="AB166" s="145"/>
      <c r="AC166" s="145"/>
    </row>
    <row r="167" spans="15:29" x14ac:dyDescent="0.2">
      <c r="O167" s="118"/>
      <c r="P167" s="118"/>
      <c r="Q167" s="145"/>
      <c r="R167" s="145"/>
      <c r="S167" s="145"/>
      <c r="T167" s="145"/>
      <c r="U167" s="145"/>
      <c r="V167" s="145"/>
      <c r="W167" s="145"/>
      <c r="X167" s="145"/>
      <c r="Y167" s="145"/>
      <c r="Z167" s="145"/>
      <c r="AA167" s="145"/>
      <c r="AB167" s="145"/>
      <c r="AC167" s="145"/>
    </row>
    <row r="168" spans="15:29" x14ac:dyDescent="0.2">
      <c r="O168" s="118"/>
      <c r="P168" s="118"/>
      <c r="Q168" s="145"/>
      <c r="R168" s="145"/>
      <c r="S168" s="145"/>
      <c r="T168" s="145"/>
      <c r="U168" s="145"/>
      <c r="V168" s="145"/>
      <c r="W168" s="145"/>
      <c r="X168" s="145"/>
      <c r="Y168" s="145"/>
      <c r="Z168" s="145"/>
      <c r="AA168" s="145"/>
      <c r="AB168" s="145"/>
      <c r="AC168" s="145"/>
    </row>
    <row r="169" spans="15:29" x14ac:dyDescent="0.2">
      <c r="O169" s="118"/>
      <c r="P169" s="118"/>
      <c r="Q169" s="145"/>
      <c r="R169" s="145"/>
      <c r="S169" s="145"/>
      <c r="T169" s="145"/>
      <c r="U169" s="145"/>
      <c r="V169" s="145"/>
      <c r="W169" s="145"/>
      <c r="X169" s="145"/>
      <c r="Y169" s="145"/>
      <c r="Z169" s="145"/>
      <c r="AA169" s="145"/>
      <c r="AB169" s="145"/>
      <c r="AC169" s="145"/>
    </row>
    <row r="170" spans="15:29" x14ac:dyDescent="0.2">
      <c r="O170" s="118"/>
      <c r="P170" s="118"/>
      <c r="Q170" s="145"/>
      <c r="R170" s="145"/>
      <c r="S170" s="145"/>
      <c r="T170" s="145"/>
      <c r="U170" s="145"/>
      <c r="V170" s="145"/>
      <c r="W170" s="145"/>
      <c r="X170" s="145"/>
      <c r="Y170" s="145"/>
      <c r="Z170" s="145"/>
      <c r="AA170" s="145"/>
      <c r="AB170" s="145"/>
      <c r="AC170" s="145"/>
    </row>
    <row r="171" spans="15:29" x14ac:dyDescent="0.2">
      <c r="O171" s="118"/>
      <c r="P171" s="118"/>
      <c r="Q171" s="145"/>
      <c r="R171" s="145"/>
      <c r="S171" s="145"/>
      <c r="T171" s="145"/>
      <c r="U171" s="145"/>
      <c r="V171" s="145"/>
      <c r="W171" s="145"/>
      <c r="X171" s="145"/>
      <c r="Y171" s="145"/>
      <c r="Z171" s="145"/>
      <c r="AA171" s="145"/>
      <c r="AB171" s="145"/>
      <c r="AC171" s="145"/>
    </row>
    <row r="172" spans="15:29" x14ac:dyDescent="0.2">
      <c r="O172" s="118"/>
      <c r="P172" s="118"/>
      <c r="Q172" s="145"/>
      <c r="R172" s="145"/>
      <c r="S172" s="145"/>
      <c r="T172" s="145"/>
      <c r="U172" s="145"/>
      <c r="V172" s="145"/>
      <c r="W172" s="145"/>
      <c r="X172" s="145"/>
      <c r="Y172" s="145"/>
      <c r="Z172" s="145"/>
      <c r="AA172" s="145"/>
      <c r="AB172" s="145"/>
      <c r="AC172" s="145"/>
    </row>
    <row r="173" spans="15:29" x14ac:dyDescent="0.2">
      <c r="O173" s="118"/>
      <c r="P173" s="118"/>
      <c r="Q173" s="145"/>
      <c r="R173" s="145"/>
      <c r="S173" s="145"/>
      <c r="T173" s="145"/>
      <c r="U173" s="145"/>
      <c r="V173" s="145"/>
      <c r="W173" s="145"/>
      <c r="X173" s="145"/>
      <c r="Y173" s="145"/>
      <c r="Z173" s="145"/>
      <c r="AA173" s="145"/>
      <c r="AB173" s="145"/>
      <c r="AC173" s="145"/>
    </row>
    <row r="174" spans="15:29" x14ac:dyDescent="0.2">
      <c r="O174" s="118"/>
      <c r="P174" s="118"/>
      <c r="Q174" s="145"/>
      <c r="R174" s="145"/>
      <c r="S174" s="145"/>
      <c r="T174" s="145"/>
      <c r="U174" s="145"/>
      <c r="V174" s="145"/>
      <c r="W174" s="145"/>
      <c r="X174" s="145"/>
      <c r="Y174" s="145"/>
      <c r="Z174" s="145"/>
      <c r="AA174" s="145"/>
      <c r="AB174" s="145"/>
      <c r="AC174" s="145"/>
    </row>
    <row r="175" spans="15:29" x14ac:dyDescent="0.2">
      <c r="O175" s="118"/>
      <c r="P175" s="118"/>
      <c r="Q175" s="145"/>
      <c r="R175" s="145"/>
      <c r="S175" s="145"/>
      <c r="T175" s="145"/>
      <c r="U175" s="145"/>
      <c r="V175" s="145"/>
      <c r="W175" s="145"/>
      <c r="X175" s="145"/>
      <c r="Y175" s="145"/>
      <c r="Z175" s="145"/>
      <c r="AA175" s="145"/>
      <c r="AB175" s="145"/>
      <c r="AC175" s="145"/>
    </row>
    <row r="176" spans="15:29" x14ac:dyDescent="0.2">
      <c r="O176" s="118"/>
      <c r="P176" s="118"/>
      <c r="Q176" s="145"/>
      <c r="R176" s="145"/>
      <c r="S176" s="145"/>
      <c r="T176" s="145"/>
      <c r="U176" s="145"/>
      <c r="V176" s="145"/>
      <c r="W176" s="145"/>
      <c r="X176" s="145"/>
      <c r="Y176" s="145"/>
      <c r="Z176" s="145"/>
      <c r="AA176" s="145"/>
      <c r="AB176" s="145"/>
      <c r="AC176" s="145"/>
    </row>
    <row r="177" spans="15:29" x14ac:dyDescent="0.2">
      <c r="O177" s="118"/>
      <c r="P177" s="118"/>
      <c r="Q177" s="145"/>
      <c r="R177" s="145"/>
      <c r="S177" s="145"/>
      <c r="T177" s="145"/>
      <c r="U177" s="145"/>
      <c r="V177" s="145"/>
      <c r="W177" s="145"/>
      <c r="X177" s="145"/>
      <c r="Y177" s="145"/>
      <c r="Z177" s="145"/>
      <c r="AA177" s="145"/>
      <c r="AB177" s="145"/>
      <c r="AC177" s="145"/>
    </row>
    <row r="178" spans="15:29" x14ac:dyDescent="0.2">
      <c r="O178" s="118"/>
      <c r="P178" s="118"/>
      <c r="Q178" s="145"/>
      <c r="R178" s="145"/>
      <c r="S178" s="145"/>
      <c r="T178" s="145"/>
      <c r="U178" s="145"/>
      <c r="V178" s="145"/>
      <c r="W178" s="145"/>
      <c r="X178" s="145"/>
      <c r="Y178" s="145"/>
      <c r="Z178" s="145"/>
      <c r="AA178" s="145"/>
      <c r="AB178" s="145"/>
      <c r="AC178" s="145"/>
    </row>
    <row r="179" spans="15:29" x14ac:dyDescent="0.2">
      <c r="O179" s="118"/>
      <c r="P179" s="118"/>
      <c r="Q179" s="145"/>
      <c r="R179" s="145"/>
      <c r="S179" s="145"/>
      <c r="T179" s="145"/>
      <c r="U179" s="145"/>
      <c r="V179" s="145"/>
      <c r="W179" s="145"/>
      <c r="X179" s="145"/>
      <c r="Y179" s="145"/>
      <c r="Z179" s="145"/>
      <c r="AA179" s="145"/>
      <c r="AB179" s="145"/>
      <c r="AC179" s="145"/>
    </row>
    <row r="180" spans="15:29" x14ac:dyDescent="0.2">
      <c r="O180" s="118"/>
      <c r="P180" s="118"/>
      <c r="Q180" s="145"/>
      <c r="R180" s="145"/>
      <c r="S180" s="145"/>
      <c r="T180" s="145"/>
      <c r="U180" s="145"/>
      <c r="V180" s="145"/>
      <c r="W180" s="145"/>
      <c r="X180" s="145"/>
      <c r="Y180" s="145"/>
      <c r="Z180" s="145"/>
      <c r="AA180" s="145"/>
      <c r="AB180" s="145"/>
      <c r="AC180" s="145"/>
    </row>
    <row r="181" spans="15:29" x14ac:dyDescent="0.2">
      <c r="O181" s="118"/>
      <c r="P181" s="118"/>
      <c r="Q181" s="145"/>
      <c r="R181" s="145"/>
      <c r="S181" s="145"/>
      <c r="T181" s="145"/>
      <c r="U181" s="145"/>
      <c r="V181" s="145"/>
      <c r="W181" s="145"/>
      <c r="X181" s="145"/>
      <c r="Y181" s="145"/>
      <c r="Z181" s="145"/>
      <c r="AA181" s="145"/>
      <c r="AB181" s="145"/>
      <c r="AC181" s="145"/>
    </row>
    <row r="182" spans="15:29" x14ac:dyDescent="0.2">
      <c r="O182" s="118"/>
      <c r="P182" s="118"/>
      <c r="Q182" s="145"/>
      <c r="R182" s="145"/>
      <c r="S182" s="145"/>
      <c r="T182" s="145"/>
      <c r="U182" s="145"/>
      <c r="V182" s="145"/>
      <c r="W182" s="145"/>
      <c r="X182" s="145"/>
      <c r="Y182" s="145"/>
      <c r="Z182" s="145"/>
      <c r="AA182" s="145"/>
      <c r="AB182" s="145"/>
      <c r="AC182" s="145"/>
    </row>
    <row r="183" spans="15:29" x14ac:dyDescent="0.2">
      <c r="O183" s="118"/>
      <c r="P183" s="118"/>
      <c r="Q183" s="145"/>
      <c r="R183" s="145"/>
      <c r="S183" s="145"/>
      <c r="T183" s="145"/>
      <c r="U183" s="145"/>
      <c r="V183" s="145"/>
      <c r="W183" s="145"/>
      <c r="X183" s="145"/>
      <c r="Y183" s="145"/>
      <c r="Z183" s="145"/>
      <c r="AA183" s="145"/>
      <c r="AB183" s="145"/>
      <c r="AC183" s="145"/>
    </row>
    <row r="184" spans="15:29" x14ac:dyDescent="0.2">
      <c r="O184" s="118"/>
      <c r="P184" s="118"/>
      <c r="Q184" s="145"/>
      <c r="R184" s="145"/>
      <c r="S184" s="145"/>
      <c r="T184" s="145"/>
      <c r="U184" s="145"/>
      <c r="V184" s="145"/>
      <c r="W184" s="145"/>
      <c r="X184" s="145"/>
      <c r="Y184" s="145"/>
      <c r="Z184" s="145"/>
      <c r="AA184" s="145"/>
      <c r="AB184" s="145"/>
      <c r="AC184" s="145"/>
    </row>
    <row r="185" spans="15:29" x14ac:dyDescent="0.2">
      <c r="O185" s="118"/>
      <c r="P185" s="118"/>
      <c r="Q185" s="145"/>
      <c r="R185" s="145"/>
      <c r="S185" s="145"/>
      <c r="T185" s="145"/>
      <c r="U185" s="145"/>
      <c r="V185" s="145"/>
      <c r="W185" s="145"/>
      <c r="X185" s="145"/>
      <c r="Y185" s="145"/>
      <c r="Z185" s="145"/>
      <c r="AA185" s="145"/>
      <c r="AB185" s="145"/>
      <c r="AC185" s="145"/>
    </row>
    <row r="186" spans="15:29" x14ac:dyDescent="0.2">
      <c r="O186" s="118"/>
      <c r="P186" s="118"/>
      <c r="Q186" s="145"/>
      <c r="R186" s="145"/>
      <c r="S186" s="145"/>
      <c r="T186" s="145"/>
      <c r="U186" s="145"/>
      <c r="V186" s="145"/>
      <c r="W186" s="145"/>
      <c r="X186" s="145"/>
      <c r="Y186" s="145"/>
      <c r="Z186" s="145"/>
      <c r="AA186" s="145"/>
      <c r="AB186" s="145"/>
      <c r="AC186" s="145"/>
    </row>
    <row r="187" spans="15:29" x14ac:dyDescent="0.2">
      <c r="O187" s="118"/>
      <c r="P187" s="118"/>
      <c r="Q187" s="145"/>
      <c r="R187" s="145"/>
      <c r="S187" s="145"/>
      <c r="T187" s="145"/>
      <c r="U187" s="145"/>
      <c r="V187" s="145"/>
      <c r="W187" s="145"/>
      <c r="X187" s="145"/>
      <c r="Y187" s="145"/>
      <c r="Z187" s="145"/>
      <c r="AA187" s="145"/>
      <c r="AB187" s="145"/>
      <c r="AC187" s="145"/>
    </row>
    <row r="188" spans="15:29" x14ac:dyDescent="0.2">
      <c r="O188" s="118"/>
      <c r="P188" s="118"/>
      <c r="Q188" s="145"/>
      <c r="R188" s="145"/>
      <c r="S188" s="145"/>
      <c r="T188" s="145"/>
      <c r="U188" s="145"/>
      <c r="V188" s="145"/>
      <c r="W188" s="145"/>
      <c r="X188" s="145"/>
      <c r="Y188" s="145"/>
      <c r="Z188" s="145"/>
      <c r="AA188" s="145"/>
      <c r="AB188" s="145"/>
      <c r="AC188" s="145"/>
    </row>
    <row r="189" spans="15:29" x14ac:dyDescent="0.2">
      <c r="O189" s="118"/>
      <c r="P189" s="118"/>
      <c r="Q189" s="145"/>
      <c r="R189" s="145"/>
      <c r="S189" s="145"/>
      <c r="T189" s="145"/>
      <c r="U189" s="145"/>
      <c r="V189" s="145"/>
      <c r="W189" s="145"/>
      <c r="X189" s="145"/>
      <c r="Y189" s="145"/>
      <c r="Z189" s="145"/>
      <c r="AA189" s="145"/>
      <c r="AB189" s="145"/>
      <c r="AC189" s="145"/>
    </row>
    <row r="190" spans="15:29" x14ac:dyDescent="0.2">
      <c r="O190" s="118"/>
      <c r="P190" s="118"/>
      <c r="Q190" s="145"/>
      <c r="R190" s="145"/>
      <c r="S190" s="145"/>
      <c r="T190" s="145"/>
      <c r="U190" s="145"/>
      <c r="V190" s="145"/>
      <c r="W190" s="145"/>
      <c r="X190" s="145"/>
      <c r="Y190" s="145"/>
      <c r="Z190" s="145"/>
      <c r="AA190" s="145"/>
      <c r="AB190" s="145"/>
      <c r="AC190" s="145"/>
    </row>
    <row r="191" spans="15:29" x14ac:dyDescent="0.2">
      <c r="O191" s="118"/>
      <c r="P191" s="118"/>
      <c r="Q191" s="145"/>
      <c r="R191" s="145"/>
      <c r="S191" s="145"/>
      <c r="T191" s="145"/>
      <c r="U191" s="145"/>
      <c r="V191" s="145"/>
      <c r="W191" s="145"/>
      <c r="X191" s="145"/>
      <c r="Y191" s="145"/>
      <c r="Z191" s="145"/>
      <c r="AA191" s="145"/>
      <c r="AB191" s="145"/>
      <c r="AC191" s="145"/>
    </row>
    <row r="192" spans="15:29" x14ac:dyDescent="0.2">
      <c r="O192" s="118"/>
      <c r="P192" s="118"/>
      <c r="Q192" s="145"/>
      <c r="R192" s="145"/>
      <c r="S192" s="145"/>
      <c r="T192" s="145"/>
      <c r="U192" s="145"/>
      <c r="V192" s="145"/>
      <c r="W192" s="145"/>
      <c r="X192" s="145"/>
      <c r="Y192" s="145"/>
      <c r="Z192" s="145"/>
      <c r="AA192" s="145"/>
      <c r="AB192" s="145"/>
      <c r="AC192" s="145"/>
    </row>
    <row r="193" spans="15:29" x14ac:dyDescent="0.2">
      <c r="O193" s="118"/>
      <c r="P193" s="118"/>
      <c r="Q193" s="145"/>
      <c r="R193" s="145"/>
      <c r="S193" s="145"/>
      <c r="T193" s="145"/>
      <c r="U193" s="145"/>
      <c r="V193" s="145"/>
      <c r="W193" s="145"/>
      <c r="X193" s="145"/>
      <c r="Y193" s="145"/>
      <c r="Z193" s="145"/>
      <c r="AA193" s="145"/>
      <c r="AB193" s="145"/>
      <c r="AC193" s="145"/>
    </row>
    <row r="194" spans="15:29" x14ac:dyDescent="0.2">
      <c r="O194" s="118"/>
      <c r="P194" s="118"/>
      <c r="Q194" s="145"/>
      <c r="R194" s="145"/>
      <c r="S194" s="145"/>
      <c r="T194" s="145"/>
      <c r="U194" s="145"/>
      <c r="V194" s="145"/>
      <c r="W194" s="145"/>
      <c r="X194" s="145"/>
      <c r="Y194" s="145"/>
      <c r="Z194" s="145"/>
      <c r="AA194" s="145"/>
      <c r="AB194" s="145"/>
      <c r="AC194" s="145"/>
    </row>
    <row r="195" spans="15:29" x14ac:dyDescent="0.2">
      <c r="O195" s="118"/>
      <c r="P195" s="118"/>
      <c r="Q195" s="145"/>
      <c r="R195" s="145"/>
      <c r="S195" s="145"/>
      <c r="T195" s="145"/>
      <c r="U195" s="145"/>
      <c r="V195" s="145"/>
      <c r="W195" s="145"/>
      <c r="X195" s="145"/>
      <c r="Y195" s="145"/>
      <c r="Z195" s="145"/>
      <c r="AA195" s="145"/>
      <c r="AB195" s="145"/>
      <c r="AC195" s="145"/>
    </row>
    <row r="196" spans="15:29" x14ac:dyDescent="0.2">
      <c r="O196" s="118"/>
      <c r="P196" s="118"/>
      <c r="Q196" s="145"/>
      <c r="R196" s="145"/>
      <c r="S196" s="145"/>
      <c r="T196" s="145"/>
      <c r="U196" s="145"/>
      <c r="V196" s="145"/>
      <c r="W196" s="145"/>
      <c r="X196" s="145"/>
      <c r="Y196" s="145"/>
      <c r="Z196" s="145"/>
      <c r="AA196" s="145"/>
      <c r="AB196" s="145"/>
      <c r="AC196" s="145"/>
    </row>
    <row r="197" spans="15:29" x14ac:dyDescent="0.2">
      <c r="O197" s="118"/>
      <c r="P197" s="118"/>
      <c r="Q197" s="145"/>
      <c r="R197" s="145"/>
      <c r="S197" s="145"/>
      <c r="T197" s="145"/>
      <c r="U197" s="145"/>
      <c r="V197" s="145"/>
      <c r="W197" s="145"/>
      <c r="X197" s="145"/>
      <c r="Y197" s="145"/>
      <c r="Z197" s="145"/>
      <c r="AA197" s="145"/>
      <c r="AB197" s="145"/>
      <c r="AC197" s="145"/>
    </row>
    <row r="198" spans="15:29" x14ac:dyDescent="0.2">
      <c r="O198" s="118"/>
      <c r="P198" s="118"/>
      <c r="Q198" s="145"/>
      <c r="R198" s="145"/>
      <c r="S198" s="145"/>
      <c r="T198" s="145"/>
      <c r="U198" s="145"/>
      <c r="V198" s="145"/>
      <c r="W198" s="145"/>
      <c r="X198" s="145"/>
      <c r="Y198" s="145"/>
      <c r="Z198" s="145"/>
      <c r="AA198" s="145"/>
      <c r="AB198" s="145"/>
      <c r="AC198" s="145"/>
    </row>
    <row r="199" spans="15:29" x14ac:dyDescent="0.2">
      <c r="O199" s="118"/>
      <c r="P199" s="118"/>
      <c r="Q199" s="145"/>
      <c r="R199" s="145"/>
      <c r="S199" s="145"/>
      <c r="T199" s="145"/>
      <c r="U199" s="145"/>
      <c r="V199" s="145"/>
      <c r="W199" s="145"/>
      <c r="X199" s="145"/>
      <c r="Y199" s="145"/>
      <c r="Z199" s="145"/>
      <c r="AA199" s="145"/>
      <c r="AB199" s="145"/>
      <c r="AC199" s="145"/>
    </row>
    <row r="200" spans="15:29" x14ac:dyDescent="0.2">
      <c r="O200" s="118"/>
      <c r="P200" s="118"/>
      <c r="Q200" s="145"/>
      <c r="R200" s="145"/>
      <c r="S200" s="145"/>
      <c r="T200" s="145"/>
      <c r="U200" s="145"/>
      <c r="V200" s="145"/>
      <c r="W200" s="145"/>
      <c r="X200" s="145"/>
      <c r="Y200" s="145"/>
      <c r="Z200" s="145"/>
      <c r="AA200" s="145"/>
      <c r="AB200" s="145"/>
      <c r="AC200" s="145"/>
    </row>
    <row r="201" spans="15:29" x14ac:dyDescent="0.2">
      <c r="O201" s="118"/>
      <c r="P201" s="118"/>
      <c r="Q201" s="145"/>
      <c r="R201" s="145"/>
      <c r="S201" s="145"/>
      <c r="T201" s="145"/>
      <c r="U201" s="145"/>
      <c r="V201" s="145"/>
      <c r="W201" s="145"/>
      <c r="X201" s="145"/>
      <c r="Y201" s="145"/>
      <c r="Z201" s="145"/>
      <c r="AA201" s="145"/>
      <c r="AB201" s="145"/>
      <c r="AC201" s="145"/>
    </row>
    <row r="202" spans="15:29" x14ac:dyDescent="0.2">
      <c r="O202" s="118"/>
      <c r="P202" s="118"/>
      <c r="Q202" s="145"/>
      <c r="R202" s="145"/>
      <c r="S202" s="145"/>
      <c r="T202" s="145"/>
      <c r="U202" s="145"/>
      <c r="V202" s="145"/>
      <c r="W202" s="145"/>
      <c r="X202" s="145"/>
      <c r="Y202" s="145"/>
      <c r="Z202" s="145"/>
      <c r="AA202" s="145"/>
      <c r="AB202" s="145"/>
      <c r="AC202" s="145"/>
    </row>
    <row r="203" spans="15:29" x14ac:dyDescent="0.2">
      <c r="O203" s="118"/>
      <c r="P203" s="118"/>
      <c r="Q203" s="145"/>
      <c r="R203" s="145"/>
      <c r="S203" s="145"/>
      <c r="T203" s="145"/>
      <c r="U203" s="145"/>
      <c r="V203" s="145"/>
      <c r="W203" s="145"/>
      <c r="X203" s="145"/>
      <c r="Y203" s="145"/>
      <c r="Z203" s="145"/>
      <c r="AA203" s="145"/>
      <c r="AB203" s="145"/>
      <c r="AC203" s="145"/>
    </row>
    <row r="204" spans="15:29" x14ac:dyDescent="0.2">
      <c r="O204" s="118"/>
      <c r="P204" s="118"/>
      <c r="Q204" s="145"/>
      <c r="R204" s="145"/>
      <c r="S204" s="145"/>
      <c r="T204" s="145"/>
      <c r="U204" s="145"/>
      <c r="V204" s="145"/>
      <c r="W204" s="145"/>
      <c r="X204" s="145"/>
      <c r="Y204" s="145"/>
      <c r="Z204" s="145"/>
      <c r="AA204" s="145"/>
      <c r="AB204" s="145"/>
      <c r="AC204" s="145"/>
    </row>
    <row r="205" spans="15:29" x14ac:dyDescent="0.2">
      <c r="O205" s="118"/>
      <c r="P205" s="118"/>
      <c r="Q205" s="145"/>
      <c r="R205" s="145"/>
      <c r="S205" s="145"/>
      <c r="T205" s="145"/>
      <c r="U205" s="145"/>
      <c r="V205" s="145"/>
      <c r="W205" s="145"/>
      <c r="X205" s="145"/>
      <c r="Y205" s="145"/>
      <c r="Z205" s="145"/>
      <c r="AA205" s="145"/>
      <c r="AB205" s="145"/>
      <c r="AC205" s="145"/>
    </row>
    <row r="206" spans="15:29" x14ac:dyDescent="0.2">
      <c r="O206" s="118"/>
      <c r="P206" s="118"/>
      <c r="Q206" s="145"/>
      <c r="R206" s="145"/>
      <c r="S206" s="145"/>
      <c r="T206" s="145"/>
      <c r="U206" s="145"/>
      <c r="V206" s="145"/>
      <c r="W206" s="145"/>
      <c r="X206" s="145"/>
      <c r="Y206" s="145"/>
      <c r="Z206" s="145"/>
      <c r="AA206" s="145"/>
      <c r="AB206" s="145"/>
      <c r="AC206" s="145"/>
    </row>
    <row r="207" spans="15:29" x14ac:dyDescent="0.2">
      <c r="O207" s="118"/>
      <c r="P207" s="118"/>
      <c r="Q207" s="145"/>
      <c r="R207" s="145"/>
      <c r="S207" s="145"/>
      <c r="T207" s="145"/>
      <c r="U207" s="145"/>
      <c r="V207" s="145"/>
      <c r="W207" s="145"/>
      <c r="X207" s="145"/>
      <c r="Y207" s="145"/>
      <c r="Z207" s="145"/>
      <c r="AA207" s="145"/>
      <c r="AB207" s="145"/>
      <c r="AC207" s="145"/>
    </row>
    <row r="208" spans="15:29" x14ac:dyDescent="0.2">
      <c r="O208" s="118"/>
      <c r="P208" s="118"/>
      <c r="Q208" s="145"/>
      <c r="R208" s="145"/>
      <c r="S208" s="145"/>
      <c r="T208" s="145"/>
      <c r="U208" s="145"/>
      <c r="V208" s="145"/>
      <c r="W208" s="145"/>
      <c r="X208" s="145"/>
      <c r="Y208" s="145"/>
      <c r="Z208" s="145"/>
      <c r="AA208" s="145"/>
      <c r="AB208" s="145"/>
      <c r="AC208" s="145"/>
    </row>
    <row r="209" spans="15:29" x14ac:dyDescent="0.2">
      <c r="O209" s="118"/>
      <c r="P209" s="118"/>
      <c r="Q209" s="145"/>
      <c r="R209" s="145"/>
      <c r="S209" s="145"/>
      <c r="T209" s="145"/>
      <c r="U209" s="145"/>
      <c r="V209" s="145"/>
      <c r="W209" s="145"/>
      <c r="X209" s="145"/>
      <c r="Y209" s="145"/>
      <c r="Z209" s="145"/>
      <c r="AA209" s="145"/>
      <c r="AB209" s="145"/>
      <c r="AC209" s="145"/>
    </row>
    <row r="210" spans="15:29" x14ac:dyDescent="0.2">
      <c r="O210" s="118"/>
      <c r="P210" s="118"/>
      <c r="Q210" s="145"/>
      <c r="R210" s="145"/>
      <c r="S210" s="145"/>
      <c r="T210" s="145"/>
      <c r="U210" s="145"/>
      <c r="V210" s="145"/>
      <c r="W210" s="145"/>
      <c r="X210" s="145"/>
      <c r="Y210" s="145"/>
      <c r="Z210" s="145"/>
      <c r="AA210" s="145"/>
      <c r="AB210" s="145"/>
      <c r="AC210" s="145"/>
    </row>
    <row r="211" spans="15:29" x14ac:dyDescent="0.2">
      <c r="O211" s="118"/>
      <c r="P211" s="118"/>
      <c r="Q211" s="145"/>
      <c r="R211" s="145"/>
      <c r="S211" s="145"/>
      <c r="T211" s="145"/>
      <c r="U211" s="145"/>
      <c r="V211" s="145"/>
      <c r="W211" s="145"/>
      <c r="X211" s="145"/>
      <c r="Y211" s="145"/>
      <c r="Z211" s="145"/>
      <c r="AA211" s="145"/>
      <c r="AB211" s="145"/>
      <c r="AC211" s="145"/>
    </row>
    <row r="212" spans="15:29" x14ac:dyDescent="0.2">
      <c r="O212" s="118"/>
      <c r="P212" s="118"/>
      <c r="Q212" s="145"/>
      <c r="R212" s="145"/>
      <c r="S212" s="145"/>
      <c r="T212" s="145"/>
      <c r="U212" s="145"/>
      <c r="V212" s="145"/>
      <c r="W212" s="145"/>
      <c r="X212" s="145"/>
      <c r="Y212" s="145"/>
      <c r="Z212" s="145"/>
      <c r="AA212" s="145"/>
      <c r="AB212" s="145"/>
      <c r="AC212" s="145"/>
    </row>
    <row r="213" spans="15:29" x14ac:dyDescent="0.2">
      <c r="O213" s="118"/>
      <c r="P213" s="118"/>
      <c r="Q213" s="145"/>
      <c r="R213" s="145"/>
      <c r="S213" s="145"/>
      <c r="T213" s="145"/>
      <c r="U213" s="145"/>
      <c r="V213" s="145"/>
      <c r="W213" s="145"/>
      <c r="X213" s="145"/>
      <c r="Y213" s="145"/>
      <c r="Z213" s="145"/>
      <c r="AA213" s="145"/>
      <c r="AB213" s="145"/>
      <c r="AC213" s="145"/>
    </row>
    <row r="214" spans="15:29" x14ac:dyDescent="0.2">
      <c r="O214" s="118"/>
      <c r="P214" s="118"/>
      <c r="Q214" s="145"/>
      <c r="R214" s="145"/>
      <c r="S214" s="145"/>
      <c r="T214" s="145"/>
      <c r="U214" s="145"/>
      <c r="V214" s="145"/>
      <c r="W214" s="145"/>
      <c r="X214" s="145"/>
      <c r="Y214" s="145"/>
      <c r="Z214" s="145"/>
      <c r="AA214" s="145"/>
      <c r="AB214" s="145"/>
      <c r="AC214" s="145"/>
    </row>
    <row r="215" spans="15:29" x14ac:dyDescent="0.2">
      <c r="O215" s="118"/>
      <c r="P215" s="118"/>
      <c r="Q215" s="145"/>
      <c r="R215" s="145"/>
      <c r="S215" s="145"/>
      <c r="T215" s="145"/>
      <c r="U215" s="145"/>
      <c r="V215" s="145"/>
      <c r="W215" s="145"/>
      <c r="X215" s="145"/>
      <c r="Y215" s="145"/>
      <c r="Z215" s="145"/>
      <c r="AA215" s="145"/>
      <c r="AB215" s="145"/>
      <c r="AC215" s="145"/>
    </row>
    <row r="216" spans="15:29" x14ac:dyDescent="0.2">
      <c r="O216" s="118"/>
      <c r="P216" s="118"/>
      <c r="Q216" s="145"/>
      <c r="R216" s="145"/>
      <c r="S216" s="145"/>
      <c r="T216" s="145"/>
      <c r="U216" s="145"/>
      <c r="V216" s="145"/>
      <c r="W216" s="145"/>
      <c r="X216" s="145"/>
      <c r="Y216" s="145"/>
      <c r="Z216" s="145"/>
      <c r="AA216" s="145"/>
      <c r="AB216" s="145"/>
      <c r="AC216" s="145"/>
    </row>
    <row r="217" spans="15:29" x14ac:dyDescent="0.2">
      <c r="O217" s="118"/>
      <c r="P217" s="118"/>
      <c r="Q217" s="145"/>
      <c r="R217" s="145"/>
      <c r="S217" s="145"/>
      <c r="T217" s="145"/>
      <c r="U217" s="145"/>
      <c r="V217" s="145"/>
      <c r="W217" s="145"/>
      <c r="X217" s="145"/>
      <c r="Y217" s="145"/>
      <c r="Z217" s="145"/>
      <c r="AA217" s="145"/>
      <c r="AB217" s="145"/>
      <c r="AC217" s="145"/>
    </row>
    <row r="218" spans="15:29" x14ac:dyDescent="0.2">
      <c r="O218" s="118"/>
      <c r="P218" s="118"/>
      <c r="Q218" s="145"/>
      <c r="R218" s="145"/>
      <c r="S218" s="145"/>
      <c r="T218" s="145"/>
      <c r="U218" s="145"/>
      <c r="V218" s="145"/>
      <c r="W218" s="145"/>
      <c r="X218" s="145"/>
      <c r="Y218" s="145"/>
      <c r="Z218" s="145"/>
      <c r="AA218" s="145"/>
      <c r="AB218" s="145"/>
      <c r="AC218" s="145"/>
    </row>
    <row r="219" spans="15:29" x14ac:dyDescent="0.2">
      <c r="O219" s="118"/>
      <c r="P219" s="118"/>
      <c r="Q219" s="145"/>
      <c r="R219" s="145"/>
      <c r="S219" s="145"/>
      <c r="T219" s="145"/>
      <c r="U219" s="145"/>
      <c r="V219" s="145"/>
      <c r="W219" s="145"/>
      <c r="X219" s="145"/>
      <c r="Y219" s="145"/>
      <c r="Z219" s="145"/>
      <c r="AA219" s="145"/>
      <c r="AB219" s="145"/>
      <c r="AC219" s="145"/>
    </row>
    <row r="220" spans="15:29" x14ac:dyDescent="0.2">
      <c r="O220" s="118"/>
      <c r="P220" s="118"/>
      <c r="Q220" s="145"/>
      <c r="R220" s="145"/>
      <c r="S220" s="145"/>
      <c r="T220" s="145"/>
      <c r="U220" s="145"/>
      <c r="V220" s="145"/>
      <c r="W220" s="145"/>
      <c r="X220" s="145"/>
      <c r="Y220" s="145"/>
      <c r="Z220" s="145"/>
      <c r="AA220" s="145"/>
      <c r="AB220" s="145"/>
      <c r="AC220" s="145"/>
    </row>
    <row r="221" spans="15:29" x14ac:dyDescent="0.2">
      <c r="O221" s="118"/>
      <c r="P221" s="118"/>
      <c r="Q221" s="145"/>
      <c r="R221" s="145"/>
      <c r="S221" s="145"/>
      <c r="T221" s="145"/>
      <c r="U221" s="145"/>
      <c r="V221" s="145"/>
      <c r="W221" s="145"/>
      <c r="X221" s="145"/>
      <c r="Y221" s="145"/>
      <c r="Z221" s="145"/>
      <c r="AA221" s="145"/>
      <c r="AB221" s="145"/>
      <c r="AC221" s="145"/>
    </row>
    <row r="222" spans="15:29" x14ac:dyDescent="0.2">
      <c r="O222" s="118"/>
      <c r="P222" s="118"/>
      <c r="Q222" s="145"/>
      <c r="R222" s="145"/>
      <c r="S222" s="145"/>
      <c r="T222" s="145"/>
      <c r="U222" s="145"/>
      <c r="V222" s="145"/>
      <c r="W222" s="145"/>
      <c r="X222" s="145"/>
      <c r="Y222" s="145"/>
      <c r="Z222" s="145"/>
      <c r="AA222" s="145"/>
      <c r="AB222" s="145"/>
      <c r="AC222" s="145"/>
    </row>
    <row r="223" spans="15:29" x14ac:dyDescent="0.2">
      <c r="O223" s="118"/>
      <c r="P223" s="118"/>
      <c r="Q223" s="145"/>
      <c r="R223" s="145"/>
      <c r="S223" s="145"/>
      <c r="T223" s="145"/>
      <c r="U223" s="145"/>
      <c r="V223" s="145"/>
      <c r="W223" s="145"/>
      <c r="X223" s="145"/>
      <c r="Y223" s="145"/>
      <c r="Z223" s="145"/>
      <c r="AA223" s="145"/>
      <c r="AB223" s="145"/>
      <c r="AC223" s="145"/>
    </row>
    <row r="224" spans="15:29" x14ac:dyDescent="0.2">
      <c r="O224" s="118"/>
      <c r="P224" s="118"/>
      <c r="Q224" s="145"/>
      <c r="R224" s="145"/>
      <c r="S224" s="145"/>
      <c r="T224" s="145"/>
      <c r="U224" s="145"/>
      <c r="V224" s="145"/>
      <c r="W224" s="145"/>
      <c r="X224" s="145"/>
      <c r="Y224" s="145"/>
      <c r="Z224" s="145"/>
      <c r="AA224" s="145"/>
      <c r="AB224" s="145"/>
      <c r="AC224" s="145"/>
    </row>
    <row r="225" spans="15:29" x14ac:dyDescent="0.2">
      <c r="O225" s="118"/>
      <c r="P225" s="118"/>
      <c r="Q225" s="145"/>
      <c r="R225" s="145"/>
      <c r="S225" s="145"/>
      <c r="T225" s="145"/>
      <c r="U225" s="145"/>
      <c r="V225" s="145"/>
      <c r="W225" s="145"/>
      <c r="X225" s="145"/>
      <c r="Y225" s="145"/>
      <c r="Z225" s="145"/>
      <c r="AA225" s="145"/>
      <c r="AB225" s="145"/>
      <c r="AC225" s="145"/>
    </row>
    <row r="226" spans="15:29" x14ac:dyDescent="0.2">
      <c r="O226" s="118"/>
      <c r="P226" s="118"/>
      <c r="Q226" s="145"/>
      <c r="R226" s="145"/>
      <c r="S226" s="145"/>
      <c r="T226" s="145"/>
      <c r="U226" s="145"/>
      <c r="V226" s="145"/>
      <c r="W226" s="145"/>
      <c r="X226" s="145"/>
      <c r="Y226" s="145"/>
      <c r="Z226" s="145"/>
      <c r="AA226" s="145"/>
      <c r="AB226" s="145"/>
      <c r="AC226" s="145"/>
    </row>
    <row r="227" spans="15:29" x14ac:dyDescent="0.2">
      <c r="O227" s="118"/>
      <c r="P227" s="118"/>
      <c r="Q227" s="145"/>
      <c r="R227" s="145"/>
      <c r="S227" s="145"/>
      <c r="T227" s="145"/>
      <c r="U227" s="145"/>
      <c r="V227" s="145"/>
      <c r="W227" s="145"/>
      <c r="X227" s="145"/>
      <c r="Y227" s="145"/>
      <c r="Z227" s="145"/>
      <c r="AA227" s="145"/>
      <c r="AB227" s="145"/>
      <c r="AC227" s="145"/>
    </row>
    <row r="228" spans="15:29" x14ac:dyDescent="0.2">
      <c r="O228" s="118"/>
      <c r="P228" s="118"/>
      <c r="Q228" s="145"/>
      <c r="R228" s="145"/>
      <c r="S228" s="145"/>
      <c r="T228" s="145"/>
      <c r="U228" s="145"/>
      <c r="V228" s="145"/>
      <c r="W228" s="145"/>
      <c r="X228" s="145"/>
      <c r="Y228" s="145"/>
      <c r="Z228" s="145"/>
      <c r="AA228" s="145"/>
      <c r="AB228" s="145"/>
      <c r="AC228" s="145"/>
    </row>
    <row r="229" spans="15:29" x14ac:dyDescent="0.2">
      <c r="O229" s="118"/>
      <c r="P229" s="118"/>
      <c r="Q229" s="145"/>
      <c r="R229" s="145"/>
      <c r="S229" s="145"/>
      <c r="T229" s="145"/>
      <c r="U229" s="145"/>
      <c r="V229" s="145"/>
      <c r="W229" s="145"/>
      <c r="X229" s="145"/>
      <c r="Y229" s="145"/>
      <c r="Z229" s="145"/>
      <c r="AA229" s="145"/>
      <c r="AB229" s="145"/>
      <c r="AC229" s="145"/>
    </row>
    <row r="230" spans="15:29" x14ac:dyDescent="0.2">
      <c r="O230" s="118"/>
      <c r="P230" s="118"/>
      <c r="Q230" s="145"/>
      <c r="R230" s="145"/>
      <c r="S230" s="145"/>
      <c r="T230" s="145"/>
      <c r="U230" s="145"/>
      <c r="V230" s="145"/>
      <c r="W230" s="145"/>
      <c r="X230" s="145"/>
      <c r="Y230" s="145"/>
      <c r="Z230" s="145"/>
      <c r="AA230" s="145"/>
      <c r="AB230" s="145"/>
      <c r="AC230" s="145"/>
    </row>
    <row r="231" spans="15:29" x14ac:dyDescent="0.2">
      <c r="O231" s="118"/>
      <c r="P231" s="118"/>
      <c r="Q231" s="145"/>
      <c r="R231" s="145"/>
      <c r="S231" s="145"/>
      <c r="T231" s="145"/>
      <c r="U231" s="145"/>
      <c r="V231" s="145"/>
      <c r="W231" s="145"/>
      <c r="X231" s="145"/>
      <c r="Y231" s="145"/>
      <c r="Z231" s="145"/>
      <c r="AA231" s="145"/>
      <c r="AB231" s="145"/>
      <c r="AC231" s="145"/>
    </row>
    <row r="232" spans="15:29" x14ac:dyDescent="0.2">
      <c r="O232" s="118"/>
      <c r="P232" s="118"/>
      <c r="Q232" s="145"/>
      <c r="R232" s="145"/>
      <c r="S232" s="145"/>
      <c r="T232" s="145"/>
      <c r="U232" s="145"/>
      <c r="V232" s="145"/>
      <c r="W232" s="145"/>
      <c r="X232" s="145"/>
      <c r="Y232" s="145"/>
      <c r="Z232" s="145"/>
      <c r="AA232" s="145"/>
      <c r="AB232" s="145"/>
      <c r="AC232" s="145"/>
    </row>
    <row r="233" spans="15:29" x14ac:dyDescent="0.2">
      <c r="O233" s="118"/>
      <c r="P233" s="118"/>
      <c r="Q233" s="145"/>
      <c r="R233" s="145"/>
      <c r="S233" s="145"/>
      <c r="T233" s="145"/>
      <c r="U233" s="145"/>
      <c r="V233" s="145"/>
      <c r="W233" s="145"/>
      <c r="X233" s="145"/>
      <c r="Y233" s="145"/>
      <c r="Z233" s="145"/>
      <c r="AA233" s="145"/>
      <c r="AB233" s="145"/>
      <c r="AC233" s="145"/>
    </row>
    <row r="234" spans="15:29" x14ac:dyDescent="0.2">
      <c r="O234" s="118"/>
      <c r="P234" s="118"/>
      <c r="Q234" s="145"/>
      <c r="R234" s="145"/>
      <c r="S234" s="145"/>
      <c r="T234" s="145"/>
      <c r="U234" s="145"/>
      <c r="V234" s="145"/>
      <c r="W234" s="145"/>
      <c r="X234" s="145"/>
      <c r="Y234" s="145"/>
      <c r="Z234" s="145"/>
      <c r="AA234" s="145"/>
      <c r="AB234" s="145"/>
      <c r="AC234" s="145"/>
    </row>
    <row r="235" spans="15:29" x14ac:dyDescent="0.2">
      <c r="O235" s="118"/>
      <c r="P235" s="118"/>
      <c r="Q235" s="145"/>
      <c r="R235" s="145"/>
      <c r="S235" s="145"/>
      <c r="T235" s="145"/>
      <c r="U235" s="145"/>
      <c r="V235" s="145"/>
      <c r="W235" s="145"/>
      <c r="X235" s="145"/>
      <c r="Y235" s="145"/>
      <c r="Z235" s="145"/>
      <c r="AA235" s="145"/>
      <c r="AB235" s="145"/>
      <c r="AC235" s="145"/>
    </row>
    <row r="236" spans="15:29" x14ac:dyDescent="0.2">
      <c r="O236" s="118"/>
      <c r="P236" s="118"/>
      <c r="Q236" s="145"/>
      <c r="R236" s="145"/>
      <c r="S236" s="145"/>
      <c r="T236" s="145"/>
      <c r="U236" s="145"/>
      <c r="V236" s="145"/>
      <c r="W236" s="145"/>
      <c r="X236" s="145"/>
      <c r="Y236" s="145"/>
      <c r="Z236" s="145"/>
      <c r="AA236" s="145"/>
      <c r="AB236" s="145"/>
      <c r="AC236" s="145"/>
    </row>
    <row r="237" spans="15:29" x14ac:dyDescent="0.2">
      <c r="O237" s="118"/>
      <c r="P237" s="118"/>
      <c r="Q237" s="145"/>
      <c r="R237" s="145"/>
      <c r="S237" s="145"/>
      <c r="T237" s="145"/>
      <c r="U237" s="145"/>
      <c r="V237" s="145"/>
      <c r="W237" s="145"/>
      <c r="X237" s="145"/>
      <c r="Y237" s="145"/>
      <c r="Z237" s="145"/>
      <c r="AA237" s="145"/>
      <c r="AB237" s="145"/>
      <c r="AC237" s="145"/>
    </row>
    <row r="238" spans="15:29" x14ac:dyDescent="0.2">
      <c r="O238" s="118"/>
      <c r="P238" s="118"/>
      <c r="Q238" s="145"/>
      <c r="R238" s="145"/>
      <c r="S238" s="145"/>
      <c r="T238" s="145"/>
      <c r="U238" s="145"/>
      <c r="V238" s="145"/>
      <c r="W238" s="145"/>
      <c r="X238" s="145"/>
      <c r="Y238" s="145"/>
      <c r="Z238" s="145"/>
      <c r="AA238" s="145"/>
      <c r="AB238" s="145"/>
      <c r="AC238" s="145"/>
    </row>
    <row r="239" spans="15:29" x14ac:dyDescent="0.2">
      <c r="O239" s="118"/>
      <c r="P239" s="118"/>
      <c r="Q239" s="145"/>
      <c r="R239" s="145"/>
      <c r="S239" s="145"/>
      <c r="T239" s="145"/>
      <c r="U239" s="145"/>
      <c r="V239" s="145"/>
      <c r="W239" s="145"/>
      <c r="X239" s="145"/>
      <c r="Y239" s="145"/>
      <c r="Z239" s="145"/>
      <c r="AA239" s="145"/>
      <c r="AB239" s="145"/>
      <c r="AC239" s="145"/>
    </row>
    <row r="240" spans="15:29" x14ac:dyDescent="0.2">
      <c r="O240" s="118"/>
      <c r="P240" s="118"/>
      <c r="Q240" s="145"/>
      <c r="R240" s="145"/>
      <c r="S240" s="145"/>
      <c r="T240" s="145"/>
      <c r="U240" s="145"/>
      <c r="V240" s="145"/>
      <c r="W240" s="145"/>
      <c r="X240" s="145"/>
      <c r="Y240" s="145"/>
      <c r="Z240" s="145"/>
      <c r="AA240" s="145"/>
      <c r="AB240" s="145"/>
      <c r="AC240" s="145"/>
    </row>
    <row r="241" spans="15:29" x14ac:dyDescent="0.2">
      <c r="O241" s="118"/>
      <c r="P241" s="118"/>
      <c r="Q241" s="145"/>
      <c r="R241" s="145"/>
      <c r="S241" s="145"/>
      <c r="T241" s="145"/>
      <c r="U241" s="145"/>
      <c r="V241" s="145"/>
      <c r="W241" s="145"/>
      <c r="X241" s="145"/>
      <c r="Y241" s="145"/>
      <c r="Z241" s="145"/>
      <c r="AA241" s="145"/>
      <c r="AB241" s="145"/>
      <c r="AC241" s="145"/>
    </row>
    <row r="242" spans="15:29" x14ac:dyDescent="0.2">
      <c r="O242" s="118"/>
      <c r="P242" s="118"/>
      <c r="Q242" s="145"/>
      <c r="R242" s="145"/>
      <c r="S242" s="145"/>
      <c r="T242" s="145"/>
      <c r="U242" s="145"/>
      <c r="V242" s="145"/>
      <c r="W242" s="145"/>
      <c r="X242" s="145"/>
      <c r="Y242" s="145"/>
      <c r="Z242" s="145"/>
      <c r="AA242" s="145"/>
      <c r="AB242" s="145"/>
      <c r="AC242" s="145"/>
    </row>
    <row r="243" spans="15:29" x14ac:dyDescent="0.2">
      <c r="O243" s="118"/>
      <c r="P243" s="118"/>
      <c r="Q243" s="145"/>
      <c r="R243" s="145"/>
      <c r="S243" s="145"/>
      <c r="T243" s="145"/>
      <c r="U243" s="145"/>
      <c r="V243" s="145"/>
      <c r="W243" s="145"/>
      <c r="X243" s="145"/>
      <c r="Y243" s="145"/>
      <c r="Z243" s="145"/>
      <c r="AA243" s="145"/>
      <c r="AB243" s="145"/>
      <c r="AC243" s="145"/>
    </row>
    <row r="244" spans="15:29" x14ac:dyDescent="0.2">
      <c r="O244" s="118"/>
      <c r="P244" s="118"/>
      <c r="Q244" s="145"/>
      <c r="R244" s="145"/>
      <c r="S244" s="145"/>
      <c r="T244" s="145"/>
      <c r="U244" s="145"/>
      <c r="V244" s="145"/>
      <c r="W244" s="145"/>
      <c r="X244" s="145"/>
      <c r="Y244" s="145"/>
      <c r="Z244" s="145"/>
      <c r="AA244" s="145"/>
      <c r="AB244" s="145"/>
      <c r="AC244" s="145"/>
    </row>
    <row r="245" spans="15:29" x14ac:dyDescent="0.2">
      <c r="O245" s="118"/>
      <c r="P245" s="118"/>
      <c r="Q245" s="145"/>
      <c r="R245" s="145"/>
      <c r="S245" s="145"/>
      <c r="T245" s="145"/>
      <c r="U245" s="145"/>
      <c r="V245" s="145"/>
      <c r="W245" s="145"/>
      <c r="X245" s="145"/>
      <c r="Y245" s="145"/>
      <c r="Z245" s="145"/>
      <c r="AA245" s="145"/>
      <c r="AB245" s="145"/>
      <c r="AC245" s="145"/>
    </row>
    <row r="246" spans="15:29" x14ac:dyDescent="0.2">
      <c r="O246" s="118"/>
      <c r="P246" s="118"/>
      <c r="Q246" s="145"/>
      <c r="R246" s="145"/>
      <c r="S246" s="145"/>
      <c r="T246" s="145"/>
      <c r="U246" s="145"/>
      <c r="V246" s="145"/>
      <c r="W246" s="145"/>
      <c r="X246" s="145"/>
      <c r="Y246" s="145"/>
      <c r="Z246" s="145"/>
      <c r="AA246" s="145"/>
      <c r="AB246" s="145"/>
      <c r="AC246" s="145"/>
    </row>
    <row r="247" spans="15:29" x14ac:dyDescent="0.2">
      <c r="O247" s="118"/>
      <c r="P247" s="118"/>
      <c r="Q247" s="145"/>
      <c r="R247" s="145"/>
      <c r="S247" s="145"/>
      <c r="T247" s="145"/>
      <c r="U247" s="145"/>
      <c r="V247" s="145"/>
      <c r="W247" s="145"/>
      <c r="X247" s="145"/>
      <c r="Y247" s="145"/>
      <c r="Z247" s="145"/>
      <c r="AA247" s="145"/>
      <c r="AB247" s="145"/>
      <c r="AC247" s="145"/>
    </row>
    <row r="248" spans="15:29" x14ac:dyDescent="0.2">
      <c r="O248" s="118"/>
      <c r="P248" s="118"/>
      <c r="Q248" s="145"/>
      <c r="R248" s="145"/>
      <c r="S248" s="145"/>
      <c r="T248" s="145"/>
      <c r="U248" s="145"/>
      <c r="V248" s="145"/>
      <c r="W248" s="145"/>
      <c r="X248" s="145"/>
      <c r="Y248" s="145"/>
      <c r="Z248" s="145"/>
      <c r="AA248" s="145"/>
      <c r="AB248" s="145"/>
      <c r="AC248" s="145"/>
    </row>
    <row r="249" spans="15:29" x14ac:dyDescent="0.2">
      <c r="O249" s="118"/>
      <c r="P249" s="118"/>
      <c r="Q249" s="145"/>
      <c r="R249" s="145"/>
      <c r="S249" s="145"/>
      <c r="T249" s="145"/>
      <c r="U249" s="145"/>
      <c r="V249" s="145"/>
      <c r="W249" s="145"/>
      <c r="X249" s="145"/>
      <c r="Y249" s="145"/>
      <c r="Z249" s="145"/>
      <c r="AA249" s="145"/>
      <c r="AB249" s="145"/>
      <c r="AC249" s="145"/>
    </row>
    <row r="250" spans="15:29" x14ac:dyDescent="0.2">
      <c r="O250" s="118"/>
      <c r="P250" s="118"/>
      <c r="Q250" s="145"/>
      <c r="R250" s="145"/>
      <c r="S250" s="145"/>
      <c r="T250" s="145"/>
      <c r="U250" s="145"/>
      <c r="V250" s="145"/>
      <c r="W250" s="145"/>
      <c r="X250" s="145"/>
      <c r="Y250" s="145"/>
      <c r="Z250" s="145"/>
      <c r="AA250" s="145"/>
      <c r="AB250" s="145"/>
      <c r="AC250" s="145"/>
    </row>
    <row r="251" spans="15:29" x14ac:dyDescent="0.2">
      <c r="O251" s="118"/>
      <c r="P251" s="118"/>
      <c r="Q251" s="145"/>
      <c r="R251" s="145"/>
      <c r="S251" s="145"/>
      <c r="T251" s="145"/>
      <c r="U251" s="145"/>
      <c r="V251" s="145"/>
      <c r="W251" s="145"/>
      <c r="X251" s="145"/>
      <c r="Y251" s="145"/>
      <c r="Z251" s="145"/>
      <c r="AA251" s="145"/>
      <c r="AB251" s="145"/>
      <c r="AC251" s="145"/>
    </row>
    <row r="252" spans="15:29" x14ac:dyDescent="0.2">
      <c r="O252" s="118"/>
      <c r="P252" s="118"/>
      <c r="Q252" s="145"/>
      <c r="R252" s="145"/>
      <c r="S252" s="145"/>
      <c r="T252" s="145"/>
      <c r="U252" s="145"/>
      <c r="V252" s="145"/>
      <c r="W252" s="145"/>
      <c r="X252" s="145"/>
      <c r="Y252" s="145"/>
      <c r="Z252" s="145"/>
      <c r="AA252" s="145"/>
      <c r="AB252" s="145"/>
      <c r="AC252" s="145"/>
    </row>
    <row r="253" spans="15:29" x14ac:dyDescent="0.2">
      <c r="O253" s="118"/>
      <c r="P253" s="118"/>
      <c r="Q253" s="145"/>
      <c r="R253" s="145"/>
      <c r="S253" s="145"/>
      <c r="T253" s="145"/>
      <c r="U253" s="145"/>
      <c r="V253" s="145"/>
      <c r="W253" s="145"/>
      <c r="X253" s="145"/>
      <c r="Y253" s="145"/>
      <c r="Z253" s="145"/>
      <c r="AA253" s="145"/>
      <c r="AB253" s="145"/>
      <c r="AC253" s="145"/>
    </row>
    <row r="254" spans="15:29" x14ac:dyDescent="0.2">
      <c r="O254" s="118"/>
      <c r="P254" s="118"/>
      <c r="Q254" s="145"/>
      <c r="R254" s="145"/>
      <c r="S254" s="145"/>
      <c r="T254" s="145"/>
      <c r="U254" s="145"/>
      <c r="V254" s="145"/>
      <c r="W254" s="145"/>
      <c r="X254" s="145"/>
      <c r="Y254" s="145"/>
      <c r="Z254" s="145"/>
      <c r="AA254" s="145"/>
      <c r="AB254" s="145"/>
      <c r="AC254" s="145"/>
    </row>
    <row r="255" spans="15:29" x14ac:dyDescent="0.2">
      <c r="O255" s="118"/>
      <c r="P255" s="118"/>
      <c r="Q255" s="145"/>
      <c r="R255" s="145"/>
      <c r="S255" s="145"/>
      <c r="T255" s="145"/>
      <c r="U255" s="145"/>
      <c r="V255" s="145"/>
      <c r="W255" s="145"/>
      <c r="X255" s="145"/>
      <c r="Y255" s="145"/>
      <c r="Z255" s="145"/>
      <c r="AA255" s="145"/>
      <c r="AB255" s="145"/>
      <c r="AC255" s="145"/>
    </row>
    <row r="256" spans="15:29" x14ac:dyDescent="0.2">
      <c r="O256" s="118"/>
      <c r="P256" s="118"/>
      <c r="Q256" s="145"/>
      <c r="R256" s="145"/>
      <c r="S256" s="145"/>
      <c r="T256" s="145"/>
      <c r="U256" s="145"/>
      <c r="V256" s="145"/>
      <c r="W256" s="145"/>
      <c r="X256" s="145"/>
      <c r="Y256" s="145"/>
      <c r="Z256" s="145"/>
      <c r="AA256" s="145"/>
      <c r="AB256" s="145"/>
      <c r="AC256" s="145"/>
    </row>
    <row r="257" spans="15:29" x14ac:dyDescent="0.2">
      <c r="O257" s="118"/>
      <c r="P257" s="118"/>
      <c r="Q257" s="145"/>
      <c r="R257" s="145"/>
      <c r="S257" s="145"/>
      <c r="T257" s="145"/>
      <c r="U257" s="145"/>
      <c r="V257" s="145"/>
      <c r="W257" s="145"/>
      <c r="X257" s="145"/>
      <c r="Y257" s="145"/>
      <c r="Z257" s="145"/>
      <c r="AA257" s="145"/>
      <c r="AB257" s="145"/>
      <c r="AC257" s="145"/>
    </row>
    <row r="258" spans="15:29" x14ac:dyDescent="0.2">
      <c r="O258" s="118"/>
      <c r="P258" s="118"/>
      <c r="Q258" s="145"/>
      <c r="R258" s="145"/>
      <c r="S258" s="145"/>
      <c r="T258" s="145"/>
      <c r="U258" s="145"/>
      <c r="V258" s="145"/>
      <c r="W258" s="145"/>
      <c r="X258" s="145"/>
      <c r="Y258" s="145"/>
      <c r="Z258" s="145"/>
      <c r="AA258" s="145"/>
      <c r="AB258" s="145"/>
      <c r="AC258" s="145"/>
    </row>
    <row r="259" spans="15:29" x14ac:dyDescent="0.2">
      <c r="O259" s="118"/>
      <c r="P259" s="118"/>
      <c r="Q259" s="145"/>
      <c r="R259" s="145"/>
      <c r="S259" s="145"/>
      <c r="T259" s="145"/>
      <c r="U259" s="145"/>
      <c r="V259" s="145"/>
      <c r="W259" s="145"/>
      <c r="X259" s="145"/>
      <c r="Y259" s="145"/>
      <c r="Z259" s="145"/>
      <c r="AA259" s="145"/>
      <c r="AB259" s="145"/>
      <c r="AC259" s="145"/>
    </row>
    <row r="260" spans="15:29" x14ac:dyDescent="0.2">
      <c r="O260" s="118"/>
      <c r="P260" s="118"/>
      <c r="Q260" s="145"/>
      <c r="R260" s="145"/>
      <c r="S260" s="145"/>
      <c r="T260" s="145"/>
      <c r="U260" s="145"/>
      <c r="V260" s="145"/>
      <c r="W260" s="145"/>
      <c r="X260" s="145"/>
      <c r="Y260" s="145"/>
      <c r="Z260" s="145"/>
      <c r="AA260" s="145"/>
      <c r="AB260" s="145"/>
      <c r="AC260" s="145"/>
    </row>
    <row r="261" spans="15:29" x14ac:dyDescent="0.2">
      <c r="O261" s="118"/>
      <c r="P261" s="118"/>
      <c r="Q261" s="145"/>
      <c r="R261" s="145"/>
      <c r="S261" s="145"/>
      <c r="T261" s="145"/>
      <c r="U261" s="145"/>
      <c r="V261" s="145"/>
      <c r="W261" s="145"/>
      <c r="X261" s="145"/>
      <c r="Y261" s="145"/>
      <c r="Z261" s="145"/>
      <c r="AA261" s="145"/>
      <c r="AB261" s="145"/>
      <c r="AC261" s="145"/>
    </row>
    <row r="262" spans="15:29" x14ac:dyDescent="0.2">
      <c r="O262" s="118"/>
      <c r="P262" s="118"/>
      <c r="Q262" s="145"/>
      <c r="R262" s="145"/>
      <c r="S262" s="145"/>
      <c r="T262" s="145"/>
      <c r="U262" s="145"/>
      <c r="V262" s="145"/>
      <c r="W262" s="145"/>
      <c r="X262" s="145"/>
      <c r="Y262" s="145"/>
      <c r="Z262" s="145"/>
      <c r="AA262" s="145"/>
      <c r="AB262" s="145"/>
      <c r="AC262" s="145"/>
    </row>
    <row r="263" spans="15:29" x14ac:dyDescent="0.2">
      <c r="O263" s="118"/>
      <c r="P263" s="118"/>
      <c r="Q263" s="145"/>
      <c r="R263" s="145"/>
      <c r="S263" s="145"/>
      <c r="T263" s="145"/>
      <c r="U263" s="145"/>
      <c r="V263" s="145"/>
      <c r="W263" s="145"/>
      <c r="X263" s="145"/>
      <c r="Y263" s="145"/>
      <c r="Z263" s="145"/>
      <c r="AA263" s="145"/>
      <c r="AB263" s="145"/>
      <c r="AC263" s="145"/>
    </row>
    <row r="264" spans="15:29" x14ac:dyDescent="0.2">
      <c r="O264" s="118"/>
      <c r="P264" s="118"/>
      <c r="Q264" s="145"/>
      <c r="R264" s="145"/>
      <c r="S264" s="145"/>
      <c r="T264" s="145"/>
      <c r="U264" s="145"/>
      <c r="V264" s="145"/>
      <c r="W264" s="145"/>
      <c r="X264" s="145"/>
      <c r="Y264" s="145"/>
      <c r="Z264" s="145"/>
      <c r="AA264" s="145"/>
      <c r="AB264" s="145"/>
      <c r="AC264" s="145"/>
    </row>
    <row r="265" spans="15:29" x14ac:dyDescent="0.2">
      <c r="O265" s="118"/>
      <c r="P265" s="118"/>
      <c r="Q265" s="145"/>
      <c r="R265" s="145"/>
      <c r="S265" s="145"/>
      <c r="T265" s="145"/>
      <c r="U265" s="145"/>
      <c r="V265" s="145"/>
      <c r="W265" s="145"/>
      <c r="X265" s="145"/>
      <c r="Y265" s="145"/>
      <c r="Z265" s="145"/>
      <c r="AA265" s="145"/>
      <c r="AB265" s="145"/>
      <c r="AC265" s="145"/>
    </row>
    <row r="266" spans="15:29" x14ac:dyDescent="0.2">
      <c r="O266" s="118"/>
      <c r="P266" s="118"/>
      <c r="Q266" s="145"/>
      <c r="R266" s="145"/>
      <c r="S266" s="145"/>
      <c r="T266" s="145"/>
      <c r="U266" s="145"/>
      <c r="V266" s="145"/>
      <c r="W266" s="145"/>
      <c r="X266" s="145"/>
      <c r="Y266" s="145"/>
      <c r="Z266" s="145"/>
      <c r="AA266" s="145"/>
      <c r="AB266" s="145"/>
      <c r="AC266" s="145"/>
    </row>
    <row r="267" spans="15:29" x14ac:dyDescent="0.2">
      <c r="O267" s="118"/>
      <c r="P267" s="118"/>
      <c r="Q267" s="145"/>
      <c r="R267" s="145"/>
      <c r="S267" s="145"/>
      <c r="T267" s="145"/>
      <c r="U267" s="145"/>
      <c r="V267" s="145"/>
      <c r="W267" s="145"/>
      <c r="X267" s="145"/>
      <c r="Y267" s="145"/>
      <c r="Z267" s="145"/>
      <c r="AA267" s="145"/>
      <c r="AB267" s="145"/>
      <c r="AC267" s="145"/>
    </row>
    <row r="268" spans="15:29" x14ac:dyDescent="0.2">
      <c r="O268" s="118"/>
      <c r="P268" s="118"/>
      <c r="Q268" s="145"/>
      <c r="R268" s="145"/>
      <c r="S268" s="145"/>
      <c r="T268" s="145"/>
      <c r="U268" s="145"/>
      <c r="V268" s="145"/>
      <c r="W268" s="145"/>
      <c r="X268" s="145"/>
      <c r="Y268" s="145"/>
      <c r="Z268" s="145"/>
      <c r="AA268" s="145"/>
      <c r="AB268" s="145"/>
      <c r="AC268" s="145"/>
    </row>
    <row r="269" spans="15:29" x14ac:dyDescent="0.2">
      <c r="O269" s="118"/>
      <c r="P269" s="118"/>
      <c r="Q269" s="145"/>
      <c r="R269" s="145"/>
      <c r="S269" s="145"/>
      <c r="T269" s="145"/>
      <c r="U269" s="145"/>
      <c r="V269" s="145"/>
      <c r="W269" s="145"/>
      <c r="X269" s="145"/>
      <c r="Y269" s="145"/>
      <c r="Z269" s="145"/>
      <c r="AA269" s="145"/>
      <c r="AB269" s="145"/>
      <c r="AC269" s="145"/>
    </row>
    <row r="270" spans="15:29" x14ac:dyDescent="0.2">
      <c r="O270" s="118"/>
      <c r="P270" s="118"/>
      <c r="Q270" s="145"/>
      <c r="R270" s="145"/>
      <c r="S270" s="145"/>
      <c r="T270" s="145"/>
      <c r="U270" s="145"/>
      <c r="V270" s="145"/>
      <c r="W270" s="145"/>
      <c r="X270" s="145"/>
      <c r="Y270" s="145"/>
      <c r="Z270" s="145"/>
      <c r="AA270" s="145"/>
      <c r="AB270" s="145"/>
      <c r="AC270" s="145"/>
    </row>
    <row r="271" spans="15:29" x14ac:dyDescent="0.2">
      <c r="O271" s="118"/>
      <c r="P271" s="118"/>
      <c r="Q271" s="145"/>
      <c r="R271" s="145"/>
      <c r="S271" s="145"/>
      <c r="T271" s="145"/>
      <c r="U271" s="145"/>
      <c r="V271" s="145"/>
      <c r="W271" s="145"/>
      <c r="X271" s="145"/>
      <c r="Y271" s="145"/>
      <c r="Z271" s="145"/>
      <c r="AA271" s="145"/>
      <c r="AB271" s="145"/>
      <c r="AC271" s="145"/>
    </row>
    <row r="272" spans="15:29" x14ac:dyDescent="0.2">
      <c r="O272" s="118"/>
      <c r="P272" s="118"/>
      <c r="Q272" s="145"/>
      <c r="R272" s="145"/>
      <c r="S272" s="145"/>
      <c r="T272" s="145"/>
      <c r="U272" s="145"/>
      <c r="V272" s="145"/>
      <c r="W272" s="145"/>
      <c r="X272" s="145"/>
      <c r="Y272" s="145"/>
      <c r="Z272" s="145"/>
      <c r="AA272" s="145"/>
      <c r="AB272" s="145"/>
      <c r="AC272" s="145"/>
    </row>
    <row r="273" spans="15:29" x14ac:dyDescent="0.2">
      <c r="O273" s="118"/>
      <c r="P273" s="118"/>
      <c r="Q273" s="145"/>
      <c r="R273" s="145"/>
      <c r="S273" s="145"/>
      <c r="T273" s="145"/>
      <c r="U273" s="145"/>
      <c r="V273" s="145"/>
      <c r="W273" s="145"/>
      <c r="X273" s="145"/>
      <c r="Y273" s="145"/>
      <c r="Z273" s="145"/>
      <c r="AA273" s="145"/>
      <c r="AB273" s="145"/>
      <c r="AC273" s="145"/>
    </row>
    <row r="274" spans="15:29" x14ac:dyDescent="0.2">
      <c r="O274" s="118"/>
      <c r="P274" s="118"/>
      <c r="Q274" s="145"/>
      <c r="R274" s="145"/>
      <c r="S274" s="145"/>
      <c r="T274" s="145"/>
      <c r="U274" s="145"/>
      <c r="V274" s="145"/>
      <c r="W274" s="145"/>
      <c r="X274" s="145"/>
      <c r="Y274" s="145"/>
      <c r="Z274" s="145"/>
      <c r="AA274" s="145"/>
      <c r="AB274" s="145"/>
      <c r="AC274" s="145"/>
    </row>
    <row r="275" spans="15:29" x14ac:dyDescent="0.2">
      <c r="O275" s="118"/>
      <c r="P275" s="118"/>
      <c r="Q275" s="145"/>
      <c r="R275" s="145"/>
      <c r="S275" s="145"/>
      <c r="T275" s="145"/>
      <c r="U275" s="145"/>
      <c r="V275" s="145"/>
      <c r="W275" s="145"/>
      <c r="X275" s="145"/>
      <c r="Y275" s="145"/>
      <c r="Z275" s="145"/>
      <c r="AA275" s="145"/>
      <c r="AB275" s="145"/>
      <c r="AC275" s="145"/>
    </row>
    <row r="276" spans="15:29" x14ac:dyDescent="0.2">
      <c r="O276" s="118"/>
      <c r="P276" s="118"/>
      <c r="Q276" s="145"/>
      <c r="R276" s="145"/>
      <c r="S276" s="145"/>
      <c r="T276" s="145"/>
      <c r="U276" s="145"/>
      <c r="V276" s="145"/>
      <c r="W276" s="145"/>
      <c r="X276" s="145"/>
      <c r="Y276" s="145"/>
      <c r="Z276" s="145"/>
      <c r="AA276" s="145"/>
      <c r="AB276" s="145"/>
      <c r="AC276" s="145"/>
    </row>
    <row r="277" spans="15:29" x14ac:dyDescent="0.2">
      <c r="O277" s="118"/>
      <c r="P277" s="118"/>
      <c r="Q277" s="145"/>
      <c r="R277" s="145"/>
      <c r="S277" s="145"/>
      <c r="T277" s="145"/>
      <c r="U277" s="145"/>
      <c r="V277" s="145"/>
      <c r="W277" s="145"/>
      <c r="X277" s="145"/>
      <c r="Y277" s="145"/>
      <c r="Z277" s="145"/>
      <c r="AA277" s="145"/>
      <c r="AB277" s="145"/>
      <c r="AC277" s="145"/>
    </row>
    <row r="278" spans="15:29" x14ac:dyDescent="0.2">
      <c r="O278" s="118"/>
      <c r="P278" s="118"/>
      <c r="Q278" s="145"/>
      <c r="R278" s="145"/>
      <c r="S278" s="145"/>
      <c r="T278" s="145"/>
      <c r="U278" s="145"/>
      <c r="V278" s="145"/>
      <c r="W278" s="145"/>
      <c r="X278" s="145"/>
      <c r="Y278" s="145"/>
      <c r="Z278" s="145"/>
      <c r="AA278" s="145"/>
      <c r="AB278" s="145"/>
      <c r="AC278" s="145"/>
    </row>
    <row r="279" spans="15:29" x14ac:dyDescent="0.2">
      <c r="O279" s="118"/>
      <c r="P279" s="118"/>
      <c r="Q279" s="145"/>
      <c r="R279" s="145"/>
      <c r="S279" s="145"/>
      <c r="T279" s="145"/>
      <c r="U279" s="145"/>
      <c r="V279" s="145"/>
      <c r="W279" s="145"/>
      <c r="X279" s="145"/>
      <c r="Y279" s="145"/>
      <c r="Z279" s="145"/>
      <c r="AA279" s="145"/>
      <c r="AB279" s="145"/>
      <c r="AC279" s="145"/>
    </row>
    <row r="280" spans="15:29" x14ac:dyDescent="0.2">
      <c r="O280" s="118"/>
      <c r="P280" s="118"/>
      <c r="Q280" s="145"/>
      <c r="R280" s="145"/>
      <c r="S280" s="145"/>
      <c r="T280" s="145"/>
      <c r="U280" s="145"/>
      <c r="V280" s="145"/>
      <c r="W280" s="145"/>
      <c r="X280" s="145"/>
      <c r="Y280" s="145"/>
      <c r="Z280" s="145"/>
      <c r="AA280" s="145"/>
      <c r="AB280" s="145"/>
      <c r="AC280" s="145"/>
    </row>
    <row r="281" spans="15:29" x14ac:dyDescent="0.2">
      <c r="O281" s="118"/>
      <c r="P281" s="118"/>
      <c r="Q281" s="145"/>
      <c r="R281" s="145"/>
      <c r="S281" s="145"/>
      <c r="T281" s="145"/>
      <c r="U281" s="145"/>
      <c r="V281" s="145"/>
      <c r="W281" s="145"/>
      <c r="X281" s="145"/>
      <c r="Y281" s="145"/>
      <c r="Z281" s="145"/>
      <c r="AA281" s="145"/>
      <c r="AB281" s="145"/>
      <c r="AC281" s="145"/>
    </row>
    <row r="282" spans="15:29" x14ac:dyDescent="0.2">
      <c r="O282" s="118"/>
      <c r="P282" s="118"/>
      <c r="Q282" s="145"/>
      <c r="R282" s="145"/>
      <c r="S282" s="145"/>
      <c r="T282" s="145"/>
      <c r="U282" s="145"/>
      <c r="V282" s="145"/>
      <c r="W282" s="145"/>
      <c r="X282" s="145"/>
      <c r="Y282" s="145"/>
      <c r="Z282" s="145"/>
      <c r="AA282" s="145"/>
      <c r="AB282" s="145"/>
      <c r="AC282" s="145"/>
    </row>
    <row r="283" spans="15:29" x14ac:dyDescent="0.2">
      <c r="O283" s="118"/>
      <c r="P283" s="118"/>
      <c r="Q283" s="145"/>
      <c r="R283" s="145"/>
      <c r="S283" s="145"/>
      <c r="T283" s="145"/>
      <c r="U283" s="145"/>
      <c r="V283" s="145"/>
      <c r="W283" s="145"/>
      <c r="X283" s="145"/>
      <c r="Y283" s="145"/>
      <c r="Z283" s="145"/>
      <c r="AA283" s="145"/>
      <c r="AB283" s="145"/>
      <c r="AC283" s="145"/>
    </row>
    <row r="284" spans="15:29" x14ac:dyDescent="0.2">
      <c r="O284" s="118"/>
      <c r="P284" s="118"/>
      <c r="Q284" s="145"/>
      <c r="R284" s="145"/>
      <c r="S284" s="145"/>
      <c r="T284" s="145"/>
      <c r="U284" s="145"/>
      <c r="V284" s="145"/>
      <c r="W284" s="145"/>
      <c r="X284" s="145"/>
      <c r="Y284" s="145"/>
      <c r="Z284" s="145"/>
      <c r="AA284" s="145"/>
      <c r="AB284" s="145"/>
      <c r="AC284" s="145"/>
    </row>
    <row r="285" spans="15:29" x14ac:dyDescent="0.2">
      <c r="O285" s="118"/>
      <c r="P285" s="118"/>
      <c r="Q285" s="145"/>
      <c r="R285" s="145"/>
      <c r="S285" s="145"/>
      <c r="T285" s="145"/>
      <c r="U285" s="145"/>
      <c r="V285" s="145"/>
      <c r="W285" s="145"/>
      <c r="X285" s="145"/>
      <c r="Y285" s="145"/>
      <c r="Z285" s="145"/>
      <c r="AA285" s="145"/>
      <c r="AB285" s="145"/>
      <c r="AC285" s="145"/>
    </row>
    <row r="286" spans="15:29" x14ac:dyDescent="0.2">
      <c r="O286" s="118"/>
      <c r="P286" s="118"/>
      <c r="Q286" s="145"/>
      <c r="R286" s="145"/>
      <c r="S286" s="145"/>
      <c r="T286" s="145"/>
      <c r="U286" s="145"/>
      <c r="V286" s="145"/>
      <c r="W286" s="145"/>
      <c r="X286" s="145"/>
      <c r="Y286" s="145"/>
      <c r="Z286" s="145"/>
      <c r="AA286" s="145"/>
      <c r="AB286" s="145"/>
      <c r="AC286" s="145"/>
    </row>
    <row r="287" spans="15:29" x14ac:dyDescent="0.2">
      <c r="O287" s="118"/>
      <c r="P287" s="118"/>
      <c r="Q287" s="145"/>
      <c r="R287" s="145"/>
      <c r="S287" s="145"/>
      <c r="T287" s="145"/>
      <c r="U287" s="145"/>
      <c r="V287" s="145"/>
      <c r="W287" s="145"/>
      <c r="X287" s="145"/>
      <c r="Y287" s="145"/>
      <c r="Z287" s="145"/>
      <c r="AA287" s="145"/>
      <c r="AB287" s="145"/>
      <c r="AC287" s="145"/>
    </row>
    <row r="288" spans="15:29" x14ac:dyDescent="0.2">
      <c r="O288" s="118"/>
      <c r="P288" s="118"/>
      <c r="Q288" s="145"/>
      <c r="R288" s="145"/>
      <c r="S288" s="145"/>
      <c r="T288" s="145"/>
      <c r="U288" s="145"/>
      <c r="V288" s="145"/>
      <c r="W288" s="145"/>
      <c r="X288" s="145"/>
      <c r="Y288" s="145"/>
      <c r="Z288" s="145"/>
      <c r="AA288" s="145"/>
      <c r="AB288" s="145"/>
      <c r="AC288" s="145"/>
    </row>
    <row r="289" spans="15:29" x14ac:dyDescent="0.2">
      <c r="O289" s="118"/>
      <c r="P289" s="118"/>
      <c r="Q289" s="145"/>
      <c r="R289" s="145"/>
      <c r="S289" s="145"/>
      <c r="T289" s="145"/>
      <c r="U289" s="145"/>
      <c r="V289" s="145"/>
      <c r="W289" s="145"/>
      <c r="X289" s="145"/>
      <c r="Y289" s="145"/>
      <c r="Z289" s="145"/>
      <c r="AA289" s="145"/>
      <c r="AB289" s="145"/>
      <c r="AC289" s="145"/>
    </row>
    <row r="290" spans="15:29" x14ac:dyDescent="0.2">
      <c r="O290" s="118"/>
      <c r="P290" s="118"/>
      <c r="Q290" s="145"/>
      <c r="R290" s="145"/>
      <c r="S290" s="145"/>
      <c r="T290" s="145"/>
      <c r="U290" s="145"/>
      <c r="V290" s="145"/>
      <c r="W290" s="145"/>
      <c r="X290" s="145"/>
      <c r="Y290" s="145"/>
      <c r="Z290" s="145"/>
      <c r="AA290" s="145"/>
      <c r="AB290" s="145"/>
      <c r="AC290" s="145"/>
    </row>
    <row r="291" spans="15:29" x14ac:dyDescent="0.2">
      <c r="O291" s="118"/>
      <c r="P291" s="118"/>
      <c r="Q291" s="145"/>
      <c r="R291" s="145"/>
      <c r="S291" s="145"/>
      <c r="T291" s="145"/>
      <c r="U291" s="145"/>
      <c r="V291" s="145"/>
      <c r="W291" s="145"/>
      <c r="X291" s="145"/>
      <c r="Y291" s="145"/>
      <c r="Z291" s="145"/>
      <c r="AA291" s="145"/>
      <c r="AB291" s="145"/>
      <c r="AC291" s="145"/>
    </row>
    <row r="292" spans="15:29" x14ac:dyDescent="0.2">
      <c r="O292" s="118"/>
      <c r="P292" s="118"/>
      <c r="Q292" s="145"/>
      <c r="R292" s="145"/>
      <c r="S292" s="145"/>
      <c r="T292" s="145"/>
      <c r="U292" s="145"/>
      <c r="V292" s="145"/>
      <c r="W292" s="145"/>
      <c r="X292" s="145"/>
      <c r="Y292" s="145"/>
      <c r="Z292" s="145"/>
      <c r="AA292" s="145"/>
      <c r="AB292" s="145"/>
      <c r="AC292" s="145"/>
    </row>
    <row r="293" spans="15:29" x14ac:dyDescent="0.2">
      <c r="O293" s="118"/>
      <c r="P293" s="118"/>
      <c r="Q293" s="145"/>
      <c r="R293" s="145"/>
      <c r="S293" s="145"/>
      <c r="T293" s="145"/>
      <c r="U293" s="145"/>
      <c r="V293" s="145"/>
      <c r="W293" s="145"/>
      <c r="X293" s="145"/>
      <c r="Y293" s="145"/>
      <c r="Z293" s="145"/>
      <c r="AA293" s="145"/>
      <c r="AB293" s="145"/>
      <c r="AC293" s="145"/>
    </row>
    <row r="294" spans="15:29" x14ac:dyDescent="0.2">
      <c r="O294" s="118"/>
      <c r="P294" s="118"/>
      <c r="Q294" s="145"/>
      <c r="R294" s="145"/>
      <c r="S294" s="145"/>
      <c r="T294" s="145"/>
      <c r="U294" s="145"/>
      <c r="V294" s="145"/>
      <c r="W294" s="145"/>
      <c r="X294" s="145"/>
      <c r="Y294" s="145"/>
      <c r="Z294" s="145"/>
      <c r="AA294" s="145"/>
      <c r="AB294" s="145"/>
      <c r="AC294" s="145"/>
    </row>
    <row r="295" spans="15:29" x14ac:dyDescent="0.2">
      <c r="O295" s="118"/>
      <c r="P295" s="118"/>
      <c r="Q295" s="145"/>
      <c r="R295" s="145"/>
      <c r="S295" s="145"/>
      <c r="T295" s="145"/>
      <c r="U295" s="145"/>
      <c r="V295" s="145"/>
      <c r="W295" s="145"/>
      <c r="X295" s="145"/>
      <c r="Y295" s="145"/>
      <c r="Z295" s="145"/>
      <c r="AA295" s="145"/>
      <c r="AB295" s="145"/>
      <c r="AC295" s="145"/>
    </row>
    <row r="296" spans="15:29" x14ac:dyDescent="0.2">
      <c r="O296" s="118"/>
      <c r="P296" s="118"/>
      <c r="Q296" s="145"/>
      <c r="R296" s="145"/>
      <c r="S296" s="145"/>
      <c r="T296" s="145"/>
      <c r="U296" s="145"/>
      <c r="V296" s="145"/>
      <c r="W296" s="145"/>
      <c r="X296" s="145"/>
      <c r="Y296" s="145"/>
      <c r="Z296" s="145"/>
      <c r="AA296" s="145"/>
      <c r="AB296" s="145"/>
      <c r="AC296" s="145"/>
    </row>
    <row r="297" spans="15:29" x14ac:dyDescent="0.2">
      <c r="O297" s="118"/>
      <c r="P297" s="118"/>
      <c r="Q297" s="145"/>
      <c r="R297" s="145"/>
      <c r="S297" s="145"/>
      <c r="T297" s="145"/>
      <c r="U297" s="145"/>
      <c r="V297" s="145"/>
      <c r="W297" s="145"/>
      <c r="X297" s="145"/>
      <c r="Y297" s="145"/>
      <c r="Z297" s="145"/>
      <c r="AA297" s="145"/>
      <c r="AB297" s="145"/>
      <c r="AC297" s="145"/>
    </row>
    <row r="298" spans="15:29" x14ac:dyDescent="0.2">
      <c r="O298" s="118"/>
      <c r="P298" s="118"/>
      <c r="Q298" s="145"/>
      <c r="R298" s="145"/>
      <c r="S298" s="145"/>
      <c r="T298" s="145"/>
      <c r="U298" s="145"/>
      <c r="V298" s="145"/>
      <c r="W298" s="145"/>
      <c r="X298" s="145"/>
      <c r="Y298" s="145"/>
      <c r="Z298" s="145"/>
      <c r="AA298" s="145"/>
      <c r="AB298" s="145"/>
      <c r="AC298" s="145"/>
    </row>
    <row r="299" spans="15:29" x14ac:dyDescent="0.2">
      <c r="O299" s="118"/>
      <c r="P299" s="118"/>
      <c r="Q299" s="145"/>
      <c r="R299" s="145"/>
      <c r="S299" s="145"/>
      <c r="T299" s="145"/>
      <c r="U299" s="145"/>
      <c r="V299" s="145"/>
      <c r="W299" s="145"/>
      <c r="X299" s="145"/>
      <c r="Y299" s="145"/>
      <c r="Z299" s="145"/>
      <c r="AA299" s="145"/>
      <c r="AB299" s="145"/>
      <c r="AC299" s="145"/>
    </row>
    <row r="300" spans="15:29" x14ac:dyDescent="0.2">
      <c r="O300" s="118"/>
      <c r="P300" s="118"/>
      <c r="Q300" s="145"/>
      <c r="R300" s="145"/>
      <c r="S300" s="145"/>
      <c r="T300" s="145"/>
      <c r="U300" s="145"/>
      <c r="V300" s="145"/>
      <c r="W300" s="145"/>
      <c r="X300" s="145"/>
      <c r="Y300" s="145"/>
      <c r="Z300" s="145"/>
      <c r="AA300" s="145"/>
      <c r="AB300" s="145"/>
      <c r="AC300" s="145"/>
    </row>
    <row r="301" spans="15:29" x14ac:dyDescent="0.2">
      <c r="O301" s="118"/>
      <c r="P301" s="118"/>
      <c r="Q301" s="145"/>
      <c r="R301" s="145"/>
      <c r="S301" s="145"/>
      <c r="T301" s="145"/>
      <c r="U301" s="145"/>
      <c r="V301" s="145"/>
      <c r="W301" s="145"/>
      <c r="X301" s="145"/>
      <c r="Y301" s="145"/>
      <c r="Z301" s="145"/>
      <c r="AA301" s="145"/>
      <c r="AB301" s="145"/>
      <c r="AC301" s="145"/>
    </row>
    <row r="302" spans="15:29" x14ac:dyDescent="0.2">
      <c r="O302" s="118"/>
      <c r="P302" s="118"/>
      <c r="Q302" s="145"/>
      <c r="R302" s="145"/>
      <c r="S302" s="145"/>
      <c r="T302" s="145"/>
      <c r="U302" s="145"/>
      <c r="V302" s="145"/>
      <c r="W302" s="145"/>
      <c r="X302" s="145"/>
      <c r="Y302" s="145"/>
      <c r="Z302" s="145"/>
      <c r="AA302" s="145"/>
      <c r="AB302" s="145"/>
      <c r="AC302" s="145"/>
    </row>
    <row r="303" spans="15:29" x14ac:dyDescent="0.2">
      <c r="O303" s="118"/>
      <c r="P303" s="118"/>
      <c r="Q303" s="145"/>
      <c r="R303" s="145"/>
      <c r="S303" s="145"/>
      <c r="T303" s="145"/>
      <c r="U303" s="145"/>
      <c r="V303" s="145"/>
      <c r="W303" s="145"/>
      <c r="X303" s="145"/>
      <c r="Y303" s="145"/>
      <c r="Z303" s="145"/>
      <c r="AA303" s="145"/>
      <c r="AB303" s="145"/>
      <c r="AC303" s="145"/>
    </row>
    <row r="304" spans="15:29" x14ac:dyDescent="0.2">
      <c r="O304" s="118"/>
      <c r="P304" s="118"/>
      <c r="Q304" s="145"/>
      <c r="R304" s="145"/>
      <c r="S304" s="145"/>
      <c r="T304" s="145"/>
      <c r="U304" s="145"/>
      <c r="V304" s="145"/>
      <c r="W304" s="145"/>
      <c r="X304" s="145"/>
      <c r="Y304" s="145"/>
      <c r="Z304" s="145"/>
      <c r="AA304" s="145"/>
      <c r="AB304" s="145"/>
      <c r="AC304" s="145"/>
    </row>
    <row r="305" spans="15:29" x14ac:dyDescent="0.2">
      <c r="O305" s="118"/>
      <c r="P305" s="118"/>
      <c r="Q305" s="145"/>
      <c r="R305" s="145"/>
      <c r="S305" s="145"/>
      <c r="T305" s="145"/>
      <c r="U305" s="145"/>
      <c r="V305" s="145"/>
      <c r="W305" s="145"/>
      <c r="X305" s="145"/>
      <c r="Y305" s="145"/>
      <c r="Z305" s="145"/>
      <c r="AA305" s="145"/>
      <c r="AB305" s="145"/>
      <c r="AC305" s="145"/>
    </row>
    <row r="306" spans="15:29" x14ac:dyDescent="0.2">
      <c r="O306" s="118"/>
      <c r="P306" s="118"/>
      <c r="Q306" s="145"/>
      <c r="R306" s="145"/>
      <c r="S306" s="145"/>
      <c r="T306" s="145"/>
      <c r="U306" s="145"/>
      <c r="V306" s="145"/>
      <c r="W306" s="145"/>
      <c r="X306" s="145"/>
      <c r="Y306" s="145"/>
      <c r="Z306" s="145"/>
      <c r="AA306" s="145"/>
      <c r="AB306" s="145"/>
      <c r="AC306" s="145"/>
    </row>
    <row r="307" spans="15:29" x14ac:dyDescent="0.2">
      <c r="O307" s="118"/>
      <c r="P307" s="118"/>
      <c r="Q307" s="145"/>
      <c r="R307" s="145"/>
      <c r="S307" s="145"/>
      <c r="T307" s="145"/>
      <c r="U307" s="145"/>
      <c r="V307" s="145"/>
      <c r="W307" s="145"/>
      <c r="X307" s="145"/>
      <c r="Y307" s="145"/>
      <c r="Z307" s="145"/>
      <c r="AA307" s="145"/>
      <c r="AB307" s="145"/>
      <c r="AC307" s="145"/>
    </row>
    <row r="308" spans="15:29" x14ac:dyDescent="0.2">
      <c r="O308" s="118"/>
      <c r="P308" s="118"/>
      <c r="Q308" s="145"/>
      <c r="R308" s="145"/>
      <c r="S308" s="145"/>
      <c r="T308" s="145"/>
      <c r="U308" s="145"/>
      <c r="V308" s="145"/>
      <c r="W308" s="145"/>
      <c r="X308" s="145"/>
      <c r="Y308" s="145"/>
      <c r="Z308" s="145"/>
      <c r="AA308" s="145"/>
      <c r="AB308" s="145"/>
      <c r="AC308" s="145"/>
    </row>
    <row r="309" spans="15:29" x14ac:dyDescent="0.2">
      <c r="O309" s="118"/>
      <c r="P309" s="118"/>
      <c r="Q309" s="145"/>
      <c r="R309" s="145"/>
      <c r="S309" s="145"/>
      <c r="T309" s="145"/>
      <c r="U309" s="145"/>
      <c r="V309" s="145"/>
      <c r="W309" s="145"/>
      <c r="X309" s="145"/>
      <c r="Y309" s="145"/>
      <c r="Z309" s="145"/>
      <c r="AA309" s="145"/>
      <c r="AB309" s="145"/>
      <c r="AC309" s="145"/>
    </row>
    <row r="310" spans="15:29" x14ac:dyDescent="0.2">
      <c r="O310" s="118"/>
      <c r="P310" s="118"/>
      <c r="Q310" s="145"/>
      <c r="R310" s="145"/>
      <c r="S310" s="145"/>
      <c r="T310" s="145"/>
      <c r="U310" s="145"/>
      <c r="V310" s="145"/>
      <c r="W310" s="145"/>
      <c r="X310" s="145"/>
      <c r="Y310" s="145"/>
      <c r="Z310" s="145"/>
      <c r="AA310" s="145"/>
      <c r="AB310" s="145"/>
      <c r="AC310" s="145"/>
    </row>
    <row r="311" spans="15:29" x14ac:dyDescent="0.2">
      <c r="O311" s="118"/>
      <c r="P311" s="118"/>
      <c r="Q311" s="145"/>
      <c r="R311" s="145"/>
      <c r="S311" s="145"/>
      <c r="T311" s="145"/>
      <c r="U311" s="145"/>
      <c r="V311" s="145"/>
      <c r="W311" s="145"/>
      <c r="X311" s="145"/>
      <c r="Y311" s="145"/>
      <c r="Z311" s="145"/>
      <c r="AA311" s="145"/>
      <c r="AB311" s="145"/>
      <c r="AC311" s="145"/>
    </row>
    <row r="312" spans="15:29" x14ac:dyDescent="0.2">
      <c r="O312" s="118"/>
      <c r="P312" s="118"/>
      <c r="Q312" s="145"/>
      <c r="R312" s="145"/>
      <c r="S312" s="145"/>
      <c r="T312" s="145"/>
      <c r="U312" s="145"/>
      <c r="V312" s="145"/>
      <c r="W312" s="145"/>
      <c r="X312" s="145"/>
      <c r="Y312" s="145"/>
      <c r="Z312" s="145"/>
      <c r="AA312" s="145"/>
      <c r="AB312" s="145"/>
      <c r="AC312" s="145"/>
    </row>
    <row r="313" spans="15:29" x14ac:dyDescent="0.2">
      <c r="O313" s="118"/>
      <c r="P313" s="118"/>
      <c r="Q313" s="145"/>
      <c r="R313" s="145"/>
      <c r="S313" s="145"/>
      <c r="T313" s="145"/>
      <c r="U313" s="145"/>
      <c r="V313" s="145"/>
      <c r="W313" s="145"/>
      <c r="X313" s="145"/>
      <c r="Y313" s="145"/>
      <c r="Z313" s="145"/>
      <c r="AA313" s="145"/>
      <c r="AB313" s="145"/>
      <c r="AC313" s="145"/>
    </row>
    <row r="314" spans="15:29" x14ac:dyDescent="0.2">
      <c r="O314" s="118"/>
      <c r="P314" s="118"/>
      <c r="Q314" s="145"/>
      <c r="R314" s="145"/>
      <c r="S314" s="145"/>
      <c r="T314" s="145"/>
      <c r="U314" s="145"/>
      <c r="V314" s="145"/>
      <c r="W314" s="145"/>
      <c r="X314" s="145"/>
      <c r="Y314" s="145"/>
      <c r="Z314" s="145"/>
      <c r="AA314" s="145"/>
      <c r="AB314" s="145"/>
      <c r="AC314" s="145"/>
    </row>
    <row r="315" spans="15:29" x14ac:dyDescent="0.2">
      <c r="O315" s="118"/>
      <c r="P315" s="118"/>
      <c r="Q315" s="145"/>
      <c r="R315" s="145"/>
      <c r="S315" s="145"/>
      <c r="T315" s="145"/>
      <c r="U315" s="145"/>
      <c r="V315" s="145"/>
      <c r="W315" s="145"/>
      <c r="X315" s="145"/>
      <c r="Y315" s="145"/>
      <c r="Z315" s="145"/>
      <c r="AA315" s="145"/>
      <c r="AB315" s="145"/>
      <c r="AC315" s="145"/>
    </row>
    <row r="316" spans="15:29" x14ac:dyDescent="0.2">
      <c r="O316" s="118"/>
      <c r="P316" s="118"/>
      <c r="Q316" s="145"/>
      <c r="R316" s="145"/>
      <c r="S316" s="145"/>
      <c r="T316" s="145"/>
      <c r="U316" s="145"/>
      <c r="V316" s="145"/>
      <c r="W316" s="145"/>
      <c r="X316" s="145"/>
      <c r="Y316" s="145"/>
      <c r="Z316" s="145"/>
      <c r="AA316" s="145"/>
      <c r="AB316" s="145"/>
      <c r="AC316" s="145"/>
    </row>
    <row r="317" spans="15:29" x14ac:dyDescent="0.2">
      <c r="O317" s="118"/>
      <c r="P317" s="118"/>
      <c r="Q317" s="145"/>
      <c r="R317" s="145"/>
      <c r="S317" s="145"/>
      <c r="T317" s="145"/>
      <c r="U317" s="145"/>
      <c r="V317" s="145"/>
      <c r="W317" s="145"/>
      <c r="X317" s="145"/>
      <c r="Y317" s="145"/>
      <c r="Z317" s="145"/>
      <c r="AA317" s="145"/>
      <c r="AB317" s="145"/>
      <c r="AC317" s="145"/>
    </row>
    <row r="318" spans="15:29" x14ac:dyDescent="0.2">
      <c r="O318" s="118"/>
      <c r="P318" s="118"/>
      <c r="Q318" s="145"/>
      <c r="R318" s="145"/>
      <c r="S318" s="145"/>
      <c r="T318" s="145"/>
      <c r="U318" s="145"/>
      <c r="V318" s="145"/>
      <c r="W318" s="145"/>
      <c r="X318" s="145"/>
      <c r="Y318" s="145"/>
      <c r="Z318" s="145"/>
      <c r="AA318" s="145"/>
      <c r="AB318" s="145"/>
      <c r="AC318" s="145"/>
    </row>
    <row r="319" spans="15:29" x14ac:dyDescent="0.2">
      <c r="O319" s="118"/>
      <c r="P319" s="118"/>
      <c r="Q319" s="145"/>
      <c r="R319" s="145"/>
      <c r="S319" s="145"/>
      <c r="T319" s="145"/>
      <c r="U319" s="145"/>
      <c r="V319" s="145"/>
      <c r="W319" s="145"/>
      <c r="X319" s="145"/>
      <c r="Y319" s="145"/>
      <c r="Z319" s="145"/>
      <c r="AA319" s="145"/>
      <c r="AB319" s="145"/>
      <c r="AC319" s="145"/>
    </row>
    <row r="320" spans="15:29" x14ac:dyDescent="0.2">
      <c r="O320" s="118"/>
      <c r="P320" s="118"/>
      <c r="Q320" s="145"/>
      <c r="R320" s="145"/>
      <c r="S320" s="145"/>
      <c r="T320" s="145"/>
      <c r="U320" s="145"/>
      <c r="V320" s="145"/>
      <c r="W320" s="145"/>
      <c r="X320" s="145"/>
      <c r="Y320" s="145"/>
      <c r="Z320" s="145"/>
      <c r="AA320" s="145"/>
      <c r="AB320" s="145"/>
      <c r="AC320" s="145"/>
    </row>
    <row r="321" spans="15:29" x14ac:dyDescent="0.2">
      <c r="O321" s="118"/>
      <c r="P321" s="118"/>
      <c r="Q321" s="145"/>
      <c r="R321" s="145"/>
      <c r="S321" s="145"/>
      <c r="T321" s="145"/>
      <c r="U321" s="145"/>
      <c r="V321" s="145"/>
      <c r="W321" s="145"/>
      <c r="X321" s="145"/>
      <c r="Y321" s="145"/>
      <c r="Z321" s="145"/>
      <c r="AA321" s="145"/>
      <c r="AB321" s="145"/>
      <c r="AC321" s="145"/>
    </row>
    <row r="322" spans="15:29" x14ac:dyDescent="0.2">
      <c r="O322" s="118"/>
      <c r="P322" s="118"/>
      <c r="Q322" s="145"/>
      <c r="R322" s="145"/>
      <c r="S322" s="145"/>
      <c r="T322" s="145"/>
      <c r="U322" s="145"/>
      <c r="V322" s="145"/>
      <c r="W322" s="145"/>
      <c r="X322" s="145"/>
      <c r="Y322" s="145"/>
      <c r="Z322" s="145"/>
      <c r="AA322" s="145"/>
      <c r="AB322" s="145"/>
      <c r="AC322" s="145"/>
    </row>
    <row r="323" spans="15:29" x14ac:dyDescent="0.2">
      <c r="O323" s="118"/>
      <c r="P323" s="118"/>
      <c r="Q323" s="145"/>
      <c r="R323" s="145"/>
      <c r="S323" s="145"/>
      <c r="T323" s="145"/>
      <c r="U323" s="145"/>
      <c r="V323" s="145"/>
      <c r="W323" s="145"/>
      <c r="X323" s="145"/>
      <c r="Y323" s="145"/>
      <c r="Z323" s="145"/>
      <c r="AA323" s="145"/>
      <c r="AB323" s="145"/>
      <c r="AC323" s="145"/>
    </row>
    <row r="324" spans="15:29" x14ac:dyDescent="0.2">
      <c r="O324" s="118"/>
      <c r="P324" s="118"/>
      <c r="Q324" s="145"/>
      <c r="R324" s="145"/>
      <c r="S324" s="145"/>
      <c r="T324" s="145"/>
      <c r="U324" s="145"/>
      <c r="V324" s="145"/>
      <c r="W324" s="145"/>
      <c r="X324" s="145"/>
      <c r="Y324" s="145"/>
      <c r="Z324" s="145"/>
      <c r="AA324" s="145"/>
      <c r="AB324" s="145"/>
      <c r="AC324" s="145"/>
    </row>
    <row r="325" spans="15:29" x14ac:dyDescent="0.2">
      <c r="O325" s="118"/>
      <c r="P325" s="118"/>
      <c r="Q325" s="145"/>
      <c r="R325" s="145"/>
      <c r="S325" s="145"/>
      <c r="T325" s="145"/>
      <c r="U325" s="145"/>
      <c r="V325" s="145"/>
      <c r="W325" s="145"/>
      <c r="X325" s="145"/>
      <c r="Y325" s="145"/>
      <c r="Z325" s="145"/>
      <c r="AA325" s="145"/>
      <c r="AB325" s="145"/>
      <c r="AC325" s="145"/>
    </row>
    <row r="326" spans="15:29" x14ac:dyDescent="0.2">
      <c r="O326" s="118"/>
      <c r="P326" s="118"/>
      <c r="Q326" s="145"/>
      <c r="R326" s="145"/>
      <c r="S326" s="145"/>
      <c r="T326" s="145"/>
      <c r="U326" s="145"/>
      <c r="V326" s="145"/>
      <c r="W326" s="145"/>
      <c r="X326" s="145"/>
      <c r="Y326" s="145"/>
      <c r="Z326" s="145"/>
      <c r="AA326" s="145"/>
      <c r="AB326" s="145"/>
      <c r="AC326" s="145"/>
    </row>
    <row r="327" spans="15:29" x14ac:dyDescent="0.2">
      <c r="O327" s="118"/>
      <c r="P327" s="118"/>
      <c r="Q327" s="145"/>
      <c r="R327" s="145"/>
      <c r="S327" s="145"/>
      <c r="T327" s="145"/>
      <c r="U327" s="145"/>
      <c r="V327" s="145"/>
      <c r="W327" s="145"/>
      <c r="X327" s="145"/>
      <c r="Y327" s="145"/>
      <c r="Z327" s="145"/>
      <c r="AA327" s="145"/>
      <c r="AB327" s="145"/>
      <c r="AC327" s="145"/>
    </row>
    <row r="328" spans="15:29" x14ac:dyDescent="0.2">
      <c r="O328" s="118"/>
      <c r="P328" s="118"/>
      <c r="Q328" s="145"/>
      <c r="R328" s="145"/>
      <c r="S328" s="145"/>
      <c r="T328" s="145"/>
      <c r="U328" s="145"/>
      <c r="V328" s="145"/>
      <c r="W328" s="145"/>
      <c r="X328" s="145"/>
      <c r="Y328" s="145"/>
      <c r="Z328" s="145"/>
      <c r="AA328" s="145"/>
      <c r="AB328" s="145"/>
      <c r="AC328" s="145"/>
    </row>
    <row r="329" spans="15:29" x14ac:dyDescent="0.2">
      <c r="O329" s="118"/>
      <c r="P329" s="118"/>
      <c r="Q329" s="145"/>
      <c r="R329" s="145"/>
      <c r="S329" s="145"/>
      <c r="T329" s="145"/>
      <c r="U329" s="145"/>
      <c r="V329" s="145"/>
      <c r="W329" s="145"/>
      <c r="X329" s="145"/>
      <c r="Y329" s="145"/>
      <c r="Z329" s="145"/>
      <c r="AA329" s="145"/>
      <c r="AB329" s="145"/>
      <c r="AC329" s="145"/>
    </row>
    <row r="330" spans="15:29" x14ac:dyDescent="0.2">
      <c r="O330" s="118"/>
      <c r="P330" s="118"/>
      <c r="Q330" s="145"/>
      <c r="R330" s="145"/>
      <c r="S330" s="145"/>
      <c r="T330" s="145"/>
      <c r="U330" s="145"/>
      <c r="V330" s="145"/>
      <c r="W330" s="145"/>
      <c r="X330" s="145"/>
      <c r="Y330" s="145"/>
      <c r="Z330" s="145"/>
      <c r="AA330" s="145"/>
      <c r="AB330" s="145"/>
      <c r="AC330" s="145"/>
    </row>
    <row r="331" spans="15:29" x14ac:dyDescent="0.2">
      <c r="O331" s="118"/>
      <c r="P331" s="118"/>
      <c r="Q331" s="145"/>
      <c r="R331" s="145"/>
      <c r="S331" s="145"/>
      <c r="T331" s="145"/>
      <c r="U331" s="145"/>
      <c r="V331" s="145"/>
      <c r="W331" s="145"/>
      <c r="X331" s="145"/>
      <c r="Y331" s="145"/>
      <c r="Z331" s="145"/>
      <c r="AA331" s="145"/>
      <c r="AB331" s="145"/>
      <c r="AC331" s="145"/>
    </row>
    <row r="332" spans="15:29" x14ac:dyDescent="0.2">
      <c r="O332" s="118"/>
      <c r="P332" s="118"/>
      <c r="Q332" s="145"/>
      <c r="R332" s="145"/>
      <c r="S332" s="145"/>
      <c r="T332" s="145"/>
      <c r="U332" s="145"/>
      <c r="V332" s="145"/>
      <c r="W332" s="145"/>
      <c r="X332" s="145"/>
      <c r="Y332" s="145"/>
      <c r="Z332" s="145"/>
      <c r="AA332" s="145"/>
      <c r="AB332" s="145"/>
      <c r="AC332" s="145"/>
    </row>
    <row r="333" spans="15:29" x14ac:dyDescent="0.2">
      <c r="O333" s="118"/>
      <c r="P333" s="118"/>
      <c r="Q333" s="145"/>
      <c r="R333" s="145"/>
      <c r="S333" s="145"/>
      <c r="T333" s="145"/>
      <c r="U333" s="145"/>
      <c r="V333" s="145"/>
      <c r="W333" s="145"/>
      <c r="X333" s="145"/>
      <c r="Y333" s="145"/>
      <c r="Z333" s="145"/>
      <c r="AA333" s="145"/>
      <c r="AB333" s="145"/>
      <c r="AC333" s="145"/>
    </row>
    <row r="334" spans="15:29" x14ac:dyDescent="0.2">
      <c r="O334" s="118"/>
      <c r="P334" s="118"/>
      <c r="Q334" s="145"/>
      <c r="R334" s="145"/>
      <c r="S334" s="145"/>
      <c r="T334" s="145"/>
      <c r="U334" s="145"/>
      <c r="V334" s="145"/>
      <c r="W334" s="145"/>
      <c r="X334" s="145"/>
      <c r="Y334" s="145"/>
      <c r="Z334" s="145"/>
      <c r="AA334" s="145"/>
      <c r="AB334" s="145"/>
      <c r="AC334" s="145"/>
    </row>
    <row r="335" spans="15:29" x14ac:dyDescent="0.2">
      <c r="O335" s="118"/>
      <c r="P335" s="118"/>
      <c r="Q335" s="145"/>
      <c r="R335" s="145"/>
      <c r="S335" s="145"/>
      <c r="T335" s="145"/>
      <c r="U335" s="145"/>
      <c r="V335" s="145"/>
      <c r="W335" s="145"/>
      <c r="X335" s="145"/>
      <c r="Y335" s="145"/>
      <c r="Z335" s="145"/>
      <c r="AA335" s="145"/>
      <c r="AB335" s="145"/>
      <c r="AC335" s="145"/>
    </row>
    <row r="336" spans="15:29" x14ac:dyDescent="0.2">
      <c r="O336" s="118"/>
      <c r="P336" s="118"/>
      <c r="Q336" s="145"/>
      <c r="R336" s="145"/>
      <c r="S336" s="145"/>
      <c r="T336" s="145"/>
      <c r="U336" s="145"/>
      <c r="V336" s="145"/>
      <c r="W336" s="145"/>
      <c r="X336" s="145"/>
      <c r="Y336" s="145"/>
      <c r="Z336" s="145"/>
      <c r="AA336" s="145"/>
      <c r="AB336" s="145"/>
      <c r="AC336" s="145"/>
    </row>
    <row r="337" spans="15:29" x14ac:dyDescent="0.2">
      <c r="O337" s="118"/>
      <c r="P337" s="118"/>
      <c r="Q337" s="145"/>
      <c r="R337" s="145"/>
      <c r="S337" s="145"/>
      <c r="T337" s="145"/>
      <c r="U337" s="145"/>
      <c r="V337" s="145"/>
      <c r="W337" s="145"/>
      <c r="X337" s="145"/>
      <c r="Y337" s="145"/>
      <c r="Z337" s="145"/>
      <c r="AA337" s="145"/>
      <c r="AB337" s="145"/>
      <c r="AC337" s="145"/>
    </row>
    <row r="338" spans="15:29" x14ac:dyDescent="0.2">
      <c r="O338" s="118"/>
      <c r="P338" s="118"/>
      <c r="Q338" s="145"/>
      <c r="R338" s="145"/>
      <c r="S338" s="145"/>
      <c r="T338" s="145"/>
      <c r="U338" s="145"/>
      <c r="V338" s="145"/>
      <c r="W338" s="145"/>
      <c r="X338" s="145"/>
      <c r="Y338" s="145"/>
      <c r="Z338" s="145"/>
      <c r="AA338" s="145"/>
      <c r="AB338" s="145"/>
      <c r="AC338" s="145"/>
    </row>
    <row r="339" spans="15:29" x14ac:dyDescent="0.2">
      <c r="O339" s="118"/>
      <c r="P339" s="118"/>
      <c r="Q339" s="145"/>
      <c r="R339" s="145"/>
      <c r="S339" s="145"/>
      <c r="T339" s="145"/>
      <c r="U339" s="145"/>
      <c r="V339" s="145"/>
      <c r="W339" s="145"/>
      <c r="X339" s="145"/>
      <c r="Y339" s="145"/>
      <c r="Z339" s="145"/>
      <c r="AA339" s="145"/>
      <c r="AB339" s="145"/>
      <c r="AC339" s="145"/>
    </row>
    <row r="340" spans="15:29" x14ac:dyDescent="0.2">
      <c r="O340" s="118"/>
      <c r="P340" s="118"/>
      <c r="Q340" s="145"/>
      <c r="R340" s="145"/>
      <c r="S340" s="145"/>
      <c r="T340" s="145"/>
      <c r="U340" s="145"/>
      <c r="V340" s="145"/>
      <c r="W340" s="145"/>
      <c r="X340" s="145"/>
      <c r="Y340" s="145"/>
      <c r="Z340" s="145"/>
      <c r="AA340" s="145"/>
      <c r="AB340" s="145"/>
      <c r="AC340" s="145"/>
    </row>
    <row r="341" spans="15:29" x14ac:dyDescent="0.2">
      <c r="O341" s="118"/>
      <c r="P341" s="118"/>
      <c r="Q341" s="145"/>
      <c r="R341" s="145"/>
      <c r="S341" s="145"/>
      <c r="T341" s="145"/>
      <c r="U341" s="145"/>
      <c r="V341" s="145"/>
      <c r="W341" s="145"/>
      <c r="X341" s="145"/>
      <c r="Y341" s="145"/>
      <c r="Z341" s="145"/>
      <c r="AA341" s="145"/>
      <c r="AB341" s="145"/>
      <c r="AC341" s="145"/>
    </row>
    <row r="342" spans="15:29" x14ac:dyDescent="0.2">
      <c r="O342" s="118"/>
      <c r="P342" s="118"/>
      <c r="Q342" s="145"/>
      <c r="R342" s="145"/>
      <c r="S342" s="145"/>
      <c r="T342" s="145"/>
      <c r="U342" s="145"/>
      <c r="V342" s="145"/>
      <c r="W342" s="145"/>
      <c r="X342" s="145"/>
      <c r="Y342" s="145"/>
      <c r="Z342" s="145"/>
      <c r="AA342" s="145"/>
      <c r="AB342" s="145"/>
      <c r="AC342" s="145"/>
    </row>
    <row r="343" spans="15:29" x14ac:dyDescent="0.2">
      <c r="O343" s="118"/>
      <c r="P343" s="118"/>
      <c r="Q343" s="145"/>
      <c r="R343" s="145"/>
      <c r="S343" s="145"/>
      <c r="T343" s="145"/>
      <c r="U343" s="145"/>
      <c r="V343" s="145"/>
      <c r="W343" s="145"/>
      <c r="X343" s="145"/>
      <c r="Y343" s="145"/>
      <c r="Z343" s="145"/>
      <c r="AA343" s="145"/>
      <c r="AB343" s="145"/>
      <c r="AC343" s="145"/>
    </row>
    <row r="344" spans="15:29" x14ac:dyDescent="0.2">
      <c r="O344" s="118"/>
      <c r="P344" s="118"/>
      <c r="Q344" s="145"/>
      <c r="R344" s="145"/>
      <c r="S344" s="145"/>
      <c r="T344" s="145"/>
      <c r="U344" s="145"/>
      <c r="V344" s="145"/>
      <c r="W344" s="145"/>
      <c r="X344" s="145"/>
      <c r="Y344" s="145"/>
      <c r="Z344" s="145"/>
      <c r="AA344" s="145"/>
      <c r="AB344" s="145"/>
      <c r="AC344" s="145"/>
    </row>
    <row r="345" spans="15:29" x14ac:dyDescent="0.2">
      <c r="O345" s="118"/>
      <c r="P345" s="118"/>
      <c r="Q345" s="145"/>
      <c r="R345" s="145"/>
      <c r="S345" s="145"/>
      <c r="T345" s="145"/>
      <c r="U345" s="145"/>
      <c r="V345" s="145"/>
      <c r="W345" s="145"/>
      <c r="X345" s="145"/>
      <c r="Y345" s="145"/>
      <c r="Z345" s="145"/>
      <c r="AA345" s="145"/>
      <c r="AB345" s="145"/>
      <c r="AC345" s="145"/>
    </row>
    <row r="346" spans="15:29" x14ac:dyDescent="0.2">
      <c r="O346" s="118"/>
      <c r="P346" s="118"/>
      <c r="Q346" s="145"/>
      <c r="R346" s="145"/>
      <c r="S346" s="145"/>
      <c r="T346" s="145"/>
      <c r="U346" s="145"/>
      <c r="V346" s="145"/>
      <c r="W346" s="145"/>
      <c r="X346" s="145"/>
      <c r="Y346" s="145"/>
      <c r="Z346" s="145"/>
      <c r="AA346" s="145"/>
      <c r="AB346" s="145"/>
      <c r="AC346" s="145"/>
    </row>
    <row r="347" spans="15:29" x14ac:dyDescent="0.2">
      <c r="O347" s="118"/>
      <c r="P347" s="118"/>
      <c r="Q347" s="145"/>
      <c r="R347" s="145"/>
      <c r="S347" s="145"/>
      <c r="T347" s="145"/>
      <c r="U347" s="145"/>
      <c r="V347" s="145"/>
      <c r="W347" s="145"/>
      <c r="X347" s="145"/>
      <c r="Y347" s="145"/>
      <c r="Z347" s="145"/>
      <c r="AA347" s="145"/>
      <c r="AB347" s="145"/>
      <c r="AC347" s="145"/>
    </row>
    <row r="348" spans="15:29" x14ac:dyDescent="0.2">
      <c r="O348" s="118"/>
      <c r="P348" s="118"/>
      <c r="Q348" s="145"/>
      <c r="R348" s="145"/>
      <c r="S348" s="145"/>
      <c r="T348" s="145"/>
      <c r="U348" s="145"/>
      <c r="V348" s="145"/>
      <c r="W348" s="145"/>
      <c r="X348" s="145"/>
      <c r="Y348" s="145"/>
      <c r="Z348" s="145"/>
      <c r="AA348" s="145"/>
      <c r="AB348" s="145"/>
      <c r="AC348" s="145"/>
    </row>
    <row r="349" spans="15:29" x14ac:dyDescent="0.2">
      <c r="O349" s="118"/>
      <c r="P349" s="118"/>
      <c r="Q349" s="145"/>
      <c r="R349" s="145"/>
      <c r="S349" s="145"/>
      <c r="T349" s="145"/>
      <c r="U349" s="145"/>
      <c r="V349" s="145"/>
      <c r="W349" s="145"/>
      <c r="X349" s="145"/>
      <c r="Y349" s="145"/>
      <c r="Z349" s="145"/>
      <c r="AA349" s="145"/>
      <c r="AB349" s="145"/>
      <c r="AC349" s="145"/>
    </row>
    <row r="350" spans="15:29" x14ac:dyDescent="0.2">
      <c r="O350" s="118"/>
      <c r="P350" s="118"/>
      <c r="Q350" s="145"/>
      <c r="R350" s="145"/>
      <c r="S350" s="145"/>
      <c r="T350" s="145"/>
      <c r="U350" s="145"/>
      <c r="V350" s="145"/>
      <c r="W350" s="145"/>
      <c r="X350" s="145"/>
      <c r="Y350" s="145"/>
      <c r="Z350" s="145"/>
      <c r="AA350" s="145"/>
      <c r="AB350" s="145"/>
      <c r="AC350" s="145"/>
    </row>
    <row r="351" spans="15:29" x14ac:dyDescent="0.2">
      <c r="O351" s="118"/>
      <c r="P351" s="118"/>
      <c r="Q351" s="145"/>
      <c r="R351" s="145"/>
      <c r="S351" s="145"/>
      <c r="T351" s="145"/>
      <c r="U351" s="145"/>
      <c r="V351" s="145"/>
      <c r="W351" s="145"/>
      <c r="X351" s="145"/>
      <c r="Y351" s="145"/>
      <c r="Z351" s="145"/>
      <c r="AA351" s="145"/>
      <c r="AB351" s="145"/>
      <c r="AC351" s="145"/>
    </row>
    <row r="352" spans="15:29" x14ac:dyDescent="0.2">
      <c r="O352" s="118"/>
      <c r="P352" s="118"/>
      <c r="Q352" s="145"/>
      <c r="R352" s="145"/>
      <c r="S352" s="145"/>
      <c r="T352" s="145"/>
      <c r="U352" s="145"/>
      <c r="V352" s="145"/>
      <c r="W352" s="145"/>
      <c r="X352" s="145"/>
      <c r="Y352" s="145"/>
      <c r="Z352" s="145"/>
      <c r="AA352" s="145"/>
      <c r="AB352" s="145"/>
      <c r="AC352" s="145"/>
    </row>
    <row r="353" spans="15:29" x14ac:dyDescent="0.2">
      <c r="O353" s="118"/>
      <c r="P353" s="118"/>
      <c r="Q353" s="145"/>
      <c r="R353" s="145"/>
      <c r="S353" s="145"/>
      <c r="T353" s="145"/>
      <c r="U353" s="145"/>
      <c r="V353" s="145"/>
      <c r="W353" s="145"/>
      <c r="X353" s="145"/>
      <c r="Y353" s="145"/>
      <c r="Z353" s="145"/>
      <c r="AA353" s="145"/>
      <c r="AB353" s="145"/>
      <c r="AC353" s="145"/>
    </row>
    <row r="354" spans="15:29" x14ac:dyDescent="0.2">
      <c r="O354" s="118"/>
      <c r="P354" s="118"/>
      <c r="Q354" s="145"/>
      <c r="R354" s="145"/>
      <c r="S354" s="145"/>
      <c r="T354" s="145"/>
      <c r="U354" s="145"/>
      <c r="V354" s="145"/>
      <c r="W354" s="145"/>
      <c r="X354" s="145"/>
      <c r="Y354" s="145"/>
      <c r="Z354" s="145"/>
      <c r="AA354" s="145"/>
      <c r="AB354" s="145"/>
      <c r="AC354" s="145"/>
    </row>
    <row r="355" spans="15:29" x14ac:dyDescent="0.2">
      <c r="O355" s="118"/>
      <c r="P355" s="118"/>
      <c r="Q355" s="145"/>
      <c r="R355" s="145"/>
      <c r="S355" s="145"/>
      <c r="T355" s="145"/>
      <c r="U355" s="145"/>
      <c r="V355" s="145"/>
      <c r="W355" s="145"/>
      <c r="X355" s="145"/>
      <c r="Y355" s="145"/>
      <c r="Z355" s="145"/>
      <c r="AA355" s="145"/>
      <c r="AB355" s="145"/>
      <c r="AC355" s="145"/>
    </row>
    <row r="356" spans="15:29" x14ac:dyDescent="0.2">
      <c r="O356" s="118"/>
      <c r="P356" s="118"/>
      <c r="Q356" s="145"/>
      <c r="R356" s="145"/>
      <c r="S356" s="145"/>
      <c r="T356" s="145"/>
      <c r="U356" s="145"/>
      <c r="V356" s="145"/>
      <c r="W356" s="145"/>
      <c r="X356" s="145"/>
      <c r="Y356" s="145"/>
      <c r="Z356" s="145"/>
      <c r="AA356" s="145"/>
      <c r="AB356" s="145"/>
      <c r="AC356" s="145"/>
    </row>
    <row r="357" spans="15:29" x14ac:dyDescent="0.2">
      <c r="O357" s="118"/>
      <c r="P357" s="118"/>
      <c r="Q357" s="145"/>
      <c r="R357" s="145"/>
      <c r="S357" s="145"/>
      <c r="T357" s="145"/>
      <c r="U357" s="145"/>
      <c r="V357" s="145"/>
      <c r="W357" s="145"/>
      <c r="X357" s="145"/>
      <c r="Y357" s="145"/>
      <c r="Z357" s="145"/>
      <c r="AA357" s="145"/>
      <c r="AB357" s="145"/>
      <c r="AC357" s="145"/>
    </row>
    <row r="358" spans="15:29" x14ac:dyDescent="0.2">
      <c r="O358" s="118"/>
      <c r="P358" s="118"/>
      <c r="Q358" s="145"/>
      <c r="R358" s="145"/>
      <c r="S358" s="145"/>
      <c r="T358" s="145"/>
      <c r="U358" s="145"/>
      <c r="V358" s="145"/>
      <c r="W358" s="145"/>
      <c r="X358" s="145"/>
      <c r="Y358" s="145"/>
      <c r="Z358" s="145"/>
      <c r="AA358" s="145"/>
      <c r="AB358" s="145"/>
      <c r="AC358" s="145"/>
    </row>
    <row r="359" spans="15:29" x14ac:dyDescent="0.2">
      <c r="O359" s="118"/>
      <c r="P359" s="118"/>
      <c r="Q359" s="145"/>
      <c r="R359" s="145"/>
      <c r="S359" s="145"/>
      <c r="T359" s="145"/>
      <c r="U359" s="145"/>
      <c r="V359" s="145"/>
      <c r="W359" s="145"/>
      <c r="X359" s="145"/>
      <c r="Y359" s="145"/>
      <c r="Z359" s="145"/>
      <c r="AA359" s="145"/>
      <c r="AB359" s="145"/>
      <c r="AC359" s="145"/>
    </row>
    <row r="360" spans="15:29" x14ac:dyDescent="0.2">
      <c r="O360" s="118"/>
      <c r="P360" s="118"/>
      <c r="Q360" s="145"/>
      <c r="R360" s="145"/>
      <c r="S360" s="145"/>
      <c r="T360" s="145"/>
      <c r="U360" s="145"/>
      <c r="V360" s="145"/>
      <c r="W360" s="145"/>
      <c r="X360" s="145"/>
      <c r="Y360" s="145"/>
      <c r="Z360" s="145"/>
      <c r="AA360" s="145"/>
      <c r="AB360" s="145"/>
      <c r="AC360" s="145"/>
    </row>
    <row r="361" spans="15:29" x14ac:dyDescent="0.2">
      <c r="O361" s="118"/>
      <c r="P361" s="118"/>
      <c r="Q361" s="145"/>
      <c r="R361" s="145"/>
      <c r="S361" s="145"/>
      <c r="T361" s="145"/>
      <c r="U361" s="145"/>
      <c r="V361" s="145"/>
      <c r="W361" s="145"/>
      <c r="X361" s="145"/>
      <c r="Y361" s="145"/>
      <c r="Z361" s="145"/>
      <c r="AA361" s="145"/>
      <c r="AB361" s="145"/>
      <c r="AC361" s="145"/>
    </row>
    <row r="362" spans="15:29" x14ac:dyDescent="0.2">
      <c r="O362" s="118"/>
      <c r="P362" s="118"/>
      <c r="Q362" s="145"/>
      <c r="R362" s="145"/>
      <c r="S362" s="145"/>
      <c r="T362" s="145"/>
      <c r="U362" s="145"/>
      <c r="V362" s="145"/>
      <c r="W362" s="145"/>
      <c r="X362" s="145"/>
      <c r="Y362" s="145"/>
      <c r="Z362" s="145"/>
      <c r="AA362" s="145"/>
      <c r="AB362" s="145"/>
      <c r="AC362" s="145"/>
    </row>
    <row r="363" spans="15:29" x14ac:dyDescent="0.2">
      <c r="O363" s="118"/>
      <c r="P363" s="118"/>
      <c r="Q363" s="145"/>
      <c r="R363" s="145"/>
      <c r="S363" s="145"/>
      <c r="T363" s="145"/>
      <c r="U363" s="145"/>
      <c r="V363" s="145"/>
      <c r="W363" s="145"/>
      <c r="X363" s="145"/>
      <c r="Y363" s="145"/>
      <c r="Z363" s="145"/>
      <c r="AA363" s="145"/>
      <c r="AB363" s="145"/>
      <c r="AC363" s="145"/>
    </row>
    <row r="364" spans="15:29" x14ac:dyDescent="0.2">
      <c r="O364" s="118"/>
      <c r="P364" s="118"/>
      <c r="Q364" s="145"/>
      <c r="R364" s="145"/>
      <c r="S364" s="145"/>
      <c r="T364" s="145"/>
      <c r="U364" s="145"/>
      <c r="V364" s="145"/>
      <c r="W364" s="145"/>
      <c r="X364" s="145"/>
      <c r="Y364" s="145"/>
      <c r="Z364" s="145"/>
      <c r="AA364" s="145"/>
      <c r="AB364" s="145"/>
      <c r="AC364" s="145"/>
    </row>
    <row r="365" spans="15:29" x14ac:dyDescent="0.2">
      <c r="O365" s="118"/>
      <c r="P365" s="118"/>
      <c r="Q365" s="145"/>
      <c r="R365" s="145"/>
      <c r="S365" s="145"/>
      <c r="T365" s="145"/>
      <c r="U365" s="145"/>
      <c r="V365" s="145"/>
      <c r="W365" s="145"/>
      <c r="X365" s="145"/>
      <c r="Y365" s="145"/>
      <c r="Z365" s="145"/>
      <c r="AA365" s="145"/>
      <c r="AB365" s="145"/>
      <c r="AC365" s="145"/>
    </row>
    <row r="366" spans="15:29" x14ac:dyDescent="0.2">
      <c r="O366" s="118"/>
      <c r="P366" s="118"/>
      <c r="Q366" s="145"/>
      <c r="R366" s="145"/>
      <c r="S366" s="145"/>
      <c r="T366" s="145"/>
      <c r="U366" s="145"/>
      <c r="V366" s="145"/>
      <c r="W366" s="145"/>
      <c r="X366" s="145"/>
      <c r="Y366" s="145"/>
      <c r="Z366" s="145"/>
      <c r="AA366" s="145"/>
      <c r="AB366" s="145"/>
      <c r="AC366" s="145"/>
    </row>
    <row r="367" spans="15:29" x14ac:dyDescent="0.2">
      <c r="O367" s="118"/>
      <c r="P367" s="118"/>
      <c r="Q367" s="145"/>
      <c r="R367" s="145"/>
      <c r="S367" s="145"/>
      <c r="T367" s="145"/>
      <c r="U367" s="145"/>
      <c r="V367" s="145"/>
      <c r="W367" s="145"/>
      <c r="X367" s="145"/>
      <c r="Y367" s="145"/>
      <c r="Z367" s="145"/>
      <c r="AA367" s="145"/>
      <c r="AB367" s="145"/>
      <c r="AC367" s="145"/>
    </row>
    <row r="368" spans="15:29" x14ac:dyDescent="0.2">
      <c r="O368" s="118"/>
      <c r="P368" s="118"/>
      <c r="Q368" s="145"/>
      <c r="R368" s="145"/>
      <c r="S368" s="145"/>
      <c r="T368" s="145"/>
      <c r="U368" s="145"/>
      <c r="V368" s="145"/>
      <c r="W368" s="145"/>
      <c r="X368" s="145"/>
      <c r="Y368" s="145"/>
      <c r="Z368" s="145"/>
      <c r="AA368" s="145"/>
      <c r="AB368" s="145"/>
      <c r="AC368" s="145"/>
    </row>
    <row r="369" spans="15:29" x14ac:dyDescent="0.2">
      <c r="O369" s="118"/>
      <c r="P369" s="118"/>
      <c r="Q369" s="145"/>
      <c r="R369" s="145"/>
      <c r="S369" s="145"/>
      <c r="T369" s="145"/>
      <c r="U369" s="145"/>
      <c r="V369" s="145"/>
      <c r="W369" s="145"/>
      <c r="X369" s="145"/>
      <c r="Y369" s="145"/>
      <c r="Z369" s="145"/>
      <c r="AA369" s="145"/>
      <c r="AB369" s="145"/>
      <c r="AC369" s="145"/>
    </row>
    <row r="370" spans="15:29" x14ac:dyDescent="0.2">
      <c r="O370" s="118"/>
      <c r="P370" s="118"/>
      <c r="Q370" s="145"/>
      <c r="R370" s="145"/>
      <c r="S370" s="145"/>
      <c r="T370" s="145"/>
      <c r="U370" s="145"/>
      <c r="V370" s="145"/>
      <c r="W370" s="145"/>
      <c r="X370" s="145"/>
      <c r="Y370" s="145"/>
      <c r="Z370" s="145"/>
      <c r="AA370" s="145"/>
      <c r="AB370" s="145"/>
      <c r="AC370" s="145"/>
    </row>
    <row r="371" spans="15:29" x14ac:dyDescent="0.2">
      <c r="O371" s="118"/>
      <c r="P371" s="118"/>
      <c r="Q371" s="145"/>
      <c r="R371" s="145"/>
      <c r="S371" s="145"/>
      <c r="T371" s="145"/>
      <c r="U371" s="145"/>
      <c r="V371" s="145"/>
      <c r="W371" s="145"/>
      <c r="X371" s="145"/>
      <c r="Y371" s="145"/>
      <c r="Z371" s="145"/>
      <c r="AA371" s="145"/>
      <c r="AB371" s="145"/>
      <c r="AC371" s="145"/>
    </row>
    <row r="372" spans="15:29" x14ac:dyDescent="0.2">
      <c r="O372" s="118"/>
      <c r="P372" s="118"/>
      <c r="Q372" s="145"/>
      <c r="R372" s="145"/>
      <c r="S372" s="145"/>
      <c r="T372" s="145"/>
      <c r="U372" s="145"/>
      <c r="V372" s="145"/>
      <c r="W372" s="145"/>
      <c r="X372" s="145"/>
      <c r="Y372" s="145"/>
      <c r="Z372" s="145"/>
      <c r="AA372" s="145"/>
      <c r="AB372" s="145"/>
      <c r="AC372" s="145"/>
    </row>
    <row r="373" spans="15:29" x14ac:dyDescent="0.2">
      <c r="O373" s="118"/>
      <c r="P373" s="118"/>
      <c r="Q373" s="145"/>
      <c r="R373" s="145"/>
      <c r="S373" s="145"/>
      <c r="T373" s="145"/>
      <c r="U373" s="145"/>
      <c r="V373" s="145"/>
      <c r="W373" s="145"/>
      <c r="X373" s="145"/>
      <c r="Y373" s="145"/>
      <c r="Z373" s="145"/>
      <c r="AA373" s="145"/>
      <c r="AB373" s="145"/>
      <c r="AC373" s="145"/>
    </row>
    <row r="374" spans="15:29" x14ac:dyDescent="0.2">
      <c r="O374" s="118"/>
      <c r="P374" s="118"/>
      <c r="Q374" s="145"/>
      <c r="R374" s="145"/>
      <c r="S374" s="145"/>
      <c r="T374" s="145"/>
      <c r="U374" s="145"/>
      <c r="V374" s="145"/>
      <c r="W374" s="145"/>
      <c r="X374" s="145"/>
      <c r="Y374" s="145"/>
      <c r="Z374" s="145"/>
      <c r="AA374" s="145"/>
      <c r="AB374" s="145"/>
      <c r="AC374" s="145"/>
    </row>
    <row r="375" spans="15:29" x14ac:dyDescent="0.2">
      <c r="O375" s="118"/>
      <c r="P375" s="118"/>
      <c r="Q375" s="145"/>
      <c r="R375" s="145"/>
      <c r="S375" s="145"/>
      <c r="T375" s="145"/>
      <c r="U375" s="145"/>
      <c r="V375" s="145"/>
      <c r="W375" s="145"/>
      <c r="X375" s="145"/>
      <c r="Y375" s="145"/>
      <c r="Z375" s="145"/>
      <c r="AA375" s="145"/>
      <c r="AB375" s="145"/>
      <c r="AC375" s="145"/>
    </row>
    <row r="376" spans="15:29" x14ac:dyDescent="0.2">
      <c r="O376" s="118"/>
      <c r="P376" s="118"/>
      <c r="Q376" s="145"/>
      <c r="R376" s="145"/>
      <c r="S376" s="145"/>
      <c r="T376" s="145"/>
      <c r="U376" s="145"/>
      <c r="V376" s="145"/>
      <c r="W376" s="145"/>
      <c r="X376" s="145"/>
      <c r="Y376" s="145"/>
      <c r="Z376" s="145"/>
      <c r="AA376" s="145"/>
      <c r="AB376" s="145"/>
      <c r="AC376" s="145"/>
    </row>
    <row r="377" spans="15:29" x14ac:dyDescent="0.2">
      <c r="O377" s="118"/>
      <c r="P377" s="118"/>
      <c r="Q377" s="145"/>
      <c r="R377" s="145"/>
      <c r="S377" s="145"/>
      <c r="T377" s="145"/>
      <c r="U377" s="145"/>
      <c r="V377" s="145"/>
      <c r="W377" s="145"/>
      <c r="X377" s="145"/>
      <c r="Y377" s="145"/>
      <c r="Z377" s="145"/>
      <c r="AA377" s="145"/>
      <c r="AB377" s="145"/>
      <c r="AC377" s="145"/>
    </row>
    <row r="378" spans="15:29" x14ac:dyDescent="0.2">
      <c r="O378" s="118"/>
      <c r="P378" s="118"/>
      <c r="Q378" s="145"/>
      <c r="R378" s="145"/>
      <c r="S378" s="145"/>
      <c r="T378" s="145"/>
      <c r="U378" s="145"/>
      <c r="V378" s="145"/>
      <c r="W378" s="145"/>
      <c r="X378" s="145"/>
      <c r="Y378" s="145"/>
      <c r="Z378" s="145"/>
      <c r="AA378" s="145"/>
      <c r="AB378" s="145"/>
      <c r="AC378" s="145"/>
    </row>
    <row r="379" spans="15:29" x14ac:dyDescent="0.2">
      <c r="O379" s="118"/>
      <c r="P379" s="118"/>
      <c r="Q379" s="145"/>
      <c r="R379" s="145"/>
      <c r="S379" s="145"/>
      <c r="T379" s="145"/>
      <c r="U379" s="145"/>
      <c r="V379" s="145"/>
      <c r="W379" s="145"/>
      <c r="X379" s="145"/>
      <c r="Y379" s="145"/>
      <c r="Z379" s="145"/>
      <c r="AA379" s="145"/>
      <c r="AB379" s="145"/>
      <c r="AC379" s="145"/>
    </row>
    <row r="380" spans="15:29" x14ac:dyDescent="0.2">
      <c r="O380" s="118"/>
      <c r="P380" s="118"/>
      <c r="Q380" s="145"/>
      <c r="R380" s="145"/>
      <c r="S380" s="145"/>
      <c r="T380" s="145"/>
      <c r="U380" s="145"/>
      <c r="V380" s="145"/>
      <c r="W380" s="145"/>
      <c r="X380" s="145"/>
      <c r="Y380" s="145"/>
      <c r="Z380" s="145"/>
      <c r="AA380" s="145"/>
      <c r="AB380" s="145"/>
      <c r="AC380" s="145"/>
    </row>
    <row r="381" spans="15:29" x14ac:dyDescent="0.2">
      <c r="O381" s="118"/>
      <c r="P381" s="118"/>
      <c r="Q381" s="145"/>
      <c r="R381" s="145"/>
      <c r="S381" s="145"/>
      <c r="T381" s="145"/>
      <c r="U381" s="145"/>
      <c r="V381" s="145"/>
      <c r="W381" s="145"/>
      <c r="X381" s="145"/>
      <c r="Y381" s="145"/>
      <c r="Z381" s="145"/>
      <c r="AA381" s="145"/>
      <c r="AB381" s="145"/>
      <c r="AC381" s="145"/>
    </row>
    <row r="382" spans="15:29" x14ac:dyDescent="0.2">
      <c r="O382" s="118"/>
      <c r="P382" s="118"/>
      <c r="Q382" s="145"/>
      <c r="R382" s="145"/>
      <c r="S382" s="145"/>
      <c r="T382" s="145"/>
      <c r="U382" s="145"/>
      <c r="V382" s="145"/>
      <c r="W382" s="145"/>
      <c r="X382" s="145"/>
      <c r="Y382" s="145"/>
      <c r="Z382" s="145"/>
      <c r="AA382" s="145"/>
      <c r="AB382" s="145"/>
      <c r="AC382" s="145"/>
    </row>
    <row r="383" spans="15:29" x14ac:dyDescent="0.2">
      <c r="O383" s="118"/>
      <c r="P383" s="118"/>
      <c r="Q383" s="145"/>
      <c r="R383" s="145"/>
      <c r="S383" s="145"/>
      <c r="T383" s="145"/>
      <c r="U383" s="145"/>
      <c r="V383" s="145"/>
      <c r="W383" s="145"/>
      <c r="X383" s="145"/>
      <c r="Y383" s="145"/>
      <c r="Z383" s="145"/>
      <c r="AA383" s="145"/>
      <c r="AB383" s="145"/>
      <c r="AC383" s="145"/>
    </row>
    <row r="384" spans="15:29" x14ac:dyDescent="0.2">
      <c r="O384" s="118"/>
      <c r="P384" s="118"/>
      <c r="Q384" s="145"/>
      <c r="R384" s="145"/>
      <c r="S384" s="145"/>
      <c r="T384" s="145"/>
      <c r="U384" s="145"/>
      <c r="V384" s="145"/>
      <c r="W384" s="145"/>
      <c r="X384" s="145"/>
      <c r="Y384" s="145"/>
      <c r="Z384" s="145"/>
      <c r="AA384" s="145"/>
      <c r="AB384" s="145"/>
      <c r="AC384" s="145"/>
    </row>
    <row r="385" spans="15:29" x14ac:dyDescent="0.2">
      <c r="O385" s="118"/>
      <c r="P385" s="118"/>
      <c r="Q385" s="145"/>
      <c r="R385" s="145"/>
      <c r="S385" s="145"/>
      <c r="T385" s="145"/>
      <c r="U385" s="145"/>
      <c r="V385" s="145"/>
      <c r="W385" s="145"/>
      <c r="X385" s="145"/>
      <c r="Y385" s="145"/>
      <c r="Z385" s="145"/>
      <c r="AA385" s="145"/>
      <c r="AB385" s="145"/>
      <c r="AC385" s="145"/>
    </row>
    <row r="386" spans="15:29" x14ac:dyDescent="0.2">
      <c r="O386" s="118"/>
      <c r="P386" s="118"/>
      <c r="Q386" s="145"/>
      <c r="R386" s="145"/>
      <c r="S386" s="145"/>
      <c r="T386" s="145"/>
      <c r="U386" s="145"/>
      <c r="V386" s="145"/>
      <c r="W386" s="145"/>
      <c r="X386" s="145"/>
      <c r="Y386" s="145"/>
      <c r="Z386" s="145"/>
      <c r="AA386" s="145"/>
      <c r="AB386" s="145"/>
      <c r="AC386" s="145"/>
    </row>
    <row r="387" spans="15:29" x14ac:dyDescent="0.2">
      <c r="O387" s="118"/>
      <c r="P387" s="118"/>
      <c r="Q387" s="145"/>
      <c r="R387" s="145"/>
      <c r="S387" s="145"/>
      <c r="T387" s="145"/>
      <c r="U387" s="145"/>
      <c r="V387" s="145"/>
      <c r="W387" s="145"/>
      <c r="X387" s="145"/>
      <c r="Y387" s="145"/>
      <c r="Z387" s="145"/>
      <c r="AA387" s="145"/>
      <c r="AB387" s="145"/>
      <c r="AC387" s="145"/>
    </row>
    <row r="388" spans="15:29" x14ac:dyDescent="0.2">
      <c r="O388" s="118"/>
      <c r="P388" s="118"/>
      <c r="Q388" s="145"/>
      <c r="R388" s="145"/>
      <c r="S388" s="145"/>
      <c r="T388" s="145"/>
      <c r="U388" s="145"/>
      <c r="V388" s="145"/>
      <c r="W388" s="145"/>
      <c r="X388" s="145"/>
      <c r="Y388" s="145"/>
      <c r="Z388" s="145"/>
      <c r="AA388" s="145"/>
      <c r="AB388" s="145"/>
      <c r="AC388" s="145"/>
    </row>
    <row r="389" spans="15:29" x14ac:dyDescent="0.2">
      <c r="O389" s="118"/>
      <c r="P389" s="118"/>
      <c r="Q389" s="145"/>
      <c r="R389" s="145"/>
      <c r="S389" s="145"/>
      <c r="T389" s="145"/>
      <c r="U389" s="145"/>
      <c r="V389" s="145"/>
      <c r="W389" s="145"/>
      <c r="X389" s="145"/>
      <c r="Y389" s="145"/>
      <c r="Z389" s="145"/>
      <c r="AA389" s="145"/>
      <c r="AB389" s="145"/>
      <c r="AC389" s="145"/>
    </row>
    <row r="390" spans="15:29" x14ac:dyDescent="0.2">
      <c r="O390" s="118"/>
      <c r="P390" s="118"/>
      <c r="Q390" s="145"/>
      <c r="R390" s="145"/>
      <c r="S390" s="145"/>
      <c r="T390" s="145"/>
      <c r="U390" s="145"/>
      <c r="V390" s="145"/>
      <c r="W390" s="145"/>
      <c r="X390" s="145"/>
      <c r="Y390" s="145"/>
      <c r="Z390" s="145"/>
      <c r="AA390" s="145"/>
      <c r="AB390" s="145"/>
      <c r="AC390" s="145"/>
    </row>
    <row r="391" spans="15:29" x14ac:dyDescent="0.2">
      <c r="O391" s="118"/>
      <c r="P391" s="118"/>
      <c r="Q391" s="145"/>
      <c r="R391" s="145"/>
      <c r="S391" s="145"/>
      <c r="T391" s="145"/>
      <c r="U391" s="145"/>
      <c r="V391" s="145"/>
      <c r="W391" s="145"/>
      <c r="X391" s="145"/>
      <c r="Y391" s="145"/>
      <c r="Z391" s="145"/>
      <c r="AA391" s="145"/>
      <c r="AB391" s="145"/>
      <c r="AC391" s="145"/>
    </row>
    <row r="392" spans="15:29" x14ac:dyDescent="0.2">
      <c r="O392" s="118"/>
      <c r="P392" s="118"/>
      <c r="Q392" s="145"/>
      <c r="R392" s="145"/>
      <c r="S392" s="145"/>
      <c r="T392" s="145"/>
      <c r="U392" s="145"/>
      <c r="V392" s="145"/>
      <c r="W392" s="145"/>
      <c r="X392" s="145"/>
      <c r="Y392" s="145"/>
      <c r="Z392" s="145"/>
      <c r="AA392" s="145"/>
      <c r="AB392" s="145"/>
      <c r="AC392" s="145"/>
    </row>
    <row r="393" spans="15:29" x14ac:dyDescent="0.2">
      <c r="O393" s="118"/>
      <c r="P393" s="118"/>
      <c r="Q393" s="145"/>
      <c r="R393" s="145"/>
      <c r="S393" s="145"/>
      <c r="T393" s="145"/>
      <c r="U393" s="145"/>
      <c r="V393" s="145"/>
      <c r="W393" s="145"/>
      <c r="X393" s="145"/>
      <c r="Y393" s="145"/>
      <c r="Z393" s="145"/>
      <c r="AA393" s="145"/>
      <c r="AB393" s="145"/>
      <c r="AC393" s="145"/>
    </row>
    <row r="394" spans="15:29" x14ac:dyDescent="0.2">
      <c r="O394" s="118"/>
      <c r="P394" s="118"/>
      <c r="Q394" s="145"/>
      <c r="R394" s="145"/>
      <c r="S394" s="145"/>
      <c r="T394" s="145"/>
      <c r="U394" s="145"/>
      <c r="V394" s="145"/>
      <c r="W394" s="145"/>
      <c r="X394" s="145"/>
      <c r="Y394" s="145"/>
      <c r="Z394" s="145"/>
      <c r="AA394" s="145"/>
      <c r="AB394" s="145"/>
      <c r="AC394" s="145"/>
    </row>
    <row r="395" spans="15:29" x14ac:dyDescent="0.2">
      <c r="O395" s="118"/>
      <c r="P395" s="118"/>
      <c r="Q395" s="145"/>
      <c r="R395" s="145"/>
      <c r="S395" s="145"/>
      <c r="T395" s="145"/>
      <c r="U395" s="145"/>
      <c r="V395" s="145"/>
      <c r="W395" s="145"/>
      <c r="X395" s="145"/>
      <c r="Y395" s="145"/>
      <c r="Z395" s="145"/>
      <c r="AA395" s="145"/>
      <c r="AB395" s="145"/>
      <c r="AC395" s="145"/>
    </row>
    <row r="396" spans="15:29" x14ac:dyDescent="0.2">
      <c r="O396" s="118"/>
      <c r="P396" s="118"/>
      <c r="Q396" s="145"/>
      <c r="R396" s="145"/>
      <c r="S396" s="145"/>
      <c r="T396" s="145"/>
      <c r="U396" s="145"/>
      <c r="V396" s="145"/>
      <c r="W396" s="145"/>
      <c r="X396" s="145"/>
      <c r="Y396" s="145"/>
      <c r="Z396" s="145"/>
      <c r="AA396" s="145"/>
      <c r="AB396" s="145"/>
      <c r="AC396" s="145"/>
    </row>
    <row r="397" spans="15:29" x14ac:dyDescent="0.2">
      <c r="O397" s="118"/>
      <c r="P397" s="118"/>
      <c r="Q397" s="145"/>
      <c r="R397" s="145"/>
      <c r="S397" s="145"/>
      <c r="T397" s="145"/>
      <c r="U397" s="145"/>
      <c r="V397" s="145"/>
      <c r="W397" s="145"/>
      <c r="X397" s="145"/>
      <c r="Y397" s="145"/>
      <c r="Z397" s="145"/>
      <c r="AA397" s="145"/>
      <c r="AB397" s="145"/>
      <c r="AC397" s="145"/>
    </row>
    <row r="398" spans="15:29" x14ac:dyDescent="0.2">
      <c r="O398" s="118"/>
      <c r="P398" s="118"/>
      <c r="Q398" s="145"/>
      <c r="R398" s="145"/>
      <c r="S398" s="145"/>
      <c r="T398" s="145"/>
      <c r="U398" s="145"/>
      <c r="V398" s="145"/>
      <c r="W398" s="145"/>
      <c r="X398" s="145"/>
      <c r="Y398" s="145"/>
      <c r="Z398" s="145"/>
      <c r="AA398" s="145"/>
      <c r="AB398" s="145"/>
      <c r="AC398" s="145"/>
    </row>
    <row r="399" spans="15:29" x14ac:dyDescent="0.2">
      <c r="O399" s="118"/>
      <c r="P399" s="118"/>
      <c r="Q399" s="145"/>
      <c r="R399" s="145"/>
      <c r="S399" s="145"/>
      <c r="T399" s="145"/>
      <c r="U399" s="145"/>
      <c r="V399" s="145"/>
      <c r="W399" s="145"/>
      <c r="X399" s="145"/>
      <c r="Y399" s="145"/>
      <c r="Z399" s="145"/>
      <c r="AA399" s="145"/>
      <c r="AB399" s="145"/>
      <c r="AC399" s="145"/>
    </row>
    <row r="400" spans="15:29" x14ac:dyDescent="0.2">
      <c r="O400" s="118"/>
      <c r="P400" s="118"/>
      <c r="Q400" s="145"/>
      <c r="R400" s="145"/>
      <c r="S400" s="145"/>
      <c r="T400" s="145"/>
      <c r="U400" s="145"/>
      <c r="V400" s="145"/>
      <c r="W400" s="145"/>
      <c r="X400" s="145"/>
      <c r="Y400" s="145"/>
      <c r="Z400" s="145"/>
      <c r="AA400" s="145"/>
      <c r="AB400" s="145"/>
      <c r="AC400" s="145"/>
    </row>
    <row r="401" spans="15:29" x14ac:dyDescent="0.2">
      <c r="O401" s="118"/>
      <c r="P401" s="118"/>
      <c r="Q401" s="145"/>
      <c r="R401" s="145"/>
      <c r="S401" s="145"/>
      <c r="T401" s="145"/>
      <c r="U401" s="145"/>
      <c r="V401" s="145"/>
      <c r="W401" s="145"/>
      <c r="X401" s="145"/>
      <c r="Y401" s="145"/>
      <c r="Z401" s="145"/>
      <c r="AA401" s="145"/>
      <c r="AB401" s="145"/>
      <c r="AC401" s="145"/>
    </row>
    <row r="402" spans="15:29" x14ac:dyDescent="0.2">
      <c r="O402" s="118"/>
      <c r="P402" s="118"/>
      <c r="Q402" s="145"/>
      <c r="R402" s="145"/>
      <c r="S402" s="145"/>
      <c r="T402" s="145"/>
      <c r="U402" s="145"/>
      <c r="V402" s="145"/>
      <c r="W402" s="145"/>
      <c r="X402" s="145"/>
      <c r="Y402" s="145"/>
      <c r="Z402" s="145"/>
      <c r="AA402" s="145"/>
      <c r="AB402" s="145"/>
      <c r="AC402" s="145"/>
    </row>
    <row r="403" spans="15:29" x14ac:dyDescent="0.2">
      <c r="O403" s="118"/>
      <c r="P403" s="118"/>
      <c r="Q403" s="145"/>
      <c r="R403" s="145"/>
      <c r="S403" s="145"/>
      <c r="T403" s="145"/>
      <c r="U403" s="145"/>
      <c r="V403" s="145"/>
      <c r="W403" s="145"/>
      <c r="X403" s="145"/>
      <c r="Y403" s="145"/>
      <c r="Z403" s="145"/>
      <c r="AA403" s="145"/>
      <c r="AB403" s="145"/>
      <c r="AC403" s="145"/>
    </row>
    <row r="404" spans="15:29" x14ac:dyDescent="0.2">
      <c r="O404" s="118"/>
      <c r="P404" s="118"/>
      <c r="Q404" s="145"/>
      <c r="R404" s="145"/>
      <c r="S404" s="145"/>
      <c r="T404" s="145"/>
      <c r="U404" s="145"/>
      <c r="V404" s="145"/>
      <c r="W404" s="145"/>
      <c r="X404" s="145"/>
      <c r="Y404" s="145"/>
      <c r="Z404" s="145"/>
      <c r="AA404" s="145"/>
      <c r="AB404" s="145"/>
      <c r="AC404" s="145"/>
    </row>
    <row r="405" spans="15:29" x14ac:dyDescent="0.2">
      <c r="O405" s="118"/>
      <c r="P405" s="118"/>
      <c r="Q405" s="145"/>
      <c r="R405" s="145"/>
      <c r="S405" s="145"/>
      <c r="T405" s="145"/>
      <c r="U405" s="145"/>
      <c r="V405" s="145"/>
      <c r="W405" s="145"/>
      <c r="X405" s="145"/>
      <c r="Y405" s="145"/>
      <c r="Z405" s="145"/>
      <c r="AA405" s="145"/>
      <c r="AB405" s="145"/>
      <c r="AC405" s="145"/>
    </row>
    <row r="406" spans="15:29" x14ac:dyDescent="0.2">
      <c r="O406" s="118"/>
      <c r="P406" s="118"/>
      <c r="Q406" s="145"/>
      <c r="R406" s="145"/>
      <c r="S406" s="145"/>
      <c r="T406" s="145"/>
      <c r="U406" s="145"/>
      <c r="V406" s="145"/>
      <c r="W406" s="145"/>
      <c r="X406" s="145"/>
      <c r="Y406" s="145"/>
      <c r="Z406" s="145"/>
      <c r="AA406" s="145"/>
      <c r="AB406" s="145"/>
      <c r="AC406" s="145"/>
    </row>
    <row r="407" spans="15:29" x14ac:dyDescent="0.2">
      <c r="O407" s="118"/>
      <c r="P407" s="118"/>
      <c r="Q407" s="145"/>
      <c r="R407" s="145"/>
      <c r="S407" s="145"/>
      <c r="T407" s="145"/>
      <c r="U407" s="145"/>
      <c r="V407" s="145"/>
      <c r="W407" s="145"/>
      <c r="X407" s="145"/>
      <c r="Y407" s="145"/>
      <c r="Z407" s="145"/>
      <c r="AA407" s="145"/>
      <c r="AB407" s="145"/>
      <c r="AC407" s="145"/>
    </row>
    <row r="408" spans="15:29" x14ac:dyDescent="0.2">
      <c r="O408" s="118"/>
      <c r="P408" s="118"/>
      <c r="Q408" s="145"/>
      <c r="R408" s="145"/>
      <c r="S408" s="145"/>
      <c r="T408" s="145"/>
      <c r="U408" s="145"/>
      <c r="V408" s="145"/>
      <c r="W408" s="145"/>
      <c r="X408" s="145"/>
      <c r="Y408" s="145"/>
      <c r="Z408" s="145"/>
      <c r="AA408" s="145"/>
      <c r="AB408" s="145"/>
      <c r="AC408" s="145"/>
    </row>
    <row r="409" spans="15:29" x14ac:dyDescent="0.2">
      <c r="O409" s="118"/>
      <c r="P409" s="118"/>
      <c r="Q409" s="145"/>
      <c r="R409" s="145"/>
      <c r="S409" s="145"/>
      <c r="T409" s="145"/>
      <c r="U409" s="145"/>
      <c r="V409" s="145"/>
      <c r="W409" s="145"/>
      <c r="X409" s="145"/>
      <c r="Y409" s="145"/>
      <c r="Z409" s="145"/>
      <c r="AA409" s="145"/>
      <c r="AB409" s="145"/>
      <c r="AC409" s="145"/>
    </row>
    <row r="410" spans="15:29" x14ac:dyDescent="0.2">
      <c r="O410" s="118"/>
      <c r="P410" s="118"/>
      <c r="Q410" s="145"/>
      <c r="R410" s="145"/>
      <c r="S410" s="145"/>
      <c r="T410" s="145"/>
      <c r="U410" s="145"/>
      <c r="V410" s="145"/>
      <c r="W410" s="145"/>
      <c r="X410" s="145"/>
      <c r="Y410" s="145"/>
      <c r="Z410" s="145"/>
      <c r="AA410" s="145"/>
      <c r="AB410" s="145"/>
      <c r="AC410" s="145"/>
    </row>
    <row r="411" spans="15:29" x14ac:dyDescent="0.2">
      <c r="O411" s="118"/>
      <c r="P411" s="118"/>
      <c r="Q411" s="145"/>
      <c r="R411" s="145"/>
      <c r="S411" s="145"/>
      <c r="T411" s="145"/>
      <c r="U411" s="145"/>
      <c r="V411" s="145"/>
      <c r="W411" s="145"/>
      <c r="X411" s="145"/>
      <c r="Y411" s="145"/>
      <c r="Z411" s="145"/>
      <c r="AA411" s="145"/>
      <c r="AB411" s="145"/>
      <c r="AC411" s="145"/>
    </row>
    <row r="412" spans="15:29" x14ac:dyDescent="0.2">
      <c r="O412" s="118"/>
      <c r="P412" s="118"/>
      <c r="Q412" s="145"/>
      <c r="R412" s="145"/>
      <c r="S412" s="145"/>
      <c r="T412" s="145"/>
      <c r="U412" s="145"/>
      <c r="V412" s="145"/>
      <c r="W412" s="145"/>
      <c r="X412" s="145"/>
      <c r="Y412" s="145"/>
      <c r="Z412" s="145"/>
      <c r="AA412" s="145"/>
      <c r="AB412" s="145"/>
      <c r="AC412" s="145"/>
    </row>
    <row r="413" spans="15:29" x14ac:dyDescent="0.2">
      <c r="O413" s="118"/>
      <c r="P413" s="118"/>
      <c r="Q413" s="145"/>
      <c r="R413" s="145"/>
      <c r="S413" s="145"/>
      <c r="T413" s="145"/>
      <c r="U413" s="145"/>
      <c r="V413" s="145"/>
      <c r="W413" s="145"/>
      <c r="X413" s="145"/>
      <c r="Y413" s="145"/>
      <c r="Z413" s="145"/>
      <c r="AA413" s="145"/>
      <c r="AB413" s="145"/>
      <c r="AC413" s="145"/>
    </row>
    <row r="414" spans="15:29" x14ac:dyDescent="0.2">
      <c r="O414" s="118"/>
      <c r="P414" s="118"/>
      <c r="Q414" s="145"/>
      <c r="R414" s="145"/>
      <c r="S414" s="145"/>
      <c r="T414" s="145"/>
      <c r="U414" s="145"/>
      <c r="V414" s="145"/>
      <c r="W414" s="145"/>
      <c r="X414" s="145"/>
      <c r="Y414" s="145"/>
      <c r="Z414" s="145"/>
      <c r="AA414" s="145"/>
      <c r="AB414" s="145"/>
      <c r="AC414" s="145"/>
    </row>
    <row r="415" spans="15:29" x14ac:dyDescent="0.2">
      <c r="O415" s="118"/>
      <c r="P415" s="118"/>
      <c r="Q415" s="145"/>
      <c r="R415" s="145"/>
      <c r="S415" s="145"/>
      <c r="T415" s="145"/>
      <c r="U415" s="145"/>
      <c r="V415" s="145"/>
      <c r="W415" s="145"/>
      <c r="X415" s="145"/>
      <c r="Y415" s="145"/>
      <c r="Z415" s="145"/>
      <c r="AA415" s="145"/>
      <c r="AB415" s="145"/>
      <c r="AC415" s="145"/>
    </row>
    <row r="416" spans="15:29" x14ac:dyDescent="0.2">
      <c r="O416" s="118"/>
      <c r="P416" s="118"/>
      <c r="Q416" s="145"/>
      <c r="R416" s="145"/>
      <c r="S416" s="145"/>
      <c r="T416" s="145"/>
      <c r="U416" s="145"/>
      <c r="V416" s="145"/>
      <c r="W416" s="145"/>
      <c r="X416" s="145"/>
      <c r="Y416" s="145"/>
      <c r="Z416" s="145"/>
      <c r="AA416" s="145"/>
      <c r="AB416" s="145"/>
      <c r="AC416" s="145"/>
    </row>
    <row r="417" spans="15:29" x14ac:dyDescent="0.2">
      <c r="O417" s="118"/>
      <c r="P417" s="118"/>
      <c r="Q417" s="145"/>
      <c r="R417" s="145"/>
      <c r="S417" s="145"/>
      <c r="T417" s="145"/>
      <c r="U417" s="145"/>
      <c r="V417" s="145"/>
      <c r="W417" s="145"/>
      <c r="X417" s="145"/>
      <c r="Y417" s="145"/>
      <c r="Z417" s="145"/>
      <c r="AA417" s="145"/>
      <c r="AB417" s="145"/>
      <c r="AC417" s="145"/>
    </row>
    <row r="418" spans="15:29" x14ac:dyDescent="0.2">
      <c r="O418" s="118"/>
      <c r="P418" s="118"/>
      <c r="Q418" s="145"/>
      <c r="R418" s="145"/>
      <c r="S418" s="145"/>
      <c r="T418" s="145"/>
      <c r="U418" s="145"/>
      <c r="V418" s="145"/>
      <c r="W418" s="145"/>
      <c r="X418" s="145"/>
      <c r="Y418" s="145"/>
      <c r="Z418" s="145"/>
      <c r="AA418" s="145"/>
      <c r="AB418" s="145"/>
      <c r="AC418" s="145"/>
    </row>
    <row r="419" spans="15:29" x14ac:dyDescent="0.2">
      <c r="O419" s="118"/>
      <c r="P419" s="118"/>
      <c r="Q419" s="145"/>
      <c r="R419" s="145"/>
      <c r="S419" s="145"/>
      <c r="T419" s="145"/>
      <c r="U419" s="145"/>
      <c r="V419" s="145"/>
      <c r="W419" s="145"/>
      <c r="X419" s="145"/>
      <c r="Y419" s="145"/>
      <c r="Z419" s="145"/>
      <c r="AA419" s="145"/>
      <c r="AB419" s="145"/>
      <c r="AC419" s="145"/>
    </row>
    <row r="420" spans="15:29" x14ac:dyDescent="0.2">
      <c r="O420" s="118"/>
      <c r="P420" s="118"/>
      <c r="Q420" s="145"/>
      <c r="R420" s="145"/>
      <c r="S420" s="145"/>
      <c r="T420" s="145"/>
      <c r="U420" s="145"/>
      <c r="V420" s="145"/>
      <c r="W420" s="145"/>
      <c r="X420" s="145"/>
      <c r="Y420" s="145"/>
      <c r="Z420" s="145"/>
      <c r="AA420" s="145"/>
      <c r="AB420" s="145"/>
      <c r="AC420" s="145"/>
    </row>
    <row r="421" spans="15:29" x14ac:dyDescent="0.2">
      <c r="O421" s="118"/>
      <c r="P421" s="118"/>
      <c r="Q421" s="145"/>
      <c r="R421" s="145"/>
      <c r="S421" s="145"/>
      <c r="T421" s="145"/>
      <c r="U421" s="145"/>
      <c r="V421" s="145"/>
      <c r="W421" s="145"/>
      <c r="X421" s="145"/>
      <c r="Y421" s="145"/>
      <c r="Z421" s="145"/>
      <c r="AA421" s="145"/>
      <c r="AB421" s="145"/>
      <c r="AC421" s="145"/>
    </row>
    <row r="422" spans="15:29" x14ac:dyDescent="0.2">
      <c r="O422" s="118"/>
      <c r="P422" s="118"/>
      <c r="Q422" s="145"/>
      <c r="R422" s="145"/>
      <c r="S422" s="145"/>
      <c r="T422" s="145"/>
      <c r="U422" s="145"/>
      <c r="V422" s="145"/>
      <c r="W422" s="145"/>
      <c r="X422" s="145"/>
      <c r="Y422" s="145"/>
      <c r="Z422" s="145"/>
      <c r="AA422" s="145"/>
      <c r="AB422" s="145"/>
      <c r="AC422" s="145"/>
    </row>
    <row r="423" spans="15:29" x14ac:dyDescent="0.2">
      <c r="O423" s="118"/>
      <c r="P423" s="118"/>
      <c r="Q423" s="145"/>
      <c r="R423" s="145"/>
      <c r="S423" s="145"/>
      <c r="T423" s="145"/>
      <c r="U423" s="145"/>
      <c r="V423" s="145"/>
      <c r="W423" s="145"/>
      <c r="X423" s="145"/>
      <c r="Y423" s="145"/>
      <c r="Z423" s="145"/>
      <c r="AA423" s="145"/>
      <c r="AB423" s="145"/>
      <c r="AC423" s="145"/>
    </row>
    <row r="424" spans="15:29" x14ac:dyDescent="0.2">
      <c r="O424" s="118"/>
      <c r="P424" s="118"/>
      <c r="Q424" s="145"/>
      <c r="R424" s="145"/>
      <c r="S424" s="145"/>
      <c r="T424" s="145"/>
      <c r="U424" s="145"/>
      <c r="V424" s="145"/>
      <c r="W424" s="145"/>
      <c r="X424" s="145"/>
      <c r="Y424" s="145"/>
      <c r="Z424" s="145"/>
      <c r="AA424" s="145"/>
      <c r="AB424" s="145"/>
      <c r="AC424" s="145"/>
    </row>
    <row r="425" spans="15:29" x14ac:dyDescent="0.2">
      <c r="O425" s="118"/>
      <c r="P425" s="118"/>
      <c r="Q425" s="145"/>
      <c r="R425" s="145"/>
      <c r="S425" s="145"/>
      <c r="T425" s="145"/>
      <c r="U425" s="145"/>
      <c r="V425" s="145"/>
      <c r="W425" s="145"/>
      <c r="X425" s="145"/>
      <c r="Y425" s="145"/>
      <c r="Z425" s="145"/>
      <c r="AA425" s="145"/>
      <c r="AB425" s="145"/>
      <c r="AC425" s="145"/>
    </row>
    <row r="426" spans="15:29" x14ac:dyDescent="0.2">
      <c r="O426" s="118"/>
      <c r="P426" s="118"/>
      <c r="Q426" s="145"/>
      <c r="R426" s="145"/>
      <c r="S426" s="145"/>
      <c r="T426" s="145"/>
      <c r="U426" s="145"/>
      <c r="V426" s="145"/>
      <c r="W426" s="145"/>
      <c r="X426" s="145"/>
      <c r="Y426" s="145"/>
      <c r="Z426" s="145"/>
      <c r="AA426" s="145"/>
      <c r="AB426" s="145"/>
      <c r="AC426" s="145"/>
    </row>
    <row r="427" spans="15:29" x14ac:dyDescent="0.2">
      <c r="O427" s="118"/>
      <c r="P427" s="118"/>
      <c r="Q427" s="145"/>
      <c r="R427" s="145"/>
      <c r="S427" s="145"/>
      <c r="T427" s="145"/>
      <c r="U427" s="145"/>
      <c r="V427" s="145"/>
      <c r="W427" s="145"/>
      <c r="X427" s="145"/>
      <c r="Y427" s="145"/>
      <c r="Z427" s="145"/>
      <c r="AA427" s="145"/>
      <c r="AB427" s="145"/>
      <c r="AC427" s="145"/>
    </row>
    <row r="428" spans="15:29" x14ac:dyDescent="0.2">
      <c r="O428" s="118"/>
      <c r="P428" s="118"/>
      <c r="Q428" s="145"/>
      <c r="R428" s="145"/>
      <c r="S428" s="145"/>
      <c r="T428" s="145"/>
      <c r="U428" s="145"/>
      <c r="V428" s="145"/>
      <c r="W428" s="145"/>
      <c r="X428" s="145"/>
      <c r="Y428" s="145"/>
      <c r="Z428" s="145"/>
      <c r="AA428" s="145"/>
      <c r="AB428" s="145"/>
      <c r="AC428" s="145"/>
    </row>
    <row r="429" spans="15:29" x14ac:dyDescent="0.2">
      <c r="O429" s="118"/>
      <c r="P429" s="118"/>
      <c r="Q429" s="145"/>
      <c r="R429" s="145"/>
      <c r="S429" s="145"/>
      <c r="T429" s="145"/>
      <c r="U429" s="145"/>
      <c r="V429" s="145"/>
      <c r="W429" s="145"/>
      <c r="X429" s="145"/>
      <c r="Y429" s="145"/>
      <c r="Z429" s="145"/>
      <c r="AA429" s="145"/>
      <c r="AB429" s="145"/>
      <c r="AC429" s="145"/>
    </row>
    <row r="430" spans="15:29" x14ac:dyDescent="0.2">
      <c r="O430" s="118"/>
      <c r="P430" s="118"/>
      <c r="Q430" s="145"/>
      <c r="R430" s="145"/>
      <c r="S430" s="145"/>
      <c r="T430" s="145"/>
      <c r="U430" s="145"/>
      <c r="V430" s="145"/>
      <c r="W430" s="145"/>
      <c r="X430" s="145"/>
      <c r="Y430" s="145"/>
      <c r="Z430" s="145"/>
      <c r="AA430" s="145"/>
      <c r="AB430" s="145"/>
      <c r="AC430" s="145"/>
    </row>
    <row r="431" spans="15:29" x14ac:dyDescent="0.2">
      <c r="O431" s="118"/>
      <c r="P431" s="118"/>
      <c r="Q431" s="145"/>
      <c r="R431" s="145"/>
      <c r="S431" s="145"/>
      <c r="T431" s="145"/>
      <c r="U431" s="145"/>
      <c r="V431" s="145"/>
      <c r="W431" s="145"/>
      <c r="X431" s="145"/>
      <c r="Y431" s="145"/>
      <c r="Z431" s="145"/>
      <c r="AA431" s="145"/>
      <c r="AB431" s="145"/>
      <c r="AC431" s="145"/>
    </row>
    <row r="432" spans="15:29" x14ac:dyDescent="0.2">
      <c r="O432" s="118"/>
      <c r="P432" s="118"/>
      <c r="Q432" s="145"/>
      <c r="R432" s="145"/>
      <c r="S432" s="145"/>
      <c r="T432" s="145"/>
      <c r="U432" s="145"/>
      <c r="V432" s="145"/>
      <c r="W432" s="145"/>
      <c r="X432" s="145"/>
      <c r="Y432" s="145"/>
      <c r="Z432" s="145"/>
      <c r="AA432" s="145"/>
      <c r="AB432" s="145"/>
      <c r="AC432" s="145"/>
    </row>
    <row r="433" spans="15:29" x14ac:dyDescent="0.2">
      <c r="O433" s="118"/>
      <c r="P433" s="118"/>
      <c r="Q433" s="145"/>
      <c r="R433" s="145"/>
      <c r="S433" s="145"/>
      <c r="T433" s="145"/>
      <c r="U433" s="145"/>
      <c r="V433" s="145"/>
      <c r="W433" s="145"/>
      <c r="X433" s="145"/>
      <c r="Y433" s="145"/>
      <c r="Z433" s="145"/>
      <c r="AA433" s="145"/>
      <c r="AB433" s="145"/>
      <c r="AC433" s="145"/>
    </row>
    <row r="434" spans="15:29" x14ac:dyDescent="0.2">
      <c r="O434" s="118"/>
      <c r="P434" s="118"/>
      <c r="Q434" s="145"/>
      <c r="R434" s="145"/>
      <c r="S434" s="145"/>
      <c r="T434" s="145"/>
      <c r="U434" s="145"/>
      <c r="V434" s="145"/>
      <c r="W434" s="145"/>
      <c r="X434" s="145"/>
      <c r="Y434" s="145"/>
      <c r="Z434" s="145"/>
      <c r="AA434" s="145"/>
      <c r="AB434" s="145"/>
      <c r="AC434" s="145"/>
    </row>
    <row r="435" spans="15:29" x14ac:dyDescent="0.2">
      <c r="O435" s="118"/>
      <c r="P435" s="118"/>
      <c r="Q435" s="145"/>
      <c r="R435" s="145"/>
      <c r="S435" s="145"/>
      <c r="T435" s="145"/>
      <c r="U435" s="145"/>
      <c r="V435" s="145"/>
      <c r="W435" s="145"/>
      <c r="X435" s="145"/>
      <c r="Y435" s="145"/>
      <c r="Z435" s="145"/>
      <c r="AA435" s="145"/>
      <c r="AB435" s="145"/>
      <c r="AC435" s="145"/>
    </row>
    <row r="436" spans="15:29" x14ac:dyDescent="0.2">
      <c r="O436" s="118"/>
      <c r="P436" s="118"/>
      <c r="Q436" s="145"/>
      <c r="R436" s="145"/>
      <c r="S436" s="145"/>
      <c r="T436" s="145"/>
      <c r="U436" s="145"/>
      <c r="V436" s="145"/>
      <c r="W436" s="145"/>
      <c r="X436" s="145"/>
      <c r="Y436" s="145"/>
      <c r="Z436" s="145"/>
      <c r="AA436" s="145"/>
      <c r="AB436" s="145"/>
      <c r="AC436" s="145"/>
    </row>
    <row r="437" spans="15:29" x14ac:dyDescent="0.2">
      <c r="O437" s="118"/>
      <c r="P437" s="118"/>
      <c r="Q437" s="145"/>
      <c r="R437" s="145"/>
      <c r="S437" s="145"/>
      <c r="T437" s="145"/>
      <c r="U437" s="145"/>
      <c r="V437" s="145"/>
      <c r="W437" s="145"/>
      <c r="X437" s="145"/>
      <c r="Y437" s="145"/>
      <c r="Z437" s="145"/>
      <c r="AA437" s="145"/>
      <c r="AB437" s="145"/>
      <c r="AC437" s="145"/>
    </row>
    <row r="438" spans="15:29" x14ac:dyDescent="0.2">
      <c r="O438" s="118"/>
      <c r="P438" s="118"/>
      <c r="Q438" s="145"/>
      <c r="R438" s="145"/>
      <c r="S438" s="145"/>
      <c r="T438" s="145"/>
      <c r="U438" s="145"/>
      <c r="V438" s="145"/>
      <c r="W438" s="145"/>
      <c r="X438" s="145"/>
      <c r="Y438" s="145"/>
      <c r="Z438" s="145"/>
      <c r="AA438" s="145"/>
      <c r="AB438" s="145"/>
      <c r="AC438" s="145"/>
    </row>
    <row r="439" spans="15:29" x14ac:dyDescent="0.2">
      <c r="O439" s="118"/>
      <c r="P439" s="118"/>
      <c r="Q439" s="145"/>
      <c r="R439" s="145"/>
      <c r="S439" s="145"/>
      <c r="T439" s="145"/>
      <c r="U439" s="145"/>
      <c r="V439" s="145"/>
      <c r="W439" s="145"/>
      <c r="X439" s="145"/>
      <c r="Y439" s="145"/>
      <c r="Z439" s="145"/>
      <c r="AA439" s="145"/>
      <c r="AB439" s="145"/>
      <c r="AC439" s="145"/>
    </row>
    <row r="440" spans="15:29" x14ac:dyDescent="0.2">
      <c r="O440" s="118"/>
      <c r="P440" s="118"/>
      <c r="Q440" s="145"/>
      <c r="R440" s="145"/>
      <c r="S440" s="145"/>
      <c r="T440" s="145"/>
      <c r="U440" s="145"/>
      <c r="V440" s="145"/>
      <c r="W440" s="145"/>
      <c r="X440" s="145"/>
      <c r="Y440" s="145"/>
      <c r="Z440" s="145"/>
      <c r="AA440" s="145"/>
      <c r="AB440" s="145"/>
      <c r="AC440" s="145"/>
    </row>
    <row r="441" spans="15:29" x14ac:dyDescent="0.2">
      <c r="O441" s="118"/>
      <c r="P441" s="118"/>
      <c r="Q441" s="145"/>
      <c r="R441" s="145"/>
      <c r="S441" s="145"/>
      <c r="T441" s="145"/>
      <c r="U441" s="145"/>
      <c r="V441" s="145"/>
      <c r="W441" s="145"/>
      <c r="X441" s="145"/>
      <c r="Y441" s="145"/>
      <c r="Z441" s="145"/>
      <c r="AA441" s="145"/>
      <c r="AB441" s="145"/>
      <c r="AC441" s="145"/>
    </row>
    <row r="442" spans="15:29" x14ac:dyDescent="0.2">
      <c r="O442" s="118"/>
      <c r="P442" s="118"/>
      <c r="Q442" s="145"/>
      <c r="R442" s="145"/>
      <c r="S442" s="145"/>
      <c r="T442" s="145"/>
      <c r="U442" s="145"/>
      <c r="V442" s="145"/>
      <c r="W442" s="145"/>
      <c r="X442" s="145"/>
      <c r="Y442" s="145"/>
      <c r="Z442" s="145"/>
      <c r="AA442" s="145"/>
      <c r="AB442" s="145"/>
      <c r="AC442" s="145"/>
    </row>
    <row r="443" spans="15:29" x14ac:dyDescent="0.2">
      <c r="O443" s="118"/>
      <c r="P443" s="118"/>
      <c r="Q443" s="145"/>
      <c r="R443" s="145"/>
      <c r="S443" s="145"/>
      <c r="T443" s="145"/>
      <c r="U443" s="145"/>
      <c r="V443" s="145"/>
      <c r="W443" s="145"/>
      <c r="X443" s="145"/>
      <c r="Y443" s="145"/>
      <c r="Z443" s="145"/>
      <c r="AA443" s="145"/>
      <c r="AB443" s="145"/>
      <c r="AC443" s="145"/>
    </row>
    <row r="444" spans="15:29" x14ac:dyDescent="0.2">
      <c r="O444" s="118"/>
      <c r="P444" s="118"/>
      <c r="Q444" s="145"/>
      <c r="R444" s="145"/>
      <c r="S444" s="145"/>
      <c r="T444" s="145"/>
      <c r="U444" s="145"/>
      <c r="V444" s="145"/>
      <c r="W444" s="145"/>
      <c r="X444" s="145"/>
      <c r="Y444" s="145"/>
      <c r="Z444" s="145"/>
      <c r="AA444" s="145"/>
      <c r="AB444" s="145"/>
      <c r="AC444" s="145"/>
    </row>
    <row r="445" spans="15:29" x14ac:dyDescent="0.2">
      <c r="O445" s="118"/>
      <c r="P445" s="118"/>
      <c r="Q445" s="145"/>
      <c r="R445" s="145"/>
      <c r="S445" s="145"/>
      <c r="T445" s="145"/>
      <c r="U445" s="145"/>
      <c r="V445" s="145"/>
      <c r="W445" s="145"/>
      <c r="X445" s="145"/>
      <c r="Y445" s="145"/>
      <c r="Z445" s="145"/>
      <c r="AA445" s="145"/>
      <c r="AB445" s="145"/>
      <c r="AC445" s="145"/>
    </row>
    <row r="446" spans="15:29" x14ac:dyDescent="0.2">
      <c r="O446" s="118"/>
      <c r="P446" s="118"/>
      <c r="Q446" s="145"/>
      <c r="R446" s="145"/>
      <c r="S446" s="145"/>
      <c r="T446" s="145"/>
      <c r="U446" s="145"/>
      <c r="V446" s="145"/>
      <c r="W446" s="145"/>
      <c r="X446" s="145"/>
      <c r="Y446" s="145"/>
      <c r="Z446" s="145"/>
      <c r="AA446" s="145"/>
      <c r="AB446" s="145"/>
      <c r="AC446" s="145"/>
    </row>
    <row r="447" spans="15:29" x14ac:dyDescent="0.2">
      <c r="O447" s="118"/>
      <c r="P447" s="118"/>
      <c r="Q447" s="145"/>
      <c r="R447" s="145"/>
      <c r="S447" s="145"/>
      <c r="T447" s="145"/>
      <c r="U447" s="145"/>
      <c r="V447" s="145"/>
      <c r="W447" s="145"/>
      <c r="X447" s="145"/>
      <c r="Y447" s="145"/>
      <c r="Z447" s="145"/>
      <c r="AA447" s="145"/>
      <c r="AB447" s="145"/>
      <c r="AC447" s="145"/>
    </row>
    <row r="448" spans="15:29" x14ac:dyDescent="0.2">
      <c r="O448" s="118"/>
      <c r="P448" s="118"/>
      <c r="Q448" s="145"/>
      <c r="R448" s="145"/>
      <c r="S448" s="145"/>
      <c r="T448" s="145"/>
      <c r="U448" s="145"/>
      <c r="V448" s="145"/>
      <c r="W448" s="145"/>
      <c r="X448" s="145"/>
      <c r="Y448" s="145"/>
      <c r="Z448" s="145"/>
      <c r="AA448" s="145"/>
      <c r="AB448" s="145"/>
      <c r="AC448" s="145"/>
    </row>
    <row r="449" spans="15:29" x14ac:dyDescent="0.2">
      <c r="O449" s="118"/>
      <c r="P449" s="118"/>
      <c r="Q449" s="145"/>
      <c r="R449" s="145"/>
      <c r="S449" s="145"/>
      <c r="T449" s="145"/>
      <c r="U449" s="145"/>
      <c r="V449" s="145"/>
      <c r="W449" s="145"/>
      <c r="X449" s="145"/>
      <c r="Y449" s="145"/>
      <c r="Z449" s="145"/>
      <c r="AA449" s="145"/>
      <c r="AB449" s="145"/>
      <c r="AC449" s="145"/>
    </row>
    <row r="450" spans="15:29" x14ac:dyDescent="0.2">
      <c r="O450" s="118"/>
      <c r="P450" s="118"/>
      <c r="Q450" s="145"/>
      <c r="R450" s="145"/>
      <c r="S450" s="145"/>
      <c r="T450" s="145"/>
      <c r="U450" s="145"/>
      <c r="V450" s="145"/>
      <c r="W450" s="145"/>
      <c r="X450" s="145"/>
      <c r="Y450" s="145"/>
      <c r="Z450" s="145"/>
      <c r="AA450" s="145"/>
      <c r="AB450" s="145"/>
      <c r="AC450" s="145"/>
    </row>
    <row r="451" spans="15:29" x14ac:dyDescent="0.2">
      <c r="O451" s="118"/>
      <c r="P451" s="118"/>
      <c r="Q451" s="145"/>
      <c r="R451" s="145"/>
      <c r="S451" s="145"/>
      <c r="T451" s="145"/>
      <c r="U451" s="145"/>
      <c r="V451" s="145"/>
      <c r="W451" s="145"/>
      <c r="X451" s="145"/>
      <c r="Y451" s="145"/>
      <c r="Z451" s="145"/>
      <c r="AA451" s="145"/>
      <c r="AB451" s="145"/>
      <c r="AC451" s="145"/>
    </row>
    <row r="452" spans="15:29" x14ac:dyDescent="0.2">
      <c r="O452" s="118"/>
      <c r="P452" s="118"/>
      <c r="Q452" s="145"/>
      <c r="R452" s="145"/>
      <c r="S452" s="145"/>
      <c r="T452" s="145"/>
      <c r="U452" s="145"/>
      <c r="V452" s="145"/>
      <c r="W452" s="145"/>
      <c r="X452" s="145"/>
      <c r="Y452" s="145"/>
      <c r="Z452" s="145"/>
      <c r="AA452" s="145"/>
      <c r="AB452" s="145"/>
      <c r="AC452" s="145"/>
    </row>
    <row r="453" spans="15:29" x14ac:dyDescent="0.2">
      <c r="O453" s="118"/>
      <c r="P453" s="118"/>
      <c r="Q453" s="145"/>
      <c r="R453" s="145"/>
      <c r="S453" s="145"/>
      <c r="T453" s="145"/>
      <c r="U453" s="145"/>
      <c r="V453" s="145"/>
      <c r="W453" s="145"/>
      <c r="X453" s="145"/>
      <c r="Y453" s="145"/>
      <c r="Z453" s="145"/>
      <c r="AA453" s="145"/>
      <c r="AB453" s="145"/>
      <c r="AC453" s="145"/>
    </row>
    <row r="454" spans="15:29" x14ac:dyDescent="0.2">
      <c r="O454" s="118"/>
      <c r="P454" s="118"/>
      <c r="Q454" s="145"/>
      <c r="R454" s="145"/>
      <c r="S454" s="145"/>
      <c r="T454" s="145"/>
      <c r="U454" s="145"/>
      <c r="V454" s="145"/>
      <c r="W454" s="145"/>
      <c r="X454" s="145"/>
      <c r="Y454" s="145"/>
      <c r="Z454" s="145"/>
      <c r="AA454" s="145"/>
      <c r="AB454" s="145"/>
      <c r="AC454" s="145"/>
    </row>
    <row r="455" spans="15:29" x14ac:dyDescent="0.2">
      <c r="O455" s="118"/>
      <c r="P455" s="118"/>
      <c r="Q455" s="145"/>
      <c r="R455" s="145"/>
      <c r="S455" s="145"/>
      <c r="T455" s="145"/>
      <c r="U455" s="145"/>
      <c r="V455" s="145"/>
      <c r="W455" s="145"/>
      <c r="X455" s="145"/>
      <c r="Y455" s="145"/>
      <c r="Z455" s="145"/>
      <c r="AA455" s="145"/>
      <c r="AB455" s="145"/>
      <c r="AC455" s="145"/>
    </row>
    <row r="456" spans="15:29" x14ac:dyDescent="0.2">
      <c r="O456" s="118"/>
      <c r="P456" s="118"/>
      <c r="Q456" s="145"/>
      <c r="R456" s="145"/>
      <c r="S456" s="145"/>
      <c r="T456" s="145"/>
      <c r="U456" s="145"/>
      <c r="V456" s="145"/>
      <c r="W456" s="145"/>
      <c r="X456" s="145"/>
      <c r="Y456" s="145"/>
      <c r="Z456" s="145"/>
      <c r="AA456" s="145"/>
      <c r="AB456" s="145"/>
      <c r="AC456" s="145"/>
    </row>
    <row r="457" spans="15:29" x14ac:dyDescent="0.2">
      <c r="O457" s="118"/>
      <c r="P457" s="118"/>
      <c r="Q457" s="145"/>
      <c r="R457" s="145"/>
      <c r="S457" s="145"/>
      <c r="T457" s="145"/>
      <c r="U457" s="145"/>
      <c r="V457" s="145"/>
      <c r="W457" s="145"/>
      <c r="X457" s="145"/>
      <c r="Y457" s="145"/>
      <c r="Z457" s="145"/>
      <c r="AA457" s="145"/>
      <c r="AB457" s="145"/>
      <c r="AC457" s="145"/>
    </row>
    <row r="458" spans="15:29" x14ac:dyDescent="0.2">
      <c r="O458" s="118"/>
      <c r="P458" s="118"/>
      <c r="Q458" s="145"/>
      <c r="R458" s="145"/>
      <c r="S458" s="145"/>
      <c r="T458" s="145"/>
      <c r="U458" s="145"/>
      <c r="V458" s="145"/>
      <c r="W458" s="145"/>
      <c r="X458" s="145"/>
      <c r="Y458" s="145"/>
      <c r="Z458" s="145"/>
      <c r="AA458" s="145"/>
      <c r="AB458" s="145"/>
      <c r="AC458" s="145"/>
    </row>
    <row r="459" spans="15:29" x14ac:dyDescent="0.2">
      <c r="O459" s="118"/>
      <c r="P459" s="118"/>
      <c r="Q459" s="145"/>
      <c r="R459" s="145"/>
      <c r="S459" s="145"/>
      <c r="T459" s="145"/>
      <c r="U459" s="145"/>
      <c r="V459" s="145"/>
      <c r="W459" s="145"/>
      <c r="X459" s="145"/>
      <c r="Y459" s="145"/>
      <c r="Z459" s="145"/>
      <c r="AA459" s="145"/>
      <c r="AB459" s="145"/>
      <c r="AC459" s="145"/>
    </row>
    <row r="460" spans="15:29" x14ac:dyDescent="0.2">
      <c r="O460" s="118"/>
      <c r="P460" s="118"/>
      <c r="Q460" s="145"/>
      <c r="R460" s="145"/>
      <c r="S460" s="145"/>
      <c r="T460" s="145"/>
      <c r="U460" s="145"/>
      <c r="V460" s="145"/>
      <c r="W460" s="145"/>
      <c r="X460" s="145"/>
      <c r="Y460" s="145"/>
      <c r="Z460" s="145"/>
      <c r="AA460" s="145"/>
      <c r="AB460" s="145"/>
      <c r="AC460" s="145"/>
    </row>
    <row r="461" spans="15:29" x14ac:dyDescent="0.2">
      <c r="O461" s="118"/>
      <c r="P461" s="118"/>
      <c r="Q461" s="145"/>
      <c r="R461" s="145"/>
      <c r="S461" s="145"/>
      <c r="T461" s="145"/>
      <c r="U461" s="145"/>
      <c r="V461" s="145"/>
      <c r="W461" s="145"/>
      <c r="X461" s="145"/>
      <c r="Y461" s="145"/>
      <c r="Z461" s="145"/>
      <c r="AA461" s="145"/>
      <c r="AB461" s="145"/>
      <c r="AC461" s="145"/>
    </row>
    <row r="462" spans="15:29" x14ac:dyDescent="0.2">
      <c r="O462" s="118"/>
      <c r="P462" s="118"/>
      <c r="Q462" s="145"/>
      <c r="R462" s="145"/>
      <c r="S462" s="145"/>
      <c r="T462" s="145"/>
      <c r="U462" s="145"/>
      <c r="V462" s="145"/>
      <c r="W462" s="145"/>
      <c r="X462" s="145"/>
      <c r="Y462" s="145"/>
      <c r="Z462" s="145"/>
      <c r="AA462" s="145"/>
      <c r="AB462" s="145"/>
      <c r="AC462" s="145"/>
    </row>
    <row r="463" spans="15:29" x14ac:dyDescent="0.2">
      <c r="O463" s="118"/>
      <c r="P463" s="118"/>
      <c r="Q463" s="145"/>
      <c r="R463" s="145"/>
      <c r="S463" s="145"/>
      <c r="T463" s="145"/>
      <c r="U463" s="145"/>
      <c r="V463" s="145"/>
      <c r="W463" s="145"/>
      <c r="X463" s="145"/>
      <c r="Y463" s="145"/>
      <c r="Z463" s="145"/>
      <c r="AA463" s="145"/>
      <c r="AB463" s="145"/>
      <c r="AC463" s="145"/>
    </row>
    <row r="464" spans="15:29" x14ac:dyDescent="0.2">
      <c r="O464" s="118"/>
      <c r="P464" s="118"/>
      <c r="Q464" s="145"/>
      <c r="R464" s="145"/>
      <c r="S464" s="145"/>
      <c r="T464" s="145"/>
      <c r="U464" s="145"/>
      <c r="V464" s="145"/>
      <c r="W464" s="145"/>
      <c r="X464" s="145"/>
      <c r="Y464" s="145"/>
      <c r="Z464" s="145"/>
      <c r="AA464" s="145"/>
      <c r="AB464" s="145"/>
      <c r="AC464" s="145"/>
    </row>
    <row r="465" spans="15:29" x14ac:dyDescent="0.2">
      <c r="O465" s="118"/>
      <c r="P465" s="118"/>
      <c r="Q465" s="145"/>
      <c r="R465" s="145"/>
      <c r="S465" s="145"/>
      <c r="T465" s="145"/>
      <c r="U465" s="145"/>
      <c r="V465" s="145"/>
      <c r="W465" s="145"/>
      <c r="X465" s="145"/>
      <c r="Y465" s="145"/>
      <c r="Z465" s="145"/>
      <c r="AA465" s="145"/>
      <c r="AB465" s="145"/>
      <c r="AC465" s="145"/>
    </row>
    <row r="466" spans="15:29" x14ac:dyDescent="0.2">
      <c r="O466" s="118"/>
      <c r="P466" s="118"/>
      <c r="Q466" s="145"/>
      <c r="R466" s="145"/>
      <c r="S466" s="145"/>
      <c r="T466" s="145"/>
      <c r="U466" s="145"/>
      <c r="V466" s="145"/>
      <c r="W466" s="145"/>
      <c r="X466" s="145"/>
      <c r="Y466" s="145"/>
      <c r="Z466" s="145"/>
      <c r="AA466" s="145"/>
      <c r="AB466" s="145"/>
      <c r="AC466" s="145"/>
    </row>
    <row r="467" spans="15:29" x14ac:dyDescent="0.2">
      <c r="O467" s="118"/>
      <c r="P467" s="118"/>
      <c r="Q467" s="145"/>
      <c r="R467" s="145"/>
      <c r="S467" s="145"/>
      <c r="T467" s="145"/>
      <c r="U467" s="145"/>
      <c r="V467" s="145"/>
      <c r="W467" s="145"/>
      <c r="X467" s="145"/>
      <c r="Y467" s="145"/>
      <c r="Z467" s="145"/>
      <c r="AA467" s="145"/>
      <c r="AB467" s="145"/>
      <c r="AC467" s="145"/>
    </row>
    <row r="468" spans="15:29" x14ac:dyDescent="0.2">
      <c r="O468" s="118"/>
      <c r="P468" s="118"/>
      <c r="Q468" s="145"/>
      <c r="R468" s="145"/>
      <c r="S468" s="145"/>
      <c r="T468" s="145"/>
      <c r="U468" s="145"/>
      <c r="V468" s="145"/>
      <c r="W468" s="145"/>
      <c r="X468" s="145"/>
      <c r="Y468" s="145"/>
      <c r="Z468" s="145"/>
      <c r="AA468" s="145"/>
      <c r="AB468" s="145"/>
      <c r="AC468" s="145"/>
    </row>
    <row r="469" spans="15:29" x14ac:dyDescent="0.2">
      <c r="O469" s="118"/>
      <c r="P469" s="118"/>
      <c r="Q469" s="145"/>
      <c r="R469" s="145"/>
      <c r="S469" s="145"/>
      <c r="T469" s="145"/>
      <c r="U469" s="145"/>
      <c r="V469" s="145"/>
      <c r="W469" s="145"/>
      <c r="X469" s="145"/>
      <c r="Y469" s="145"/>
      <c r="Z469" s="145"/>
      <c r="AA469" s="145"/>
      <c r="AB469" s="145"/>
      <c r="AC469" s="145"/>
    </row>
    <row r="470" spans="15:29" x14ac:dyDescent="0.2">
      <c r="O470" s="118"/>
      <c r="P470" s="118"/>
      <c r="Q470" s="145"/>
      <c r="R470" s="145"/>
      <c r="S470" s="145"/>
      <c r="T470" s="145"/>
      <c r="U470" s="145"/>
      <c r="V470" s="145"/>
      <c r="W470" s="145"/>
      <c r="X470" s="145"/>
      <c r="Y470" s="145"/>
      <c r="Z470" s="145"/>
      <c r="AA470" s="145"/>
      <c r="AB470" s="145"/>
      <c r="AC470" s="145"/>
    </row>
    <row r="471" spans="15:29" x14ac:dyDescent="0.2">
      <c r="O471" s="118"/>
      <c r="P471" s="118"/>
      <c r="Q471" s="145"/>
      <c r="R471" s="145"/>
      <c r="S471" s="145"/>
      <c r="T471" s="145"/>
      <c r="U471" s="145"/>
      <c r="V471" s="145"/>
      <c r="W471" s="145"/>
      <c r="X471" s="145"/>
      <c r="Y471" s="145"/>
      <c r="Z471" s="145"/>
      <c r="AA471" s="145"/>
      <c r="AB471" s="145"/>
      <c r="AC471" s="145"/>
    </row>
    <row r="472" spans="15:29" x14ac:dyDescent="0.2">
      <c r="O472" s="118"/>
      <c r="P472" s="118"/>
      <c r="Q472" s="145"/>
      <c r="R472" s="145"/>
      <c r="S472" s="145"/>
      <c r="T472" s="145"/>
      <c r="U472" s="145"/>
      <c r="V472" s="145"/>
      <c r="W472" s="145"/>
      <c r="X472" s="145"/>
      <c r="Y472" s="145"/>
      <c r="Z472" s="145"/>
      <c r="AA472" s="145"/>
      <c r="AB472" s="145"/>
      <c r="AC472" s="145"/>
    </row>
    <row r="473" spans="15:29" x14ac:dyDescent="0.2">
      <c r="O473" s="118"/>
      <c r="P473" s="118"/>
      <c r="Q473" s="145"/>
      <c r="R473" s="145"/>
      <c r="S473" s="145"/>
      <c r="T473" s="145"/>
      <c r="U473" s="145"/>
      <c r="V473" s="145"/>
      <c r="W473" s="145"/>
      <c r="X473" s="145"/>
      <c r="Y473" s="145"/>
      <c r="Z473" s="145"/>
      <c r="AA473" s="145"/>
      <c r="AB473" s="145"/>
      <c r="AC473" s="145"/>
    </row>
    <row r="474" spans="15:29" x14ac:dyDescent="0.2">
      <c r="O474" s="118"/>
      <c r="P474" s="118"/>
      <c r="Q474" s="145"/>
      <c r="R474" s="145"/>
      <c r="S474" s="145"/>
      <c r="T474" s="145"/>
      <c r="U474" s="145"/>
      <c r="V474" s="145"/>
      <c r="W474" s="145"/>
      <c r="X474" s="145"/>
      <c r="Y474" s="145"/>
      <c r="Z474" s="145"/>
      <c r="AA474" s="145"/>
      <c r="AB474" s="145"/>
      <c r="AC474" s="145"/>
    </row>
    <row r="475" spans="15:29" x14ac:dyDescent="0.2">
      <c r="O475" s="118"/>
      <c r="P475" s="118"/>
      <c r="Q475" s="145"/>
      <c r="R475" s="145"/>
      <c r="S475" s="145"/>
      <c r="T475" s="145"/>
      <c r="U475" s="145"/>
      <c r="V475" s="145"/>
      <c r="W475" s="145"/>
      <c r="X475" s="145"/>
      <c r="Y475" s="145"/>
      <c r="Z475" s="145"/>
      <c r="AA475" s="145"/>
      <c r="AB475" s="145"/>
      <c r="AC475" s="145"/>
    </row>
    <row r="476" spans="15:29" x14ac:dyDescent="0.2">
      <c r="O476" s="118"/>
      <c r="P476" s="118"/>
      <c r="Q476" s="145"/>
      <c r="R476" s="145"/>
      <c r="S476" s="145"/>
      <c r="T476" s="145"/>
      <c r="U476" s="145"/>
      <c r="V476" s="145"/>
      <c r="W476" s="145"/>
      <c r="X476" s="145"/>
      <c r="Y476" s="145"/>
      <c r="Z476" s="145"/>
      <c r="AA476" s="145"/>
      <c r="AB476" s="145"/>
      <c r="AC476" s="145"/>
    </row>
    <row r="477" spans="15:29" x14ac:dyDescent="0.2">
      <c r="O477" s="118"/>
      <c r="P477" s="118"/>
      <c r="Q477" s="145"/>
      <c r="R477" s="145"/>
      <c r="S477" s="145"/>
      <c r="T477" s="145"/>
      <c r="U477" s="145"/>
      <c r="V477" s="145"/>
      <c r="W477" s="145"/>
      <c r="X477" s="145"/>
      <c r="Y477" s="145"/>
      <c r="Z477" s="145"/>
      <c r="AA477" s="145"/>
      <c r="AB477" s="145"/>
      <c r="AC477" s="145"/>
    </row>
    <row r="478" spans="15:29" x14ac:dyDescent="0.2">
      <c r="O478" s="118"/>
      <c r="P478" s="118"/>
      <c r="Q478" s="145"/>
      <c r="R478" s="145"/>
      <c r="S478" s="145"/>
      <c r="T478" s="145"/>
      <c r="U478" s="145"/>
      <c r="V478" s="145"/>
      <c r="W478" s="145"/>
      <c r="X478" s="145"/>
      <c r="Y478" s="145"/>
      <c r="Z478" s="145"/>
      <c r="AA478" s="145"/>
      <c r="AB478" s="145"/>
      <c r="AC478" s="145"/>
    </row>
    <row r="479" spans="15:29" x14ac:dyDescent="0.2">
      <c r="O479" s="118"/>
      <c r="P479" s="118"/>
      <c r="Q479" s="145"/>
      <c r="R479" s="145"/>
      <c r="S479" s="145"/>
      <c r="T479" s="145"/>
      <c r="U479" s="145"/>
      <c r="V479" s="145"/>
      <c r="W479" s="145"/>
      <c r="X479" s="145"/>
      <c r="Y479" s="145"/>
      <c r="Z479" s="145"/>
      <c r="AA479" s="145"/>
      <c r="AB479" s="145"/>
      <c r="AC479" s="145"/>
    </row>
    <row r="480" spans="15:29" x14ac:dyDescent="0.2">
      <c r="O480" s="118"/>
      <c r="P480" s="118"/>
      <c r="Q480" s="145"/>
      <c r="R480" s="145"/>
      <c r="S480" s="145"/>
      <c r="T480" s="145"/>
      <c r="U480" s="145"/>
      <c r="V480" s="145"/>
      <c r="W480" s="145"/>
      <c r="X480" s="145"/>
      <c r="Y480" s="145"/>
      <c r="Z480" s="145"/>
      <c r="AA480" s="145"/>
      <c r="AB480" s="145"/>
      <c r="AC480" s="145"/>
    </row>
    <row r="481" spans="15:29" x14ac:dyDescent="0.2">
      <c r="O481" s="118"/>
      <c r="P481" s="118"/>
      <c r="Q481" s="145"/>
      <c r="R481" s="145"/>
      <c r="S481" s="145"/>
      <c r="T481" s="145"/>
      <c r="U481" s="145"/>
      <c r="V481" s="145"/>
      <c r="W481" s="145"/>
      <c r="X481" s="145"/>
      <c r="Y481" s="145"/>
      <c r="Z481" s="145"/>
      <c r="AA481" s="145"/>
      <c r="AB481" s="145"/>
      <c r="AC481" s="145"/>
    </row>
    <row r="482" spans="15:29" x14ac:dyDescent="0.2">
      <c r="O482" s="118"/>
      <c r="P482" s="118"/>
      <c r="Q482" s="145"/>
      <c r="R482" s="145"/>
      <c r="S482" s="145"/>
      <c r="T482" s="145"/>
      <c r="U482" s="145"/>
      <c r="V482" s="145"/>
      <c r="W482" s="145"/>
      <c r="X482" s="145"/>
      <c r="Y482" s="145"/>
      <c r="Z482" s="145"/>
      <c r="AA482" s="145"/>
      <c r="AB482" s="145"/>
      <c r="AC482" s="145"/>
    </row>
    <row r="483" spans="15:29" x14ac:dyDescent="0.2">
      <c r="O483" s="118"/>
      <c r="P483" s="118"/>
      <c r="Q483" s="145"/>
      <c r="R483" s="145"/>
      <c r="S483" s="145"/>
      <c r="T483" s="145"/>
      <c r="U483" s="145"/>
      <c r="V483" s="145"/>
      <c r="W483" s="145"/>
      <c r="X483" s="145"/>
      <c r="Y483" s="145"/>
      <c r="Z483" s="145"/>
      <c r="AA483" s="145"/>
      <c r="AB483" s="145"/>
      <c r="AC483" s="145"/>
    </row>
    <row r="484" spans="15:29" x14ac:dyDescent="0.2">
      <c r="O484" s="118"/>
      <c r="P484" s="118"/>
      <c r="Q484" s="145"/>
      <c r="R484" s="145"/>
      <c r="S484" s="145"/>
      <c r="T484" s="145"/>
      <c r="U484" s="145"/>
      <c r="V484" s="145"/>
      <c r="W484" s="145"/>
      <c r="X484" s="145"/>
      <c r="Y484" s="145"/>
      <c r="Z484" s="145"/>
      <c r="AA484" s="145"/>
      <c r="AB484" s="145"/>
      <c r="AC484" s="145"/>
    </row>
    <row r="485" spans="15:29" x14ac:dyDescent="0.2">
      <c r="O485" s="118"/>
      <c r="P485" s="118"/>
      <c r="Q485" s="145"/>
      <c r="R485" s="145"/>
      <c r="S485" s="145"/>
      <c r="T485" s="145"/>
      <c r="U485" s="145"/>
      <c r="V485" s="145"/>
      <c r="W485" s="145"/>
      <c r="X485" s="145"/>
      <c r="Y485" s="145"/>
      <c r="Z485" s="145"/>
      <c r="AA485" s="145"/>
      <c r="AB485" s="145"/>
      <c r="AC485" s="145"/>
    </row>
    <row r="486" spans="15:29" x14ac:dyDescent="0.2">
      <c r="O486" s="118"/>
      <c r="P486" s="118"/>
      <c r="Q486" s="145"/>
      <c r="R486" s="145"/>
      <c r="S486" s="145"/>
      <c r="T486" s="145"/>
      <c r="U486" s="145"/>
      <c r="V486" s="145"/>
      <c r="W486" s="145"/>
      <c r="X486" s="145"/>
      <c r="Y486" s="145"/>
      <c r="Z486" s="145"/>
      <c r="AA486" s="145"/>
      <c r="AB486" s="145"/>
      <c r="AC486" s="145"/>
    </row>
    <row r="487" spans="15:29" x14ac:dyDescent="0.2">
      <c r="O487" s="118"/>
      <c r="P487" s="118"/>
      <c r="Q487" s="145"/>
      <c r="R487" s="145"/>
      <c r="S487" s="145"/>
      <c r="T487" s="145"/>
      <c r="U487" s="145"/>
      <c r="V487" s="145"/>
      <c r="W487" s="145"/>
      <c r="X487" s="145"/>
      <c r="Y487" s="145"/>
      <c r="Z487" s="145"/>
      <c r="AA487" s="145"/>
      <c r="AB487" s="145"/>
      <c r="AC487" s="145"/>
    </row>
    <row r="488" spans="15:29" x14ac:dyDescent="0.2">
      <c r="O488" s="118"/>
      <c r="P488" s="118"/>
      <c r="Q488" s="145"/>
      <c r="R488" s="145"/>
      <c r="S488" s="145"/>
      <c r="T488" s="145"/>
      <c r="U488" s="145"/>
      <c r="V488" s="145"/>
      <c r="W488" s="145"/>
      <c r="X488" s="145"/>
      <c r="Y488" s="145"/>
      <c r="Z488" s="145"/>
      <c r="AA488" s="145"/>
      <c r="AB488" s="145"/>
      <c r="AC488" s="145"/>
    </row>
    <row r="489" spans="15:29" x14ac:dyDescent="0.2">
      <c r="O489" s="118"/>
      <c r="P489" s="118"/>
      <c r="Q489" s="145"/>
      <c r="R489" s="145"/>
      <c r="S489" s="145"/>
      <c r="T489" s="145"/>
      <c r="U489" s="145"/>
      <c r="V489" s="145"/>
      <c r="W489" s="145"/>
      <c r="X489" s="145"/>
      <c r="Y489" s="145"/>
      <c r="Z489" s="145"/>
      <c r="AA489" s="145"/>
      <c r="AB489" s="145"/>
      <c r="AC489" s="145"/>
    </row>
    <row r="490" spans="15:29" x14ac:dyDescent="0.2">
      <c r="O490" s="118"/>
      <c r="P490" s="118"/>
      <c r="Q490" s="145"/>
      <c r="R490" s="145"/>
      <c r="S490" s="145"/>
      <c r="T490" s="145"/>
      <c r="U490" s="145"/>
      <c r="V490" s="145"/>
      <c r="W490" s="145"/>
      <c r="X490" s="145"/>
      <c r="Y490" s="145"/>
      <c r="Z490" s="145"/>
      <c r="AA490" s="145"/>
      <c r="AB490" s="145"/>
      <c r="AC490" s="145"/>
    </row>
    <row r="491" spans="15:29" x14ac:dyDescent="0.2">
      <c r="O491" s="118"/>
      <c r="P491" s="118"/>
      <c r="Q491" s="145"/>
      <c r="R491" s="145"/>
      <c r="S491" s="145"/>
      <c r="T491" s="145"/>
      <c r="U491" s="145"/>
      <c r="V491" s="145"/>
      <c r="W491" s="145"/>
      <c r="X491" s="145"/>
      <c r="Y491" s="145"/>
      <c r="Z491" s="145"/>
      <c r="AA491" s="145"/>
      <c r="AB491" s="145"/>
      <c r="AC491" s="145"/>
    </row>
    <row r="492" spans="15:29" x14ac:dyDescent="0.2">
      <c r="O492" s="118"/>
      <c r="P492" s="118"/>
      <c r="Q492" s="145"/>
      <c r="R492" s="145"/>
      <c r="S492" s="145"/>
      <c r="T492" s="145"/>
      <c r="U492" s="145"/>
      <c r="V492" s="145"/>
      <c r="W492" s="145"/>
      <c r="X492" s="145"/>
      <c r="Y492" s="145"/>
      <c r="Z492" s="145"/>
      <c r="AA492" s="145"/>
      <c r="AB492" s="145"/>
      <c r="AC492" s="145"/>
    </row>
    <row r="493" spans="15:29" x14ac:dyDescent="0.2">
      <c r="O493" s="118"/>
      <c r="P493" s="118"/>
      <c r="Q493" s="145"/>
      <c r="R493" s="145"/>
      <c r="S493" s="145"/>
      <c r="T493" s="145"/>
      <c r="U493" s="145"/>
      <c r="V493" s="145"/>
      <c r="W493" s="145"/>
      <c r="X493" s="145"/>
      <c r="Y493" s="145"/>
      <c r="Z493" s="145"/>
      <c r="AA493" s="145"/>
      <c r="AB493" s="145"/>
      <c r="AC493" s="145"/>
    </row>
    <row r="494" spans="15:29" x14ac:dyDescent="0.2">
      <c r="O494" s="118"/>
      <c r="P494" s="118"/>
      <c r="Q494" s="145"/>
      <c r="R494" s="145"/>
      <c r="S494" s="145"/>
      <c r="T494" s="145"/>
      <c r="U494" s="145"/>
      <c r="V494" s="145"/>
      <c r="W494" s="145"/>
      <c r="X494" s="145"/>
      <c r="Y494" s="145"/>
      <c r="Z494" s="145"/>
      <c r="AA494" s="145"/>
      <c r="AB494" s="145"/>
      <c r="AC494" s="145"/>
    </row>
    <row r="495" spans="15:29" x14ac:dyDescent="0.2">
      <c r="O495" s="118"/>
      <c r="P495" s="118"/>
      <c r="Q495" s="145"/>
      <c r="R495" s="145"/>
      <c r="S495" s="145"/>
      <c r="T495" s="145"/>
      <c r="U495" s="145"/>
      <c r="V495" s="145"/>
      <c r="W495" s="145"/>
      <c r="X495" s="145"/>
      <c r="Y495" s="145"/>
      <c r="Z495" s="145"/>
      <c r="AA495" s="145"/>
      <c r="AB495" s="145"/>
      <c r="AC495" s="145"/>
    </row>
    <row r="496" spans="15:29" x14ac:dyDescent="0.2">
      <c r="O496" s="118"/>
      <c r="P496" s="118"/>
      <c r="Q496" s="145"/>
      <c r="R496" s="145"/>
      <c r="S496" s="145"/>
      <c r="T496" s="145"/>
      <c r="U496" s="145"/>
      <c r="V496" s="145"/>
      <c r="W496" s="145"/>
      <c r="X496" s="145"/>
      <c r="Y496" s="145"/>
      <c r="Z496" s="145"/>
      <c r="AA496" s="145"/>
      <c r="AB496" s="145"/>
      <c r="AC496" s="145"/>
    </row>
    <row r="497" spans="15:29" x14ac:dyDescent="0.2">
      <c r="O497" s="118"/>
      <c r="P497" s="118"/>
      <c r="Q497" s="145"/>
      <c r="R497" s="145"/>
      <c r="S497" s="145"/>
      <c r="T497" s="145"/>
      <c r="U497" s="145"/>
      <c r="V497" s="145"/>
      <c r="W497" s="145"/>
      <c r="X497" s="145"/>
      <c r="Y497" s="145"/>
      <c r="Z497" s="145"/>
      <c r="AA497" s="145"/>
      <c r="AB497" s="145"/>
      <c r="AC497" s="145"/>
    </row>
    <row r="498" spans="15:29" x14ac:dyDescent="0.2">
      <c r="O498" s="118"/>
      <c r="P498" s="118"/>
      <c r="Q498" s="145"/>
      <c r="R498" s="145"/>
      <c r="S498" s="145"/>
      <c r="T498" s="145"/>
      <c r="U498" s="145"/>
      <c r="V498" s="145"/>
      <c r="W498" s="145"/>
      <c r="X498" s="145"/>
      <c r="Y498" s="145"/>
      <c r="Z498" s="145"/>
      <c r="AA498" s="145"/>
      <c r="AB498" s="145"/>
      <c r="AC498" s="145"/>
    </row>
    <row r="499" spans="15:29" x14ac:dyDescent="0.2">
      <c r="O499" s="118"/>
      <c r="P499" s="118"/>
      <c r="Q499" s="145"/>
      <c r="R499" s="145"/>
      <c r="S499" s="145"/>
      <c r="T499" s="145"/>
      <c r="U499" s="145"/>
      <c r="V499" s="145"/>
      <c r="W499" s="145"/>
      <c r="X499" s="145"/>
      <c r="Y499" s="145"/>
      <c r="Z499" s="145"/>
      <c r="AA499" s="145"/>
      <c r="AB499" s="145"/>
      <c r="AC499" s="145"/>
    </row>
    <row r="500" spans="15:29" x14ac:dyDescent="0.2">
      <c r="O500" s="118"/>
      <c r="P500" s="118"/>
      <c r="Q500" s="145"/>
      <c r="R500" s="145"/>
      <c r="S500" s="145"/>
      <c r="T500" s="145"/>
      <c r="U500" s="145"/>
      <c r="V500" s="145"/>
      <c r="W500" s="145"/>
      <c r="X500" s="145"/>
      <c r="Y500" s="145"/>
      <c r="Z500" s="145"/>
      <c r="AA500" s="145"/>
      <c r="AB500" s="145"/>
      <c r="AC500" s="14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C00000"/>
  </sheetPr>
  <dimension ref="A1:AZ500"/>
  <sheetViews>
    <sheetView showGridLines="0" topLeftCell="A7" workbookViewId="0">
      <selection activeCell="H37" sqref="H37"/>
    </sheetView>
  </sheetViews>
  <sheetFormatPr defaultColWidth="9.33203125" defaultRowHeight="12" x14ac:dyDescent="0.2"/>
  <cols>
    <col min="1" max="1" width="3.1640625" customWidth="1"/>
    <col min="2" max="2" width="24.5" customWidth="1"/>
    <col min="4" max="4" width="9.6640625" bestFit="1" customWidth="1"/>
    <col min="5" max="5" width="14.1640625" style="86" customWidth="1"/>
    <col min="6" max="6" width="3.1640625" customWidth="1"/>
    <col min="7" max="7" width="10.1640625" customWidth="1"/>
    <col min="8" max="8" width="13" customWidth="1"/>
    <col min="9" max="24" width="10.1640625" customWidth="1"/>
    <col min="25" max="42" width="11.6640625" style="1" customWidth="1"/>
    <col min="43" max="47" width="21.33203125" style="1" customWidth="1"/>
    <col min="48" max="52" width="9.1640625" style="1"/>
  </cols>
  <sheetData>
    <row r="1" spans="1:47" x14ac:dyDescent="0.2">
      <c r="Y1" s="13" t="s">
        <v>124</v>
      </c>
    </row>
    <row r="2" spans="1:47" x14ac:dyDescent="0.2">
      <c r="Y2" s="100"/>
      <c r="Z2" s="101" t="s">
        <v>155</v>
      </c>
      <c r="AA2" s="101"/>
      <c r="AB2" s="167"/>
      <c r="AC2" s="146"/>
      <c r="AD2" s="174"/>
      <c r="AE2" s="174"/>
      <c r="AF2" s="175"/>
      <c r="AG2" s="178"/>
      <c r="AH2" s="174"/>
      <c r="AI2" s="174"/>
      <c r="AJ2" s="175"/>
      <c r="AK2" s="100"/>
      <c r="AL2" s="101"/>
      <c r="AM2" s="101"/>
      <c r="AN2" s="101"/>
      <c r="AO2" s="101"/>
      <c r="AP2" s="102"/>
      <c r="AQ2" s="100"/>
      <c r="AR2" s="101"/>
      <c r="AS2" s="101"/>
      <c r="AT2" s="101"/>
      <c r="AU2" s="102"/>
    </row>
    <row r="3" spans="1:47" x14ac:dyDescent="0.2">
      <c r="Y3" s="103"/>
      <c r="Z3" s="51" t="s">
        <v>156</v>
      </c>
      <c r="AA3" s="51"/>
      <c r="AB3" s="168"/>
      <c r="AC3" s="147" t="s">
        <v>132</v>
      </c>
      <c r="AD3" s="176" t="s">
        <v>132</v>
      </c>
      <c r="AE3" s="176" t="s">
        <v>132</v>
      </c>
      <c r="AF3" s="177" t="s">
        <v>132</v>
      </c>
      <c r="AG3" s="179" t="s">
        <v>132</v>
      </c>
      <c r="AH3" s="176" t="s">
        <v>132</v>
      </c>
      <c r="AI3" s="176" t="s">
        <v>132</v>
      </c>
      <c r="AJ3" s="177" t="s">
        <v>132</v>
      </c>
      <c r="AK3" s="103"/>
      <c r="AL3" s="51"/>
      <c r="AM3" s="51"/>
      <c r="AN3" s="51"/>
      <c r="AO3" s="51"/>
      <c r="AP3" s="104"/>
      <c r="AQ3" s="182"/>
      <c r="AR3" s="51"/>
      <c r="AS3" s="51"/>
      <c r="AT3" s="51"/>
      <c r="AU3" s="104"/>
    </row>
    <row r="4" spans="1:47" x14ac:dyDescent="0.2">
      <c r="A4" s="111" t="s">
        <v>115</v>
      </c>
      <c r="B4" s="111"/>
      <c r="C4" s="111"/>
      <c r="D4" s="111"/>
      <c r="E4" s="113"/>
      <c r="Y4" s="103" t="s">
        <v>54</v>
      </c>
      <c r="Z4" s="51" t="s">
        <v>157</v>
      </c>
      <c r="AA4" s="51"/>
      <c r="AB4" s="104" t="s">
        <v>131</v>
      </c>
      <c r="AC4" s="147" t="s">
        <v>131</v>
      </c>
      <c r="AD4" s="176"/>
      <c r="AE4" s="176"/>
      <c r="AF4" s="177" t="s">
        <v>139</v>
      </c>
      <c r="AG4" s="181"/>
      <c r="AH4" s="176" t="s">
        <v>158</v>
      </c>
      <c r="AI4" s="176"/>
      <c r="AJ4" s="177" t="s">
        <v>138</v>
      </c>
      <c r="AK4" s="103" t="s">
        <v>133</v>
      </c>
      <c r="AL4" s="51" t="s">
        <v>134</v>
      </c>
      <c r="AM4" s="51" t="s">
        <v>137</v>
      </c>
      <c r="AN4" s="51" t="s">
        <v>138</v>
      </c>
      <c r="AO4" s="51" t="s">
        <v>136</v>
      </c>
      <c r="AP4" s="104" t="s">
        <v>139</v>
      </c>
      <c r="AQ4" s="169" t="s">
        <v>140</v>
      </c>
      <c r="AR4" s="1" t="s">
        <v>142</v>
      </c>
      <c r="AS4" s="1" t="s">
        <v>142</v>
      </c>
      <c r="AT4" s="1" t="s">
        <v>145</v>
      </c>
      <c r="AU4" s="170" t="s">
        <v>147</v>
      </c>
    </row>
    <row r="5" spans="1:47" x14ac:dyDescent="0.2">
      <c r="B5" t="s">
        <v>116</v>
      </c>
      <c r="C5" t="s">
        <v>66</v>
      </c>
      <c r="D5" s="28">
        <v>0</v>
      </c>
      <c r="O5" s="109"/>
      <c r="P5" s="1"/>
      <c r="T5" s="93"/>
      <c r="U5" s="93"/>
      <c r="V5" s="92"/>
      <c r="X5" s="93"/>
      <c r="Y5" s="103" t="s">
        <v>16</v>
      </c>
      <c r="Z5" s="51" t="s">
        <v>58</v>
      </c>
      <c r="AA5" s="51" t="s">
        <v>129</v>
      </c>
      <c r="AB5" s="104" t="s">
        <v>130</v>
      </c>
      <c r="AC5" s="147" t="s">
        <v>130</v>
      </c>
      <c r="AD5" s="176" t="s">
        <v>133</v>
      </c>
      <c r="AE5" s="176" t="s">
        <v>136</v>
      </c>
      <c r="AF5" s="177" t="s">
        <v>130</v>
      </c>
      <c r="AG5" s="181" t="s">
        <v>133</v>
      </c>
      <c r="AH5" s="176" t="s">
        <v>159</v>
      </c>
      <c r="AI5" s="176" t="s">
        <v>135</v>
      </c>
      <c r="AJ5" s="177" t="s">
        <v>130</v>
      </c>
      <c r="AK5" s="103" t="s">
        <v>130</v>
      </c>
      <c r="AL5" s="51" t="s">
        <v>130</v>
      </c>
      <c r="AM5" s="51" t="s">
        <v>130</v>
      </c>
      <c r="AN5" s="51" t="s">
        <v>130</v>
      </c>
      <c r="AO5" s="51" t="s">
        <v>130</v>
      </c>
      <c r="AP5" s="104" t="s">
        <v>130</v>
      </c>
      <c r="AQ5" s="169" t="s">
        <v>141</v>
      </c>
      <c r="AR5" s="1" t="s">
        <v>143</v>
      </c>
      <c r="AS5" s="1" t="s">
        <v>144</v>
      </c>
      <c r="AT5" s="1" t="s">
        <v>146</v>
      </c>
      <c r="AU5" s="170" t="s">
        <v>146</v>
      </c>
    </row>
    <row r="6" spans="1:47" x14ac:dyDescent="0.2">
      <c r="B6" t="s">
        <v>117</v>
      </c>
      <c r="C6" t="s">
        <v>66</v>
      </c>
      <c r="D6" t="s">
        <v>525</v>
      </c>
      <c r="O6" s="1"/>
      <c r="P6" s="1"/>
      <c r="T6" s="93"/>
      <c r="U6" s="93"/>
      <c r="V6" s="92"/>
      <c r="X6" s="93"/>
      <c r="Y6" s="115" t="s">
        <v>125</v>
      </c>
      <c r="Z6" s="114" t="s">
        <v>67</v>
      </c>
      <c r="AA6" s="114" t="s">
        <v>33</v>
      </c>
      <c r="AB6" s="171"/>
      <c r="AC6" s="148" t="s">
        <v>45</v>
      </c>
      <c r="AD6" s="172" t="s">
        <v>45</v>
      </c>
      <c r="AE6" s="172" t="s">
        <v>45</v>
      </c>
      <c r="AF6" s="173" t="s">
        <v>45</v>
      </c>
      <c r="AG6" s="180" t="s">
        <v>45</v>
      </c>
      <c r="AH6" s="172" t="s">
        <v>45</v>
      </c>
      <c r="AI6" s="172" t="s">
        <v>45</v>
      </c>
      <c r="AJ6" s="173" t="s">
        <v>45</v>
      </c>
      <c r="AK6" s="115"/>
      <c r="AL6" s="114"/>
      <c r="AM6" s="114"/>
      <c r="AN6" s="114"/>
      <c r="AO6" s="114"/>
      <c r="AP6" s="116"/>
      <c r="AQ6" s="115" t="s">
        <v>126</v>
      </c>
      <c r="AR6" s="114" t="s">
        <v>127</v>
      </c>
      <c r="AS6" s="114" t="s">
        <v>128</v>
      </c>
      <c r="AT6" s="114" t="s">
        <v>127</v>
      </c>
      <c r="AU6" s="116" t="s">
        <v>128</v>
      </c>
    </row>
    <row r="7" spans="1:47" x14ac:dyDescent="0.2">
      <c r="O7" s="1"/>
      <c r="P7" s="1"/>
      <c r="T7" s="93"/>
      <c r="U7" s="93"/>
      <c r="V7" s="92"/>
      <c r="X7" s="93"/>
      <c r="Y7" s="118">
        <v>1.0000000000000001E-5</v>
      </c>
      <c r="Z7" s="118">
        <v>2520</v>
      </c>
      <c r="AA7" s="118">
        <v>220</v>
      </c>
      <c r="AB7" s="118">
        <v>37</v>
      </c>
      <c r="AC7" s="155"/>
      <c r="AD7" s="149"/>
      <c r="AE7" s="149"/>
      <c r="AF7" s="150"/>
      <c r="AG7" s="164"/>
      <c r="AH7" s="159"/>
      <c r="AI7" s="159"/>
      <c r="AJ7" s="160"/>
      <c r="AK7" s="118">
        <v>37</v>
      </c>
      <c r="AL7" s="118"/>
      <c r="AM7" s="118"/>
      <c r="AN7" s="118"/>
      <c r="AO7" s="118"/>
      <c r="AP7" s="117"/>
      <c r="AQ7" s="117"/>
      <c r="AR7" s="117"/>
      <c r="AS7" s="117"/>
      <c r="AT7" s="117">
        <v>8.6609300000000004E-5</v>
      </c>
      <c r="AU7" s="117"/>
    </row>
    <row r="8" spans="1:47" x14ac:dyDescent="0.2">
      <c r="A8" s="111" t="s">
        <v>118</v>
      </c>
      <c r="B8" s="111"/>
      <c r="C8" s="111"/>
      <c r="D8" s="111"/>
      <c r="E8" s="113"/>
      <c r="O8" s="1"/>
      <c r="P8" s="1"/>
      <c r="T8" s="93"/>
      <c r="U8" s="93"/>
      <c r="V8" s="92"/>
      <c r="X8" s="93"/>
      <c r="Y8" s="118">
        <v>1.35639</v>
      </c>
      <c r="Z8" s="118">
        <v>2447.29</v>
      </c>
      <c r="AA8" s="118">
        <v>219.18</v>
      </c>
      <c r="AB8" s="118">
        <v>37</v>
      </c>
      <c r="AC8" s="156">
        <v>60.882300000000001</v>
      </c>
      <c r="AD8" s="151"/>
      <c r="AE8" s="151"/>
      <c r="AF8" s="152"/>
      <c r="AG8" s="165"/>
      <c r="AH8" s="158"/>
      <c r="AI8" s="158"/>
      <c r="AJ8" s="161"/>
      <c r="AK8" s="118">
        <v>37</v>
      </c>
      <c r="AL8" s="118"/>
      <c r="AM8" s="118"/>
      <c r="AN8" s="118"/>
      <c r="AO8" s="118"/>
      <c r="AP8" s="117"/>
      <c r="AQ8" s="117"/>
      <c r="AR8" s="117"/>
      <c r="AS8" s="117"/>
      <c r="AT8" s="117">
        <v>8.6603700000000006E-5</v>
      </c>
      <c r="AU8" s="117"/>
    </row>
    <row r="9" spans="1:47" x14ac:dyDescent="0.2">
      <c r="B9" t="s">
        <v>10</v>
      </c>
      <c r="C9" t="s">
        <v>66</v>
      </c>
      <c r="D9" s="28">
        <v>0</v>
      </c>
      <c r="O9" s="1"/>
      <c r="P9" s="1"/>
      <c r="T9" s="93"/>
      <c r="U9" s="93"/>
      <c r="V9" s="92"/>
      <c r="X9" s="93"/>
      <c r="Y9" s="118">
        <v>2.7127599999999998</v>
      </c>
      <c r="Z9" s="118">
        <v>2370.86</v>
      </c>
      <c r="AA9" s="118">
        <v>218.30500000000001</v>
      </c>
      <c r="AB9" s="118">
        <v>37</v>
      </c>
      <c r="AC9" s="156">
        <v>123.70399999999999</v>
      </c>
      <c r="AD9" s="151"/>
      <c r="AE9" s="151"/>
      <c r="AF9" s="152"/>
      <c r="AG9" s="165"/>
      <c r="AH9" s="158"/>
      <c r="AI9" s="158"/>
      <c r="AJ9" s="161"/>
      <c r="AK9" s="118">
        <v>37</v>
      </c>
      <c r="AL9" s="118"/>
      <c r="AM9" s="118"/>
      <c r="AN9" s="118"/>
      <c r="AO9" s="118"/>
      <c r="AP9" s="117"/>
      <c r="AQ9" s="117"/>
      <c r="AR9" s="117"/>
      <c r="AS9" s="117"/>
      <c r="AT9" s="117">
        <v>8.6596300000000003E-5</v>
      </c>
      <c r="AU9" s="117"/>
    </row>
    <row r="10" spans="1:47" x14ac:dyDescent="0.2">
      <c r="B10" t="s">
        <v>119</v>
      </c>
      <c r="C10" t="s">
        <v>66</v>
      </c>
      <c r="D10" t="s">
        <v>526</v>
      </c>
      <c r="O10" s="1"/>
      <c r="P10" s="1"/>
      <c r="T10" s="93"/>
      <c r="U10" s="93"/>
      <c r="V10" s="92"/>
      <c r="X10" s="93"/>
      <c r="Y10" s="118">
        <v>4.06914</v>
      </c>
      <c r="Z10" s="118">
        <v>2292.35</v>
      </c>
      <c r="AA10" s="118">
        <v>217.393</v>
      </c>
      <c r="AB10" s="118">
        <v>37</v>
      </c>
      <c r="AC10" s="156">
        <v>188.07599999999999</v>
      </c>
      <c r="AD10" s="151"/>
      <c r="AE10" s="151"/>
      <c r="AF10" s="152"/>
      <c r="AG10" s="165"/>
      <c r="AH10" s="158"/>
      <c r="AI10" s="158"/>
      <c r="AJ10" s="161"/>
      <c r="AK10" s="118">
        <v>37</v>
      </c>
      <c r="AL10" s="118"/>
      <c r="AM10" s="118"/>
      <c r="AN10" s="118"/>
      <c r="AO10" s="118"/>
      <c r="AP10" s="117"/>
      <c r="AQ10" s="117"/>
      <c r="AR10" s="117"/>
      <c r="AS10" s="117"/>
      <c r="AT10" s="117">
        <v>8.6588600000000006E-5</v>
      </c>
      <c r="AU10" s="117"/>
    </row>
    <row r="11" spans="1:47" x14ac:dyDescent="0.2">
      <c r="B11" t="s">
        <v>260</v>
      </c>
      <c r="C11" t="s">
        <v>66</v>
      </c>
      <c r="D11" s="279">
        <v>37</v>
      </c>
      <c r="O11" s="1"/>
      <c r="P11" s="1"/>
      <c r="T11" s="93"/>
      <c r="U11" s="93"/>
      <c r="V11" s="92"/>
      <c r="X11" s="93"/>
      <c r="Y11" s="118">
        <v>5.4255199999999997</v>
      </c>
      <c r="Z11" s="118">
        <v>2213.19</v>
      </c>
      <c r="AA11" s="118">
        <v>216.459</v>
      </c>
      <c r="AB11" s="118">
        <v>37</v>
      </c>
      <c r="AC11" s="156">
        <v>253.83500000000001</v>
      </c>
      <c r="AD11" s="151"/>
      <c r="AE11" s="151"/>
      <c r="AF11" s="152"/>
      <c r="AG11" s="165"/>
      <c r="AH11" s="158"/>
      <c r="AI11" s="158"/>
      <c r="AJ11" s="161"/>
      <c r="AK11" s="118">
        <v>37</v>
      </c>
      <c r="AL11" s="118"/>
      <c r="AM11" s="118"/>
      <c r="AN11" s="118"/>
      <c r="AO11" s="118"/>
      <c r="AP11" s="117"/>
      <c r="AQ11" s="117"/>
      <c r="AR11" s="117"/>
      <c r="AS11" s="117"/>
      <c r="AT11" s="117">
        <v>8.6581899999999999E-5</v>
      </c>
      <c r="AU11" s="117"/>
    </row>
    <row r="12" spans="1:47" x14ac:dyDescent="0.2">
      <c r="A12" s="111" t="s">
        <v>120</v>
      </c>
      <c r="B12" s="111"/>
      <c r="C12" s="111"/>
      <c r="D12" s="111"/>
      <c r="E12" s="113"/>
      <c r="O12" s="1"/>
      <c r="P12" s="1"/>
      <c r="T12" s="93"/>
      <c r="U12" s="93"/>
      <c r="V12" s="92"/>
      <c r="X12" s="93"/>
      <c r="Y12" s="118">
        <v>6.7818899999999998</v>
      </c>
      <c r="Z12" s="118">
        <v>2130.83</v>
      </c>
      <c r="AA12" s="118">
        <v>215.47</v>
      </c>
      <c r="AB12" s="118">
        <v>37</v>
      </c>
      <c r="AC12" s="156">
        <v>322.68099999999998</v>
      </c>
      <c r="AD12" s="151"/>
      <c r="AE12" s="151"/>
      <c r="AF12" s="152"/>
      <c r="AG12" s="165"/>
      <c r="AH12" s="158"/>
      <c r="AI12" s="158"/>
      <c r="AJ12" s="161"/>
      <c r="AK12" s="118">
        <v>37</v>
      </c>
      <c r="AL12" s="118"/>
      <c r="AM12" s="118"/>
      <c r="AN12" s="118"/>
      <c r="AO12" s="118"/>
      <c r="AP12" s="117"/>
      <c r="AQ12" s="117"/>
      <c r="AR12" s="117"/>
      <c r="AS12" s="117"/>
      <c r="AT12" s="117">
        <v>8.6575299999999998E-5</v>
      </c>
      <c r="AU12" s="117"/>
    </row>
    <row r="13" spans="1:47" x14ac:dyDescent="0.2">
      <c r="B13" t="s">
        <v>73</v>
      </c>
      <c r="C13" t="s">
        <v>66</v>
      </c>
      <c r="D13" s="112">
        <v>2520</v>
      </c>
      <c r="E13" s="277" t="s">
        <v>67</v>
      </c>
      <c r="O13" s="1"/>
      <c r="P13" s="1"/>
      <c r="T13" s="93"/>
      <c r="U13" s="93"/>
      <c r="V13" s="92"/>
      <c r="X13" s="93"/>
      <c r="Y13" s="118">
        <v>8.1382700000000003</v>
      </c>
      <c r="Z13" s="118">
        <v>2047.28</v>
      </c>
      <c r="AA13" s="118">
        <v>214.44800000000001</v>
      </c>
      <c r="AB13" s="118">
        <v>37</v>
      </c>
      <c r="AC13" s="156">
        <v>391.351</v>
      </c>
      <c r="AD13" s="151"/>
      <c r="AE13" s="151"/>
      <c r="AF13" s="152"/>
      <c r="AG13" s="165"/>
      <c r="AH13" s="158"/>
      <c r="AI13" s="158"/>
      <c r="AJ13" s="161"/>
      <c r="AK13" s="118">
        <v>37</v>
      </c>
      <c r="AL13" s="118"/>
      <c r="AM13" s="118"/>
      <c r="AN13" s="118"/>
      <c r="AO13" s="118"/>
      <c r="AP13" s="117"/>
      <c r="AQ13" s="117"/>
      <c r="AR13" s="117"/>
      <c r="AS13" s="117"/>
      <c r="AT13" s="117">
        <v>8.6567499999999994E-5</v>
      </c>
      <c r="AU13" s="117"/>
    </row>
    <row r="14" spans="1:47" x14ac:dyDescent="0.2">
      <c r="B14" t="s">
        <v>72</v>
      </c>
      <c r="C14" t="s">
        <v>66</v>
      </c>
      <c r="D14" s="112">
        <v>220</v>
      </c>
      <c r="E14" s="277" t="s">
        <v>33</v>
      </c>
      <c r="O14" s="1"/>
      <c r="P14" s="1"/>
      <c r="T14" s="93"/>
      <c r="U14" s="93"/>
      <c r="V14" s="92"/>
      <c r="X14" s="93"/>
      <c r="Y14" s="118">
        <v>9.4946400000000004</v>
      </c>
      <c r="Z14" s="118">
        <v>1961.22</v>
      </c>
      <c r="AA14" s="118">
        <v>213.375</v>
      </c>
      <c r="AB14" s="118">
        <v>37</v>
      </c>
      <c r="AC14" s="156">
        <v>463.45699999999999</v>
      </c>
      <c r="AD14" s="151"/>
      <c r="AE14" s="151"/>
      <c r="AF14" s="152"/>
      <c r="AG14" s="165"/>
      <c r="AH14" s="158"/>
      <c r="AI14" s="158"/>
      <c r="AJ14" s="161"/>
      <c r="AK14" s="118">
        <v>37</v>
      </c>
      <c r="AL14" s="118"/>
      <c r="AM14" s="118"/>
      <c r="AN14" s="118"/>
      <c r="AO14" s="118"/>
      <c r="AP14" s="117"/>
      <c r="AQ14" s="117"/>
      <c r="AR14" s="117"/>
      <c r="AS14" s="117"/>
      <c r="AT14" s="117">
        <v>8.6560900000000007E-5</v>
      </c>
      <c r="AU14" s="117"/>
    </row>
    <row r="15" spans="1:47" x14ac:dyDescent="0.2">
      <c r="D15" s="112"/>
      <c r="E15" s="277"/>
      <c r="O15" s="1"/>
      <c r="P15" s="1"/>
      <c r="T15" s="93"/>
      <c r="U15" s="93"/>
      <c r="V15" s="92"/>
      <c r="X15" s="93"/>
      <c r="Y15" s="118">
        <v>10.851000000000001</v>
      </c>
      <c r="Z15" s="118">
        <v>1872.3</v>
      </c>
      <c r="AA15" s="118">
        <v>212.24299999999999</v>
      </c>
      <c r="AB15" s="118">
        <v>37</v>
      </c>
      <c r="AC15" s="156">
        <v>538.31899999999996</v>
      </c>
      <c r="AD15" s="151"/>
      <c r="AE15" s="151"/>
      <c r="AF15" s="152"/>
      <c r="AG15" s="165"/>
      <c r="AH15" s="158"/>
      <c r="AI15" s="158"/>
      <c r="AJ15" s="161"/>
      <c r="AK15" s="118">
        <v>37</v>
      </c>
      <c r="AL15" s="118"/>
      <c r="AM15" s="118"/>
      <c r="AN15" s="118"/>
      <c r="AO15" s="118"/>
      <c r="AP15" s="117"/>
      <c r="AQ15" s="117"/>
      <c r="AR15" s="117"/>
      <c r="AS15" s="117"/>
      <c r="AT15" s="117">
        <v>8.6554399999999999E-5</v>
      </c>
      <c r="AU15" s="117"/>
    </row>
    <row r="16" spans="1:47" x14ac:dyDescent="0.2">
      <c r="B16" t="s">
        <v>51</v>
      </c>
      <c r="C16" t="s">
        <v>66</v>
      </c>
      <c r="D16" s="112">
        <v>33.119998932000001</v>
      </c>
      <c r="E16" s="277" t="s">
        <v>75</v>
      </c>
      <c r="O16" s="1"/>
      <c r="P16" s="1"/>
      <c r="T16" s="93"/>
      <c r="U16" s="93"/>
      <c r="V16" s="92"/>
      <c r="X16" s="93"/>
      <c r="Y16" s="118">
        <v>12.2074</v>
      </c>
      <c r="Z16" s="118">
        <v>1779.15</v>
      </c>
      <c r="AA16" s="118">
        <v>211.029</v>
      </c>
      <c r="AB16" s="118">
        <v>37</v>
      </c>
      <c r="AC16" s="156">
        <v>617.28499999999997</v>
      </c>
      <c r="AD16" s="151"/>
      <c r="AE16" s="151"/>
      <c r="AF16" s="152"/>
      <c r="AG16" s="165"/>
      <c r="AH16" s="158"/>
      <c r="AI16" s="158"/>
      <c r="AJ16" s="161"/>
      <c r="AK16" s="118">
        <v>37</v>
      </c>
      <c r="AL16" s="118"/>
      <c r="AM16" s="118"/>
      <c r="AN16" s="118"/>
      <c r="AO16" s="118"/>
      <c r="AP16" s="117"/>
      <c r="AQ16" s="117"/>
      <c r="AR16" s="117"/>
      <c r="AS16" s="117"/>
      <c r="AT16" s="117">
        <v>8.6548100000000006E-5</v>
      </c>
      <c r="AU16" s="117"/>
    </row>
    <row r="17" spans="1:47" x14ac:dyDescent="0.2">
      <c r="B17" t="s">
        <v>53</v>
      </c>
      <c r="C17" t="s">
        <v>66</v>
      </c>
      <c r="D17" s="112">
        <v>0</v>
      </c>
      <c r="E17" s="277" t="s">
        <v>75</v>
      </c>
      <c r="O17" s="1"/>
      <c r="P17" s="1"/>
      <c r="T17" s="93"/>
      <c r="U17" s="93"/>
      <c r="V17" s="92"/>
      <c r="X17" s="93"/>
      <c r="Y17" s="118">
        <v>13.563800000000001</v>
      </c>
      <c r="Z17" s="118">
        <v>1682.96</v>
      </c>
      <c r="AA17" s="118">
        <v>209.74299999999999</v>
      </c>
      <c r="AB17" s="118">
        <v>37</v>
      </c>
      <c r="AC17" s="156">
        <v>699.17899999999997</v>
      </c>
      <c r="AD17" s="151"/>
      <c r="AE17" s="151"/>
      <c r="AF17" s="152"/>
      <c r="AG17" s="165"/>
      <c r="AH17" s="158"/>
      <c r="AI17" s="158"/>
      <c r="AJ17" s="161"/>
      <c r="AK17" s="118">
        <v>37</v>
      </c>
      <c r="AL17" s="118"/>
      <c r="AM17" s="118"/>
      <c r="AN17" s="118"/>
      <c r="AO17" s="118"/>
      <c r="AP17" s="117"/>
      <c r="AQ17" s="117"/>
      <c r="AR17" s="117"/>
      <c r="AS17" s="117"/>
      <c r="AT17" s="117">
        <v>8.6541799999999999E-5</v>
      </c>
      <c r="AU17" s="117"/>
    </row>
    <row r="18" spans="1:47" x14ac:dyDescent="0.2">
      <c r="E18" s="277"/>
      <c r="O18" s="1"/>
      <c r="P18" s="1"/>
      <c r="T18" s="93"/>
      <c r="U18" s="93"/>
      <c r="V18" s="92"/>
      <c r="X18" s="93"/>
      <c r="Y18" s="118">
        <v>14.920199999999999</v>
      </c>
      <c r="Z18" s="118">
        <v>1582.15</v>
      </c>
      <c r="AA18" s="118">
        <v>208.358</v>
      </c>
      <c r="AB18" s="118">
        <v>37</v>
      </c>
      <c r="AC18" s="156">
        <v>785.56700000000001</v>
      </c>
      <c r="AD18" s="151"/>
      <c r="AE18" s="151"/>
      <c r="AF18" s="152"/>
      <c r="AG18" s="165"/>
      <c r="AH18" s="158"/>
      <c r="AI18" s="158"/>
      <c r="AJ18" s="161"/>
      <c r="AK18" s="118">
        <v>37</v>
      </c>
      <c r="AL18" s="118"/>
      <c r="AM18" s="118"/>
      <c r="AN18" s="118"/>
      <c r="AO18" s="118"/>
      <c r="AP18" s="117"/>
      <c r="AQ18" s="117"/>
      <c r="AR18" s="117"/>
      <c r="AS18" s="117"/>
      <c r="AT18" s="117">
        <v>8.6535700000000006E-5</v>
      </c>
      <c r="AU18" s="117"/>
    </row>
    <row r="19" spans="1:47" x14ac:dyDescent="0.2">
      <c r="A19" s="111" t="s">
        <v>121</v>
      </c>
      <c r="B19" s="111"/>
      <c r="C19" s="111"/>
      <c r="D19" s="111"/>
      <c r="E19" s="278"/>
      <c r="O19" s="1"/>
      <c r="P19" s="1"/>
      <c r="T19" s="93"/>
      <c r="U19" s="93"/>
      <c r="V19" s="92"/>
      <c r="X19" s="93"/>
      <c r="Y19" s="118">
        <v>16.276499999999999</v>
      </c>
      <c r="Z19" s="118">
        <v>1475.76</v>
      </c>
      <c r="AA19" s="118">
        <v>206.851</v>
      </c>
      <c r="AB19" s="118">
        <v>37</v>
      </c>
      <c r="AC19" s="156">
        <v>876.19399999999996</v>
      </c>
      <c r="AD19" s="151"/>
      <c r="AE19" s="151"/>
      <c r="AF19" s="152"/>
      <c r="AG19" s="165"/>
      <c r="AH19" s="158"/>
      <c r="AI19" s="158"/>
      <c r="AJ19" s="161"/>
      <c r="AK19" s="118">
        <v>37</v>
      </c>
      <c r="AL19" s="118"/>
      <c r="AM19" s="118"/>
      <c r="AN19" s="118"/>
      <c r="AO19" s="118"/>
      <c r="AP19" s="117"/>
      <c r="AQ19" s="117"/>
      <c r="AR19" s="117"/>
      <c r="AS19" s="117"/>
      <c r="AT19" s="117">
        <v>8.6528700000000004E-5</v>
      </c>
      <c r="AU19" s="117"/>
    </row>
    <row r="20" spans="1:47" x14ac:dyDescent="0.2">
      <c r="B20" t="s">
        <v>122</v>
      </c>
      <c r="C20" t="s">
        <v>66</v>
      </c>
      <c r="D20" s="212">
        <v>25.771148682</v>
      </c>
      <c r="E20" s="277" t="s">
        <v>125</v>
      </c>
      <c r="O20" s="1"/>
      <c r="P20" s="1"/>
      <c r="T20" s="93"/>
      <c r="U20" s="93"/>
      <c r="V20" s="92"/>
      <c r="X20" s="93"/>
      <c r="Y20" s="118">
        <v>17.632899999999999</v>
      </c>
      <c r="Z20" s="118">
        <v>1362.44</v>
      </c>
      <c r="AA20" s="118">
        <v>205.18700000000001</v>
      </c>
      <c r="AB20" s="118">
        <v>37</v>
      </c>
      <c r="AC20" s="156">
        <v>974.745</v>
      </c>
      <c r="AD20" s="151"/>
      <c r="AE20" s="151"/>
      <c r="AF20" s="152"/>
      <c r="AG20" s="165"/>
      <c r="AH20" s="158"/>
      <c r="AI20" s="158"/>
      <c r="AJ20" s="161"/>
      <c r="AK20" s="118">
        <v>37</v>
      </c>
      <c r="AL20" s="118"/>
      <c r="AM20" s="118"/>
      <c r="AN20" s="118"/>
      <c r="AO20" s="118"/>
      <c r="AP20" s="117"/>
      <c r="AQ20" s="117"/>
      <c r="AR20" s="117"/>
      <c r="AS20" s="117"/>
      <c r="AT20" s="117">
        <v>8.6522700000000004E-5</v>
      </c>
      <c r="AU20" s="117"/>
    </row>
    <row r="21" spans="1:47" x14ac:dyDescent="0.2">
      <c r="E21" s="277"/>
      <c r="O21" s="1"/>
      <c r="P21" s="1"/>
      <c r="T21" s="93"/>
      <c r="U21" s="93"/>
      <c r="V21" s="92"/>
      <c r="X21" s="93"/>
      <c r="Y21" s="118">
        <v>18.9893</v>
      </c>
      <c r="Z21" s="118">
        <v>1240.27</v>
      </c>
      <c r="AA21" s="118">
        <v>203.31899999999999</v>
      </c>
      <c r="AB21" s="118">
        <v>37</v>
      </c>
      <c r="AC21" s="156">
        <v>1082.02</v>
      </c>
      <c r="AD21" s="151"/>
      <c r="AE21" s="151"/>
      <c r="AF21" s="152"/>
      <c r="AG21" s="165"/>
      <c r="AH21" s="158"/>
      <c r="AI21" s="158"/>
      <c r="AJ21" s="161"/>
      <c r="AK21" s="118">
        <v>37</v>
      </c>
      <c r="AL21" s="118"/>
      <c r="AM21" s="118"/>
      <c r="AN21" s="118"/>
      <c r="AO21" s="118"/>
      <c r="AP21" s="117"/>
      <c r="AQ21" s="117"/>
      <c r="AR21" s="117"/>
      <c r="AS21" s="117"/>
      <c r="AT21" s="117">
        <v>8.6516900000000005E-5</v>
      </c>
      <c r="AU21" s="117"/>
    </row>
    <row r="22" spans="1:47" x14ac:dyDescent="0.2">
      <c r="E22" s="277"/>
      <c r="O22" s="1"/>
      <c r="P22" s="1"/>
      <c r="T22" s="93"/>
      <c r="U22" s="93"/>
      <c r="V22" s="92"/>
      <c r="X22" s="93"/>
      <c r="Y22" s="118">
        <v>20.345700000000001</v>
      </c>
      <c r="Z22" s="118">
        <v>1106.28</v>
      </c>
      <c r="AA22" s="118">
        <v>201.16800000000001</v>
      </c>
      <c r="AB22" s="118">
        <v>37</v>
      </c>
      <c r="AC22" s="156">
        <v>1200.99</v>
      </c>
      <c r="AD22" s="151"/>
      <c r="AE22" s="151"/>
      <c r="AF22" s="152"/>
      <c r="AG22" s="165"/>
      <c r="AH22" s="158"/>
      <c r="AI22" s="158"/>
      <c r="AJ22" s="161"/>
      <c r="AK22" s="118">
        <v>37</v>
      </c>
      <c r="AL22" s="118"/>
      <c r="AM22" s="118"/>
      <c r="AN22" s="118"/>
      <c r="AO22" s="118"/>
      <c r="AP22" s="117"/>
      <c r="AQ22" s="117"/>
      <c r="AR22" s="117"/>
      <c r="AS22" s="117"/>
      <c r="AT22" s="117">
        <v>8.6511300000000006E-5</v>
      </c>
      <c r="AU22" s="117"/>
    </row>
    <row r="23" spans="1:47" x14ac:dyDescent="0.2">
      <c r="A23" s="111" t="s">
        <v>123</v>
      </c>
      <c r="B23" s="111"/>
      <c r="C23" s="111"/>
      <c r="D23" s="111"/>
      <c r="E23" s="278"/>
      <c r="O23" s="1"/>
      <c r="P23" s="1"/>
      <c r="T23" s="93"/>
      <c r="U23" s="93"/>
      <c r="V23" s="92"/>
      <c r="X23" s="93"/>
      <c r="Y23" s="118">
        <v>21.702000000000002</v>
      </c>
      <c r="Z23" s="118">
        <v>954.99400000000003</v>
      </c>
      <c r="AA23" s="118">
        <v>198.185</v>
      </c>
      <c r="AB23" s="118">
        <v>37</v>
      </c>
      <c r="AC23" s="156">
        <v>1337.12</v>
      </c>
      <c r="AD23" s="151"/>
      <c r="AE23" s="151"/>
      <c r="AF23" s="152"/>
      <c r="AG23" s="165"/>
      <c r="AH23" s="158"/>
      <c r="AI23" s="158"/>
      <c r="AJ23" s="161"/>
      <c r="AK23" s="118">
        <v>37</v>
      </c>
      <c r="AL23" s="118"/>
      <c r="AM23" s="118"/>
      <c r="AN23" s="118"/>
      <c r="AO23" s="118"/>
      <c r="AP23" s="117"/>
      <c r="AQ23" s="117"/>
      <c r="AR23" s="117"/>
      <c r="AS23" s="117"/>
      <c r="AT23" s="117">
        <v>8.6505800000000001E-5</v>
      </c>
      <c r="AU23" s="117"/>
    </row>
    <row r="24" spans="1:47" x14ac:dyDescent="0.2">
      <c r="B24" t="s">
        <v>254</v>
      </c>
      <c r="C24" t="s">
        <v>66</v>
      </c>
      <c r="D24" s="212">
        <v>7.7300000190000002</v>
      </c>
      <c r="E24" s="277" t="s">
        <v>527</v>
      </c>
      <c r="O24" s="1"/>
      <c r="P24" s="1"/>
      <c r="T24" s="93"/>
      <c r="U24" s="93"/>
      <c r="V24" s="92"/>
      <c r="X24" s="93"/>
      <c r="Y24" s="118">
        <v>23.058399999999999</v>
      </c>
      <c r="Z24" s="118">
        <v>776.70899999999995</v>
      </c>
      <c r="AA24" s="118">
        <v>192.614</v>
      </c>
      <c r="AB24" s="118">
        <v>37</v>
      </c>
      <c r="AC24" s="156">
        <v>1500.12</v>
      </c>
      <c r="AD24" s="151"/>
      <c r="AE24" s="151"/>
      <c r="AF24" s="152"/>
      <c r="AG24" s="165"/>
      <c r="AH24" s="158"/>
      <c r="AI24" s="158"/>
      <c r="AJ24" s="161"/>
      <c r="AK24" s="118">
        <v>37</v>
      </c>
      <c r="AL24" s="118"/>
      <c r="AM24" s="118"/>
      <c r="AN24" s="118"/>
      <c r="AO24" s="118"/>
      <c r="AP24" s="117"/>
      <c r="AQ24" s="117"/>
      <c r="AR24" s="117"/>
      <c r="AS24" s="117"/>
      <c r="AT24" s="117">
        <v>8.6500400000000003E-5</v>
      </c>
      <c r="AU24" s="117"/>
    </row>
    <row r="25" spans="1:47" x14ac:dyDescent="0.2">
      <c r="B25" t="s">
        <v>255</v>
      </c>
      <c r="C25" t="s">
        <v>66</v>
      </c>
      <c r="D25" s="212">
        <v>99.999998438000006</v>
      </c>
      <c r="E25" s="277" t="s">
        <v>0</v>
      </c>
      <c r="O25" s="1"/>
      <c r="P25" s="1"/>
      <c r="V25" s="93"/>
      <c r="Y25" s="118">
        <v>24.4148</v>
      </c>
      <c r="Z25" s="118">
        <v>547.72199999999998</v>
      </c>
      <c r="AA25" s="118">
        <v>185.21199999999999</v>
      </c>
      <c r="AB25" s="118">
        <v>37</v>
      </c>
      <c r="AC25" s="156">
        <v>1713.68</v>
      </c>
      <c r="AD25" s="151"/>
      <c r="AE25" s="151"/>
      <c r="AF25" s="152"/>
      <c r="AG25" s="165"/>
      <c r="AH25" s="158"/>
      <c r="AI25" s="158"/>
      <c r="AJ25" s="161"/>
      <c r="AK25" s="118">
        <v>37</v>
      </c>
      <c r="AL25" s="118"/>
      <c r="AM25" s="118"/>
      <c r="AN25" s="118"/>
      <c r="AO25" s="118"/>
      <c r="AP25" s="117"/>
      <c r="AQ25" s="117"/>
      <c r="AR25" s="117"/>
      <c r="AS25" s="117"/>
      <c r="AT25" s="117">
        <v>8.6495099999999998E-5</v>
      </c>
      <c r="AU25" s="117"/>
    </row>
    <row r="26" spans="1:47" x14ac:dyDescent="0.2">
      <c r="B26" t="s">
        <v>256</v>
      </c>
      <c r="C26" t="s">
        <v>66</v>
      </c>
      <c r="D26" s="212">
        <v>300</v>
      </c>
      <c r="E26" s="277" t="s">
        <v>528</v>
      </c>
      <c r="O26" s="1"/>
      <c r="P26" s="1"/>
      <c r="Y26" s="118">
        <v>25.771100000000001</v>
      </c>
      <c r="Z26" s="118">
        <v>0</v>
      </c>
      <c r="AA26" s="118">
        <v>168.18199999999999</v>
      </c>
      <c r="AB26" s="118">
        <v>37</v>
      </c>
      <c r="AC26" s="156">
        <v>2245.84</v>
      </c>
      <c r="AD26" s="151"/>
      <c r="AE26" s="151"/>
      <c r="AF26" s="152"/>
      <c r="AG26" s="165"/>
      <c r="AH26" s="158"/>
      <c r="AI26" s="158"/>
      <c r="AJ26" s="161"/>
      <c r="AK26" s="118">
        <v>37</v>
      </c>
      <c r="AL26" s="118"/>
      <c r="AM26" s="118"/>
      <c r="AN26" s="118"/>
      <c r="AO26" s="118"/>
      <c r="AP26" s="117"/>
      <c r="AQ26" s="117"/>
      <c r="AR26" s="117"/>
      <c r="AS26" s="117"/>
      <c r="AT26" s="117">
        <v>8.6490100000000001E-5</v>
      </c>
      <c r="AU26" s="117"/>
    </row>
    <row r="27" spans="1:47" x14ac:dyDescent="0.2">
      <c r="B27" t="s">
        <v>257</v>
      </c>
      <c r="C27" t="s">
        <v>66</v>
      </c>
      <c r="D27" s="212">
        <v>31.600000381000001</v>
      </c>
      <c r="E27" s="277"/>
      <c r="O27" s="1"/>
      <c r="P27" s="1"/>
      <c r="Y27" s="118"/>
      <c r="Z27" s="118"/>
      <c r="AA27" s="118"/>
      <c r="AB27" s="118"/>
      <c r="AC27" s="156"/>
      <c r="AD27" s="151"/>
      <c r="AE27" s="151"/>
      <c r="AF27" s="152"/>
      <c r="AG27" s="165"/>
      <c r="AH27" s="158"/>
      <c r="AI27" s="158"/>
      <c r="AJ27" s="161"/>
      <c r="AK27" s="118"/>
      <c r="AL27" s="118"/>
      <c r="AM27" s="118"/>
      <c r="AN27" s="118"/>
      <c r="AO27" s="118"/>
      <c r="AP27" s="117"/>
      <c r="AQ27" s="117"/>
      <c r="AR27" s="117"/>
      <c r="AS27" s="117"/>
      <c r="AT27" s="117"/>
      <c r="AU27" s="117"/>
    </row>
    <row r="28" spans="1:47" x14ac:dyDescent="0.2">
      <c r="B28" t="s">
        <v>258</v>
      </c>
      <c r="C28" t="s">
        <v>66</v>
      </c>
      <c r="D28" s="212">
        <v>3.2500001190000001</v>
      </c>
      <c r="E28" s="277" t="s">
        <v>26</v>
      </c>
      <c r="O28" s="1"/>
      <c r="P28" s="1"/>
      <c r="Y28" s="118"/>
      <c r="Z28" s="118"/>
      <c r="AA28" s="118"/>
      <c r="AB28" s="118"/>
      <c r="AC28" s="156"/>
      <c r="AD28" s="151"/>
      <c r="AE28" s="151"/>
      <c r="AF28" s="152"/>
      <c r="AG28" s="165"/>
      <c r="AH28" s="158"/>
      <c r="AI28" s="158"/>
      <c r="AJ28" s="161"/>
      <c r="AK28" s="118"/>
      <c r="AL28" s="118"/>
      <c r="AM28" s="118"/>
      <c r="AN28" s="118"/>
      <c r="AO28" s="118"/>
      <c r="AP28" s="117"/>
      <c r="AQ28" s="117"/>
      <c r="AR28" s="117"/>
      <c r="AS28" s="117"/>
      <c r="AT28" s="117"/>
      <c r="AU28" s="117"/>
    </row>
    <row r="29" spans="1:47" x14ac:dyDescent="0.2">
      <c r="B29" t="s">
        <v>259</v>
      </c>
      <c r="C29" t="s">
        <v>66</v>
      </c>
      <c r="D29" s="212">
        <v>99.999998438000006</v>
      </c>
      <c r="E29" s="277" t="s">
        <v>0</v>
      </c>
      <c r="O29" s="1"/>
      <c r="P29" s="1"/>
      <c r="Y29" s="118"/>
      <c r="Z29" s="118"/>
      <c r="AA29" s="118"/>
      <c r="AB29" s="118"/>
      <c r="AC29" s="156"/>
      <c r="AD29" s="151"/>
      <c r="AE29" s="151"/>
      <c r="AF29" s="152"/>
      <c r="AG29" s="165"/>
      <c r="AH29" s="158"/>
      <c r="AI29" s="158"/>
      <c r="AJ29" s="161"/>
      <c r="AK29" s="118"/>
      <c r="AL29" s="118"/>
      <c r="AM29" s="118"/>
      <c r="AN29" s="118"/>
      <c r="AO29" s="118"/>
      <c r="AP29" s="117"/>
      <c r="AQ29" s="117"/>
      <c r="AR29" s="117"/>
      <c r="AS29" s="117"/>
      <c r="AT29" s="117"/>
      <c r="AU29" s="117"/>
    </row>
    <row r="30" spans="1:47" x14ac:dyDescent="0.2">
      <c r="D30" s="212"/>
      <c r="E30" s="277"/>
      <c r="O30" s="1"/>
      <c r="P30" s="1"/>
      <c r="Y30" s="118"/>
      <c r="Z30" s="118"/>
      <c r="AA30" s="118"/>
      <c r="AB30" s="118"/>
      <c r="AC30" s="156"/>
      <c r="AD30" s="151"/>
      <c r="AE30" s="151"/>
      <c r="AF30" s="152"/>
      <c r="AG30" s="165"/>
      <c r="AH30" s="158"/>
      <c r="AI30" s="158"/>
      <c r="AJ30" s="161"/>
      <c r="AK30" s="118"/>
      <c r="AL30" s="118"/>
      <c r="AM30" s="118"/>
      <c r="AN30" s="118"/>
      <c r="AO30" s="118"/>
      <c r="AP30" s="117"/>
      <c r="AQ30" s="117"/>
      <c r="AR30" s="117"/>
      <c r="AS30" s="117"/>
      <c r="AT30" s="117"/>
      <c r="AU30" s="117"/>
    </row>
    <row r="31" spans="1:47" x14ac:dyDescent="0.2">
      <c r="D31" s="212"/>
      <c r="E31" s="277"/>
      <c r="O31" s="1"/>
      <c r="P31" s="1"/>
      <c r="Y31" s="118"/>
      <c r="Z31" s="118"/>
      <c r="AA31" s="118"/>
      <c r="AB31" s="118"/>
      <c r="AC31" s="156"/>
      <c r="AD31" s="151"/>
      <c r="AE31" s="151"/>
      <c r="AF31" s="152"/>
      <c r="AG31" s="165"/>
      <c r="AH31" s="158"/>
      <c r="AI31" s="158"/>
      <c r="AJ31" s="161"/>
      <c r="AK31" s="118"/>
      <c r="AL31" s="118"/>
      <c r="AM31" s="118"/>
      <c r="AN31" s="118"/>
      <c r="AO31" s="118"/>
      <c r="AP31" s="117"/>
      <c r="AQ31" s="117"/>
      <c r="AR31" s="117"/>
      <c r="AS31" s="117"/>
      <c r="AT31" s="117"/>
      <c r="AU31" s="117"/>
    </row>
    <row r="32" spans="1:47" x14ac:dyDescent="0.2">
      <c r="D32" s="212"/>
      <c r="E32" s="277"/>
      <c r="G32" s="288" t="s">
        <v>261</v>
      </c>
      <c r="O32" s="1"/>
      <c r="P32" s="1"/>
      <c r="Y32" s="118"/>
      <c r="Z32" s="118"/>
      <c r="AA32" s="118"/>
      <c r="AB32" s="118"/>
      <c r="AC32" s="156"/>
      <c r="AD32" s="151"/>
      <c r="AE32" s="151"/>
      <c r="AF32" s="152"/>
      <c r="AG32" s="165"/>
      <c r="AH32" s="158"/>
      <c r="AI32" s="158"/>
      <c r="AJ32" s="161"/>
      <c r="AK32" s="118"/>
      <c r="AL32" s="118"/>
      <c r="AM32" s="118"/>
      <c r="AN32" s="118"/>
      <c r="AO32" s="118"/>
      <c r="AP32" s="117"/>
      <c r="AQ32" s="117"/>
      <c r="AR32" s="117"/>
      <c r="AS32" s="117"/>
      <c r="AT32" s="117"/>
      <c r="AU32" s="117"/>
    </row>
    <row r="33" spans="4:47" x14ac:dyDescent="0.2">
      <c r="D33" s="212"/>
      <c r="E33" s="277"/>
      <c r="G33" s="284" t="s">
        <v>44</v>
      </c>
      <c r="H33" s="285" t="s">
        <v>43</v>
      </c>
      <c r="I33" s="280" t="s">
        <v>54</v>
      </c>
      <c r="J33" s="281" t="s">
        <v>262</v>
      </c>
      <c r="O33" s="1"/>
      <c r="P33" s="1"/>
      <c r="Y33" s="118"/>
      <c r="Z33" s="118"/>
      <c r="AA33" s="118"/>
      <c r="AB33" s="118"/>
      <c r="AC33" s="156"/>
      <c r="AD33" s="151"/>
      <c r="AE33" s="151"/>
      <c r="AF33" s="152"/>
      <c r="AG33" s="165"/>
      <c r="AH33" s="158"/>
      <c r="AI33" s="158"/>
      <c r="AJ33" s="161"/>
      <c r="AK33" s="118"/>
      <c r="AL33" s="118"/>
      <c r="AM33" s="118"/>
      <c r="AN33" s="118"/>
      <c r="AO33" s="118"/>
      <c r="AP33" s="117"/>
      <c r="AQ33" s="117"/>
      <c r="AR33" s="117"/>
      <c r="AS33" s="117"/>
      <c r="AT33" s="117"/>
      <c r="AU33" s="117"/>
    </row>
    <row r="34" spans="4:47" x14ac:dyDescent="0.2">
      <c r="D34" s="212"/>
      <c r="G34" s="286"/>
      <c r="H34" s="287"/>
      <c r="I34" s="282" t="s">
        <v>125</v>
      </c>
      <c r="J34" s="283" t="s">
        <v>67</v>
      </c>
      <c r="P34" s="1"/>
      <c r="Y34" s="118"/>
      <c r="Z34" s="118"/>
      <c r="AA34" s="118"/>
      <c r="AB34" s="118"/>
      <c r="AC34" s="156"/>
      <c r="AD34" s="151"/>
      <c r="AE34" s="151"/>
      <c r="AF34" s="152"/>
      <c r="AG34" s="165"/>
      <c r="AH34" s="158"/>
      <c r="AI34" s="158"/>
      <c r="AJ34" s="161"/>
      <c r="AK34" s="118"/>
      <c r="AL34" s="118"/>
      <c r="AM34" s="118"/>
      <c r="AN34" s="118"/>
      <c r="AO34" s="118"/>
      <c r="AP34" s="117"/>
      <c r="AQ34" s="117"/>
      <c r="AR34" s="117"/>
      <c r="AS34" s="117"/>
      <c r="AT34" s="117"/>
      <c r="AU34" s="117"/>
    </row>
    <row r="35" spans="4:47" x14ac:dyDescent="0.2">
      <c r="D35" s="212"/>
      <c r="G35" s="289" t="s">
        <v>529</v>
      </c>
      <c r="H35" s="645"/>
      <c r="I35" s="220">
        <v>56.24</v>
      </c>
      <c r="J35" s="290">
        <v>3000</v>
      </c>
      <c r="P35" s="1"/>
      <c r="Y35" s="118"/>
      <c r="Z35" s="118"/>
      <c r="AA35" s="118"/>
      <c r="AB35" s="118"/>
      <c r="AC35" s="156"/>
      <c r="AD35" s="151"/>
      <c r="AE35" s="151"/>
      <c r="AF35" s="152"/>
      <c r="AG35" s="165"/>
      <c r="AH35" s="158"/>
      <c r="AI35" s="158"/>
      <c r="AJ35" s="161"/>
      <c r="AK35" s="118"/>
      <c r="AL35" s="118"/>
      <c r="AM35" s="118"/>
      <c r="AN35" s="118"/>
      <c r="AO35" s="118"/>
      <c r="AP35" s="117"/>
      <c r="AQ35" s="117"/>
      <c r="AR35" s="117"/>
      <c r="AS35" s="117"/>
      <c r="AT35" s="117"/>
      <c r="AU35" s="117"/>
    </row>
    <row r="36" spans="4:47" x14ac:dyDescent="0.2">
      <c r="D36" s="212"/>
      <c r="G36" s="291" t="s">
        <v>529</v>
      </c>
      <c r="H36" s="646" t="s">
        <v>537</v>
      </c>
      <c r="I36" s="1">
        <v>54.97</v>
      </c>
      <c r="J36" s="292">
        <v>2790</v>
      </c>
      <c r="P36" s="1"/>
      <c r="Y36" s="118"/>
      <c r="Z36" s="118"/>
      <c r="AA36" s="118"/>
      <c r="AB36" s="118"/>
      <c r="AC36" s="156"/>
      <c r="AD36" s="151"/>
      <c r="AE36" s="151"/>
      <c r="AF36" s="152"/>
      <c r="AG36" s="165"/>
      <c r="AH36" s="158"/>
      <c r="AI36" s="158"/>
      <c r="AJ36" s="161"/>
      <c r="AK36" s="118"/>
      <c r="AL36" s="118"/>
      <c r="AM36" s="118"/>
      <c r="AN36" s="118"/>
      <c r="AO36" s="118"/>
      <c r="AP36" s="117"/>
      <c r="AQ36" s="117"/>
      <c r="AR36" s="117"/>
      <c r="AS36" s="117"/>
      <c r="AT36" s="117"/>
      <c r="AU36" s="117"/>
    </row>
    <row r="37" spans="4:47" x14ac:dyDescent="0.2">
      <c r="D37" s="212"/>
      <c r="G37" s="291" t="s">
        <v>529</v>
      </c>
      <c r="H37" s="646">
        <v>42313</v>
      </c>
      <c r="I37" s="1">
        <v>44.31</v>
      </c>
      <c r="J37" s="292">
        <v>1929</v>
      </c>
      <c r="P37" s="1"/>
      <c r="Y37" s="118"/>
      <c r="Z37" s="118"/>
      <c r="AA37" s="118"/>
      <c r="AB37" s="118"/>
      <c r="AC37" s="156"/>
      <c r="AD37" s="151"/>
      <c r="AE37" s="151"/>
      <c r="AF37" s="152"/>
      <c r="AG37" s="165"/>
      <c r="AH37" s="158"/>
      <c r="AI37" s="158"/>
      <c r="AJ37" s="161"/>
      <c r="AK37" s="118"/>
      <c r="AL37" s="118"/>
      <c r="AM37" s="118"/>
      <c r="AN37" s="118"/>
      <c r="AO37" s="118"/>
      <c r="AP37" s="117"/>
      <c r="AQ37" s="117"/>
      <c r="AR37" s="117"/>
      <c r="AS37" s="117"/>
      <c r="AT37" s="117"/>
      <c r="AU37" s="117"/>
    </row>
    <row r="38" spans="4:47" x14ac:dyDescent="0.2">
      <c r="D38" s="212"/>
      <c r="G38" s="291" t="s">
        <v>530</v>
      </c>
      <c r="H38" s="646" t="s">
        <v>538</v>
      </c>
      <c r="I38" s="1">
        <v>42.2</v>
      </c>
      <c r="J38" s="292">
        <v>1940</v>
      </c>
      <c r="O38" s="1"/>
      <c r="P38" s="1"/>
      <c r="Y38" s="118"/>
      <c r="Z38" s="118"/>
      <c r="AA38" s="118"/>
      <c r="AB38" s="118"/>
      <c r="AC38" s="156"/>
      <c r="AD38" s="151"/>
      <c r="AE38" s="151"/>
      <c r="AF38" s="152"/>
      <c r="AG38" s="165"/>
      <c r="AH38" s="158"/>
      <c r="AI38" s="158"/>
      <c r="AJ38" s="161"/>
      <c r="AK38" s="118"/>
      <c r="AL38" s="118"/>
      <c r="AM38" s="118"/>
      <c r="AN38" s="118"/>
      <c r="AO38" s="118"/>
      <c r="AP38" s="117"/>
      <c r="AQ38" s="117"/>
      <c r="AR38" s="117"/>
      <c r="AS38" s="117"/>
      <c r="AT38" s="117"/>
      <c r="AU38" s="117"/>
    </row>
    <row r="39" spans="4:47" x14ac:dyDescent="0.2">
      <c r="D39" s="212"/>
      <c r="G39" s="291" t="s">
        <v>531</v>
      </c>
      <c r="H39" s="646" t="s">
        <v>539</v>
      </c>
      <c r="I39" s="1">
        <v>38.981999999999999</v>
      </c>
      <c r="J39" s="292">
        <v>1752</v>
      </c>
      <c r="O39" s="1"/>
      <c r="P39" s="1"/>
      <c r="Y39" s="118"/>
      <c r="Z39" s="118"/>
      <c r="AA39" s="118"/>
      <c r="AB39" s="118"/>
      <c r="AC39" s="156"/>
      <c r="AD39" s="151"/>
      <c r="AE39" s="151"/>
      <c r="AF39" s="152"/>
      <c r="AG39" s="165"/>
      <c r="AH39" s="158"/>
      <c r="AI39" s="158"/>
      <c r="AJ39" s="161"/>
      <c r="AK39" s="118"/>
      <c r="AL39" s="118"/>
      <c r="AM39" s="118"/>
      <c r="AN39" s="118"/>
      <c r="AO39" s="118"/>
      <c r="AP39" s="117"/>
      <c r="AQ39" s="117"/>
      <c r="AR39" s="117"/>
      <c r="AS39" s="117"/>
      <c r="AT39" s="117"/>
      <c r="AU39" s="117"/>
    </row>
    <row r="40" spans="4:47" x14ac:dyDescent="0.2">
      <c r="D40" s="212"/>
      <c r="G40" s="291" t="s">
        <v>532</v>
      </c>
      <c r="H40" s="646">
        <v>42373</v>
      </c>
      <c r="I40" s="1">
        <v>36.414000000000001</v>
      </c>
      <c r="J40" s="292">
        <v>1283</v>
      </c>
      <c r="O40" s="1"/>
      <c r="P40" s="1"/>
      <c r="Y40" s="118"/>
      <c r="Z40" s="118"/>
      <c r="AA40" s="118"/>
      <c r="AB40" s="118"/>
      <c r="AC40" s="156"/>
      <c r="AD40" s="151"/>
      <c r="AE40" s="151"/>
      <c r="AF40" s="152"/>
      <c r="AG40" s="165"/>
      <c r="AH40" s="158"/>
      <c r="AI40" s="158"/>
      <c r="AJ40" s="161"/>
      <c r="AK40" s="118"/>
      <c r="AL40" s="118"/>
      <c r="AM40" s="118"/>
      <c r="AN40" s="118"/>
      <c r="AO40" s="118"/>
      <c r="AP40" s="117"/>
      <c r="AQ40" s="117"/>
      <c r="AR40" s="117"/>
      <c r="AS40" s="117"/>
      <c r="AT40" s="117"/>
      <c r="AU40" s="117"/>
    </row>
    <row r="41" spans="4:47" x14ac:dyDescent="0.2">
      <c r="G41" s="291" t="s">
        <v>533</v>
      </c>
      <c r="H41" s="646" t="s">
        <v>540</v>
      </c>
      <c r="I41" s="1">
        <v>32.198999999999998</v>
      </c>
      <c r="J41" s="292">
        <v>984</v>
      </c>
      <c r="O41" s="1"/>
      <c r="P41" s="1"/>
      <c r="Y41" s="118"/>
      <c r="Z41" s="118"/>
      <c r="AA41" s="118"/>
      <c r="AB41" s="118"/>
      <c r="AC41" s="156"/>
      <c r="AD41" s="151"/>
      <c r="AE41" s="151"/>
      <c r="AF41" s="152"/>
      <c r="AG41" s="165"/>
      <c r="AH41" s="158"/>
      <c r="AI41" s="158"/>
      <c r="AJ41" s="161"/>
      <c r="AK41" s="118"/>
      <c r="AL41" s="118"/>
      <c r="AM41" s="118"/>
      <c r="AN41" s="118"/>
      <c r="AO41" s="118"/>
      <c r="AP41" s="117"/>
      <c r="AQ41" s="117"/>
      <c r="AR41" s="117"/>
      <c r="AS41" s="117"/>
      <c r="AT41" s="117"/>
      <c r="AU41" s="117"/>
    </row>
    <row r="42" spans="4:47" x14ac:dyDescent="0.2">
      <c r="G42" s="291"/>
      <c r="H42" s="646">
        <v>42890</v>
      </c>
      <c r="I42" s="1">
        <v>29.471</v>
      </c>
      <c r="J42" s="292">
        <v>915</v>
      </c>
      <c r="O42" s="1"/>
      <c r="P42" s="1"/>
      <c r="Y42" s="118"/>
      <c r="Z42" s="118"/>
      <c r="AA42" s="118"/>
      <c r="AB42" s="118"/>
      <c r="AC42" s="156"/>
      <c r="AD42" s="151"/>
      <c r="AE42" s="151"/>
      <c r="AF42" s="152"/>
      <c r="AG42" s="165"/>
      <c r="AH42" s="158"/>
      <c r="AI42" s="158"/>
      <c r="AJ42" s="161"/>
      <c r="AK42" s="118"/>
      <c r="AL42" s="118"/>
      <c r="AM42" s="118"/>
      <c r="AN42" s="118"/>
      <c r="AO42" s="118"/>
      <c r="AP42" s="117"/>
      <c r="AQ42" s="117"/>
      <c r="AR42" s="117"/>
      <c r="AS42" s="117"/>
      <c r="AT42" s="117"/>
      <c r="AU42" s="117"/>
    </row>
    <row r="43" spans="4:47" x14ac:dyDescent="0.2">
      <c r="G43" s="291"/>
      <c r="H43" s="646" t="s">
        <v>541</v>
      </c>
      <c r="I43" s="1">
        <v>25.523</v>
      </c>
      <c r="J43" s="292">
        <v>873</v>
      </c>
      <c r="O43" s="1"/>
      <c r="P43" s="1"/>
      <c r="Y43" s="118"/>
      <c r="Z43" s="118"/>
      <c r="AA43" s="118"/>
      <c r="AB43" s="118"/>
      <c r="AC43" s="156"/>
      <c r="AD43" s="151"/>
      <c r="AE43" s="151"/>
      <c r="AF43" s="152"/>
      <c r="AG43" s="165"/>
      <c r="AH43" s="158"/>
      <c r="AI43" s="158"/>
      <c r="AJ43" s="161"/>
      <c r="AK43" s="118"/>
      <c r="AL43" s="118"/>
      <c r="AM43" s="118"/>
      <c r="AN43" s="118"/>
      <c r="AO43" s="118"/>
      <c r="AP43" s="117"/>
      <c r="AQ43" s="117"/>
      <c r="AR43" s="117"/>
      <c r="AS43" s="117"/>
      <c r="AT43" s="117"/>
      <c r="AU43" s="117"/>
    </row>
    <row r="44" spans="4:47" x14ac:dyDescent="0.2">
      <c r="G44" s="291"/>
      <c r="H44" s="646" t="s">
        <v>542</v>
      </c>
      <c r="I44" s="1">
        <v>19.8</v>
      </c>
      <c r="J44" s="292">
        <v>400</v>
      </c>
      <c r="O44" s="1"/>
      <c r="P44" s="1"/>
      <c r="Y44" s="118"/>
      <c r="Z44" s="118"/>
      <c r="AA44" s="118"/>
      <c r="AB44" s="118"/>
      <c r="AC44" s="156"/>
      <c r="AD44" s="151"/>
      <c r="AE44" s="151"/>
      <c r="AF44" s="152"/>
      <c r="AG44" s="165"/>
      <c r="AH44" s="158"/>
      <c r="AI44" s="158"/>
      <c r="AJ44" s="161"/>
      <c r="AK44" s="118"/>
      <c r="AL44" s="118"/>
      <c r="AM44" s="118"/>
      <c r="AN44" s="118"/>
      <c r="AO44" s="118"/>
      <c r="AP44" s="117"/>
      <c r="AQ44" s="117"/>
      <c r="AR44" s="117"/>
      <c r="AS44" s="117"/>
      <c r="AT44" s="117"/>
      <c r="AU44" s="117"/>
    </row>
    <row r="45" spans="4:47" x14ac:dyDescent="0.2">
      <c r="G45" s="241"/>
      <c r="H45" s="647">
        <v>43591</v>
      </c>
      <c r="I45">
        <v>18.3</v>
      </c>
      <c r="J45" s="242">
        <v>450</v>
      </c>
      <c r="O45" s="1"/>
      <c r="P45" s="1"/>
      <c r="Y45" s="118"/>
      <c r="Z45" s="118"/>
      <c r="AA45" s="118"/>
      <c r="AB45" s="118"/>
      <c r="AC45" s="156"/>
      <c r="AD45" s="151"/>
      <c r="AE45" s="151"/>
      <c r="AF45" s="152"/>
      <c r="AG45" s="165"/>
      <c r="AH45" s="158"/>
      <c r="AI45" s="158"/>
      <c r="AJ45" s="161"/>
      <c r="AK45" s="118"/>
      <c r="AL45" s="118"/>
      <c r="AM45" s="118"/>
      <c r="AN45" s="118"/>
      <c r="AO45" s="118"/>
      <c r="AP45" s="117"/>
      <c r="AQ45" s="117"/>
      <c r="AR45" s="117"/>
      <c r="AS45" s="117"/>
      <c r="AT45" s="117"/>
      <c r="AU45" s="117"/>
    </row>
    <row r="46" spans="4:47" x14ac:dyDescent="0.2">
      <c r="G46" s="241" t="s">
        <v>534</v>
      </c>
      <c r="H46" s="647">
        <v>43780</v>
      </c>
      <c r="I46">
        <v>26.2</v>
      </c>
      <c r="J46" s="242">
        <v>540</v>
      </c>
      <c r="O46" s="1"/>
      <c r="P46" s="1"/>
      <c r="Y46" s="118"/>
      <c r="Z46" s="118"/>
      <c r="AA46" s="118"/>
      <c r="AB46" s="118"/>
      <c r="AC46" s="156"/>
      <c r="AD46" s="151"/>
      <c r="AE46" s="151"/>
      <c r="AF46" s="152"/>
      <c r="AG46" s="165"/>
      <c r="AH46" s="158"/>
      <c r="AI46" s="158"/>
      <c r="AJ46" s="161"/>
      <c r="AK46" s="118"/>
      <c r="AL46" s="118"/>
      <c r="AM46" s="118"/>
      <c r="AN46" s="118"/>
      <c r="AO46" s="118"/>
      <c r="AP46" s="117"/>
      <c r="AQ46" s="117"/>
      <c r="AR46" s="117"/>
      <c r="AS46" s="117"/>
      <c r="AT46" s="117"/>
      <c r="AU46" s="117"/>
    </row>
    <row r="47" spans="4:47" x14ac:dyDescent="0.2">
      <c r="G47" s="241" t="s">
        <v>535</v>
      </c>
      <c r="H47" s="647" t="s">
        <v>543</v>
      </c>
      <c r="I47">
        <v>14.2</v>
      </c>
      <c r="J47" s="242">
        <v>750</v>
      </c>
      <c r="O47" s="1"/>
      <c r="P47" s="1"/>
      <c r="Y47" s="118"/>
      <c r="Z47" s="118"/>
      <c r="AA47" s="118"/>
      <c r="AB47" s="118"/>
      <c r="AC47" s="156"/>
      <c r="AD47" s="151"/>
      <c r="AE47" s="151"/>
      <c r="AF47" s="152"/>
      <c r="AG47" s="165"/>
      <c r="AH47" s="158"/>
      <c r="AI47" s="158"/>
      <c r="AJ47" s="161"/>
      <c r="AK47" s="118"/>
      <c r="AL47" s="118"/>
      <c r="AM47" s="118"/>
      <c r="AN47" s="118"/>
      <c r="AO47" s="118"/>
      <c r="AP47" s="117"/>
      <c r="AQ47" s="117"/>
      <c r="AR47" s="117"/>
      <c r="AS47" s="117"/>
      <c r="AT47" s="117"/>
      <c r="AU47" s="117"/>
    </row>
    <row r="48" spans="4:47" x14ac:dyDescent="0.2">
      <c r="G48" s="245" t="s">
        <v>536</v>
      </c>
      <c r="H48" s="648">
        <v>44986</v>
      </c>
      <c r="I48" s="246">
        <v>10</v>
      </c>
      <c r="J48" s="247">
        <v>1268</v>
      </c>
      <c r="O48" s="1"/>
      <c r="P48" s="1"/>
      <c r="Y48" s="118"/>
      <c r="Z48" s="118"/>
      <c r="AA48" s="118"/>
      <c r="AB48" s="118"/>
      <c r="AC48" s="156"/>
      <c r="AD48" s="151"/>
      <c r="AE48" s="151"/>
      <c r="AF48" s="152"/>
      <c r="AG48" s="165"/>
      <c r="AH48" s="158"/>
      <c r="AI48" s="158"/>
      <c r="AJ48" s="161"/>
      <c r="AK48" s="118"/>
      <c r="AL48" s="118"/>
      <c r="AM48" s="118"/>
      <c r="AN48" s="118"/>
      <c r="AO48" s="118"/>
      <c r="AP48" s="117"/>
      <c r="AQ48" s="117"/>
      <c r="AR48" s="117"/>
      <c r="AS48" s="117"/>
      <c r="AT48" s="117"/>
      <c r="AU48" s="117"/>
    </row>
    <row r="49" spans="15:47" x14ac:dyDescent="0.2">
      <c r="O49" s="1"/>
      <c r="P49" s="1"/>
      <c r="Y49" s="118"/>
      <c r="Z49" s="118"/>
      <c r="AA49" s="118"/>
      <c r="AB49" s="118"/>
      <c r="AC49" s="156"/>
      <c r="AD49" s="151"/>
      <c r="AE49" s="151"/>
      <c r="AF49" s="152"/>
      <c r="AG49" s="165"/>
      <c r="AH49" s="158"/>
      <c r="AI49" s="158"/>
      <c r="AJ49" s="161"/>
      <c r="AK49" s="118"/>
      <c r="AL49" s="118"/>
      <c r="AM49" s="118"/>
      <c r="AN49" s="118"/>
      <c r="AO49" s="118"/>
      <c r="AP49" s="117"/>
      <c r="AQ49" s="117"/>
      <c r="AR49" s="117"/>
      <c r="AS49" s="117"/>
      <c r="AT49" s="117"/>
      <c r="AU49" s="117"/>
    </row>
    <row r="50" spans="15:47" x14ac:dyDescent="0.2">
      <c r="O50" s="1"/>
      <c r="P50" s="1"/>
      <c r="Y50" s="118"/>
      <c r="Z50" s="118"/>
      <c r="AA50" s="118"/>
      <c r="AB50" s="118"/>
      <c r="AC50" s="156"/>
      <c r="AD50" s="151"/>
      <c r="AE50" s="151"/>
      <c r="AF50" s="152"/>
      <c r="AG50" s="165"/>
      <c r="AH50" s="158"/>
      <c r="AI50" s="158"/>
      <c r="AJ50" s="161"/>
      <c r="AK50" s="118"/>
      <c r="AL50" s="118"/>
      <c r="AM50" s="118"/>
      <c r="AN50" s="118"/>
      <c r="AO50" s="118"/>
      <c r="AP50" s="117"/>
      <c r="AQ50" s="117"/>
      <c r="AR50" s="117"/>
      <c r="AS50" s="117"/>
      <c r="AT50" s="117"/>
      <c r="AU50" s="117"/>
    </row>
    <row r="51" spans="15:47" x14ac:dyDescent="0.2">
      <c r="O51" s="1"/>
      <c r="P51" s="1"/>
      <c r="Y51" s="118"/>
      <c r="Z51" s="118"/>
      <c r="AA51" s="118"/>
      <c r="AB51" s="118"/>
      <c r="AC51" s="156"/>
      <c r="AD51" s="151"/>
      <c r="AE51" s="151"/>
      <c r="AF51" s="152"/>
      <c r="AG51" s="165"/>
      <c r="AH51" s="158"/>
      <c r="AI51" s="158"/>
      <c r="AJ51" s="161"/>
      <c r="AK51" s="118"/>
      <c r="AL51" s="118"/>
      <c r="AM51" s="118"/>
      <c r="AN51" s="118"/>
      <c r="AO51" s="118"/>
      <c r="AP51" s="117"/>
      <c r="AQ51" s="117"/>
      <c r="AR51" s="117"/>
      <c r="AS51" s="117"/>
      <c r="AT51" s="117"/>
      <c r="AU51" s="117"/>
    </row>
    <row r="52" spans="15:47" x14ac:dyDescent="0.2">
      <c r="O52" s="1"/>
      <c r="P52" s="1"/>
      <c r="Y52" s="118"/>
      <c r="Z52" s="118"/>
      <c r="AA52" s="118"/>
      <c r="AB52" s="118"/>
      <c r="AC52" s="156"/>
      <c r="AD52" s="151"/>
      <c r="AE52" s="151"/>
      <c r="AF52" s="152"/>
      <c r="AG52" s="165"/>
      <c r="AH52" s="158"/>
      <c r="AI52" s="158"/>
      <c r="AJ52" s="161"/>
      <c r="AK52" s="118"/>
      <c r="AL52" s="118"/>
      <c r="AM52" s="118"/>
      <c r="AN52" s="118"/>
      <c r="AO52" s="118"/>
      <c r="AP52" s="117"/>
      <c r="AQ52" s="117"/>
      <c r="AR52" s="117"/>
      <c r="AS52" s="117"/>
      <c r="AT52" s="117"/>
      <c r="AU52" s="117"/>
    </row>
    <row r="53" spans="15:47" x14ac:dyDescent="0.2">
      <c r="O53" s="1"/>
      <c r="P53" s="1"/>
      <c r="Y53" s="118"/>
      <c r="Z53" s="118"/>
      <c r="AA53" s="118"/>
      <c r="AB53" s="118"/>
      <c r="AC53" s="156"/>
      <c r="AD53" s="151"/>
      <c r="AE53" s="151"/>
      <c r="AF53" s="152"/>
      <c r="AG53" s="165"/>
      <c r="AH53" s="158"/>
      <c r="AI53" s="158"/>
      <c r="AJ53" s="161"/>
      <c r="AK53" s="118"/>
      <c r="AL53" s="118"/>
      <c r="AM53" s="118"/>
      <c r="AN53" s="118"/>
      <c r="AO53" s="118"/>
      <c r="AP53" s="117"/>
      <c r="AQ53" s="117"/>
      <c r="AR53" s="117"/>
      <c r="AS53" s="117"/>
      <c r="AT53" s="117"/>
      <c r="AU53" s="117"/>
    </row>
    <row r="54" spans="15:47" x14ac:dyDescent="0.2">
      <c r="O54" s="1"/>
      <c r="P54" s="1"/>
      <c r="Y54" s="118"/>
      <c r="Z54" s="118"/>
      <c r="AA54" s="118"/>
      <c r="AB54" s="118"/>
      <c r="AC54" s="156"/>
      <c r="AD54" s="151"/>
      <c r="AE54" s="151"/>
      <c r="AF54" s="152"/>
      <c r="AG54" s="165"/>
      <c r="AH54" s="158"/>
      <c r="AI54" s="158"/>
      <c r="AJ54" s="161"/>
      <c r="AK54" s="118"/>
      <c r="AL54" s="118"/>
      <c r="AM54" s="118"/>
      <c r="AN54" s="118"/>
      <c r="AO54" s="118"/>
      <c r="AP54" s="117"/>
      <c r="AQ54" s="117"/>
      <c r="AR54" s="117"/>
      <c r="AS54" s="117"/>
      <c r="AT54" s="117"/>
      <c r="AU54" s="117"/>
    </row>
    <row r="55" spans="15:47" x14ac:dyDescent="0.2">
      <c r="Y55" s="118"/>
      <c r="Z55" s="118"/>
      <c r="AA55" s="118"/>
      <c r="AB55" s="118"/>
      <c r="AC55" s="156"/>
      <c r="AD55" s="151"/>
      <c r="AE55" s="151"/>
      <c r="AF55" s="152"/>
      <c r="AG55" s="165"/>
      <c r="AH55" s="158"/>
      <c r="AI55" s="158"/>
      <c r="AJ55" s="161"/>
      <c r="AK55" s="118"/>
      <c r="AL55" s="118"/>
      <c r="AM55" s="118"/>
      <c r="AN55" s="118"/>
      <c r="AO55" s="118"/>
      <c r="AP55" s="117"/>
      <c r="AQ55" s="117"/>
      <c r="AR55" s="117"/>
      <c r="AS55" s="117"/>
      <c r="AT55" s="117"/>
      <c r="AU55" s="117"/>
    </row>
    <row r="56" spans="15:47" x14ac:dyDescent="0.2">
      <c r="Y56" s="118"/>
      <c r="Z56" s="118"/>
      <c r="AA56" s="118"/>
      <c r="AB56" s="118"/>
      <c r="AC56" s="156"/>
      <c r="AD56" s="151"/>
      <c r="AE56" s="151"/>
      <c r="AF56" s="152"/>
      <c r="AG56" s="165"/>
      <c r="AH56" s="158"/>
      <c r="AI56" s="158"/>
      <c r="AJ56" s="161"/>
      <c r="AK56" s="118"/>
      <c r="AL56" s="118"/>
      <c r="AM56" s="118"/>
      <c r="AN56" s="118"/>
      <c r="AO56" s="118"/>
      <c r="AP56" s="117"/>
      <c r="AQ56" s="117"/>
      <c r="AR56" s="117"/>
      <c r="AS56" s="117"/>
      <c r="AT56" s="117"/>
      <c r="AU56" s="117"/>
    </row>
    <row r="57" spans="15:47" x14ac:dyDescent="0.2">
      <c r="Y57" s="118"/>
      <c r="Z57" s="118"/>
      <c r="AA57" s="118"/>
      <c r="AB57" s="118"/>
      <c r="AC57" s="156"/>
      <c r="AD57" s="151"/>
      <c r="AE57" s="151"/>
      <c r="AF57" s="152"/>
      <c r="AG57" s="165"/>
      <c r="AH57" s="158"/>
      <c r="AI57" s="158"/>
      <c r="AJ57" s="161"/>
      <c r="AK57" s="118"/>
      <c r="AL57" s="118"/>
      <c r="AM57" s="118"/>
      <c r="AN57" s="118"/>
      <c r="AO57" s="118"/>
      <c r="AP57" s="117"/>
      <c r="AQ57" s="117"/>
      <c r="AR57" s="117"/>
      <c r="AS57" s="117"/>
      <c r="AT57" s="117"/>
      <c r="AU57" s="117"/>
    </row>
    <row r="58" spans="15:47" x14ac:dyDescent="0.2">
      <c r="Y58" s="118"/>
      <c r="Z58" s="118"/>
      <c r="AA58" s="118"/>
      <c r="AB58" s="118"/>
      <c r="AC58" s="156"/>
      <c r="AD58" s="151"/>
      <c r="AE58" s="151"/>
      <c r="AF58" s="152"/>
      <c r="AG58" s="165"/>
      <c r="AH58" s="158"/>
      <c r="AI58" s="158"/>
      <c r="AJ58" s="161"/>
      <c r="AK58" s="118"/>
      <c r="AL58" s="118"/>
      <c r="AM58" s="118"/>
      <c r="AN58" s="118"/>
      <c r="AO58" s="118"/>
      <c r="AP58" s="117"/>
      <c r="AQ58" s="117"/>
      <c r="AR58" s="117"/>
      <c r="AS58" s="117"/>
      <c r="AT58" s="117"/>
      <c r="AU58" s="117"/>
    </row>
    <row r="59" spans="15:47" x14ac:dyDescent="0.2">
      <c r="Y59" s="118"/>
      <c r="Z59" s="118"/>
      <c r="AA59" s="118"/>
      <c r="AB59" s="118"/>
      <c r="AC59" s="157"/>
      <c r="AD59" s="153"/>
      <c r="AE59" s="153"/>
      <c r="AF59" s="154"/>
      <c r="AG59" s="166"/>
      <c r="AH59" s="162"/>
      <c r="AI59" s="162"/>
      <c r="AJ59" s="163"/>
      <c r="AK59" s="118"/>
      <c r="AL59" s="118"/>
      <c r="AM59" s="118"/>
      <c r="AN59" s="118"/>
      <c r="AO59" s="118"/>
      <c r="AP59" s="117"/>
      <c r="AQ59" s="117"/>
      <c r="AR59" s="117"/>
      <c r="AS59" s="117"/>
      <c r="AT59" s="117"/>
      <c r="AU59" s="117"/>
    </row>
    <row r="60" spans="15:47" x14ac:dyDescent="0.2">
      <c r="Y60" s="118"/>
      <c r="Z60" s="118"/>
      <c r="AA60" s="118"/>
      <c r="AB60" s="118"/>
      <c r="AC60" s="118"/>
      <c r="AD60" s="118"/>
      <c r="AE60" s="118"/>
      <c r="AF60" s="118"/>
      <c r="AG60" s="118"/>
      <c r="AH60" s="118"/>
      <c r="AI60" s="118"/>
      <c r="AJ60" s="118"/>
      <c r="AK60" s="118"/>
      <c r="AL60" s="118"/>
      <c r="AM60" s="118"/>
      <c r="AN60" s="118"/>
      <c r="AO60" s="118"/>
      <c r="AP60" s="117"/>
      <c r="AQ60" s="117"/>
      <c r="AR60" s="117"/>
      <c r="AS60" s="117"/>
      <c r="AT60" s="117"/>
      <c r="AU60" s="117"/>
    </row>
    <row r="61" spans="15:47" x14ac:dyDescent="0.2">
      <c r="Y61" s="118"/>
      <c r="Z61" s="118"/>
      <c r="AA61" s="118"/>
      <c r="AB61" s="118"/>
      <c r="AC61" s="118"/>
      <c r="AD61" s="118"/>
      <c r="AE61" s="118"/>
      <c r="AF61" s="118"/>
      <c r="AG61" s="118"/>
      <c r="AH61" s="118"/>
      <c r="AI61" s="118"/>
      <c r="AJ61" s="118"/>
      <c r="AK61" s="118"/>
      <c r="AL61" s="118"/>
      <c r="AM61" s="118"/>
      <c r="AN61" s="118"/>
      <c r="AO61" s="118"/>
      <c r="AP61" s="117"/>
      <c r="AQ61" s="117"/>
      <c r="AR61" s="117"/>
      <c r="AS61" s="117"/>
      <c r="AT61" s="117"/>
      <c r="AU61" s="117"/>
    </row>
    <row r="62" spans="15:47" x14ac:dyDescent="0.2">
      <c r="Y62" s="118"/>
      <c r="Z62" s="118"/>
      <c r="AA62" s="118"/>
      <c r="AB62" s="118"/>
      <c r="AC62" s="118"/>
      <c r="AD62" s="118"/>
      <c r="AE62" s="118"/>
      <c r="AF62" s="118"/>
      <c r="AG62" s="118"/>
      <c r="AH62" s="118"/>
      <c r="AI62" s="118"/>
      <c r="AJ62" s="118"/>
      <c r="AK62" s="118"/>
      <c r="AL62" s="118"/>
      <c r="AM62" s="118"/>
      <c r="AN62" s="118"/>
      <c r="AO62" s="118"/>
      <c r="AP62" s="117"/>
      <c r="AQ62" s="117"/>
      <c r="AR62" s="117"/>
      <c r="AS62" s="117"/>
      <c r="AT62" s="117"/>
      <c r="AU62" s="117"/>
    </row>
    <row r="63" spans="15:47" x14ac:dyDescent="0.2">
      <c r="Y63" s="118"/>
      <c r="Z63" s="118"/>
      <c r="AA63" s="118"/>
      <c r="AB63" s="118"/>
      <c r="AC63" s="118"/>
      <c r="AD63" s="118"/>
      <c r="AE63" s="118"/>
      <c r="AF63" s="118"/>
      <c r="AG63" s="118"/>
      <c r="AH63" s="118"/>
      <c r="AI63" s="118"/>
      <c r="AJ63" s="118"/>
      <c r="AK63" s="118"/>
      <c r="AL63" s="118"/>
      <c r="AM63" s="118"/>
      <c r="AN63" s="118"/>
      <c r="AO63" s="118"/>
      <c r="AP63" s="117"/>
      <c r="AQ63" s="117"/>
      <c r="AR63" s="117"/>
      <c r="AS63" s="117"/>
      <c r="AT63" s="117"/>
      <c r="AU63" s="117"/>
    </row>
    <row r="64" spans="15:47" x14ac:dyDescent="0.2">
      <c r="Y64" s="118"/>
      <c r="Z64" s="118"/>
      <c r="AA64" s="118"/>
      <c r="AB64" s="118"/>
      <c r="AC64" s="118"/>
      <c r="AD64" s="118"/>
      <c r="AE64" s="118"/>
      <c r="AF64" s="118"/>
      <c r="AG64" s="118"/>
      <c r="AH64" s="118"/>
      <c r="AI64" s="118"/>
      <c r="AJ64" s="118"/>
      <c r="AK64" s="118"/>
      <c r="AL64" s="118"/>
      <c r="AM64" s="118"/>
      <c r="AN64" s="118"/>
      <c r="AO64" s="118"/>
      <c r="AP64" s="117"/>
      <c r="AQ64" s="117"/>
      <c r="AR64" s="117"/>
      <c r="AS64" s="117"/>
      <c r="AT64" s="117"/>
      <c r="AU64" s="117"/>
    </row>
    <row r="65" spans="25:47" x14ac:dyDescent="0.2">
      <c r="Y65" s="118"/>
      <c r="Z65" s="118"/>
      <c r="AA65" s="118"/>
      <c r="AB65" s="118"/>
      <c r="AC65" s="118"/>
      <c r="AD65" s="118"/>
      <c r="AE65" s="118"/>
      <c r="AF65" s="118"/>
      <c r="AG65" s="118"/>
      <c r="AH65" s="118"/>
      <c r="AI65" s="118"/>
      <c r="AJ65" s="118"/>
      <c r="AK65" s="118"/>
      <c r="AL65" s="118"/>
      <c r="AM65" s="118"/>
      <c r="AN65" s="118"/>
      <c r="AO65" s="118"/>
      <c r="AP65" s="117"/>
      <c r="AQ65" s="117"/>
      <c r="AR65" s="117"/>
      <c r="AS65" s="117"/>
      <c r="AT65" s="117"/>
      <c r="AU65" s="117"/>
    </row>
    <row r="66" spans="25:47" x14ac:dyDescent="0.2">
      <c r="Y66" s="118"/>
      <c r="Z66" s="118"/>
      <c r="AA66" s="118"/>
      <c r="AB66" s="118"/>
      <c r="AC66" s="118"/>
      <c r="AD66" s="118"/>
      <c r="AE66" s="118"/>
      <c r="AF66" s="118"/>
      <c r="AG66" s="118"/>
      <c r="AH66" s="118"/>
      <c r="AI66" s="118"/>
      <c r="AJ66" s="118"/>
      <c r="AK66" s="118"/>
      <c r="AL66" s="118"/>
      <c r="AM66" s="118"/>
      <c r="AN66" s="118"/>
      <c r="AO66" s="118"/>
      <c r="AP66" s="117"/>
      <c r="AQ66" s="117"/>
      <c r="AR66" s="117"/>
      <c r="AS66" s="117"/>
      <c r="AT66" s="117"/>
      <c r="AU66" s="117"/>
    </row>
    <row r="67" spans="25:47" x14ac:dyDescent="0.2">
      <c r="Y67" s="118"/>
      <c r="Z67" s="118"/>
      <c r="AA67" s="118"/>
      <c r="AB67" s="118"/>
      <c r="AC67" s="118"/>
      <c r="AD67" s="118"/>
      <c r="AE67" s="118"/>
      <c r="AF67" s="118"/>
      <c r="AG67" s="118"/>
      <c r="AH67" s="118"/>
      <c r="AI67" s="118"/>
      <c r="AJ67" s="118"/>
      <c r="AK67" s="118"/>
      <c r="AL67" s="118"/>
      <c r="AM67" s="118"/>
      <c r="AN67" s="118"/>
      <c r="AO67" s="118"/>
      <c r="AP67" s="117"/>
      <c r="AQ67" s="117"/>
      <c r="AR67" s="117"/>
      <c r="AS67" s="117"/>
      <c r="AT67" s="117"/>
      <c r="AU67" s="117"/>
    </row>
    <row r="68" spans="25:47" x14ac:dyDescent="0.2">
      <c r="Y68" s="118"/>
      <c r="Z68" s="118"/>
      <c r="AA68" s="118"/>
      <c r="AB68" s="118"/>
      <c r="AC68" s="118"/>
      <c r="AD68" s="118"/>
      <c r="AE68" s="118"/>
      <c r="AF68" s="118"/>
      <c r="AG68" s="118"/>
      <c r="AH68" s="118"/>
      <c r="AI68" s="118"/>
      <c r="AJ68" s="118"/>
      <c r="AK68" s="118"/>
      <c r="AL68" s="118"/>
      <c r="AM68" s="118"/>
      <c r="AN68" s="118"/>
      <c r="AO68" s="118"/>
      <c r="AP68" s="117"/>
      <c r="AQ68" s="117"/>
      <c r="AR68" s="117"/>
      <c r="AS68" s="117"/>
      <c r="AT68" s="117"/>
      <c r="AU68" s="117"/>
    </row>
    <row r="69" spans="25:47" x14ac:dyDescent="0.2">
      <c r="Y69" s="118"/>
      <c r="Z69" s="118"/>
      <c r="AA69" s="118"/>
      <c r="AB69" s="118"/>
      <c r="AC69" s="118"/>
      <c r="AD69" s="118"/>
      <c r="AE69" s="118"/>
      <c r="AF69" s="118"/>
      <c r="AG69" s="118"/>
      <c r="AH69" s="118"/>
      <c r="AI69" s="118"/>
      <c r="AJ69" s="118"/>
      <c r="AK69" s="118"/>
      <c r="AL69" s="118"/>
      <c r="AM69" s="118"/>
      <c r="AN69" s="118"/>
      <c r="AO69" s="118"/>
      <c r="AP69" s="117"/>
      <c r="AQ69" s="117"/>
      <c r="AR69" s="117"/>
      <c r="AS69" s="117"/>
      <c r="AT69" s="117"/>
      <c r="AU69" s="117"/>
    </row>
    <row r="70" spans="25:47" x14ac:dyDescent="0.2">
      <c r="Y70" s="118"/>
      <c r="Z70" s="118"/>
      <c r="AA70" s="118"/>
      <c r="AB70" s="118"/>
      <c r="AC70" s="118"/>
      <c r="AD70" s="118"/>
      <c r="AE70" s="118"/>
      <c r="AF70" s="118"/>
      <c r="AG70" s="118"/>
      <c r="AH70" s="118"/>
      <c r="AI70" s="118"/>
      <c r="AJ70" s="118"/>
      <c r="AK70" s="118"/>
      <c r="AL70" s="118"/>
      <c r="AM70" s="118"/>
      <c r="AN70" s="118"/>
      <c r="AO70" s="118"/>
      <c r="AP70" s="117"/>
      <c r="AQ70" s="117"/>
      <c r="AR70" s="117"/>
      <c r="AS70" s="117"/>
      <c r="AT70" s="117"/>
      <c r="AU70" s="117"/>
    </row>
    <row r="71" spans="25:47" x14ac:dyDescent="0.2">
      <c r="Y71" s="118"/>
      <c r="Z71" s="118"/>
      <c r="AA71" s="118"/>
      <c r="AB71" s="118"/>
      <c r="AC71" s="118"/>
      <c r="AD71" s="118"/>
      <c r="AE71" s="118"/>
      <c r="AF71" s="118"/>
      <c r="AG71" s="118"/>
      <c r="AH71" s="118"/>
      <c r="AI71" s="118"/>
      <c r="AJ71" s="118"/>
      <c r="AK71" s="118"/>
      <c r="AL71" s="118"/>
      <c r="AM71" s="118"/>
      <c r="AN71" s="118"/>
      <c r="AO71" s="118"/>
      <c r="AP71" s="117"/>
      <c r="AQ71" s="117"/>
      <c r="AR71" s="117"/>
      <c r="AS71" s="117"/>
      <c r="AT71" s="117"/>
      <c r="AU71" s="117"/>
    </row>
    <row r="72" spans="25:47" x14ac:dyDescent="0.2">
      <c r="Y72" s="118"/>
      <c r="Z72" s="118"/>
      <c r="AA72" s="118"/>
      <c r="AB72" s="118"/>
      <c r="AC72" s="118"/>
      <c r="AD72" s="118"/>
      <c r="AE72" s="118"/>
      <c r="AF72" s="118"/>
      <c r="AG72" s="118"/>
      <c r="AH72" s="118"/>
      <c r="AI72" s="118"/>
      <c r="AJ72" s="118"/>
      <c r="AK72" s="118"/>
      <c r="AL72" s="118"/>
      <c r="AM72" s="118"/>
      <c r="AN72" s="118"/>
      <c r="AO72" s="118"/>
      <c r="AP72" s="117"/>
      <c r="AQ72" s="117"/>
      <c r="AR72" s="117"/>
      <c r="AS72" s="117"/>
      <c r="AT72" s="117"/>
      <c r="AU72" s="117"/>
    </row>
    <row r="73" spans="25:47" x14ac:dyDescent="0.2">
      <c r="Y73" s="118"/>
      <c r="Z73" s="118"/>
      <c r="AA73" s="118"/>
      <c r="AB73" s="118"/>
      <c r="AC73" s="118"/>
      <c r="AD73" s="118"/>
      <c r="AE73" s="118"/>
      <c r="AF73" s="118"/>
      <c r="AG73" s="118"/>
      <c r="AH73" s="118"/>
      <c r="AI73" s="118"/>
      <c r="AJ73" s="118"/>
      <c r="AK73" s="118"/>
      <c r="AL73" s="118"/>
      <c r="AM73" s="118"/>
      <c r="AN73" s="118"/>
      <c r="AO73" s="118"/>
      <c r="AP73" s="117"/>
      <c r="AQ73" s="117"/>
      <c r="AR73" s="117"/>
      <c r="AS73" s="117"/>
      <c r="AT73" s="117"/>
      <c r="AU73" s="117"/>
    </row>
    <row r="74" spans="25:47" x14ac:dyDescent="0.2">
      <c r="Y74" s="118"/>
      <c r="Z74" s="118"/>
      <c r="AA74" s="118"/>
      <c r="AB74" s="118"/>
      <c r="AC74" s="118"/>
      <c r="AD74" s="118"/>
      <c r="AE74" s="118"/>
      <c r="AF74" s="118"/>
      <c r="AG74" s="118"/>
      <c r="AH74" s="118"/>
      <c r="AI74" s="118"/>
      <c r="AJ74" s="118"/>
      <c r="AK74" s="118"/>
      <c r="AL74" s="118"/>
      <c r="AM74" s="118"/>
      <c r="AN74" s="118"/>
      <c r="AO74" s="118"/>
      <c r="AP74" s="117"/>
      <c r="AQ74" s="117"/>
      <c r="AR74" s="117"/>
      <c r="AS74" s="117"/>
      <c r="AT74" s="117"/>
      <c r="AU74" s="117"/>
    </row>
    <row r="75" spans="25:47" x14ac:dyDescent="0.2">
      <c r="Y75" s="118"/>
      <c r="Z75" s="118"/>
      <c r="AA75" s="118"/>
      <c r="AB75" s="118"/>
      <c r="AC75" s="118"/>
      <c r="AD75" s="118"/>
      <c r="AE75" s="118"/>
      <c r="AF75" s="118"/>
      <c r="AG75" s="118"/>
      <c r="AH75" s="118"/>
      <c r="AI75" s="118"/>
      <c r="AJ75" s="118"/>
      <c r="AK75" s="118"/>
      <c r="AL75" s="118"/>
      <c r="AM75" s="118"/>
      <c r="AN75" s="118"/>
      <c r="AO75" s="118"/>
      <c r="AP75" s="117"/>
      <c r="AQ75" s="117"/>
      <c r="AR75" s="117"/>
      <c r="AS75" s="117"/>
      <c r="AT75" s="117"/>
      <c r="AU75" s="117"/>
    </row>
    <row r="76" spans="25:47" x14ac:dyDescent="0.2">
      <c r="Y76" s="118"/>
      <c r="Z76" s="118"/>
      <c r="AA76" s="118"/>
      <c r="AB76" s="118"/>
      <c r="AC76" s="118"/>
      <c r="AD76" s="118"/>
      <c r="AE76" s="118"/>
      <c r="AF76" s="118"/>
      <c r="AG76" s="118"/>
      <c r="AH76" s="118"/>
      <c r="AI76" s="118"/>
      <c r="AJ76" s="118"/>
      <c r="AK76" s="118"/>
      <c r="AL76" s="118"/>
      <c r="AM76" s="118"/>
      <c r="AN76" s="118"/>
      <c r="AO76" s="118"/>
      <c r="AP76" s="117"/>
      <c r="AQ76" s="117"/>
      <c r="AR76" s="117"/>
      <c r="AS76" s="117"/>
      <c r="AT76" s="117"/>
      <c r="AU76" s="117"/>
    </row>
    <row r="77" spans="25:47" x14ac:dyDescent="0.2">
      <c r="Y77" s="118"/>
      <c r="Z77" s="118"/>
      <c r="AA77" s="118"/>
      <c r="AB77" s="118"/>
      <c r="AC77" s="118"/>
      <c r="AD77" s="118"/>
      <c r="AE77" s="118"/>
      <c r="AF77" s="118"/>
      <c r="AG77" s="118"/>
      <c r="AH77" s="118"/>
      <c r="AI77" s="118"/>
      <c r="AJ77" s="118"/>
      <c r="AK77" s="118"/>
      <c r="AL77" s="118"/>
      <c r="AM77" s="118"/>
      <c r="AN77" s="118"/>
      <c r="AO77" s="118"/>
      <c r="AP77" s="117"/>
      <c r="AQ77" s="117"/>
      <c r="AR77" s="117"/>
      <c r="AS77" s="117"/>
      <c r="AT77" s="117"/>
      <c r="AU77" s="117"/>
    </row>
    <row r="78" spans="25:47" x14ac:dyDescent="0.2">
      <c r="Y78" s="118"/>
      <c r="Z78" s="118"/>
      <c r="AA78" s="118"/>
      <c r="AB78" s="118"/>
      <c r="AC78" s="118"/>
      <c r="AD78" s="118"/>
      <c r="AE78" s="118"/>
      <c r="AF78" s="118"/>
      <c r="AG78" s="118"/>
      <c r="AH78" s="118"/>
      <c r="AI78" s="118"/>
      <c r="AJ78" s="118"/>
      <c r="AK78" s="118"/>
      <c r="AL78" s="118"/>
      <c r="AM78" s="118"/>
      <c r="AN78" s="118"/>
      <c r="AO78" s="118"/>
      <c r="AP78" s="117"/>
      <c r="AQ78" s="117"/>
      <c r="AR78" s="117"/>
      <c r="AS78" s="117"/>
      <c r="AT78" s="117"/>
      <c r="AU78" s="117"/>
    </row>
    <row r="79" spans="25:47" x14ac:dyDescent="0.2">
      <c r="Y79" s="118"/>
      <c r="Z79" s="118"/>
      <c r="AA79" s="118"/>
      <c r="AB79" s="118"/>
      <c r="AC79" s="118"/>
      <c r="AD79" s="118"/>
      <c r="AE79" s="118"/>
      <c r="AF79" s="118"/>
      <c r="AG79" s="118"/>
      <c r="AH79" s="118"/>
      <c r="AI79" s="118"/>
      <c r="AJ79" s="118"/>
      <c r="AK79" s="118"/>
      <c r="AL79" s="118"/>
      <c r="AM79" s="118"/>
      <c r="AN79" s="118"/>
      <c r="AO79" s="118"/>
      <c r="AP79" s="117"/>
      <c r="AQ79" s="117"/>
      <c r="AR79" s="117"/>
      <c r="AS79" s="117"/>
      <c r="AT79" s="117"/>
      <c r="AU79" s="117"/>
    </row>
    <row r="80" spans="25:47" x14ac:dyDescent="0.2">
      <c r="Y80" s="118"/>
      <c r="Z80" s="118"/>
      <c r="AA80" s="118"/>
      <c r="AB80" s="118"/>
      <c r="AC80" s="118"/>
      <c r="AD80" s="118"/>
      <c r="AE80" s="118"/>
      <c r="AF80" s="118"/>
      <c r="AG80" s="118"/>
      <c r="AH80" s="118"/>
      <c r="AI80" s="118"/>
      <c r="AJ80" s="118"/>
      <c r="AK80" s="118"/>
      <c r="AL80" s="118"/>
      <c r="AM80" s="118"/>
      <c r="AN80" s="118"/>
      <c r="AO80" s="118"/>
      <c r="AP80" s="117"/>
      <c r="AQ80" s="117"/>
      <c r="AR80" s="117"/>
      <c r="AS80" s="117"/>
      <c r="AT80" s="117"/>
      <c r="AU80" s="117"/>
    </row>
    <row r="81" spans="25:47" x14ac:dyDescent="0.2">
      <c r="Y81" s="118"/>
      <c r="Z81" s="118"/>
      <c r="AA81" s="118"/>
      <c r="AB81" s="118"/>
      <c r="AC81" s="118"/>
      <c r="AD81" s="118"/>
      <c r="AE81" s="118"/>
      <c r="AF81" s="118"/>
      <c r="AG81" s="118"/>
      <c r="AH81" s="118"/>
      <c r="AI81" s="118"/>
      <c r="AJ81" s="118"/>
      <c r="AK81" s="118"/>
      <c r="AL81" s="118"/>
      <c r="AM81" s="118"/>
      <c r="AN81" s="118"/>
      <c r="AO81" s="118"/>
      <c r="AP81" s="117"/>
      <c r="AQ81" s="117"/>
      <c r="AR81" s="117"/>
      <c r="AS81" s="117"/>
      <c r="AT81" s="117"/>
      <c r="AU81" s="117"/>
    </row>
    <row r="82" spans="25:47" x14ac:dyDescent="0.2">
      <c r="Y82" s="118"/>
      <c r="Z82" s="118"/>
      <c r="AA82" s="118"/>
      <c r="AB82" s="118"/>
      <c r="AC82" s="118"/>
      <c r="AD82" s="118"/>
      <c r="AE82" s="118"/>
      <c r="AF82" s="118"/>
      <c r="AG82" s="118"/>
      <c r="AH82" s="118"/>
      <c r="AI82" s="118"/>
      <c r="AJ82" s="118"/>
      <c r="AK82" s="118"/>
      <c r="AL82" s="118"/>
      <c r="AM82" s="118"/>
      <c r="AN82" s="118"/>
      <c r="AO82" s="118"/>
      <c r="AP82" s="117"/>
      <c r="AQ82" s="117"/>
      <c r="AR82" s="117"/>
      <c r="AS82" s="117"/>
      <c r="AT82" s="117"/>
      <c r="AU82" s="117"/>
    </row>
    <row r="83" spans="25:47" x14ac:dyDescent="0.2">
      <c r="Y83" s="118"/>
      <c r="Z83" s="118"/>
      <c r="AA83" s="118"/>
      <c r="AB83" s="118"/>
      <c r="AC83" s="118"/>
      <c r="AD83" s="118"/>
      <c r="AE83" s="118"/>
      <c r="AF83" s="118"/>
      <c r="AG83" s="118"/>
      <c r="AH83" s="118"/>
      <c r="AI83" s="118"/>
      <c r="AJ83" s="118"/>
      <c r="AK83" s="118"/>
      <c r="AL83" s="118"/>
      <c r="AM83" s="118"/>
      <c r="AN83" s="118"/>
      <c r="AO83" s="118"/>
      <c r="AP83" s="117"/>
      <c r="AQ83" s="117"/>
      <c r="AR83" s="117"/>
      <c r="AS83" s="117"/>
      <c r="AT83" s="117"/>
      <c r="AU83" s="117"/>
    </row>
    <row r="84" spans="25:47" x14ac:dyDescent="0.2">
      <c r="Y84" s="118"/>
      <c r="Z84" s="118"/>
      <c r="AA84" s="118"/>
      <c r="AB84" s="118"/>
      <c r="AC84" s="118"/>
      <c r="AD84" s="118"/>
      <c r="AE84" s="118"/>
      <c r="AF84" s="118"/>
      <c r="AG84" s="118"/>
      <c r="AH84" s="118"/>
      <c r="AI84" s="118"/>
      <c r="AJ84" s="118"/>
      <c r="AK84" s="118"/>
      <c r="AL84" s="118"/>
      <c r="AM84" s="118"/>
      <c r="AN84" s="118"/>
      <c r="AO84" s="118"/>
      <c r="AP84" s="117"/>
      <c r="AQ84" s="117"/>
      <c r="AR84" s="117"/>
      <c r="AS84" s="117"/>
      <c r="AT84" s="117"/>
      <c r="AU84" s="117"/>
    </row>
    <row r="85" spans="25:47" x14ac:dyDescent="0.2">
      <c r="Y85" s="118"/>
      <c r="Z85" s="118"/>
      <c r="AA85" s="118"/>
      <c r="AB85" s="118"/>
      <c r="AC85" s="118"/>
      <c r="AD85" s="118"/>
      <c r="AE85" s="118"/>
      <c r="AF85" s="118"/>
      <c r="AG85" s="118"/>
      <c r="AH85" s="118"/>
      <c r="AI85" s="118"/>
      <c r="AJ85" s="118"/>
      <c r="AK85" s="118"/>
      <c r="AL85" s="118"/>
      <c r="AM85" s="118"/>
      <c r="AN85" s="118"/>
      <c r="AO85" s="118"/>
      <c r="AP85" s="117"/>
      <c r="AQ85" s="117"/>
      <c r="AR85" s="117"/>
      <c r="AS85" s="117"/>
      <c r="AT85" s="117"/>
      <c r="AU85" s="117"/>
    </row>
    <row r="86" spans="25:47" x14ac:dyDescent="0.2">
      <c r="Y86" s="118"/>
      <c r="Z86" s="118"/>
      <c r="AA86" s="118"/>
      <c r="AB86" s="118"/>
      <c r="AC86" s="118"/>
      <c r="AD86" s="118"/>
      <c r="AE86" s="118"/>
      <c r="AF86" s="118"/>
      <c r="AG86" s="118"/>
      <c r="AH86" s="118"/>
      <c r="AI86" s="118"/>
      <c r="AJ86" s="118"/>
      <c r="AK86" s="118"/>
      <c r="AL86" s="118"/>
      <c r="AM86" s="118"/>
      <c r="AN86" s="118"/>
      <c r="AO86" s="118"/>
      <c r="AP86" s="117"/>
      <c r="AQ86" s="117"/>
      <c r="AR86" s="117"/>
      <c r="AS86" s="117"/>
      <c r="AT86" s="117"/>
      <c r="AU86" s="117"/>
    </row>
    <row r="87" spans="25:47" x14ac:dyDescent="0.2">
      <c r="Y87" s="118"/>
      <c r="Z87" s="118"/>
      <c r="AA87" s="118"/>
      <c r="AB87" s="118"/>
      <c r="AC87" s="118"/>
      <c r="AD87" s="118"/>
      <c r="AE87" s="118"/>
      <c r="AF87" s="118"/>
      <c r="AG87" s="118"/>
      <c r="AH87" s="118"/>
      <c r="AI87" s="118"/>
      <c r="AJ87" s="118"/>
      <c r="AK87" s="118"/>
      <c r="AL87" s="118"/>
      <c r="AM87" s="118"/>
      <c r="AN87" s="118"/>
      <c r="AO87" s="118"/>
      <c r="AP87" s="117"/>
      <c r="AQ87" s="117"/>
      <c r="AR87" s="117"/>
      <c r="AS87" s="117"/>
      <c r="AT87" s="117"/>
      <c r="AU87" s="117"/>
    </row>
    <row r="88" spans="25:47" x14ac:dyDescent="0.2">
      <c r="Y88" s="118"/>
      <c r="Z88" s="118"/>
      <c r="AA88" s="118"/>
      <c r="AB88" s="118"/>
      <c r="AC88" s="118"/>
      <c r="AD88" s="118"/>
      <c r="AE88" s="118"/>
      <c r="AF88" s="118"/>
      <c r="AG88" s="118"/>
      <c r="AH88" s="118"/>
      <c r="AI88" s="118"/>
      <c r="AJ88" s="118"/>
      <c r="AK88" s="118"/>
      <c r="AL88" s="118"/>
      <c r="AM88" s="118"/>
      <c r="AN88" s="118"/>
      <c r="AO88" s="118"/>
      <c r="AP88" s="117"/>
      <c r="AQ88" s="117"/>
      <c r="AR88" s="117"/>
      <c r="AS88" s="117"/>
      <c r="AT88" s="117"/>
      <c r="AU88" s="117"/>
    </row>
    <row r="89" spans="25:47" x14ac:dyDescent="0.2">
      <c r="Y89" s="118"/>
      <c r="Z89" s="118"/>
      <c r="AA89" s="118"/>
      <c r="AB89" s="118"/>
      <c r="AC89" s="118"/>
      <c r="AD89" s="118"/>
      <c r="AE89" s="118"/>
      <c r="AF89" s="118"/>
      <c r="AG89" s="118"/>
      <c r="AH89" s="118"/>
      <c r="AI89" s="118"/>
      <c r="AJ89" s="118"/>
      <c r="AK89" s="118"/>
      <c r="AL89" s="118"/>
      <c r="AM89" s="118"/>
      <c r="AN89" s="118"/>
      <c r="AO89" s="118"/>
      <c r="AP89" s="117"/>
      <c r="AQ89" s="117"/>
      <c r="AR89" s="117"/>
      <c r="AS89" s="117"/>
      <c r="AT89" s="117"/>
      <c r="AU89" s="117"/>
    </row>
    <row r="90" spans="25:47" x14ac:dyDescent="0.2">
      <c r="Y90" s="118"/>
      <c r="Z90" s="118"/>
      <c r="AA90" s="118"/>
      <c r="AB90" s="118"/>
      <c r="AC90" s="118"/>
      <c r="AD90" s="118"/>
      <c r="AE90" s="118"/>
      <c r="AF90" s="118"/>
      <c r="AG90" s="118"/>
      <c r="AH90" s="118"/>
      <c r="AI90" s="118"/>
      <c r="AJ90" s="118"/>
      <c r="AK90" s="118"/>
      <c r="AL90" s="118"/>
      <c r="AM90" s="118"/>
      <c r="AN90" s="118"/>
      <c r="AO90" s="118"/>
      <c r="AP90" s="117"/>
      <c r="AQ90" s="117"/>
      <c r="AR90" s="117"/>
      <c r="AS90" s="117"/>
      <c r="AT90" s="117"/>
      <c r="AU90" s="117"/>
    </row>
    <row r="91" spans="25:47" x14ac:dyDescent="0.2">
      <c r="Y91" s="118"/>
      <c r="Z91" s="118"/>
      <c r="AA91" s="118"/>
      <c r="AB91" s="118"/>
      <c r="AC91" s="118"/>
      <c r="AD91" s="118"/>
      <c r="AE91" s="118"/>
      <c r="AF91" s="118"/>
      <c r="AG91" s="118"/>
      <c r="AH91" s="118"/>
      <c r="AI91" s="118"/>
      <c r="AJ91" s="118"/>
      <c r="AK91" s="118"/>
      <c r="AL91" s="118"/>
      <c r="AM91" s="118"/>
      <c r="AN91" s="118"/>
      <c r="AO91" s="118"/>
      <c r="AP91" s="117"/>
      <c r="AQ91" s="117"/>
      <c r="AR91" s="117"/>
      <c r="AS91" s="117"/>
      <c r="AT91" s="117"/>
      <c r="AU91" s="117"/>
    </row>
    <row r="92" spans="25:47" x14ac:dyDescent="0.2">
      <c r="Y92" s="118"/>
      <c r="Z92" s="118"/>
      <c r="AA92" s="118"/>
      <c r="AB92" s="118"/>
      <c r="AC92" s="118"/>
      <c r="AD92" s="118"/>
      <c r="AE92" s="118"/>
      <c r="AF92" s="118"/>
      <c r="AG92" s="118"/>
      <c r="AH92" s="118"/>
      <c r="AI92" s="118"/>
      <c r="AJ92" s="118"/>
      <c r="AK92" s="118"/>
      <c r="AL92" s="118"/>
      <c r="AM92" s="118"/>
      <c r="AN92" s="118"/>
      <c r="AO92" s="118"/>
      <c r="AP92" s="117"/>
      <c r="AQ92" s="117"/>
      <c r="AR92" s="117"/>
      <c r="AS92" s="117"/>
      <c r="AT92" s="117"/>
      <c r="AU92" s="117"/>
    </row>
    <row r="93" spans="25:47" x14ac:dyDescent="0.2">
      <c r="Y93" s="118"/>
      <c r="Z93" s="118"/>
      <c r="AA93" s="118"/>
      <c r="AB93" s="118"/>
      <c r="AC93" s="118"/>
      <c r="AD93" s="118"/>
      <c r="AE93" s="118"/>
      <c r="AF93" s="118"/>
      <c r="AG93" s="118"/>
      <c r="AH93" s="118"/>
      <c r="AI93" s="118"/>
      <c r="AJ93" s="118"/>
      <c r="AK93" s="118"/>
      <c r="AL93" s="118"/>
      <c r="AM93" s="118"/>
      <c r="AN93" s="118"/>
      <c r="AO93" s="118"/>
      <c r="AP93" s="117"/>
      <c r="AQ93" s="117"/>
      <c r="AR93" s="117"/>
      <c r="AS93" s="117"/>
      <c r="AT93" s="117"/>
      <c r="AU93" s="117"/>
    </row>
    <row r="94" spans="25:47" x14ac:dyDescent="0.2">
      <c r="Y94" s="118"/>
      <c r="Z94" s="118"/>
      <c r="AA94" s="118"/>
      <c r="AB94" s="118"/>
      <c r="AC94" s="118"/>
      <c r="AD94" s="118"/>
      <c r="AE94" s="118"/>
      <c r="AF94" s="118"/>
      <c r="AG94" s="118"/>
      <c r="AH94" s="118"/>
      <c r="AI94" s="118"/>
      <c r="AJ94" s="118"/>
      <c r="AK94" s="118"/>
      <c r="AL94" s="118"/>
      <c r="AM94" s="118"/>
      <c r="AN94" s="118"/>
      <c r="AO94" s="118"/>
      <c r="AP94" s="117"/>
      <c r="AQ94" s="117"/>
      <c r="AR94" s="117"/>
      <c r="AS94" s="117"/>
      <c r="AT94" s="117"/>
      <c r="AU94" s="117"/>
    </row>
    <row r="95" spans="25:47" x14ac:dyDescent="0.2">
      <c r="Y95" s="118"/>
      <c r="Z95" s="118"/>
      <c r="AA95" s="118"/>
      <c r="AB95" s="118"/>
      <c r="AC95" s="118"/>
      <c r="AD95" s="118"/>
      <c r="AE95" s="118"/>
      <c r="AF95" s="118"/>
      <c r="AG95" s="118"/>
      <c r="AH95" s="118"/>
      <c r="AI95" s="118"/>
      <c r="AJ95" s="118"/>
      <c r="AK95" s="118"/>
      <c r="AL95" s="118"/>
      <c r="AM95" s="118"/>
      <c r="AN95" s="118"/>
      <c r="AO95" s="118"/>
      <c r="AP95" s="117"/>
      <c r="AQ95" s="117"/>
      <c r="AR95" s="117"/>
      <c r="AS95" s="117"/>
      <c r="AT95" s="117"/>
      <c r="AU95" s="117"/>
    </row>
    <row r="96" spans="25:47" x14ac:dyDescent="0.2">
      <c r="Y96" s="118"/>
      <c r="Z96" s="118"/>
      <c r="AA96" s="118"/>
      <c r="AB96" s="118"/>
      <c r="AC96" s="118"/>
      <c r="AD96" s="118"/>
      <c r="AE96" s="118"/>
      <c r="AF96" s="118"/>
      <c r="AG96" s="118"/>
      <c r="AH96" s="118"/>
      <c r="AI96" s="118"/>
      <c r="AJ96" s="118"/>
      <c r="AK96" s="118"/>
      <c r="AL96" s="118"/>
      <c r="AM96" s="118"/>
      <c r="AN96" s="118"/>
      <c r="AO96" s="118"/>
      <c r="AP96" s="117"/>
      <c r="AQ96" s="117"/>
      <c r="AR96" s="117"/>
      <c r="AS96" s="117"/>
      <c r="AT96" s="117"/>
      <c r="AU96" s="117"/>
    </row>
    <row r="97" spans="25:47" x14ac:dyDescent="0.2">
      <c r="Y97" s="118"/>
      <c r="Z97" s="118"/>
      <c r="AA97" s="118"/>
      <c r="AB97" s="118"/>
      <c r="AC97" s="118"/>
      <c r="AD97" s="118"/>
      <c r="AE97" s="118"/>
      <c r="AF97" s="118"/>
      <c r="AG97" s="118"/>
      <c r="AH97" s="118"/>
      <c r="AI97" s="118"/>
      <c r="AJ97" s="118"/>
      <c r="AK97" s="118"/>
      <c r="AL97" s="118"/>
      <c r="AM97" s="118"/>
      <c r="AN97" s="118"/>
      <c r="AO97" s="118"/>
      <c r="AP97" s="117"/>
      <c r="AQ97" s="117"/>
      <c r="AR97" s="117"/>
      <c r="AS97" s="117"/>
      <c r="AT97" s="117"/>
      <c r="AU97" s="117"/>
    </row>
    <row r="98" spans="25:47" x14ac:dyDescent="0.2">
      <c r="Y98" s="118"/>
      <c r="Z98" s="118"/>
      <c r="AA98" s="118"/>
      <c r="AB98" s="118"/>
      <c r="AC98" s="118"/>
      <c r="AD98" s="118"/>
      <c r="AE98" s="118"/>
      <c r="AF98" s="118"/>
      <c r="AG98" s="118"/>
      <c r="AH98" s="118"/>
      <c r="AI98" s="118"/>
      <c r="AJ98" s="118"/>
      <c r="AK98" s="118"/>
      <c r="AL98" s="118"/>
      <c r="AM98" s="118"/>
      <c r="AN98" s="118"/>
      <c r="AO98" s="118"/>
      <c r="AP98" s="117"/>
      <c r="AQ98" s="117"/>
      <c r="AR98" s="117"/>
      <c r="AS98" s="117"/>
      <c r="AT98" s="117"/>
      <c r="AU98" s="117"/>
    </row>
    <row r="99" spans="25:47" x14ac:dyDescent="0.2">
      <c r="Y99" s="118"/>
      <c r="Z99" s="118"/>
      <c r="AA99" s="118"/>
      <c r="AB99" s="118"/>
      <c r="AC99" s="118"/>
      <c r="AD99" s="118"/>
      <c r="AE99" s="118"/>
      <c r="AF99" s="118"/>
      <c r="AG99" s="118"/>
      <c r="AH99" s="118"/>
      <c r="AI99" s="118"/>
      <c r="AJ99" s="118"/>
      <c r="AK99" s="118"/>
      <c r="AL99" s="118"/>
      <c r="AM99" s="118"/>
      <c r="AN99" s="118"/>
      <c r="AO99" s="118"/>
      <c r="AP99" s="117"/>
      <c r="AQ99" s="117"/>
      <c r="AR99" s="117"/>
      <c r="AS99" s="117"/>
      <c r="AT99" s="117"/>
      <c r="AU99" s="117"/>
    </row>
    <row r="100" spans="25:47" x14ac:dyDescent="0.2">
      <c r="Y100" s="118"/>
      <c r="Z100" s="118"/>
      <c r="AA100" s="118"/>
      <c r="AB100" s="118"/>
      <c r="AC100" s="118"/>
      <c r="AD100" s="118"/>
      <c r="AE100" s="118"/>
      <c r="AF100" s="118"/>
      <c r="AG100" s="118"/>
      <c r="AH100" s="118"/>
      <c r="AI100" s="118"/>
      <c r="AJ100" s="118"/>
      <c r="AK100" s="118"/>
      <c r="AL100" s="118"/>
      <c r="AM100" s="118"/>
      <c r="AN100" s="118"/>
      <c r="AO100" s="118"/>
      <c r="AP100" s="117"/>
      <c r="AQ100" s="117"/>
      <c r="AR100" s="117"/>
      <c r="AS100" s="117"/>
      <c r="AT100" s="117"/>
      <c r="AU100" s="117"/>
    </row>
    <row r="101" spans="25:47" x14ac:dyDescent="0.2">
      <c r="Y101" s="118"/>
      <c r="Z101" s="118"/>
      <c r="AA101" s="118"/>
      <c r="AB101" s="118"/>
      <c r="AC101" s="118"/>
      <c r="AD101" s="118"/>
      <c r="AE101" s="118"/>
      <c r="AF101" s="118"/>
      <c r="AG101" s="118"/>
      <c r="AH101" s="118"/>
      <c r="AI101" s="118"/>
      <c r="AJ101" s="118"/>
      <c r="AK101" s="118"/>
      <c r="AL101" s="118"/>
      <c r="AM101" s="118"/>
      <c r="AN101" s="118"/>
      <c r="AO101" s="118"/>
      <c r="AP101" s="117"/>
      <c r="AQ101" s="117"/>
      <c r="AR101" s="117"/>
      <c r="AS101" s="117"/>
      <c r="AT101" s="117"/>
      <c r="AU101" s="117"/>
    </row>
    <row r="102" spans="25:47" x14ac:dyDescent="0.2">
      <c r="Y102" s="118"/>
      <c r="Z102" s="118"/>
      <c r="AA102" s="118"/>
      <c r="AB102" s="118"/>
      <c r="AC102" s="118"/>
      <c r="AD102" s="118"/>
      <c r="AE102" s="118"/>
      <c r="AF102" s="118"/>
      <c r="AG102" s="118"/>
      <c r="AH102" s="118"/>
      <c r="AI102" s="118"/>
      <c r="AJ102" s="118"/>
      <c r="AK102" s="118"/>
      <c r="AL102" s="118"/>
      <c r="AM102" s="118"/>
      <c r="AN102" s="118"/>
      <c r="AO102" s="118"/>
      <c r="AP102" s="117"/>
      <c r="AQ102" s="117"/>
      <c r="AR102" s="117"/>
      <c r="AS102" s="117"/>
      <c r="AT102" s="117"/>
      <c r="AU102" s="117"/>
    </row>
    <row r="103" spans="25:47" x14ac:dyDescent="0.2">
      <c r="Y103" s="118"/>
      <c r="Z103" s="118"/>
      <c r="AA103" s="118"/>
      <c r="AB103" s="118"/>
      <c r="AC103" s="118"/>
      <c r="AD103" s="118"/>
      <c r="AE103" s="118"/>
      <c r="AF103" s="118"/>
      <c r="AG103" s="118"/>
      <c r="AH103" s="118"/>
      <c r="AI103" s="118"/>
      <c r="AJ103" s="118"/>
      <c r="AK103" s="118"/>
      <c r="AL103" s="118"/>
      <c r="AM103" s="118"/>
      <c r="AN103" s="118"/>
      <c r="AO103" s="118"/>
      <c r="AP103" s="117"/>
      <c r="AQ103" s="117"/>
      <c r="AR103" s="117"/>
      <c r="AS103" s="117"/>
      <c r="AT103" s="117"/>
      <c r="AU103" s="117"/>
    </row>
    <row r="104" spans="25:47" x14ac:dyDescent="0.2">
      <c r="Y104" s="118"/>
      <c r="Z104" s="118"/>
      <c r="AA104" s="118"/>
      <c r="AB104" s="118"/>
      <c r="AC104" s="118"/>
      <c r="AD104" s="118"/>
      <c r="AE104" s="118"/>
      <c r="AF104" s="118"/>
      <c r="AG104" s="118"/>
      <c r="AH104" s="118"/>
      <c r="AI104" s="118"/>
      <c r="AJ104" s="118"/>
      <c r="AK104" s="118"/>
      <c r="AL104" s="118"/>
      <c r="AM104" s="118"/>
      <c r="AN104" s="118"/>
      <c r="AO104" s="118"/>
      <c r="AP104" s="117"/>
      <c r="AQ104" s="117"/>
      <c r="AR104" s="117"/>
      <c r="AS104" s="117"/>
      <c r="AT104" s="117"/>
      <c r="AU104" s="117"/>
    </row>
    <row r="105" spans="25:47" x14ac:dyDescent="0.2">
      <c r="Y105" s="118"/>
      <c r="Z105" s="118"/>
      <c r="AA105" s="118"/>
      <c r="AB105" s="118"/>
      <c r="AC105" s="118"/>
      <c r="AD105" s="118"/>
      <c r="AE105" s="118"/>
      <c r="AF105" s="118"/>
      <c r="AG105" s="118"/>
      <c r="AH105" s="118"/>
      <c r="AI105" s="118"/>
      <c r="AJ105" s="118"/>
      <c r="AK105" s="118"/>
      <c r="AL105" s="118"/>
      <c r="AM105" s="118"/>
      <c r="AN105" s="118"/>
      <c r="AO105" s="118"/>
      <c r="AP105" s="117"/>
      <c r="AQ105" s="117"/>
      <c r="AR105" s="117"/>
      <c r="AS105" s="117"/>
      <c r="AT105" s="117"/>
      <c r="AU105" s="117"/>
    </row>
    <row r="106" spans="25:47" x14ac:dyDescent="0.2">
      <c r="Y106" s="118"/>
      <c r="Z106" s="118"/>
      <c r="AA106" s="118"/>
      <c r="AB106" s="118"/>
      <c r="AC106" s="118"/>
      <c r="AD106" s="118"/>
      <c r="AE106" s="118"/>
      <c r="AF106" s="118"/>
      <c r="AG106" s="118"/>
      <c r="AH106" s="118"/>
      <c r="AI106" s="118"/>
      <c r="AJ106" s="118"/>
      <c r="AK106" s="118"/>
      <c r="AL106" s="118"/>
      <c r="AM106" s="118"/>
      <c r="AN106" s="118"/>
      <c r="AO106" s="118"/>
      <c r="AP106" s="117"/>
      <c r="AQ106" s="117"/>
      <c r="AR106" s="117"/>
      <c r="AS106" s="117"/>
      <c r="AT106" s="117"/>
      <c r="AU106" s="117"/>
    </row>
    <row r="107" spans="25:47" x14ac:dyDescent="0.2">
      <c r="Y107" s="118"/>
      <c r="Z107" s="118"/>
      <c r="AA107" s="118"/>
      <c r="AB107" s="118"/>
      <c r="AC107" s="118"/>
      <c r="AD107" s="118"/>
      <c r="AE107" s="118"/>
      <c r="AF107" s="118"/>
      <c r="AG107" s="118"/>
      <c r="AH107" s="118"/>
      <c r="AI107" s="118"/>
      <c r="AJ107" s="118"/>
      <c r="AK107" s="118"/>
      <c r="AL107" s="118"/>
      <c r="AM107" s="118"/>
      <c r="AN107" s="118"/>
      <c r="AO107" s="118"/>
      <c r="AP107" s="117"/>
      <c r="AQ107" s="117"/>
      <c r="AR107" s="117"/>
      <c r="AS107" s="117"/>
      <c r="AT107" s="117"/>
      <c r="AU107" s="117"/>
    </row>
    <row r="108" spans="25:47" x14ac:dyDescent="0.2">
      <c r="Y108" s="118"/>
      <c r="Z108" s="118"/>
      <c r="AA108" s="118"/>
      <c r="AB108" s="118"/>
      <c r="AC108" s="118"/>
      <c r="AD108" s="118"/>
      <c r="AE108" s="118"/>
      <c r="AF108" s="118"/>
      <c r="AG108" s="118"/>
      <c r="AH108" s="118"/>
      <c r="AI108" s="118"/>
      <c r="AJ108" s="118"/>
      <c r="AK108" s="118"/>
      <c r="AL108" s="118"/>
      <c r="AM108" s="118"/>
      <c r="AN108" s="118"/>
      <c r="AO108" s="118"/>
      <c r="AP108" s="117"/>
      <c r="AQ108" s="117"/>
      <c r="AR108" s="117"/>
      <c r="AS108" s="117"/>
      <c r="AT108" s="117"/>
      <c r="AU108" s="117"/>
    </row>
    <row r="109" spans="25:47" x14ac:dyDescent="0.2">
      <c r="Y109" s="118"/>
      <c r="Z109" s="118"/>
      <c r="AA109" s="118"/>
      <c r="AB109" s="118"/>
      <c r="AC109" s="118"/>
      <c r="AD109" s="118"/>
      <c r="AE109" s="118"/>
      <c r="AF109" s="118"/>
      <c r="AG109" s="118"/>
      <c r="AH109" s="118"/>
      <c r="AI109" s="118"/>
      <c r="AJ109" s="118"/>
      <c r="AK109" s="118"/>
      <c r="AL109" s="118"/>
      <c r="AM109" s="118"/>
      <c r="AN109" s="118"/>
      <c r="AO109" s="118"/>
      <c r="AP109" s="117"/>
      <c r="AQ109" s="117"/>
      <c r="AR109" s="117"/>
      <c r="AS109" s="117"/>
      <c r="AT109" s="117"/>
      <c r="AU109" s="117"/>
    </row>
    <row r="110" spans="25:47" x14ac:dyDescent="0.2">
      <c r="Y110" s="118"/>
      <c r="Z110" s="118"/>
      <c r="AA110" s="118"/>
      <c r="AB110" s="118"/>
      <c r="AC110" s="118"/>
      <c r="AD110" s="118"/>
      <c r="AE110" s="118"/>
      <c r="AF110" s="118"/>
      <c r="AG110" s="118"/>
      <c r="AH110" s="118"/>
      <c r="AI110" s="118"/>
      <c r="AJ110" s="118"/>
      <c r="AK110" s="118"/>
      <c r="AL110" s="118"/>
      <c r="AM110" s="118"/>
      <c r="AN110" s="118"/>
      <c r="AO110" s="118"/>
      <c r="AP110" s="117"/>
      <c r="AQ110" s="117"/>
      <c r="AR110" s="117"/>
      <c r="AS110" s="117"/>
      <c r="AT110" s="117"/>
      <c r="AU110" s="117"/>
    </row>
    <row r="111" spans="25:47" x14ac:dyDescent="0.2">
      <c r="Y111" s="118"/>
      <c r="Z111" s="118"/>
      <c r="AA111" s="118"/>
      <c r="AB111" s="118"/>
      <c r="AC111" s="118"/>
      <c r="AD111" s="118"/>
      <c r="AE111" s="118"/>
      <c r="AF111" s="118"/>
      <c r="AG111" s="118"/>
      <c r="AH111" s="118"/>
      <c r="AI111" s="118"/>
      <c r="AJ111" s="118"/>
      <c r="AK111" s="118"/>
      <c r="AL111" s="118"/>
      <c r="AM111" s="118"/>
      <c r="AN111" s="118"/>
      <c r="AO111" s="118"/>
      <c r="AP111" s="117"/>
      <c r="AQ111" s="117"/>
      <c r="AR111" s="117"/>
      <c r="AS111" s="117"/>
      <c r="AT111" s="117"/>
      <c r="AU111" s="117"/>
    </row>
    <row r="112" spans="25:47" x14ac:dyDescent="0.2">
      <c r="Y112" s="118"/>
      <c r="Z112" s="118"/>
      <c r="AA112" s="118"/>
      <c r="AB112" s="118"/>
      <c r="AC112" s="118"/>
      <c r="AD112" s="118"/>
      <c r="AE112" s="118"/>
      <c r="AF112" s="118"/>
      <c r="AG112" s="118"/>
      <c r="AH112" s="118"/>
      <c r="AI112" s="118"/>
      <c r="AJ112" s="118"/>
      <c r="AK112" s="118"/>
      <c r="AL112" s="118"/>
      <c r="AM112" s="118"/>
      <c r="AN112" s="118"/>
      <c r="AO112" s="118"/>
      <c r="AP112" s="117"/>
      <c r="AQ112" s="117"/>
      <c r="AR112" s="117"/>
      <c r="AS112" s="117"/>
      <c r="AT112" s="117"/>
      <c r="AU112" s="117"/>
    </row>
    <row r="113" spans="25:47" x14ac:dyDescent="0.2">
      <c r="Y113" s="118"/>
      <c r="Z113" s="118"/>
      <c r="AA113" s="118"/>
      <c r="AB113" s="118"/>
      <c r="AC113" s="118"/>
      <c r="AD113" s="118"/>
      <c r="AE113" s="118"/>
      <c r="AF113" s="118"/>
      <c r="AG113" s="118"/>
      <c r="AH113" s="118"/>
      <c r="AI113" s="118"/>
      <c r="AJ113" s="118"/>
      <c r="AK113" s="118"/>
      <c r="AL113" s="118"/>
      <c r="AM113" s="118"/>
      <c r="AN113" s="118"/>
      <c r="AO113" s="118"/>
      <c r="AP113" s="117"/>
      <c r="AQ113" s="117"/>
      <c r="AR113" s="117"/>
      <c r="AS113" s="117"/>
      <c r="AT113" s="117"/>
      <c r="AU113" s="117"/>
    </row>
    <row r="114" spans="25:47" x14ac:dyDescent="0.2">
      <c r="Y114" s="118"/>
      <c r="Z114" s="118"/>
      <c r="AA114" s="118"/>
      <c r="AB114" s="118"/>
      <c r="AC114" s="118"/>
      <c r="AD114" s="118"/>
      <c r="AE114" s="118"/>
      <c r="AF114" s="118"/>
      <c r="AG114" s="118"/>
      <c r="AH114" s="118"/>
      <c r="AI114" s="118"/>
      <c r="AJ114" s="118"/>
      <c r="AK114" s="118"/>
      <c r="AL114" s="118"/>
      <c r="AM114" s="118"/>
      <c r="AN114" s="118"/>
      <c r="AO114" s="118"/>
      <c r="AP114" s="117"/>
      <c r="AQ114" s="117"/>
      <c r="AR114" s="117"/>
      <c r="AS114" s="117"/>
      <c r="AT114" s="117"/>
      <c r="AU114" s="117"/>
    </row>
    <row r="115" spans="25:47" x14ac:dyDescent="0.2">
      <c r="Y115" s="118"/>
      <c r="Z115" s="118"/>
      <c r="AA115" s="118"/>
      <c r="AB115" s="118"/>
      <c r="AC115" s="118"/>
      <c r="AD115" s="118"/>
      <c r="AE115" s="118"/>
      <c r="AF115" s="118"/>
      <c r="AG115" s="118"/>
      <c r="AH115" s="118"/>
      <c r="AI115" s="118"/>
      <c r="AJ115" s="118"/>
      <c r="AK115" s="118"/>
      <c r="AL115" s="118"/>
      <c r="AM115" s="118"/>
      <c r="AN115" s="118"/>
      <c r="AO115" s="118"/>
      <c r="AP115" s="117"/>
      <c r="AQ115" s="117"/>
      <c r="AR115" s="117"/>
      <c r="AS115" s="117"/>
      <c r="AT115" s="117"/>
      <c r="AU115" s="117"/>
    </row>
    <row r="116" spans="25:47" x14ac:dyDescent="0.2">
      <c r="Y116" s="118"/>
      <c r="Z116" s="118"/>
      <c r="AA116" s="118"/>
      <c r="AB116" s="118"/>
      <c r="AC116" s="118"/>
      <c r="AD116" s="118"/>
      <c r="AE116" s="118"/>
      <c r="AF116" s="118"/>
      <c r="AG116" s="118"/>
      <c r="AH116" s="118"/>
      <c r="AI116" s="118"/>
      <c r="AJ116" s="118"/>
      <c r="AK116" s="118"/>
      <c r="AL116" s="118"/>
      <c r="AM116" s="118"/>
      <c r="AN116" s="118"/>
      <c r="AO116" s="118"/>
      <c r="AP116" s="117"/>
      <c r="AQ116" s="117"/>
      <c r="AR116" s="117"/>
      <c r="AS116" s="117"/>
      <c r="AT116" s="117"/>
      <c r="AU116" s="117"/>
    </row>
    <row r="117" spans="25:47" x14ac:dyDescent="0.2">
      <c r="Y117" s="118"/>
      <c r="Z117" s="118"/>
      <c r="AA117" s="118"/>
      <c r="AB117" s="118"/>
      <c r="AC117" s="118"/>
      <c r="AD117" s="118"/>
      <c r="AE117" s="118"/>
      <c r="AF117" s="118"/>
      <c r="AG117" s="118"/>
      <c r="AH117" s="118"/>
      <c r="AI117" s="118"/>
      <c r="AJ117" s="118"/>
      <c r="AK117" s="118"/>
      <c r="AL117" s="118"/>
      <c r="AM117" s="118"/>
      <c r="AN117" s="118"/>
      <c r="AO117" s="118"/>
      <c r="AP117" s="117"/>
      <c r="AQ117" s="117"/>
      <c r="AR117" s="117"/>
      <c r="AS117" s="117"/>
      <c r="AT117" s="117"/>
      <c r="AU117" s="117"/>
    </row>
    <row r="118" spans="25:47" x14ac:dyDescent="0.2">
      <c r="Y118" s="118"/>
      <c r="Z118" s="118"/>
      <c r="AA118" s="118"/>
      <c r="AB118" s="118"/>
      <c r="AC118" s="118"/>
      <c r="AD118" s="118"/>
      <c r="AE118" s="118"/>
      <c r="AF118" s="118"/>
      <c r="AG118" s="118"/>
      <c r="AH118" s="118"/>
      <c r="AI118" s="118"/>
      <c r="AJ118" s="118"/>
      <c r="AK118" s="118"/>
      <c r="AL118" s="118"/>
      <c r="AM118" s="118"/>
      <c r="AN118" s="118"/>
      <c r="AO118" s="118"/>
      <c r="AP118" s="117"/>
      <c r="AQ118" s="117"/>
      <c r="AR118" s="117"/>
      <c r="AS118" s="117"/>
      <c r="AT118" s="117"/>
      <c r="AU118" s="117"/>
    </row>
    <row r="119" spans="25:47" x14ac:dyDescent="0.2">
      <c r="Y119" s="118"/>
      <c r="Z119" s="118"/>
      <c r="AA119" s="118"/>
      <c r="AB119" s="118"/>
      <c r="AC119" s="118"/>
      <c r="AD119" s="118"/>
      <c r="AE119" s="118"/>
      <c r="AF119" s="118"/>
      <c r="AG119" s="118"/>
      <c r="AH119" s="118"/>
      <c r="AI119" s="118"/>
      <c r="AJ119" s="118"/>
      <c r="AK119" s="118"/>
      <c r="AL119" s="118"/>
      <c r="AM119" s="118"/>
      <c r="AN119" s="118"/>
      <c r="AO119" s="118"/>
      <c r="AP119" s="117"/>
      <c r="AQ119" s="117"/>
      <c r="AR119" s="117"/>
      <c r="AS119" s="117"/>
      <c r="AT119" s="117"/>
      <c r="AU119" s="117"/>
    </row>
    <row r="120" spans="25:47" x14ac:dyDescent="0.2">
      <c r="Y120" s="118"/>
      <c r="Z120" s="118"/>
      <c r="AA120" s="118"/>
      <c r="AB120" s="118"/>
      <c r="AC120" s="118"/>
      <c r="AD120" s="118"/>
      <c r="AE120" s="118"/>
      <c r="AF120" s="118"/>
      <c r="AG120" s="118"/>
      <c r="AH120" s="118"/>
      <c r="AI120" s="118"/>
      <c r="AJ120" s="118"/>
      <c r="AK120" s="118"/>
      <c r="AL120" s="118"/>
      <c r="AM120" s="118"/>
      <c r="AN120" s="118"/>
      <c r="AO120" s="118"/>
      <c r="AP120" s="117"/>
      <c r="AQ120" s="117"/>
      <c r="AR120" s="117"/>
      <c r="AS120" s="117"/>
      <c r="AT120" s="117"/>
      <c r="AU120" s="117"/>
    </row>
    <row r="121" spans="25:47" x14ac:dyDescent="0.2">
      <c r="Y121" s="118"/>
      <c r="Z121" s="118"/>
      <c r="AA121" s="118"/>
      <c r="AB121" s="118"/>
      <c r="AC121" s="118"/>
      <c r="AD121" s="118"/>
      <c r="AE121" s="118"/>
      <c r="AF121" s="118"/>
      <c r="AG121" s="118"/>
      <c r="AH121" s="118"/>
      <c r="AI121" s="118"/>
      <c r="AJ121" s="118"/>
      <c r="AK121" s="118"/>
      <c r="AL121" s="118"/>
      <c r="AM121" s="118"/>
      <c r="AN121" s="118"/>
      <c r="AO121" s="118"/>
      <c r="AP121" s="117"/>
      <c r="AQ121" s="117"/>
      <c r="AR121" s="117"/>
      <c r="AS121" s="117"/>
      <c r="AT121" s="117"/>
      <c r="AU121" s="117"/>
    </row>
    <row r="122" spans="25:47" x14ac:dyDescent="0.2">
      <c r="Y122" s="118"/>
      <c r="Z122" s="118"/>
      <c r="AA122" s="118"/>
      <c r="AB122" s="118"/>
      <c r="AC122" s="118"/>
      <c r="AD122" s="118"/>
      <c r="AE122" s="118"/>
      <c r="AF122" s="118"/>
      <c r="AG122" s="118"/>
      <c r="AH122" s="118"/>
      <c r="AI122" s="118"/>
      <c r="AJ122" s="118"/>
      <c r="AK122" s="118"/>
      <c r="AL122" s="118"/>
      <c r="AM122" s="118"/>
      <c r="AN122" s="118"/>
      <c r="AO122" s="118"/>
      <c r="AP122" s="117"/>
      <c r="AQ122" s="117"/>
      <c r="AR122" s="117"/>
      <c r="AS122" s="117"/>
      <c r="AT122" s="117"/>
      <c r="AU122" s="117"/>
    </row>
    <row r="123" spans="25:47" x14ac:dyDescent="0.2">
      <c r="Y123" s="118"/>
      <c r="Z123" s="118"/>
      <c r="AA123" s="118"/>
      <c r="AB123" s="118"/>
      <c r="AC123" s="118"/>
      <c r="AD123" s="118"/>
      <c r="AE123" s="118"/>
      <c r="AF123" s="118"/>
      <c r="AG123" s="118"/>
      <c r="AH123" s="118"/>
      <c r="AI123" s="118"/>
      <c r="AJ123" s="118"/>
      <c r="AK123" s="118"/>
      <c r="AL123" s="118"/>
      <c r="AM123" s="118"/>
      <c r="AN123" s="118"/>
      <c r="AO123" s="118"/>
      <c r="AP123" s="117"/>
      <c r="AQ123" s="117"/>
      <c r="AR123" s="117"/>
      <c r="AS123" s="117"/>
      <c r="AT123" s="117"/>
      <c r="AU123" s="117"/>
    </row>
    <row r="124" spans="25:47" x14ac:dyDescent="0.2">
      <c r="Y124" s="118"/>
      <c r="Z124" s="118"/>
      <c r="AA124" s="118"/>
      <c r="AB124" s="118"/>
      <c r="AC124" s="118"/>
      <c r="AD124" s="118"/>
      <c r="AE124" s="118"/>
      <c r="AF124" s="118"/>
      <c r="AG124" s="118"/>
      <c r="AH124" s="118"/>
      <c r="AI124" s="118"/>
      <c r="AJ124" s="118"/>
      <c r="AK124" s="118"/>
      <c r="AL124" s="118"/>
      <c r="AM124" s="118"/>
      <c r="AN124" s="118"/>
      <c r="AO124" s="118"/>
      <c r="AP124" s="117"/>
      <c r="AQ124" s="117"/>
      <c r="AR124" s="117"/>
      <c r="AS124" s="117"/>
      <c r="AT124" s="117"/>
      <c r="AU124" s="117"/>
    </row>
    <row r="125" spans="25:47" x14ac:dyDescent="0.2">
      <c r="Y125" s="118"/>
      <c r="Z125" s="118"/>
      <c r="AA125" s="118"/>
      <c r="AB125" s="118"/>
      <c r="AC125" s="118"/>
      <c r="AD125" s="118"/>
      <c r="AE125" s="118"/>
      <c r="AF125" s="118"/>
      <c r="AG125" s="118"/>
      <c r="AH125" s="118"/>
      <c r="AI125" s="118"/>
      <c r="AJ125" s="118"/>
      <c r="AK125" s="118"/>
      <c r="AL125" s="118"/>
      <c r="AM125" s="118"/>
      <c r="AN125" s="118"/>
      <c r="AO125" s="118"/>
      <c r="AP125" s="117"/>
      <c r="AQ125" s="117"/>
      <c r="AR125" s="117"/>
      <c r="AS125" s="117"/>
      <c r="AT125" s="117"/>
      <c r="AU125" s="117"/>
    </row>
    <row r="126" spans="25:47" x14ac:dyDescent="0.2">
      <c r="Y126" s="118"/>
      <c r="Z126" s="118"/>
      <c r="AA126" s="118"/>
      <c r="AB126" s="118"/>
      <c r="AC126" s="118"/>
      <c r="AD126" s="118"/>
      <c r="AE126" s="118"/>
      <c r="AF126" s="118"/>
      <c r="AG126" s="118"/>
      <c r="AH126" s="118"/>
      <c r="AI126" s="118"/>
      <c r="AJ126" s="118"/>
      <c r="AK126" s="118"/>
      <c r="AL126" s="118"/>
      <c r="AM126" s="118"/>
      <c r="AN126" s="118"/>
      <c r="AO126" s="118"/>
      <c r="AP126" s="117"/>
      <c r="AQ126" s="117"/>
      <c r="AR126" s="117"/>
      <c r="AS126" s="117"/>
      <c r="AT126" s="117"/>
      <c r="AU126" s="117"/>
    </row>
    <row r="127" spans="25:47" x14ac:dyDescent="0.2">
      <c r="Y127" s="118"/>
      <c r="Z127" s="118"/>
      <c r="AA127" s="118"/>
      <c r="AB127" s="118"/>
      <c r="AC127" s="118"/>
      <c r="AD127" s="118"/>
      <c r="AE127" s="118"/>
      <c r="AF127" s="118"/>
      <c r="AG127" s="118"/>
      <c r="AH127" s="118"/>
      <c r="AI127" s="118"/>
      <c r="AJ127" s="118"/>
      <c r="AK127" s="118"/>
      <c r="AL127" s="118"/>
      <c r="AM127" s="118"/>
      <c r="AN127" s="118"/>
      <c r="AO127" s="118"/>
      <c r="AP127" s="117"/>
      <c r="AQ127" s="117"/>
      <c r="AR127" s="117"/>
      <c r="AS127" s="117"/>
      <c r="AT127" s="117"/>
      <c r="AU127" s="117"/>
    </row>
    <row r="128" spans="25:47" x14ac:dyDescent="0.2">
      <c r="Y128" s="118"/>
      <c r="Z128" s="118"/>
      <c r="AA128" s="118"/>
      <c r="AB128" s="118"/>
      <c r="AC128" s="118"/>
      <c r="AD128" s="118"/>
      <c r="AE128" s="118"/>
      <c r="AF128" s="118"/>
      <c r="AG128" s="118"/>
      <c r="AH128" s="118"/>
      <c r="AI128" s="118"/>
      <c r="AJ128" s="118"/>
      <c r="AK128" s="118"/>
      <c r="AL128" s="118"/>
      <c r="AM128" s="118"/>
      <c r="AN128" s="118"/>
      <c r="AO128" s="118"/>
      <c r="AP128" s="117"/>
      <c r="AQ128" s="117"/>
      <c r="AR128" s="117"/>
      <c r="AS128" s="117"/>
      <c r="AT128" s="117"/>
      <c r="AU128" s="117"/>
    </row>
    <row r="129" spans="25:47" x14ac:dyDescent="0.2">
      <c r="Y129" s="118"/>
      <c r="Z129" s="118"/>
      <c r="AA129" s="118"/>
      <c r="AB129" s="118"/>
      <c r="AC129" s="118"/>
      <c r="AD129" s="118"/>
      <c r="AE129" s="118"/>
      <c r="AF129" s="118"/>
      <c r="AG129" s="118"/>
      <c r="AH129" s="118"/>
      <c r="AI129" s="118"/>
      <c r="AJ129" s="118"/>
      <c r="AK129" s="118"/>
      <c r="AL129" s="118"/>
      <c r="AM129" s="118"/>
      <c r="AN129" s="118"/>
      <c r="AO129" s="118"/>
      <c r="AP129" s="117"/>
      <c r="AQ129" s="117"/>
      <c r="AR129" s="117"/>
      <c r="AS129" s="117"/>
      <c r="AT129" s="117"/>
      <c r="AU129" s="117"/>
    </row>
    <row r="130" spans="25:47" x14ac:dyDescent="0.2">
      <c r="Y130" s="118"/>
      <c r="Z130" s="118"/>
      <c r="AA130" s="118"/>
      <c r="AB130" s="118"/>
      <c r="AC130" s="118"/>
      <c r="AD130" s="118"/>
      <c r="AE130" s="118"/>
      <c r="AF130" s="118"/>
      <c r="AG130" s="118"/>
      <c r="AH130" s="118"/>
      <c r="AI130" s="118"/>
      <c r="AJ130" s="118"/>
      <c r="AK130" s="118"/>
      <c r="AL130" s="118"/>
      <c r="AM130" s="118"/>
      <c r="AN130" s="118"/>
      <c r="AO130" s="118"/>
      <c r="AP130" s="117"/>
      <c r="AQ130" s="117"/>
      <c r="AR130" s="117"/>
      <c r="AS130" s="117"/>
      <c r="AT130" s="117"/>
      <c r="AU130" s="117"/>
    </row>
    <row r="131" spans="25:47" x14ac:dyDescent="0.2">
      <c r="Y131" s="118"/>
      <c r="Z131" s="118"/>
      <c r="AA131" s="118"/>
      <c r="AB131" s="118"/>
      <c r="AC131" s="118"/>
      <c r="AD131" s="118"/>
      <c r="AE131" s="118"/>
      <c r="AF131" s="118"/>
      <c r="AG131" s="118"/>
      <c r="AH131" s="118"/>
      <c r="AI131" s="118"/>
      <c r="AJ131" s="118"/>
      <c r="AK131" s="118"/>
      <c r="AL131" s="118"/>
      <c r="AM131" s="118"/>
      <c r="AN131" s="118"/>
      <c r="AO131" s="118"/>
      <c r="AP131" s="117"/>
      <c r="AQ131" s="117"/>
      <c r="AR131" s="117"/>
      <c r="AS131" s="117"/>
      <c r="AT131" s="117"/>
      <c r="AU131" s="117"/>
    </row>
    <row r="132" spans="25:47" x14ac:dyDescent="0.2">
      <c r="Y132" s="118"/>
      <c r="Z132" s="118"/>
      <c r="AA132" s="118"/>
      <c r="AB132" s="118"/>
      <c r="AC132" s="118"/>
      <c r="AD132" s="118"/>
      <c r="AE132" s="118"/>
      <c r="AF132" s="118"/>
      <c r="AG132" s="118"/>
      <c r="AH132" s="118"/>
      <c r="AI132" s="118"/>
      <c r="AJ132" s="118"/>
      <c r="AK132" s="118"/>
      <c r="AL132" s="118"/>
      <c r="AM132" s="118"/>
      <c r="AN132" s="118"/>
      <c r="AO132" s="118"/>
      <c r="AP132" s="117"/>
      <c r="AQ132" s="117"/>
      <c r="AR132" s="117"/>
      <c r="AS132" s="117"/>
      <c r="AT132" s="117"/>
      <c r="AU132" s="117"/>
    </row>
    <row r="133" spans="25:47" x14ac:dyDescent="0.2">
      <c r="Y133" s="118"/>
      <c r="Z133" s="118"/>
      <c r="AA133" s="118"/>
      <c r="AB133" s="118"/>
      <c r="AC133" s="118"/>
      <c r="AD133" s="118"/>
      <c r="AE133" s="118"/>
      <c r="AF133" s="118"/>
      <c r="AG133" s="118"/>
      <c r="AH133" s="118"/>
      <c r="AI133" s="118"/>
      <c r="AJ133" s="118"/>
      <c r="AK133" s="118"/>
      <c r="AL133" s="118"/>
      <c r="AM133" s="118"/>
      <c r="AN133" s="118"/>
      <c r="AO133" s="118"/>
      <c r="AP133" s="117"/>
      <c r="AQ133" s="117"/>
      <c r="AR133" s="117"/>
      <c r="AS133" s="117"/>
      <c r="AT133" s="117"/>
      <c r="AU133" s="117"/>
    </row>
    <row r="134" spans="25:47" x14ac:dyDescent="0.2">
      <c r="Y134" s="118"/>
      <c r="Z134" s="118"/>
      <c r="AA134" s="118"/>
      <c r="AB134" s="118"/>
      <c r="AC134" s="118"/>
      <c r="AD134" s="118"/>
      <c r="AE134" s="118"/>
      <c r="AF134" s="118"/>
      <c r="AG134" s="118"/>
      <c r="AH134" s="118"/>
      <c r="AI134" s="118"/>
      <c r="AJ134" s="118"/>
      <c r="AK134" s="118"/>
      <c r="AL134" s="118"/>
      <c r="AM134" s="118"/>
      <c r="AN134" s="118"/>
      <c r="AO134" s="118"/>
      <c r="AP134" s="117"/>
      <c r="AQ134" s="117"/>
      <c r="AR134" s="117"/>
      <c r="AS134" s="117"/>
      <c r="AT134" s="117"/>
      <c r="AU134" s="117"/>
    </row>
    <row r="135" spans="25:47" x14ac:dyDescent="0.2">
      <c r="Y135" s="118"/>
      <c r="Z135" s="118"/>
      <c r="AA135" s="118"/>
      <c r="AB135" s="118"/>
      <c r="AC135" s="118"/>
      <c r="AD135" s="118"/>
      <c r="AE135" s="118"/>
      <c r="AF135" s="118"/>
      <c r="AG135" s="118"/>
      <c r="AH135" s="118"/>
      <c r="AI135" s="118"/>
      <c r="AJ135" s="118"/>
      <c r="AK135" s="118"/>
      <c r="AL135" s="118"/>
      <c r="AM135" s="118"/>
      <c r="AN135" s="118"/>
      <c r="AO135" s="118"/>
      <c r="AP135" s="117"/>
      <c r="AQ135" s="117"/>
      <c r="AR135" s="117"/>
      <c r="AS135" s="117"/>
      <c r="AT135" s="117"/>
      <c r="AU135" s="117"/>
    </row>
    <row r="136" spans="25:47" x14ac:dyDescent="0.2">
      <c r="Y136" s="118"/>
      <c r="Z136" s="118"/>
      <c r="AA136" s="118"/>
      <c r="AB136" s="118"/>
      <c r="AC136" s="118"/>
      <c r="AD136" s="118"/>
      <c r="AE136" s="118"/>
      <c r="AF136" s="118"/>
      <c r="AG136" s="118"/>
      <c r="AH136" s="118"/>
      <c r="AI136" s="118"/>
      <c r="AJ136" s="118"/>
      <c r="AK136" s="118"/>
      <c r="AL136" s="118"/>
      <c r="AM136" s="118"/>
      <c r="AN136" s="118"/>
      <c r="AO136" s="118"/>
      <c r="AP136" s="117"/>
      <c r="AQ136" s="117"/>
      <c r="AR136" s="117"/>
      <c r="AS136" s="117"/>
      <c r="AT136" s="117"/>
      <c r="AU136" s="117"/>
    </row>
    <row r="137" spans="25:47" x14ac:dyDescent="0.2">
      <c r="Y137" s="118"/>
      <c r="Z137" s="118"/>
      <c r="AA137" s="118"/>
      <c r="AB137" s="118"/>
      <c r="AC137" s="118"/>
      <c r="AD137" s="118"/>
      <c r="AE137" s="118"/>
      <c r="AF137" s="118"/>
      <c r="AG137" s="118"/>
      <c r="AH137" s="118"/>
      <c r="AI137" s="118"/>
      <c r="AJ137" s="118"/>
      <c r="AK137" s="118"/>
      <c r="AL137" s="118"/>
      <c r="AM137" s="118"/>
      <c r="AN137" s="118"/>
      <c r="AO137" s="118"/>
      <c r="AP137" s="117"/>
      <c r="AQ137" s="117"/>
      <c r="AR137" s="117"/>
      <c r="AS137" s="117"/>
      <c r="AT137" s="117"/>
      <c r="AU137" s="117"/>
    </row>
    <row r="138" spans="25:47" x14ac:dyDescent="0.2">
      <c r="Y138" s="118"/>
      <c r="Z138" s="118"/>
      <c r="AA138" s="118"/>
      <c r="AB138" s="118"/>
      <c r="AC138" s="118"/>
      <c r="AD138" s="118"/>
      <c r="AE138" s="118"/>
      <c r="AF138" s="118"/>
      <c r="AG138" s="118"/>
      <c r="AH138" s="118"/>
      <c r="AI138" s="118"/>
      <c r="AJ138" s="118"/>
      <c r="AK138" s="118"/>
      <c r="AL138" s="118"/>
      <c r="AM138" s="118"/>
      <c r="AN138" s="118"/>
      <c r="AO138" s="118"/>
      <c r="AP138" s="117"/>
      <c r="AQ138" s="117"/>
      <c r="AR138" s="117"/>
      <c r="AS138" s="117"/>
      <c r="AT138" s="117"/>
      <c r="AU138" s="117"/>
    </row>
    <row r="139" spans="25:47" x14ac:dyDescent="0.2">
      <c r="Y139" s="118"/>
      <c r="Z139" s="118"/>
      <c r="AA139" s="118"/>
      <c r="AB139" s="118"/>
      <c r="AC139" s="118"/>
      <c r="AD139" s="118"/>
      <c r="AE139" s="118"/>
      <c r="AF139" s="118"/>
      <c r="AG139" s="118"/>
      <c r="AH139" s="118"/>
      <c r="AI139" s="118"/>
      <c r="AJ139" s="118"/>
      <c r="AK139" s="118"/>
      <c r="AL139" s="118"/>
      <c r="AM139" s="118"/>
      <c r="AN139" s="118"/>
      <c r="AO139" s="118"/>
      <c r="AP139" s="117"/>
      <c r="AQ139" s="117"/>
      <c r="AR139" s="117"/>
      <c r="AS139" s="117"/>
      <c r="AT139" s="117"/>
      <c r="AU139" s="117"/>
    </row>
    <row r="140" spans="25:47" x14ac:dyDescent="0.2">
      <c r="Y140" s="118"/>
      <c r="Z140" s="118"/>
      <c r="AA140" s="118"/>
      <c r="AB140" s="118"/>
      <c r="AC140" s="118"/>
      <c r="AD140" s="118"/>
      <c r="AE140" s="118"/>
      <c r="AF140" s="118"/>
      <c r="AG140" s="118"/>
      <c r="AH140" s="118"/>
      <c r="AI140" s="118"/>
      <c r="AJ140" s="118"/>
      <c r="AK140" s="118"/>
      <c r="AL140" s="118"/>
      <c r="AM140" s="118"/>
      <c r="AN140" s="118"/>
      <c r="AO140" s="118"/>
      <c r="AP140" s="117"/>
      <c r="AQ140" s="117"/>
      <c r="AR140" s="117"/>
      <c r="AS140" s="117"/>
      <c r="AT140" s="117"/>
      <c r="AU140" s="117"/>
    </row>
    <row r="141" spans="25:47" x14ac:dyDescent="0.2">
      <c r="Y141" s="118"/>
      <c r="Z141" s="118"/>
      <c r="AA141" s="118"/>
      <c r="AB141" s="118"/>
      <c r="AC141" s="118"/>
      <c r="AD141" s="118"/>
      <c r="AE141" s="118"/>
      <c r="AF141" s="118"/>
      <c r="AG141" s="118"/>
      <c r="AH141" s="118"/>
      <c r="AI141" s="118"/>
      <c r="AJ141" s="118"/>
      <c r="AK141" s="118"/>
      <c r="AL141" s="118"/>
      <c r="AM141" s="118"/>
      <c r="AN141" s="118"/>
      <c r="AO141" s="118"/>
      <c r="AP141" s="117"/>
      <c r="AQ141" s="117"/>
      <c r="AR141" s="117"/>
      <c r="AS141" s="117"/>
      <c r="AT141" s="117"/>
      <c r="AU141" s="117"/>
    </row>
    <row r="142" spans="25:47" x14ac:dyDescent="0.2">
      <c r="Y142" s="118"/>
      <c r="Z142" s="118"/>
      <c r="AA142" s="118"/>
      <c r="AB142" s="118"/>
      <c r="AC142" s="118"/>
      <c r="AD142" s="118"/>
      <c r="AE142" s="118"/>
      <c r="AF142" s="118"/>
      <c r="AG142" s="118"/>
      <c r="AH142" s="118"/>
      <c r="AI142" s="118"/>
      <c r="AJ142" s="118"/>
      <c r="AK142" s="118"/>
      <c r="AL142" s="118"/>
      <c r="AM142" s="118"/>
      <c r="AN142" s="118"/>
      <c r="AO142" s="118"/>
      <c r="AP142" s="117"/>
      <c r="AQ142" s="117"/>
      <c r="AR142" s="117"/>
      <c r="AS142" s="117"/>
      <c r="AT142" s="117"/>
      <c r="AU142" s="117"/>
    </row>
    <row r="143" spans="25:47" x14ac:dyDescent="0.2">
      <c r="Y143" s="118"/>
      <c r="Z143" s="118"/>
      <c r="AA143" s="118"/>
      <c r="AB143" s="118"/>
      <c r="AC143" s="118"/>
      <c r="AD143" s="118"/>
      <c r="AE143" s="118"/>
      <c r="AF143" s="118"/>
      <c r="AG143" s="118"/>
      <c r="AH143" s="118"/>
      <c r="AI143" s="118"/>
      <c r="AJ143" s="118"/>
      <c r="AK143" s="118"/>
      <c r="AL143" s="118"/>
      <c r="AM143" s="118"/>
      <c r="AN143" s="118"/>
      <c r="AO143" s="118"/>
      <c r="AP143" s="117"/>
      <c r="AQ143" s="117"/>
      <c r="AR143" s="117"/>
      <c r="AS143" s="117"/>
      <c r="AT143" s="117"/>
      <c r="AU143" s="117"/>
    </row>
    <row r="144" spans="25:47" x14ac:dyDescent="0.2">
      <c r="Y144" s="118"/>
      <c r="Z144" s="118"/>
      <c r="AA144" s="118"/>
      <c r="AB144" s="118"/>
      <c r="AC144" s="118"/>
      <c r="AD144" s="118"/>
      <c r="AE144" s="118"/>
      <c r="AF144" s="118"/>
      <c r="AG144" s="118"/>
      <c r="AH144" s="118"/>
      <c r="AI144" s="118"/>
      <c r="AJ144" s="118"/>
      <c r="AK144" s="118"/>
      <c r="AL144" s="118"/>
      <c r="AM144" s="118"/>
      <c r="AN144" s="118"/>
      <c r="AO144" s="118"/>
      <c r="AP144" s="117"/>
      <c r="AQ144" s="117"/>
      <c r="AR144" s="117"/>
      <c r="AS144" s="117"/>
      <c r="AT144" s="117"/>
      <c r="AU144" s="117"/>
    </row>
    <row r="145" spans="25:47" x14ac:dyDescent="0.2">
      <c r="Y145" s="118"/>
      <c r="Z145" s="118"/>
      <c r="AA145" s="118"/>
      <c r="AB145" s="118"/>
      <c r="AC145" s="118"/>
      <c r="AD145" s="118"/>
      <c r="AE145" s="118"/>
      <c r="AF145" s="118"/>
      <c r="AG145" s="118"/>
      <c r="AH145" s="118"/>
      <c r="AI145" s="118"/>
      <c r="AJ145" s="118"/>
      <c r="AK145" s="118"/>
      <c r="AL145" s="118"/>
      <c r="AM145" s="118"/>
      <c r="AN145" s="118"/>
      <c r="AO145" s="118"/>
      <c r="AP145" s="117"/>
      <c r="AQ145" s="117"/>
      <c r="AR145" s="117"/>
      <c r="AS145" s="117"/>
      <c r="AT145" s="117"/>
      <c r="AU145" s="117"/>
    </row>
    <row r="146" spans="25:47" x14ac:dyDescent="0.2">
      <c r="Y146" s="118"/>
      <c r="Z146" s="118"/>
      <c r="AA146" s="118"/>
      <c r="AB146" s="118"/>
      <c r="AC146" s="118"/>
      <c r="AD146" s="118"/>
      <c r="AE146" s="118"/>
      <c r="AF146" s="118"/>
      <c r="AG146" s="118"/>
      <c r="AH146" s="118"/>
      <c r="AI146" s="118"/>
      <c r="AJ146" s="118"/>
      <c r="AK146" s="118"/>
      <c r="AL146" s="118"/>
      <c r="AM146" s="118"/>
      <c r="AN146" s="118"/>
      <c r="AO146" s="118"/>
      <c r="AP146" s="117"/>
      <c r="AQ146" s="117"/>
      <c r="AR146" s="117"/>
      <c r="AS146" s="117"/>
      <c r="AT146" s="117"/>
      <c r="AU146" s="117"/>
    </row>
    <row r="147" spans="25:47" x14ac:dyDescent="0.2">
      <c r="Y147" s="118"/>
      <c r="Z147" s="118"/>
      <c r="AA147" s="118"/>
      <c r="AB147" s="118"/>
      <c r="AC147" s="118"/>
      <c r="AD147" s="118"/>
      <c r="AE147" s="118"/>
      <c r="AF147" s="118"/>
      <c r="AG147" s="118"/>
      <c r="AH147" s="118"/>
      <c r="AI147" s="118"/>
      <c r="AJ147" s="118"/>
      <c r="AK147" s="118"/>
      <c r="AL147" s="118"/>
      <c r="AM147" s="118"/>
      <c r="AN147" s="118"/>
      <c r="AO147" s="118"/>
      <c r="AP147" s="117"/>
      <c r="AQ147" s="117"/>
      <c r="AR147" s="117"/>
      <c r="AS147" s="117"/>
      <c r="AT147" s="117"/>
      <c r="AU147" s="117"/>
    </row>
    <row r="148" spans="25:47" x14ac:dyDescent="0.2">
      <c r="Y148" s="118"/>
      <c r="Z148" s="118"/>
      <c r="AA148" s="118"/>
      <c r="AB148" s="118"/>
      <c r="AC148" s="118"/>
      <c r="AD148" s="118"/>
      <c r="AE148" s="118"/>
      <c r="AF148" s="118"/>
      <c r="AG148" s="118"/>
      <c r="AH148" s="118"/>
      <c r="AI148" s="118"/>
      <c r="AJ148" s="118"/>
      <c r="AK148" s="118"/>
      <c r="AL148" s="118"/>
      <c r="AM148" s="118"/>
      <c r="AN148" s="118"/>
      <c r="AO148" s="118"/>
      <c r="AP148" s="117"/>
      <c r="AQ148" s="117"/>
      <c r="AR148" s="117"/>
      <c r="AS148" s="117"/>
      <c r="AT148" s="117"/>
      <c r="AU148" s="117"/>
    </row>
    <row r="149" spans="25:47" x14ac:dyDescent="0.2">
      <c r="Y149" s="118"/>
      <c r="Z149" s="118"/>
      <c r="AA149" s="118"/>
      <c r="AB149" s="118"/>
      <c r="AC149" s="118"/>
      <c r="AD149" s="118"/>
      <c r="AE149" s="118"/>
      <c r="AF149" s="118"/>
      <c r="AG149" s="118"/>
      <c r="AH149" s="118"/>
      <c r="AI149" s="118"/>
      <c r="AJ149" s="118"/>
      <c r="AK149" s="118"/>
      <c r="AL149" s="118"/>
      <c r="AM149" s="118"/>
      <c r="AN149" s="118"/>
      <c r="AO149" s="118"/>
      <c r="AP149" s="117"/>
      <c r="AQ149" s="117"/>
      <c r="AR149" s="117"/>
      <c r="AS149" s="117"/>
      <c r="AT149" s="117"/>
      <c r="AU149" s="117"/>
    </row>
    <row r="150" spans="25:47" x14ac:dyDescent="0.2">
      <c r="Y150" s="118"/>
      <c r="Z150" s="118"/>
      <c r="AA150" s="118"/>
      <c r="AB150" s="118"/>
      <c r="AC150" s="118"/>
      <c r="AD150" s="118"/>
      <c r="AE150" s="118"/>
      <c r="AF150" s="118"/>
      <c r="AG150" s="118"/>
      <c r="AH150" s="118"/>
      <c r="AI150" s="118"/>
      <c r="AJ150" s="118"/>
      <c r="AK150" s="118"/>
      <c r="AL150" s="118"/>
      <c r="AM150" s="118"/>
      <c r="AN150" s="118"/>
      <c r="AO150" s="118"/>
      <c r="AP150" s="117"/>
      <c r="AQ150" s="117"/>
      <c r="AR150" s="117"/>
      <c r="AS150" s="117"/>
      <c r="AT150" s="117"/>
      <c r="AU150" s="117"/>
    </row>
    <row r="151" spans="25:47" x14ac:dyDescent="0.2">
      <c r="Y151" s="118"/>
      <c r="Z151" s="118"/>
      <c r="AA151" s="118"/>
      <c r="AB151" s="118"/>
      <c r="AC151" s="118"/>
      <c r="AD151" s="118"/>
      <c r="AE151" s="118"/>
      <c r="AF151" s="118"/>
      <c r="AG151" s="118"/>
      <c r="AH151" s="118"/>
      <c r="AI151" s="118"/>
      <c r="AJ151" s="118"/>
      <c r="AK151" s="118"/>
      <c r="AL151" s="118"/>
      <c r="AM151" s="118"/>
      <c r="AN151" s="118"/>
      <c r="AO151" s="118"/>
      <c r="AP151" s="117"/>
      <c r="AQ151" s="117"/>
      <c r="AR151" s="117"/>
      <c r="AS151" s="117"/>
      <c r="AT151" s="117"/>
      <c r="AU151" s="117"/>
    </row>
    <row r="152" spans="25:47" x14ac:dyDescent="0.2">
      <c r="Y152" s="118"/>
      <c r="Z152" s="118"/>
      <c r="AA152" s="118"/>
      <c r="AB152" s="118"/>
      <c r="AC152" s="118"/>
      <c r="AD152" s="118"/>
      <c r="AE152" s="118"/>
      <c r="AF152" s="118"/>
      <c r="AG152" s="118"/>
      <c r="AH152" s="118"/>
      <c r="AI152" s="118"/>
      <c r="AJ152" s="118"/>
      <c r="AK152" s="118"/>
      <c r="AL152" s="118"/>
      <c r="AM152" s="118"/>
      <c r="AN152" s="118"/>
      <c r="AO152" s="118"/>
      <c r="AP152" s="117"/>
      <c r="AQ152" s="117"/>
      <c r="AR152" s="117"/>
      <c r="AS152" s="117"/>
      <c r="AT152" s="117"/>
      <c r="AU152" s="117"/>
    </row>
    <row r="153" spans="25:47" x14ac:dyDescent="0.2">
      <c r="Y153" s="118"/>
      <c r="Z153" s="118"/>
      <c r="AA153" s="118"/>
      <c r="AB153" s="118"/>
      <c r="AC153" s="118"/>
      <c r="AD153" s="118"/>
      <c r="AE153" s="118"/>
      <c r="AF153" s="118"/>
      <c r="AG153" s="118"/>
      <c r="AH153" s="118"/>
      <c r="AI153" s="118"/>
      <c r="AJ153" s="118"/>
      <c r="AK153" s="118"/>
      <c r="AL153" s="118"/>
      <c r="AM153" s="118"/>
      <c r="AN153" s="118"/>
      <c r="AO153" s="118"/>
      <c r="AP153" s="117"/>
      <c r="AQ153" s="117"/>
      <c r="AR153" s="117"/>
      <c r="AS153" s="117"/>
      <c r="AT153" s="117"/>
      <c r="AU153" s="117"/>
    </row>
    <row r="154" spans="25:47" x14ac:dyDescent="0.2">
      <c r="Y154" s="118"/>
      <c r="Z154" s="118"/>
      <c r="AA154" s="118"/>
      <c r="AB154" s="118"/>
      <c r="AC154" s="118"/>
      <c r="AD154" s="118"/>
      <c r="AE154" s="118"/>
      <c r="AF154" s="118"/>
      <c r="AG154" s="118"/>
      <c r="AH154" s="118"/>
      <c r="AI154" s="118"/>
      <c r="AJ154" s="118"/>
      <c r="AK154" s="118"/>
      <c r="AL154" s="118"/>
      <c r="AM154" s="118"/>
      <c r="AN154" s="118"/>
      <c r="AO154" s="118"/>
      <c r="AP154" s="117"/>
      <c r="AQ154" s="117"/>
      <c r="AR154" s="117"/>
      <c r="AS154" s="117"/>
      <c r="AT154" s="117"/>
      <c r="AU154" s="117"/>
    </row>
    <row r="155" spans="25:47" x14ac:dyDescent="0.2">
      <c r="Y155" s="118"/>
      <c r="Z155" s="118"/>
      <c r="AA155" s="118"/>
      <c r="AB155" s="118"/>
      <c r="AC155" s="118"/>
      <c r="AD155" s="118"/>
      <c r="AE155" s="118"/>
      <c r="AF155" s="118"/>
      <c r="AG155" s="118"/>
      <c r="AH155" s="118"/>
      <c r="AI155" s="118"/>
      <c r="AJ155" s="118"/>
      <c r="AK155" s="118"/>
      <c r="AL155" s="118"/>
      <c r="AM155" s="118"/>
      <c r="AN155" s="118"/>
      <c r="AO155" s="118"/>
      <c r="AP155" s="117"/>
      <c r="AQ155" s="117"/>
      <c r="AR155" s="117"/>
      <c r="AS155" s="117"/>
      <c r="AT155" s="117"/>
      <c r="AU155" s="117"/>
    </row>
    <row r="156" spans="25:47" x14ac:dyDescent="0.2">
      <c r="Y156" s="118"/>
      <c r="Z156" s="118"/>
      <c r="AA156" s="118"/>
      <c r="AB156" s="118"/>
      <c r="AC156" s="118"/>
      <c r="AD156" s="118"/>
      <c r="AE156" s="118"/>
      <c r="AF156" s="118"/>
      <c r="AG156" s="118"/>
      <c r="AH156" s="118"/>
      <c r="AI156" s="118"/>
      <c r="AJ156" s="118"/>
      <c r="AK156" s="118"/>
      <c r="AL156" s="118"/>
      <c r="AM156" s="118"/>
      <c r="AN156" s="118"/>
      <c r="AO156" s="118"/>
      <c r="AP156" s="117"/>
      <c r="AQ156" s="117"/>
      <c r="AR156" s="117"/>
      <c r="AS156" s="117"/>
      <c r="AT156" s="117"/>
      <c r="AU156" s="117"/>
    </row>
    <row r="157" spans="25:47" x14ac:dyDescent="0.2">
      <c r="Y157" s="118"/>
      <c r="Z157" s="118"/>
      <c r="AA157" s="118"/>
      <c r="AB157" s="118"/>
      <c r="AC157" s="118"/>
      <c r="AD157" s="118"/>
      <c r="AE157" s="118"/>
      <c r="AF157" s="118"/>
      <c r="AG157" s="118"/>
      <c r="AH157" s="118"/>
      <c r="AI157" s="118"/>
      <c r="AJ157" s="118"/>
      <c r="AK157" s="118"/>
      <c r="AL157" s="118"/>
      <c r="AM157" s="118"/>
      <c r="AN157" s="118"/>
      <c r="AO157" s="118"/>
      <c r="AP157" s="117"/>
      <c r="AQ157" s="117"/>
      <c r="AR157" s="117"/>
      <c r="AS157" s="117"/>
      <c r="AT157" s="117"/>
      <c r="AU157" s="117"/>
    </row>
    <row r="158" spans="25:47" x14ac:dyDescent="0.2">
      <c r="Y158" s="118"/>
      <c r="Z158" s="118"/>
      <c r="AA158" s="118"/>
      <c r="AB158" s="118"/>
      <c r="AC158" s="118"/>
      <c r="AD158" s="118"/>
      <c r="AE158" s="118"/>
      <c r="AF158" s="118"/>
      <c r="AG158" s="118"/>
      <c r="AH158" s="118"/>
      <c r="AI158" s="118"/>
      <c r="AJ158" s="118"/>
      <c r="AK158" s="118"/>
      <c r="AL158" s="118"/>
      <c r="AM158" s="118"/>
      <c r="AN158" s="118"/>
      <c r="AO158" s="118"/>
      <c r="AP158" s="117"/>
      <c r="AQ158" s="117"/>
      <c r="AR158" s="117"/>
      <c r="AS158" s="117"/>
      <c r="AT158" s="117"/>
      <c r="AU158" s="117"/>
    </row>
    <row r="159" spans="25:47" x14ac:dyDescent="0.2">
      <c r="Y159" s="118"/>
      <c r="Z159" s="118"/>
      <c r="AA159" s="118"/>
      <c r="AB159" s="118"/>
      <c r="AC159" s="118"/>
      <c r="AD159" s="118"/>
      <c r="AE159" s="118"/>
      <c r="AF159" s="118"/>
      <c r="AG159" s="118"/>
      <c r="AH159" s="118"/>
      <c r="AI159" s="118"/>
      <c r="AJ159" s="118"/>
      <c r="AK159" s="118"/>
      <c r="AL159" s="118"/>
      <c r="AM159" s="118"/>
      <c r="AN159" s="118"/>
      <c r="AO159" s="118"/>
      <c r="AP159" s="117"/>
      <c r="AQ159" s="117"/>
      <c r="AR159" s="117"/>
      <c r="AS159" s="117"/>
      <c r="AT159" s="117"/>
      <c r="AU159" s="117"/>
    </row>
    <row r="160" spans="25:47" x14ac:dyDescent="0.2">
      <c r="Y160" s="118"/>
      <c r="Z160" s="118"/>
      <c r="AA160" s="118"/>
      <c r="AB160" s="118"/>
      <c r="AC160" s="118"/>
      <c r="AD160" s="118"/>
      <c r="AE160" s="118"/>
      <c r="AF160" s="118"/>
      <c r="AG160" s="118"/>
      <c r="AH160" s="118"/>
      <c r="AI160" s="118"/>
      <c r="AJ160" s="118"/>
      <c r="AK160" s="118"/>
      <c r="AL160" s="118"/>
      <c r="AM160" s="118"/>
      <c r="AN160" s="118"/>
      <c r="AO160" s="118"/>
      <c r="AP160" s="117"/>
      <c r="AQ160" s="117"/>
      <c r="AR160" s="117"/>
      <c r="AS160" s="117"/>
      <c r="AT160" s="117"/>
      <c r="AU160" s="117"/>
    </row>
    <row r="161" spans="25:47" x14ac:dyDescent="0.2">
      <c r="Y161" s="118"/>
      <c r="Z161" s="118"/>
      <c r="AA161" s="118"/>
      <c r="AB161" s="118"/>
      <c r="AC161" s="118"/>
      <c r="AD161" s="118"/>
      <c r="AE161" s="118"/>
      <c r="AF161" s="118"/>
      <c r="AG161" s="118"/>
      <c r="AH161" s="118"/>
      <c r="AI161" s="118"/>
      <c r="AJ161" s="118"/>
      <c r="AK161" s="118"/>
      <c r="AL161" s="118"/>
      <c r="AM161" s="118"/>
      <c r="AN161" s="118"/>
      <c r="AO161" s="118"/>
      <c r="AP161" s="117"/>
      <c r="AQ161" s="117"/>
      <c r="AR161" s="117"/>
      <c r="AS161" s="117"/>
      <c r="AT161" s="117"/>
      <c r="AU161" s="117"/>
    </row>
    <row r="162" spans="25:47" x14ac:dyDescent="0.2">
      <c r="Y162" s="118"/>
      <c r="Z162" s="118"/>
      <c r="AA162" s="118"/>
      <c r="AB162" s="118"/>
      <c r="AC162" s="118"/>
      <c r="AD162" s="118"/>
      <c r="AE162" s="118"/>
      <c r="AF162" s="118"/>
      <c r="AG162" s="118"/>
      <c r="AH162" s="118"/>
      <c r="AI162" s="118"/>
      <c r="AJ162" s="118"/>
      <c r="AK162" s="118"/>
      <c r="AL162" s="118"/>
      <c r="AM162" s="118"/>
      <c r="AN162" s="118"/>
      <c r="AO162" s="118"/>
      <c r="AP162" s="117"/>
      <c r="AQ162" s="117"/>
      <c r="AR162" s="117"/>
      <c r="AS162" s="117"/>
      <c r="AT162" s="117"/>
      <c r="AU162" s="117"/>
    </row>
    <row r="163" spans="25:47" x14ac:dyDescent="0.2">
      <c r="Y163" s="118"/>
      <c r="Z163" s="118"/>
      <c r="AA163" s="118"/>
      <c r="AB163" s="118"/>
      <c r="AC163" s="118"/>
      <c r="AD163" s="118"/>
      <c r="AE163" s="118"/>
      <c r="AF163" s="118"/>
      <c r="AG163" s="118"/>
      <c r="AH163" s="118"/>
      <c r="AI163" s="118"/>
      <c r="AJ163" s="118"/>
      <c r="AK163" s="118"/>
      <c r="AL163" s="118"/>
      <c r="AM163" s="118"/>
      <c r="AN163" s="118"/>
      <c r="AO163" s="118"/>
      <c r="AP163" s="117"/>
      <c r="AQ163" s="117"/>
      <c r="AR163" s="117"/>
      <c r="AS163" s="117"/>
      <c r="AT163" s="117"/>
      <c r="AU163" s="117"/>
    </row>
    <row r="164" spans="25:47" x14ac:dyDescent="0.2">
      <c r="Y164" s="118"/>
      <c r="Z164" s="118"/>
      <c r="AA164" s="118"/>
      <c r="AB164" s="118"/>
      <c r="AC164" s="118"/>
      <c r="AD164" s="118"/>
      <c r="AE164" s="118"/>
      <c r="AF164" s="118"/>
      <c r="AG164" s="118"/>
      <c r="AH164" s="118"/>
      <c r="AI164" s="118"/>
      <c r="AJ164" s="118"/>
      <c r="AK164" s="118"/>
      <c r="AL164" s="118"/>
      <c r="AM164" s="118"/>
      <c r="AN164" s="118"/>
      <c r="AO164" s="118"/>
      <c r="AP164" s="117"/>
      <c r="AQ164" s="117"/>
      <c r="AR164" s="117"/>
      <c r="AS164" s="117"/>
      <c r="AT164" s="117"/>
      <c r="AU164" s="117"/>
    </row>
    <row r="165" spans="25:47" x14ac:dyDescent="0.2">
      <c r="Y165" s="118"/>
      <c r="Z165" s="118"/>
      <c r="AA165" s="118"/>
      <c r="AB165" s="118"/>
      <c r="AC165" s="118"/>
      <c r="AD165" s="118"/>
      <c r="AE165" s="118"/>
      <c r="AF165" s="118"/>
      <c r="AG165" s="118"/>
      <c r="AH165" s="118"/>
      <c r="AI165" s="118"/>
      <c r="AJ165" s="118"/>
      <c r="AK165" s="118"/>
      <c r="AL165" s="118"/>
      <c r="AM165" s="118"/>
      <c r="AN165" s="118"/>
      <c r="AO165" s="118"/>
      <c r="AP165" s="117"/>
      <c r="AQ165" s="117"/>
      <c r="AR165" s="117"/>
      <c r="AS165" s="117"/>
      <c r="AT165" s="117"/>
      <c r="AU165" s="117"/>
    </row>
    <row r="166" spans="25:47" x14ac:dyDescent="0.2">
      <c r="Y166" s="118"/>
      <c r="Z166" s="118"/>
      <c r="AA166" s="118"/>
      <c r="AB166" s="118"/>
      <c r="AC166" s="118"/>
      <c r="AD166" s="118"/>
      <c r="AE166" s="118"/>
      <c r="AF166" s="118"/>
      <c r="AG166" s="118"/>
      <c r="AH166" s="118"/>
      <c r="AI166" s="118"/>
      <c r="AJ166" s="118"/>
      <c r="AK166" s="118"/>
      <c r="AL166" s="118"/>
      <c r="AM166" s="118"/>
      <c r="AN166" s="118"/>
      <c r="AO166" s="118"/>
      <c r="AP166" s="117"/>
      <c r="AQ166" s="117"/>
      <c r="AR166" s="117"/>
      <c r="AS166" s="117"/>
      <c r="AT166" s="117"/>
      <c r="AU166" s="117"/>
    </row>
    <row r="167" spans="25:47" x14ac:dyDescent="0.2">
      <c r="Y167" s="118"/>
      <c r="Z167" s="118"/>
      <c r="AA167" s="118"/>
      <c r="AB167" s="118"/>
      <c r="AC167" s="118"/>
      <c r="AD167" s="118"/>
      <c r="AE167" s="118"/>
      <c r="AF167" s="118"/>
      <c r="AG167" s="118"/>
      <c r="AH167" s="118"/>
      <c r="AI167" s="118"/>
      <c r="AJ167" s="118"/>
      <c r="AK167" s="118"/>
      <c r="AL167" s="118"/>
      <c r="AM167" s="118"/>
      <c r="AN167" s="118"/>
      <c r="AO167" s="118"/>
      <c r="AP167" s="117"/>
      <c r="AQ167" s="117"/>
      <c r="AR167" s="117"/>
      <c r="AS167" s="117"/>
      <c r="AT167" s="117"/>
      <c r="AU167" s="117"/>
    </row>
    <row r="168" spans="25:47" x14ac:dyDescent="0.2">
      <c r="Y168" s="118"/>
      <c r="Z168" s="118"/>
      <c r="AA168" s="118"/>
      <c r="AB168" s="118"/>
      <c r="AC168" s="118"/>
      <c r="AD168" s="118"/>
      <c r="AE168" s="118"/>
      <c r="AF168" s="118"/>
      <c r="AG168" s="118"/>
      <c r="AH168" s="118"/>
      <c r="AI168" s="118"/>
      <c r="AJ168" s="118"/>
      <c r="AK168" s="118"/>
      <c r="AL168" s="118"/>
      <c r="AM168" s="118"/>
      <c r="AN168" s="118"/>
      <c r="AO168" s="118"/>
      <c r="AP168" s="117"/>
      <c r="AQ168" s="117"/>
      <c r="AR168" s="117"/>
      <c r="AS168" s="117"/>
      <c r="AT168" s="117"/>
      <c r="AU168" s="117"/>
    </row>
    <row r="169" spans="25:47" x14ac:dyDescent="0.2">
      <c r="Y169" s="118"/>
      <c r="Z169" s="118"/>
      <c r="AA169" s="118"/>
      <c r="AB169" s="118"/>
      <c r="AC169" s="118"/>
      <c r="AD169" s="118"/>
      <c r="AE169" s="118"/>
      <c r="AF169" s="118"/>
      <c r="AG169" s="118"/>
      <c r="AH169" s="118"/>
      <c r="AI169" s="118"/>
      <c r="AJ169" s="118"/>
      <c r="AK169" s="118"/>
      <c r="AL169" s="118"/>
      <c r="AM169" s="118"/>
      <c r="AN169" s="118"/>
      <c r="AO169" s="118"/>
      <c r="AP169" s="117"/>
      <c r="AQ169" s="117"/>
      <c r="AR169" s="117"/>
      <c r="AS169" s="117"/>
      <c r="AT169" s="117"/>
      <c r="AU169" s="117"/>
    </row>
    <row r="170" spans="25:47" x14ac:dyDescent="0.2">
      <c r="Y170" s="118"/>
      <c r="Z170" s="118"/>
      <c r="AA170" s="118"/>
      <c r="AB170" s="118"/>
      <c r="AC170" s="118"/>
      <c r="AD170" s="118"/>
      <c r="AE170" s="118"/>
      <c r="AF170" s="118"/>
      <c r="AG170" s="118"/>
      <c r="AH170" s="118"/>
      <c r="AI170" s="118"/>
      <c r="AJ170" s="118"/>
      <c r="AK170" s="118"/>
      <c r="AL170" s="118"/>
      <c r="AM170" s="118"/>
      <c r="AN170" s="118"/>
      <c r="AO170" s="118"/>
      <c r="AP170" s="117"/>
      <c r="AQ170" s="117"/>
      <c r="AR170" s="117"/>
      <c r="AS170" s="117"/>
      <c r="AT170" s="117"/>
      <c r="AU170" s="117"/>
    </row>
    <row r="171" spans="25:47" x14ac:dyDescent="0.2">
      <c r="Y171" s="118"/>
      <c r="Z171" s="118"/>
      <c r="AA171" s="118"/>
      <c r="AB171" s="118"/>
      <c r="AC171" s="118"/>
      <c r="AD171" s="118"/>
      <c r="AE171" s="118"/>
      <c r="AF171" s="118"/>
      <c r="AG171" s="118"/>
      <c r="AH171" s="118"/>
      <c r="AI171" s="118"/>
      <c r="AJ171" s="118"/>
      <c r="AK171" s="118"/>
      <c r="AL171" s="118"/>
      <c r="AM171" s="118"/>
      <c r="AN171" s="118"/>
      <c r="AO171" s="118"/>
      <c r="AP171" s="117"/>
      <c r="AQ171" s="117"/>
      <c r="AR171" s="117"/>
      <c r="AS171" s="117"/>
      <c r="AT171" s="117"/>
      <c r="AU171" s="117"/>
    </row>
    <row r="172" spans="25:47" x14ac:dyDescent="0.2">
      <c r="Y172" s="118"/>
      <c r="Z172" s="118"/>
      <c r="AA172" s="118"/>
      <c r="AB172" s="118"/>
      <c r="AC172" s="118"/>
      <c r="AD172" s="118"/>
      <c r="AE172" s="118"/>
      <c r="AF172" s="118"/>
      <c r="AG172" s="118"/>
      <c r="AH172" s="118"/>
      <c r="AI172" s="118"/>
      <c r="AJ172" s="118"/>
      <c r="AK172" s="118"/>
      <c r="AL172" s="118"/>
      <c r="AM172" s="118"/>
      <c r="AN172" s="118"/>
      <c r="AO172" s="118"/>
      <c r="AP172" s="117"/>
      <c r="AQ172" s="117"/>
      <c r="AR172" s="117"/>
      <c r="AS172" s="117"/>
      <c r="AT172" s="117"/>
      <c r="AU172" s="117"/>
    </row>
    <row r="173" spans="25:47" x14ac:dyDescent="0.2">
      <c r="Y173" s="118"/>
      <c r="Z173" s="118"/>
      <c r="AA173" s="118"/>
      <c r="AB173" s="118"/>
      <c r="AC173" s="118"/>
      <c r="AD173" s="118"/>
      <c r="AE173" s="118"/>
      <c r="AF173" s="118"/>
      <c r="AG173" s="118"/>
      <c r="AH173" s="118"/>
      <c r="AI173" s="118"/>
      <c r="AJ173" s="118"/>
      <c r="AK173" s="118"/>
      <c r="AL173" s="118"/>
      <c r="AM173" s="118"/>
      <c r="AN173" s="118"/>
      <c r="AO173" s="118"/>
      <c r="AP173" s="117"/>
      <c r="AQ173" s="117"/>
      <c r="AR173" s="117"/>
      <c r="AS173" s="117"/>
      <c r="AT173" s="117"/>
      <c r="AU173" s="117"/>
    </row>
    <row r="174" spans="25:47" x14ac:dyDescent="0.2">
      <c r="Y174" s="118"/>
      <c r="Z174" s="118"/>
      <c r="AA174" s="118"/>
      <c r="AB174" s="118"/>
      <c r="AC174" s="118"/>
      <c r="AD174" s="118"/>
      <c r="AE174" s="118"/>
      <c r="AF174" s="118"/>
      <c r="AG174" s="118"/>
      <c r="AH174" s="118"/>
      <c r="AI174" s="118"/>
      <c r="AJ174" s="118"/>
      <c r="AK174" s="118"/>
      <c r="AL174" s="118"/>
      <c r="AM174" s="118"/>
      <c r="AN174" s="118"/>
      <c r="AO174" s="118"/>
      <c r="AP174" s="117"/>
      <c r="AQ174" s="117"/>
      <c r="AR174" s="117"/>
      <c r="AS174" s="117"/>
      <c r="AT174" s="117"/>
      <c r="AU174" s="117"/>
    </row>
    <row r="175" spans="25:47" x14ac:dyDescent="0.2">
      <c r="Y175" s="118"/>
      <c r="Z175" s="118"/>
      <c r="AA175" s="118"/>
      <c r="AB175" s="118"/>
      <c r="AC175" s="118"/>
      <c r="AD175" s="118"/>
      <c r="AE175" s="118"/>
      <c r="AF175" s="118"/>
      <c r="AG175" s="118"/>
      <c r="AH175" s="118"/>
      <c r="AI175" s="118"/>
      <c r="AJ175" s="118"/>
      <c r="AK175" s="118"/>
      <c r="AL175" s="118"/>
      <c r="AM175" s="118"/>
      <c r="AN175" s="118"/>
      <c r="AO175" s="118"/>
      <c r="AP175" s="117"/>
      <c r="AQ175" s="117"/>
      <c r="AR175" s="117"/>
      <c r="AS175" s="117"/>
      <c r="AT175" s="117"/>
      <c r="AU175" s="117"/>
    </row>
    <row r="176" spans="25:47" x14ac:dyDescent="0.2">
      <c r="Y176" s="118"/>
      <c r="Z176" s="118"/>
      <c r="AA176" s="118"/>
      <c r="AB176" s="118"/>
      <c r="AC176" s="118"/>
      <c r="AD176" s="118"/>
      <c r="AE176" s="118"/>
      <c r="AF176" s="118"/>
      <c r="AG176" s="118"/>
      <c r="AH176" s="118"/>
      <c r="AI176" s="118"/>
      <c r="AJ176" s="118"/>
      <c r="AK176" s="118"/>
      <c r="AL176" s="118"/>
      <c r="AM176" s="118"/>
      <c r="AN176" s="118"/>
      <c r="AO176" s="118"/>
      <c r="AP176" s="117"/>
      <c r="AQ176" s="117"/>
      <c r="AR176" s="117"/>
      <c r="AS176" s="117"/>
      <c r="AT176" s="117"/>
      <c r="AU176" s="117"/>
    </row>
    <row r="177" spans="25:47" x14ac:dyDescent="0.2">
      <c r="Y177" s="118"/>
      <c r="Z177" s="118"/>
      <c r="AA177" s="118"/>
      <c r="AB177" s="118"/>
      <c r="AC177" s="118"/>
      <c r="AD177" s="118"/>
      <c r="AE177" s="118"/>
      <c r="AF177" s="118"/>
      <c r="AG177" s="118"/>
      <c r="AH177" s="118"/>
      <c r="AI177" s="118"/>
      <c r="AJ177" s="118"/>
      <c r="AK177" s="118"/>
      <c r="AL177" s="118"/>
      <c r="AM177" s="118"/>
      <c r="AN177" s="118"/>
      <c r="AO177" s="118"/>
      <c r="AP177" s="117"/>
      <c r="AQ177" s="117"/>
      <c r="AR177" s="117"/>
      <c r="AS177" s="117"/>
      <c r="AT177" s="117"/>
      <c r="AU177" s="117"/>
    </row>
    <row r="178" spans="25:47" x14ac:dyDescent="0.2">
      <c r="Y178" s="118"/>
      <c r="Z178" s="118"/>
      <c r="AA178" s="118"/>
      <c r="AB178" s="118"/>
      <c r="AC178" s="118"/>
      <c r="AD178" s="118"/>
      <c r="AE178" s="118"/>
      <c r="AF178" s="118"/>
      <c r="AG178" s="118"/>
      <c r="AH178" s="118"/>
      <c r="AI178" s="118"/>
      <c r="AJ178" s="118"/>
      <c r="AK178" s="118"/>
      <c r="AL178" s="118"/>
      <c r="AM178" s="118"/>
      <c r="AN178" s="118"/>
      <c r="AO178" s="118"/>
      <c r="AP178" s="117"/>
      <c r="AQ178" s="117"/>
      <c r="AR178" s="117"/>
      <c r="AS178" s="117"/>
      <c r="AT178" s="117"/>
      <c r="AU178" s="117"/>
    </row>
    <row r="179" spans="25:47" x14ac:dyDescent="0.2">
      <c r="Y179" s="118"/>
      <c r="Z179" s="118"/>
      <c r="AA179" s="118"/>
      <c r="AB179" s="118"/>
      <c r="AC179" s="118"/>
      <c r="AD179" s="118"/>
      <c r="AE179" s="118"/>
      <c r="AF179" s="118"/>
      <c r="AG179" s="118"/>
      <c r="AH179" s="118"/>
      <c r="AI179" s="118"/>
      <c r="AJ179" s="118"/>
      <c r="AK179" s="118"/>
      <c r="AL179" s="118"/>
      <c r="AM179" s="118"/>
      <c r="AN179" s="118"/>
      <c r="AO179" s="118"/>
      <c r="AP179" s="117"/>
      <c r="AQ179" s="117"/>
      <c r="AR179" s="117"/>
      <c r="AS179" s="117"/>
      <c r="AT179" s="117"/>
      <c r="AU179" s="117"/>
    </row>
    <row r="180" spans="25:47" x14ac:dyDescent="0.2">
      <c r="Y180" s="118"/>
      <c r="Z180" s="118"/>
      <c r="AA180" s="118"/>
      <c r="AB180" s="118"/>
      <c r="AC180" s="118"/>
      <c r="AD180" s="118"/>
      <c r="AE180" s="118"/>
      <c r="AF180" s="118"/>
      <c r="AG180" s="118"/>
      <c r="AH180" s="118"/>
      <c r="AI180" s="118"/>
      <c r="AJ180" s="118"/>
      <c r="AK180" s="118"/>
      <c r="AL180" s="118"/>
      <c r="AM180" s="118"/>
      <c r="AN180" s="118"/>
      <c r="AO180" s="118"/>
      <c r="AP180" s="117"/>
      <c r="AQ180" s="117"/>
      <c r="AR180" s="117"/>
      <c r="AS180" s="117"/>
      <c r="AT180" s="117"/>
      <c r="AU180" s="117"/>
    </row>
    <row r="181" spans="25:47" x14ac:dyDescent="0.2">
      <c r="Y181" s="118"/>
      <c r="Z181" s="118"/>
      <c r="AA181" s="118"/>
      <c r="AB181" s="118"/>
      <c r="AC181" s="118"/>
      <c r="AD181" s="118"/>
      <c r="AE181" s="118"/>
      <c r="AF181" s="118"/>
      <c r="AG181" s="118"/>
      <c r="AH181" s="118"/>
      <c r="AI181" s="118"/>
      <c r="AJ181" s="118"/>
      <c r="AK181" s="118"/>
      <c r="AL181" s="118"/>
      <c r="AM181" s="118"/>
      <c r="AN181" s="118"/>
      <c r="AO181" s="118"/>
      <c r="AP181" s="117"/>
      <c r="AQ181" s="117"/>
      <c r="AR181" s="117"/>
      <c r="AS181" s="117"/>
      <c r="AT181" s="117"/>
      <c r="AU181" s="117"/>
    </row>
    <row r="182" spans="25:47" x14ac:dyDescent="0.2">
      <c r="Y182" s="118"/>
      <c r="Z182" s="118"/>
      <c r="AA182" s="118"/>
      <c r="AB182" s="118"/>
      <c r="AC182" s="118"/>
      <c r="AD182" s="118"/>
      <c r="AE182" s="118"/>
      <c r="AF182" s="118"/>
      <c r="AG182" s="118"/>
      <c r="AH182" s="118"/>
      <c r="AI182" s="118"/>
      <c r="AJ182" s="118"/>
      <c r="AK182" s="118"/>
      <c r="AL182" s="118"/>
      <c r="AM182" s="118"/>
      <c r="AN182" s="118"/>
      <c r="AO182" s="118"/>
      <c r="AP182" s="117"/>
      <c r="AQ182" s="117"/>
      <c r="AR182" s="117"/>
      <c r="AS182" s="117"/>
      <c r="AT182" s="117"/>
      <c r="AU182" s="117"/>
    </row>
    <row r="183" spans="25:47" x14ac:dyDescent="0.2">
      <c r="Y183" s="118"/>
      <c r="Z183" s="118"/>
      <c r="AA183" s="118"/>
      <c r="AB183" s="118"/>
      <c r="AC183" s="118"/>
      <c r="AD183" s="118"/>
      <c r="AE183" s="118"/>
      <c r="AF183" s="118"/>
      <c r="AG183" s="118"/>
      <c r="AH183" s="118"/>
      <c r="AI183" s="118"/>
      <c r="AJ183" s="118"/>
      <c r="AK183" s="118"/>
      <c r="AL183" s="118"/>
      <c r="AM183" s="118"/>
      <c r="AN183" s="118"/>
      <c r="AO183" s="118"/>
      <c r="AP183" s="117"/>
      <c r="AQ183" s="117"/>
      <c r="AR183" s="117"/>
      <c r="AS183" s="117"/>
      <c r="AT183" s="117"/>
      <c r="AU183" s="117"/>
    </row>
    <row r="184" spans="25:47" x14ac:dyDescent="0.2">
      <c r="Y184" s="118"/>
      <c r="Z184" s="118"/>
      <c r="AA184" s="118"/>
      <c r="AB184" s="118"/>
      <c r="AC184" s="118"/>
      <c r="AD184" s="118"/>
      <c r="AE184" s="118"/>
      <c r="AF184" s="118"/>
      <c r="AG184" s="118"/>
      <c r="AH184" s="118"/>
      <c r="AI184" s="118"/>
      <c r="AJ184" s="118"/>
      <c r="AK184" s="118"/>
      <c r="AL184" s="118"/>
      <c r="AM184" s="118"/>
      <c r="AN184" s="118"/>
      <c r="AO184" s="118"/>
      <c r="AP184" s="117"/>
      <c r="AQ184" s="117"/>
      <c r="AR184" s="117"/>
      <c r="AS184" s="117"/>
      <c r="AT184" s="117"/>
      <c r="AU184" s="117"/>
    </row>
    <row r="185" spans="25:47" x14ac:dyDescent="0.2">
      <c r="Y185" s="118"/>
      <c r="Z185" s="118"/>
      <c r="AA185" s="118"/>
      <c r="AB185" s="118"/>
      <c r="AC185" s="118"/>
      <c r="AD185" s="118"/>
      <c r="AE185" s="118"/>
      <c r="AF185" s="118"/>
      <c r="AG185" s="118"/>
      <c r="AH185" s="118"/>
      <c r="AI185" s="118"/>
      <c r="AJ185" s="118"/>
      <c r="AK185" s="118"/>
      <c r="AL185" s="118"/>
      <c r="AM185" s="118"/>
      <c r="AN185" s="118"/>
      <c r="AO185" s="118"/>
      <c r="AP185" s="117"/>
      <c r="AQ185" s="117"/>
      <c r="AR185" s="117"/>
      <c r="AS185" s="117"/>
      <c r="AT185" s="117"/>
      <c r="AU185" s="117"/>
    </row>
    <row r="186" spans="25:47" x14ac:dyDescent="0.2">
      <c r="Y186" s="118"/>
      <c r="Z186" s="118"/>
      <c r="AA186" s="118"/>
      <c r="AB186" s="118"/>
      <c r="AC186" s="118"/>
      <c r="AD186" s="118"/>
      <c r="AE186" s="118"/>
      <c r="AF186" s="118"/>
      <c r="AG186" s="118"/>
      <c r="AH186" s="118"/>
      <c r="AI186" s="118"/>
      <c r="AJ186" s="118"/>
      <c r="AK186" s="118"/>
      <c r="AL186" s="118"/>
      <c r="AM186" s="118"/>
      <c r="AN186" s="118"/>
      <c r="AO186" s="118"/>
      <c r="AP186" s="117"/>
      <c r="AQ186" s="117"/>
      <c r="AR186" s="117"/>
      <c r="AS186" s="117"/>
      <c r="AT186" s="117"/>
      <c r="AU186" s="117"/>
    </row>
    <row r="187" spans="25:47" x14ac:dyDescent="0.2">
      <c r="Y187" s="118"/>
      <c r="Z187" s="118"/>
      <c r="AA187" s="118"/>
      <c r="AB187" s="118"/>
      <c r="AC187" s="118"/>
      <c r="AD187" s="118"/>
      <c r="AE187" s="118"/>
      <c r="AF187" s="118"/>
      <c r="AG187" s="118"/>
      <c r="AH187" s="118"/>
      <c r="AI187" s="118"/>
      <c r="AJ187" s="118"/>
      <c r="AK187" s="118"/>
      <c r="AL187" s="118"/>
      <c r="AM187" s="118"/>
      <c r="AN187" s="118"/>
      <c r="AO187" s="118"/>
      <c r="AP187" s="117"/>
      <c r="AQ187" s="117"/>
      <c r="AR187" s="117"/>
      <c r="AS187" s="117"/>
      <c r="AT187" s="117"/>
      <c r="AU187" s="117"/>
    </row>
    <row r="188" spans="25:47" x14ac:dyDescent="0.2">
      <c r="Y188" s="118"/>
      <c r="Z188" s="118"/>
      <c r="AA188" s="118"/>
      <c r="AB188" s="118"/>
      <c r="AC188" s="118"/>
      <c r="AD188" s="118"/>
      <c r="AE188" s="118"/>
      <c r="AF188" s="118"/>
      <c r="AG188" s="118"/>
      <c r="AH188" s="118"/>
      <c r="AI188" s="118"/>
      <c r="AJ188" s="118"/>
      <c r="AK188" s="118"/>
      <c r="AL188" s="118"/>
      <c r="AM188" s="118"/>
      <c r="AN188" s="118"/>
      <c r="AO188" s="118"/>
      <c r="AP188" s="117"/>
      <c r="AQ188" s="117"/>
      <c r="AR188" s="117"/>
      <c r="AS188" s="117"/>
      <c r="AT188" s="117"/>
      <c r="AU188" s="117"/>
    </row>
    <row r="189" spans="25:47" x14ac:dyDescent="0.2">
      <c r="Y189" s="118"/>
      <c r="Z189" s="118"/>
      <c r="AA189" s="118"/>
      <c r="AB189" s="118"/>
      <c r="AC189" s="118"/>
      <c r="AD189" s="118"/>
      <c r="AE189" s="118"/>
      <c r="AF189" s="118"/>
      <c r="AG189" s="118"/>
      <c r="AH189" s="118"/>
      <c r="AI189" s="118"/>
      <c r="AJ189" s="118"/>
      <c r="AK189" s="118"/>
      <c r="AL189" s="118"/>
      <c r="AM189" s="118"/>
      <c r="AN189" s="118"/>
      <c r="AO189" s="118"/>
      <c r="AP189" s="117"/>
      <c r="AQ189" s="117"/>
      <c r="AR189" s="117"/>
      <c r="AS189" s="117"/>
      <c r="AT189" s="117"/>
      <c r="AU189" s="117"/>
    </row>
    <row r="190" spans="25:47" x14ac:dyDescent="0.2">
      <c r="Y190" s="118"/>
      <c r="Z190" s="118"/>
      <c r="AA190" s="118"/>
      <c r="AB190" s="118"/>
      <c r="AC190" s="118"/>
      <c r="AD190" s="118"/>
      <c r="AE190" s="118"/>
      <c r="AF190" s="118"/>
      <c r="AG190" s="118"/>
      <c r="AH190" s="118"/>
      <c r="AI190" s="118"/>
      <c r="AJ190" s="118"/>
      <c r="AK190" s="118"/>
      <c r="AL190" s="118"/>
      <c r="AM190" s="118"/>
      <c r="AN190" s="118"/>
      <c r="AO190" s="118"/>
      <c r="AP190" s="117"/>
      <c r="AQ190" s="117"/>
      <c r="AR190" s="117"/>
      <c r="AS190" s="117"/>
      <c r="AT190" s="117"/>
      <c r="AU190" s="117"/>
    </row>
    <row r="191" spans="25:47" x14ac:dyDescent="0.2">
      <c r="Y191" s="118"/>
      <c r="Z191" s="118"/>
      <c r="AA191" s="118"/>
      <c r="AB191" s="118"/>
      <c r="AC191" s="118"/>
      <c r="AD191" s="118"/>
      <c r="AE191" s="118"/>
      <c r="AF191" s="118"/>
      <c r="AG191" s="118"/>
      <c r="AH191" s="118"/>
      <c r="AI191" s="118"/>
      <c r="AJ191" s="118"/>
      <c r="AK191" s="118"/>
      <c r="AL191" s="118"/>
      <c r="AM191" s="118"/>
      <c r="AN191" s="118"/>
      <c r="AO191" s="118"/>
      <c r="AP191" s="117"/>
      <c r="AQ191" s="117"/>
      <c r="AR191" s="117"/>
      <c r="AS191" s="117"/>
      <c r="AT191" s="117"/>
      <c r="AU191" s="117"/>
    </row>
    <row r="192" spans="25:47" x14ac:dyDescent="0.2">
      <c r="Y192" s="118"/>
      <c r="Z192" s="118"/>
      <c r="AA192" s="118"/>
      <c r="AB192" s="118"/>
      <c r="AC192" s="118"/>
      <c r="AD192" s="118"/>
      <c r="AE192" s="118"/>
      <c r="AF192" s="118"/>
      <c r="AG192" s="118"/>
      <c r="AH192" s="118"/>
      <c r="AI192" s="118"/>
      <c r="AJ192" s="118"/>
      <c r="AK192" s="118"/>
      <c r="AL192" s="118"/>
      <c r="AM192" s="118"/>
      <c r="AN192" s="118"/>
      <c r="AO192" s="118"/>
      <c r="AP192" s="117"/>
      <c r="AQ192" s="117"/>
      <c r="AR192" s="117"/>
      <c r="AS192" s="117"/>
      <c r="AT192" s="117"/>
      <c r="AU192" s="117"/>
    </row>
    <row r="193" spans="25:47" x14ac:dyDescent="0.2">
      <c r="Y193" s="118"/>
      <c r="Z193" s="118"/>
      <c r="AA193" s="118"/>
      <c r="AB193" s="118"/>
      <c r="AC193" s="118"/>
      <c r="AD193" s="118"/>
      <c r="AE193" s="118"/>
      <c r="AF193" s="118"/>
      <c r="AG193" s="118"/>
      <c r="AH193" s="118"/>
      <c r="AI193" s="118"/>
      <c r="AJ193" s="118"/>
      <c r="AK193" s="118"/>
      <c r="AL193" s="118"/>
      <c r="AM193" s="118"/>
      <c r="AN193" s="118"/>
      <c r="AO193" s="118"/>
      <c r="AP193" s="117"/>
      <c r="AQ193" s="117"/>
      <c r="AR193" s="117"/>
      <c r="AS193" s="117"/>
      <c r="AT193" s="117"/>
      <c r="AU193" s="117"/>
    </row>
    <row r="194" spans="25:47" x14ac:dyDescent="0.2">
      <c r="Y194" s="118"/>
      <c r="Z194" s="118"/>
      <c r="AA194" s="118"/>
      <c r="AB194" s="118"/>
      <c r="AC194" s="118"/>
      <c r="AD194" s="118"/>
      <c r="AE194" s="118"/>
      <c r="AF194" s="118"/>
      <c r="AG194" s="118"/>
      <c r="AH194" s="118"/>
      <c r="AI194" s="118"/>
      <c r="AJ194" s="118"/>
      <c r="AK194" s="118"/>
      <c r="AL194" s="118"/>
      <c r="AM194" s="118"/>
      <c r="AN194" s="118"/>
      <c r="AO194" s="118"/>
      <c r="AP194" s="117"/>
      <c r="AQ194" s="117"/>
      <c r="AR194" s="117"/>
      <c r="AS194" s="117"/>
      <c r="AT194" s="117"/>
      <c r="AU194" s="117"/>
    </row>
    <row r="195" spans="25:47" x14ac:dyDescent="0.2">
      <c r="Y195" s="118"/>
      <c r="Z195" s="118"/>
      <c r="AA195" s="118"/>
      <c r="AB195" s="118"/>
      <c r="AC195" s="118"/>
      <c r="AD195" s="118"/>
      <c r="AE195" s="118"/>
      <c r="AF195" s="118"/>
      <c r="AG195" s="118"/>
      <c r="AH195" s="118"/>
      <c r="AI195" s="118"/>
      <c r="AJ195" s="118"/>
      <c r="AK195" s="118"/>
      <c r="AL195" s="118"/>
      <c r="AM195" s="118"/>
      <c r="AN195" s="118"/>
      <c r="AO195" s="118"/>
      <c r="AP195" s="117"/>
      <c r="AQ195" s="117"/>
      <c r="AR195" s="117"/>
      <c r="AS195" s="117"/>
      <c r="AT195" s="117"/>
      <c r="AU195" s="117"/>
    </row>
    <row r="196" spans="25:47" x14ac:dyDescent="0.2">
      <c r="Y196" s="118"/>
      <c r="Z196" s="118"/>
      <c r="AA196" s="118"/>
      <c r="AB196" s="118"/>
      <c r="AC196" s="118"/>
      <c r="AD196" s="118"/>
      <c r="AE196" s="118"/>
      <c r="AF196" s="118"/>
      <c r="AG196" s="118"/>
      <c r="AH196" s="118"/>
      <c r="AI196" s="118"/>
      <c r="AJ196" s="118"/>
      <c r="AK196" s="118"/>
      <c r="AL196" s="118"/>
      <c r="AM196" s="118"/>
      <c r="AN196" s="118"/>
      <c r="AO196" s="118"/>
      <c r="AP196" s="117"/>
      <c r="AQ196" s="117"/>
      <c r="AR196" s="117"/>
      <c r="AS196" s="117"/>
      <c r="AT196" s="117"/>
      <c r="AU196" s="117"/>
    </row>
    <row r="197" spans="25:47" x14ac:dyDescent="0.2">
      <c r="Y197" s="118"/>
      <c r="Z197" s="118"/>
      <c r="AA197" s="118"/>
      <c r="AB197" s="118"/>
      <c r="AC197" s="118"/>
      <c r="AD197" s="118"/>
      <c r="AE197" s="118"/>
      <c r="AF197" s="118"/>
      <c r="AG197" s="118"/>
      <c r="AH197" s="118"/>
      <c r="AI197" s="118"/>
      <c r="AJ197" s="118"/>
      <c r="AK197" s="118"/>
      <c r="AL197" s="118"/>
      <c r="AM197" s="118"/>
      <c r="AN197" s="118"/>
      <c r="AO197" s="118"/>
      <c r="AP197" s="117"/>
      <c r="AQ197" s="117"/>
      <c r="AR197" s="117"/>
      <c r="AS197" s="117"/>
      <c r="AT197" s="117"/>
      <c r="AU197" s="117"/>
    </row>
    <row r="198" spans="25:47" x14ac:dyDescent="0.2">
      <c r="Y198" s="118"/>
      <c r="Z198" s="118"/>
      <c r="AA198" s="118"/>
      <c r="AB198" s="118"/>
      <c r="AC198" s="118"/>
      <c r="AD198" s="118"/>
      <c r="AE198" s="118"/>
      <c r="AF198" s="118"/>
      <c r="AG198" s="118"/>
      <c r="AH198" s="118"/>
      <c r="AI198" s="118"/>
      <c r="AJ198" s="118"/>
      <c r="AK198" s="118"/>
      <c r="AL198" s="118"/>
      <c r="AM198" s="118"/>
      <c r="AN198" s="118"/>
      <c r="AO198" s="118"/>
      <c r="AP198" s="117"/>
      <c r="AQ198" s="117"/>
      <c r="AR198" s="117"/>
      <c r="AS198" s="117"/>
      <c r="AT198" s="117"/>
      <c r="AU198" s="117"/>
    </row>
    <row r="199" spans="25:47" x14ac:dyDescent="0.2">
      <c r="Y199" s="118"/>
      <c r="Z199" s="118"/>
      <c r="AA199" s="118"/>
      <c r="AB199" s="118"/>
      <c r="AC199" s="118"/>
      <c r="AD199" s="118"/>
      <c r="AE199" s="118"/>
      <c r="AF199" s="118"/>
      <c r="AG199" s="118"/>
      <c r="AH199" s="118"/>
      <c r="AI199" s="118"/>
      <c r="AJ199" s="118"/>
      <c r="AK199" s="118"/>
      <c r="AL199" s="118"/>
      <c r="AM199" s="118"/>
      <c r="AN199" s="118"/>
      <c r="AO199" s="118"/>
      <c r="AP199" s="117"/>
      <c r="AQ199" s="117"/>
      <c r="AR199" s="117"/>
      <c r="AS199" s="117"/>
      <c r="AT199" s="117"/>
      <c r="AU199" s="117"/>
    </row>
    <row r="200" spans="25:47" x14ac:dyDescent="0.2">
      <c r="Y200" s="118"/>
      <c r="Z200" s="118"/>
      <c r="AA200" s="118"/>
      <c r="AB200" s="118"/>
      <c r="AC200" s="118"/>
      <c r="AD200" s="118"/>
      <c r="AE200" s="118"/>
      <c r="AF200" s="118"/>
      <c r="AG200" s="118"/>
      <c r="AH200" s="118"/>
      <c r="AI200" s="118"/>
      <c r="AJ200" s="118"/>
      <c r="AK200" s="118"/>
      <c r="AL200" s="118"/>
      <c r="AM200" s="118"/>
      <c r="AN200" s="118"/>
      <c r="AO200" s="118"/>
      <c r="AP200" s="117"/>
      <c r="AQ200" s="117"/>
      <c r="AR200" s="117"/>
      <c r="AS200" s="117"/>
      <c r="AT200" s="117"/>
      <c r="AU200" s="117"/>
    </row>
    <row r="201" spans="25:47" x14ac:dyDescent="0.2">
      <c r="Y201" s="118"/>
      <c r="Z201" s="118"/>
      <c r="AA201" s="118"/>
      <c r="AB201" s="118"/>
      <c r="AC201" s="118"/>
      <c r="AD201" s="118"/>
      <c r="AE201" s="118"/>
      <c r="AF201" s="118"/>
      <c r="AG201" s="118"/>
      <c r="AH201" s="118"/>
      <c r="AI201" s="118"/>
      <c r="AJ201" s="118"/>
      <c r="AK201" s="118"/>
      <c r="AL201" s="118"/>
      <c r="AM201" s="118"/>
      <c r="AN201" s="118"/>
      <c r="AO201" s="118"/>
      <c r="AP201" s="117"/>
      <c r="AQ201" s="117"/>
      <c r="AR201" s="117"/>
      <c r="AS201" s="117"/>
      <c r="AT201" s="117"/>
      <c r="AU201" s="117"/>
    </row>
    <row r="202" spans="25:47" x14ac:dyDescent="0.2">
      <c r="Y202" s="118"/>
      <c r="Z202" s="118"/>
      <c r="AA202" s="118"/>
      <c r="AB202" s="118"/>
      <c r="AC202" s="118"/>
      <c r="AD202" s="118"/>
      <c r="AE202" s="118"/>
      <c r="AF202" s="118"/>
      <c r="AG202" s="118"/>
      <c r="AH202" s="118"/>
      <c r="AI202" s="118"/>
      <c r="AJ202" s="118"/>
      <c r="AK202" s="118"/>
      <c r="AL202" s="118"/>
      <c r="AM202" s="118"/>
      <c r="AN202" s="118"/>
      <c r="AO202" s="118"/>
      <c r="AP202" s="117"/>
      <c r="AQ202" s="117"/>
      <c r="AR202" s="117"/>
      <c r="AS202" s="117"/>
      <c r="AT202" s="117"/>
      <c r="AU202" s="117"/>
    </row>
    <row r="203" spans="25:47" x14ac:dyDescent="0.2">
      <c r="Y203" s="118"/>
      <c r="Z203" s="118"/>
      <c r="AA203" s="118"/>
      <c r="AB203" s="118"/>
      <c r="AC203" s="118"/>
      <c r="AD203" s="118"/>
      <c r="AE203" s="118"/>
      <c r="AF203" s="118"/>
      <c r="AG203" s="118"/>
      <c r="AH203" s="118"/>
      <c r="AI203" s="118"/>
      <c r="AJ203" s="118"/>
      <c r="AK203" s="118"/>
      <c r="AL203" s="118"/>
      <c r="AM203" s="118"/>
      <c r="AN203" s="118"/>
      <c r="AO203" s="118"/>
      <c r="AP203" s="117"/>
      <c r="AQ203" s="117"/>
      <c r="AR203" s="117"/>
      <c r="AS203" s="117"/>
      <c r="AT203" s="117"/>
      <c r="AU203" s="117"/>
    </row>
    <row r="204" spans="25:47" x14ac:dyDescent="0.2">
      <c r="Y204" s="118"/>
      <c r="Z204" s="118"/>
      <c r="AA204" s="118"/>
      <c r="AB204" s="118"/>
      <c r="AC204" s="118"/>
      <c r="AD204" s="118"/>
      <c r="AE204" s="118"/>
      <c r="AF204" s="118"/>
      <c r="AG204" s="118"/>
      <c r="AH204" s="118"/>
      <c r="AI204" s="118"/>
      <c r="AJ204" s="118"/>
      <c r="AK204" s="118"/>
      <c r="AL204" s="118"/>
      <c r="AM204" s="118"/>
      <c r="AN204" s="118"/>
      <c r="AO204" s="118"/>
      <c r="AP204" s="117"/>
      <c r="AQ204" s="117"/>
      <c r="AR204" s="117"/>
      <c r="AS204" s="117"/>
      <c r="AT204" s="117"/>
      <c r="AU204" s="117"/>
    </row>
    <row r="205" spans="25:47" x14ac:dyDescent="0.2">
      <c r="Y205" s="118"/>
      <c r="Z205" s="118"/>
      <c r="AA205" s="118"/>
      <c r="AB205" s="118"/>
      <c r="AC205" s="118"/>
      <c r="AD205" s="118"/>
      <c r="AE205" s="118"/>
      <c r="AF205" s="118"/>
      <c r="AG205" s="118"/>
      <c r="AH205" s="118"/>
      <c r="AI205" s="118"/>
      <c r="AJ205" s="118"/>
      <c r="AK205" s="118"/>
      <c r="AL205" s="118"/>
      <c r="AM205" s="118"/>
      <c r="AN205" s="118"/>
      <c r="AO205" s="118"/>
      <c r="AP205" s="117"/>
      <c r="AQ205" s="117"/>
      <c r="AR205" s="117"/>
      <c r="AS205" s="117"/>
      <c r="AT205" s="117"/>
      <c r="AU205" s="117"/>
    </row>
    <row r="206" spans="25:47" x14ac:dyDescent="0.2">
      <c r="Y206" s="118"/>
      <c r="Z206" s="118"/>
      <c r="AA206" s="118"/>
      <c r="AB206" s="118"/>
      <c r="AC206" s="118"/>
      <c r="AD206" s="118"/>
      <c r="AE206" s="118"/>
      <c r="AF206" s="118"/>
      <c r="AG206" s="118"/>
      <c r="AH206" s="118"/>
      <c r="AI206" s="118"/>
      <c r="AJ206" s="118"/>
      <c r="AK206" s="118"/>
      <c r="AL206" s="118"/>
      <c r="AM206" s="118"/>
      <c r="AN206" s="118"/>
      <c r="AO206" s="118"/>
      <c r="AP206" s="117"/>
      <c r="AQ206" s="117"/>
      <c r="AR206" s="117"/>
      <c r="AS206" s="117"/>
      <c r="AT206" s="117"/>
      <c r="AU206" s="117"/>
    </row>
    <row r="207" spans="25:47" x14ac:dyDescent="0.2">
      <c r="Y207" s="118"/>
      <c r="Z207" s="118"/>
      <c r="AA207" s="118"/>
      <c r="AB207" s="118"/>
      <c r="AC207" s="118"/>
      <c r="AD207" s="118"/>
      <c r="AE207" s="118"/>
      <c r="AF207" s="118"/>
      <c r="AG207" s="118"/>
      <c r="AH207" s="118"/>
      <c r="AI207" s="118"/>
      <c r="AJ207" s="118"/>
      <c r="AK207" s="118"/>
      <c r="AL207" s="118"/>
      <c r="AM207" s="118"/>
      <c r="AN207" s="118"/>
      <c r="AO207" s="118"/>
      <c r="AP207" s="117"/>
      <c r="AQ207" s="117"/>
      <c r="AR207" s="117"/>
      <c r="AS207" s="117"/>
      <c r="AT207" s="117"/>
      <c r="AU207" s="117"/>
    </row>
    <row r="208" spans="25:47" x14ac:dyDescent="0.2">
      <c r="Y208" s="118"/>
      <c r="Z208" s="118"/>
      <c r="AA208" s="118"/>
      <c r="AB208" s="118"/>
      <c r="AC208" s="118"/>
      <c r="AD208" s="118"/>
      <c r="AE208" s="118"/>
      <c r="AF208" s="118"/>
      <c r="AG208" s="118"/>
      <c r="AH208" s="118"/>
      <c r="AI208" s="118"/>
      <c r="AJ208" s="118"/>
      <c r="AK208" s="118"/>
      <c r="AL208" s="118"/>
      <c r="AM208" s="118"/>
      <c r="AN208" s="118"/>
      <c r="AO208" s="118"/>
      <c r="AP208" s="117"/>
      <c r="AQ208" s="117"/>
      <c r="AR208" s="117"/>
      <c r="AS208" s="117"/>
      <c r="AT208" s="117"/>
      <c r="AU208" s="117"/>
    </row>
    <row r="209" spans="25:47" x14ac:dyDescent="0.2">
      <c r="Y209" s="118"/>
      <c r="Z209" s="118"/>
      <c r="AA209" s="118"/>
      <c r="AB209" s="118"/>
      <c r="AC209" s="118"/>
      <c r="AD209" s="118"/>
      <c r="AE209" s="118"/>
      <c r="AF209" s="118"/>
      <c r="AG209" s="118"/>
      <c r="AH209" s="118"/>
      <c r="AI209" s="118"/>
      <c r="AJ209" s="118"/>
      <c r="AK209" s="118"/>
      <c r="AL209" s="118"/>
      <c r="AM209" s="118"/>
      <c r="AN209" s="118"/>
      <c r="AO209" s="118"/>
      <c r="AP209" s="117"/>
      <c r="AQ209" s="117"/>
      <c r="AR209" s="117"/>
      <c r="AS209" s="117"/>
      <c r="AT209" s="117"/>
      <c r="AU209" s="117"/>
    </row>
    <row r="210" spans="25:47" x14ac:dyDescent="0.2">
      <c r="Y210" s="118"/>
      <c r="Z210" s="118"/>
      <c r="AA210" s="118"/>
      <c r="AB210" s="118"/>
      <c r="AC210" s="118"/>
      <c r="AD210" s="118"/>
      <c r="AE210" s="118"/>
      <c r="AF210" s="118"/>
      <c r="AG210" s="118"/>
      <c r="AH210" s="118"/>
      <c r="AI210" s="118"/>
      <c r="AJ210" s="118"/>
      <c r="AK210" s="118"/>
      <c r="AL210" s="118"/>
      <c r="AM210" s="118"/>
      <c r="AN210" s="118"/>
      <c r="AO210" s="118"/>
      <c r="AP210" s="117"/>
      <c r="AQ210" s="117"/>
      <c r="AR210" s="117"/>
      <c r="AS210" s="117"/>
      <c r="AT210" s="117"/>
      <c r="AU210" s="117"/>
    </row>
    <row r="211" spans="25:47" x14ac:dyDescent="0.2">
      <c r="Y211" s="118"/>
      <c r="Z211" s="118"/>
      <c r="AA211" s="118"/>
      <c r="AB211" s="118"/>
      <c r="AC211" s="118"/>
      <c r="AD211" s="118"/>
      <c r="AE211" s="118"/>
      <c r="AF211" s="118"/>
      <c r="AG211" s="118"/>
      <c r="AH211" s="118"/>
      <c r="AI211" s="118"/>
      <c r="AJ211" s="118"/>
      <c r="AK211" s="118"/>
      <c r="AL211" s="118"/>
      <c r="AM211" s="118"/>
      <c r="AN211" s="118"/>
      <c r="AO211" s="118"/>
      <c r="AP211" s="117"/>
      <c r="AQ211" s="117"/>
      <c r="AR211" s="117"/>
      <c r="AS211" s="117"/>
      <c r="AT211" s="117"/>
      <c r="AU211" s="117"/>
    </row>
    <row r="212" spans="25:47" x14ac:dyDescent="0.2">
      <c r="Y212" s="118"/>
      <c r="Z212" s="118"/>
      <c r="AA212" s="118"/>
      <c r="AB212" s="118"/>
      <c r="AC212" s="118"/>
      <c r="AD212" s="118"/>
      <c r="AE212" s="118"/>
      <c r="AF212" s="118"/>
      <c r="AG212" s="118"/>
      <c r="AH212" s="118"/>
      <c r="AI212" s="118"/>
      <c r="AJ212" s="118"/>
      <c r="AK212" s="118"/>
      <c r="AL212" s="118"/>
      <c r="AM212" s="118"/>
      <c r="AN212" s="118"/>
      <c r="AO212" s="118"/>
      <c r="AP212" s="117"/>
      <c r="AQ212" s="117"/>
      <c r="AR212" s="117"/>
      <c r="AS212" s="117"/>
      <c r="AT212" s="117"/>
      <c r="AU212" s="117"/>
    </row>
    <row r="213" spans="25:47" x14ac:dyDescent="0.2">
      <c r="Y213" s="118"/>
      <c r="Z213" s="118"/>
      <c r="AA213" s="118"/>
      <c r="AB213" s="118"/>
      <c r="AC213" s="118"/>
      <c r="AD213" s="118"/>
      <c r="AE213" s="118"/>
      <c r="AF213" s="118"/>
      <c r="AG213" s="118"/>
      <c r="AH213" s="118"/>
      <c r="AI213" s="118"/>
      <c r="AJ213" s="118"/>
      <c r="AK213" s="118"/>
      <c r="AL213" s="118"/>
      <c r="AM213" s="118"/>
      <c r="AN213" s="118"/>
      <c r="AO213" s="118"/>
      <c r="AP213" s="117"/>
      <c r="AQ213" s="117"/>
      <c r="AR213" s="117"/>
      <c r="AS213" s="117"/>
      <c r="AT213" s="117"/>
      <c r="AU213" s="117"/>
    </row>
    <row r="214" spans="25:47" x14ac:dyDescent="0.2">
      <c r="Y214" s="118"/>
      <c r="Z214" s="118"/>
      <c r="AA214" s="118"/>
      <c r="AB214" s="118"/>
      <c r="AC214" s="118"/>
      <c r="AD214" s="118"/>
      <c r="AE214" s="118"/>
      <c r="AF214" s="118"/>
      <c r="AG214" s="118"/>
      <c r="AH214" s="118"/>
      <c r="AI214" s="118"/>
      <c r="AJ214" s="118"/>
      <c r="AK214" s="118"/>
      <c r="AL214" s="118"/>
      <c r="AM214" s="118"/>
      <c r="AN214" s="118"/>
      <c r="AO214" s="118"/>
      <c r="AP214" s="117"/>
      <c r="AQ214" s="117"/>
      <c r="AR214" s="117"/>
      <c r="AS214" s="117"/>
      <c r="AT214" s="117"/>
      <c r="AU214" s="117"/>
    </row>
    <row r="215" spans="25:47" x14ac:dyDescent="0.2">
      <c r="Y215" s="118"/>
      <c r="Z215" s="118"/>
      <c r="AA215" s="118"/>
      <c r="AB215" s="118"/>
      <c r="AC215" s="118"/>
      <c r="AD215" s="118"/>
      <c r="AE215" s="118"/>
      <c r="AF215" s="118"/>
      <c r="AG215" s="118"/>
      <c r="AH215" s="118"/>
      <c r="AI215" s="118"/>
      <c r="AJ215" s="118"/>
      <c r="AK215" s="118"/>
      <c r="AL215" s="118"/>
      <c r="AM215" s="118"/>
      <c r="AN215" s="118"/>
      <c r="AO215" s="118"/>
      <c r="AP215" s="117"/>
      <c r="AQ215" s="117"/>
      <c r="AR215" s="117"/>
      <c r="AS215" s="117"/>
      <c r="AT215" s="117"/>
      <c r="AU215" s="117"/>
    </row>
    <row r="216" spans="25:47" x14ac:dyDescent="0.2">
      <c r="Y216" s="118"/>
      <c r="Z216" s="118"/>
      <c r="AA216" s="118"/>
      <c r="AB216" s="118"/>
      <c r="AC216" s="118"/>
      <c r="AD216" s="118"/>
      <c r="AE216" s="118"/>
      <c r="AF216" s="118"/>
      <c r="AG216" s="118"/>
      <c r="AH216" s="118"/>
      <c r="AI216" s="118"/>
      <c r="AJ216" s="118"/>
      <c r="AK216" s="118"/>
      <c r="AL216" s="118"/>
      <c r="AM216" s="118"/>
      <c r="AN216" s="118"/>
      <c r="AO216" s="118"/>
      <c r="AP216" s="117"/>
      <c r="AQ216" s="117"/>
      <c r="AR216" s="117"/>
      <c r="AS216" s="117"/>
      <c r="AT216" s="117"/>
      <c r="AU216" s="117"/>
    </row>
    <row r="217" spans="25:47" x14ac:dyDescent="0.2">
      <c r="Y217" s="118"/>
      <c r="Z217" s="118"/>
      <c r="AA217" s="118"/>
      <c r="AB217" s="118"/>
      <c r="AC217" s="118"/>
      <c r="AD217" s="118"/>
      <c r="AE217" s="118"/>
      <c r="AF217" s="118"/>
      <c r="AG217" s="118"/>
      <c r="AH217" s="118"/>
      <c r="AI217" s="118"/>
      <c r="AJ217" s="118"/>
      <c r="AK217" s="118"/>
      <c r="AL217" s="118"/>
      <c r="AM217" s="118"/>
      <c r="AN217" s="118"/>
      <c r="AO217" s="118"/>
      <c r="AP217" s="117"/>
      <c r="AQ217" s="117"/>
      <c r="AR217" s="117"/>
      <c r="AS217" s="117"/>
      <c r="AT217" s="117"/>
      <c r="AU217" s="117"/>
    </row>
    <row r="218" spans="25:47" x14ac:dyDescent="0.2">
      <c r="Y218" s="118"/>
      <c r="Z218" s="118"/>
      <c r="AA218" s="118"/>
      <c r="AB218" s="118"/>
      <c r="AC218" s="118"/>
      <c r="AD218" s="118"/>
      <c r="AE218" s="118"/>
      <c r="AF218" s="118"/>
      <c r="AG218" s="118"/>
      <c r="AH218" s="118"/>
      <c r="AI218" s="118"/>
      <c r="AJ218" s="118"/>
      <c r="AK218" s="118"/>
      <c r="AL218" s="118"/>
      <c r="AM218" s="118"/>
      <c r="AN218" s="118"/>
      <c r="AO218" s="118"/>
      <c r="AP218" s="117"/>
      <c r="AQ218" s="117"/>
      <c r="AR218" s="117"/>
      <c r="AS218" s="117"/>
      <c r="AT218" s="117"/>
      <c r="AU218" s="117"/>
    </row>
    <row r="219" spans="25:47" x14ac:dyDescent="0.2">
      <c r="Y219" s="118"/>
      <c r="Z219" s="118"/>
      <c r="AA219" s="118"/>
      <c r="AB219" s="118"/>
      <c r="AC219" s="118"/>
      <c r="AD219" s="118"/>
      <c r="AE219" s="118"/>
      <c r="AF219" s="118"/>
      <c r="AG219" s="118"/>
      <c r="AH219" s="118"/>
      <c r="AI219" s="118"/>
      <c r="AJ219" s="118"/>
      <c r="AK219" s="118"/>
      <c r="AL219" s="118"/>
      <c r="AM219" s="118"/>
      <c r="AN219" s="118"/>
      <c r="AO219" s="118"/>
      <c r="AP219" s="117"/>
      <c r="AQ219" s="117"/>
      <c r="AR219" s="117"/>
      <c r="AS219" s="117"/>
      <c r="AT219" s="117"/>
      <c r="AU219" s="117"/>
    </row>
    <row r="220" spans="25:47" x14ac:dyDescent="0.2">
      <c r="Y220" s="118"/>
      <c r="Z220" s="118"/>
      <c r="AA220" s="118"/>
      <c r="AB220" s="118"/>
      <c r="AC220" s="118"/>
      <c r="AD220" s="118"/>
      <c r="AE220" s="118"/>
      <c r="AF220" s="118"/>
      <c r="AG220" s="118"/>
      <c r="AH220" s="118"/>
      <c r="AI220" s="118"/>
      <c r="AJ220" s="118"/>
      <c r="AK220" s="118"/>
      <c r="AL220" s="118"/>
      <c r="AM220" s="118"/>
      <c r="AN220" s="118"/>
      <c r="AO220" s="118"/>
      <c r="AP220" s="117"/>
      <c r="AQ220" s="117"/>
      <c r="AR220" s="117"/>
      <c r="AS220" s="117"/>
      <c r="AT220" s="117"/>
      <c r="AU220" s="117"/>
    </row>
    <row r="221" spans="25:47" x14ac:dyDescent="0.2">
      <c r="Y221" s="118"/>
      <c r="Z221" s="118"/>
      <c r="AA221" s="118"/>
      <c r="AB221" s="118"/>
      <c r="AC221" s="118"/>
      <c r="AD221" s="118"/>
      <c r="AE221" s="118"/>
      <c r="AF221" s="118"/>
      <c r="AG221" s="118"/>
      <c r="AH221" s="118"/>
      <c r="AI221" s="118"/>
      <c r="AJ221" s="118"/>
      <c r="AK221" s="118"/>
      <c r="AL221" s="118"/>
      <c r="AM221" s="118"/>
      <c r="AN221" s="118"/>
      <c r="AO221" s="118"/>
      <c r="AP221" s="117"/>
      <c r="AQ221" s="117"/>
      <c r="AR221" s="117"/>
      <c r="AS221" s="117"/>
      <c r="AT221" s="117"/>
      <c r="AU221" s="117"/>
    </row>
    <row r="222" spans="25:47" x14ac:dyDescent="0.2">
      <c r="Y222" s="118"/>
      <c r="Z222" s="118"/>
      <c r="AA222" s="118"/>
      <c r="AB222" s="118"/>
      <c r="AC222" s="118"/>
      <c r="AD222" s="118"/>
      <c r="AE222" s="118"/>
      <c r="AF222" s="118"/>
      <c r="AG222" s="118"/>
      <c r="AH222" s="118"/>
      <c r="AI222" s="118"/>
      <c r="AJ222" s="118"/>
      <c r="AK222" s="118"/>
      <c r="AL222" s="118"/>
      <c r="AM222" s="118"/>
      <c r="AN222" s="118"/>
      <c r="AO222" s="118"/>
      <c r="AP222" s="117"/>
      <c r="AQ222" s="117"/>
      <c r="AR222" s="117"/>
      <c r="AS222" s="117"/>
      <c r="AT222" s="117"/>
      <c r="AU222" s="117"/>
    </row>
    <row r="223" spans="25:47" x14ac:dyDescent="0.2">
      <c r="Y223" s="118"/>
      <c r="Z223" s="118"/>
      <c r="AA223" s="118"/>
      <c r="AB223" s="118"/>
      <c r="AC223" s="118"/>
      <c r="AD223" s="118"/>
      <c r="AE223" s="118"/>
      <c r="AF223" s="118"/>
      <c r="AG223" s="118"/>
      <c r="AH223" s="118"/>
      <c r="AI223" s="118"/>
      <c r="AJ223" s="118"/>
      <c r="AK223" s="118"/>
      <c r="AL223" s="118"/>
      <c r="AM223" s="118"/>
      <c r="AN223" s="118"/>
      <c r="AO223" s="118"/>
      <c r="AP223" s="117"/>
      <c r="AQ223" s="117"/>
      <c r="AR223" s="117"/>
      <c r="AS223" s="117"/>
      <c r="AT223" s="117"/>
      <c r="AU223" s="117"/>
    </row>
    <row r="224" spans="25:47" x14ac:dyDescent="0.2">
      <c r="Y224" s="118"/>
      <c r="Z224" s="118"/>
      <c r="AA224" s="118"/>
      <c r="AB224" s="118"/>
      <c r="AC224" s="118"/>
      <c r="AD224" s="118"/>
      <c r="AE224" s="118"/>
      <c r="AF224" s="118"/>
      <c r="AG224" s="118"/>
      <c r="AH224" s="118"/>
      <c r="AI224" s="118"/>
      <c r="AJ224" s="118"/>
      <c r="AK224" s="118"/>
      <c r="AL224" s="118"/>
      <c r="AM224" s="118"/>
      <c r="AN224" s="118"/>
      <c r="AO224" s="118"/>
      <c r="AP224" s="117"/>
      <c r="AQ224" s="117"/>
      <c r="AR224" s="117"/>
      <c r="AS224" s="117"/>
      <c r="AT224" s="117"/>
      <c r="AU224" s="117"/>
    </row>
    <row r="225" spans="25:47" x14ac:dyDescent="0.2">
      <c r="Y225" s="118"/>
      <c r="Z225" s="118"/>
      <c r="AA225" s="118"/>
      <c r="AB225" s="118"/>
      <c r="AC225" s="118"/>
      <c r="AD225" s="118"/>
      <c r="AE225" s="118"/>
      <c r="AF225" s="118"/>
      <c r="AG225" s="118"/>
      <c r="AH225" s="118"/>
      <c r="AI225" s="118"/>
      <c r="AJ225" s="118"/>
      <c r="AK225" s="118"/>
      <c r="AL225" s="118"/>
      <c r="AM225" s="118"/>
      <c r="AN225" s="118"/>
      <c r="AO225" s="118"/>
      <c r="AP225" s="117"/>
      <c r="AQ225" s="117"/>
      <c r="AR225" s="117"/>
      <c r="AS225" s="117"/>
      <c r="AT225" s="117"/>
      <c r="AU225" s="117"/>
    </row>
    <row r="226" spans="25:47" x14ac:dyDescent="0.2">
      <c r="Y226" s="118"/>
      <c r="Z226" s="118"/>
      <c r="AA226" s="118"/>
      <c r="AB226" s="118"/>
      <c r="AC226" s="118"/>
      <c r="AD226" s="118"/>
      <c r="AE226" s="118"/>
      <c r="AF226" s="118"/>
      <c r="AG226" s="118"/>
      <c r="AH226" s="118"/>
      <c r="AI226" s="118"/>
      <c r="AJ226" s="118"/>
      <c r="AK226" s="118"/>
      <c r="AL226" s="118"/>
      <c r="AM226" s="118"/>
      <c r="AN226" s="118"/>
      <c r="AO226" s="118"/>
      <c r="AP226" s="117"/>
      <c r="AQ226" s="117"/>
      <c r="AR226" s="117"/>
      <c r="AS226" s="117"/>
      <c r="AT226" s="117"/>
      <c r="AU226" s="117"/>
    </row>
    <row r="227" spans="25:47" x14ac:dyDescent="0.2">
      <c r="Y227" s="118"/>
      <c r="Z227" s="118"/>
      <c r="AA227" s="118"/>
      <c r="AB227" s="118"/>
      <c r="AC227" s="118"/>
      <c r="AD227" s="118"/>
      <c r="AE227" s="118"/>
      <c r="AF227" s="118"/>
      <c r="AG227" s="118"/>
      <c r="AH227" s="118"/>
      <c r="AI227" s="118"/>
      <c r="AJ227" s="118"/>
      <c r="AK227" s="118"/>
      <c r="AL227" s="118"/>
      <c r="AM227" s="118"/>
      <c r="AN227" s="118"/>
      <c r="AO227" s="118"/>
      <c r="AP227" s="117"/>
      <c r="AQ227" s="117"/>
      <c r="AR227" s="117"/>
      <c r="AS227" s="117"/>
      <c r="AT227" s="117"/>
      <c r="AU227" s="117"/>
    </row>
    <row r="228" spans="25:47" x14ac:dyDescent="0.2">
      <c r="Y228" s="118"/>
      <c r="Z228" s="118"/>
      <c r="AA228" s="118"/>
      <c r="AB228" s="118"/>
      <c r="AC228" s="118"/>
      <c r="AD228" s="118"/>
      <c r="AE228" s="118"/>
      <c r="AF228" s="118"/>
      <c r="AG228" s="118"/>
      <c r="AH228" s="118"/>
      <c r="AI228" s="118"/>
      <c r="AJ228" s="118"/>
      <c r="AK228" s="118"/>
      <c r="AL228" s="118"/>
      <c r="AM228" s="118"/>
      <c r="AN228" s="118"/>
      <c r="AO228" s="118"/>
      <c r="AP228" s="117"/>
      <c r="AQ228" s="117"/>
      <c r="AR228" s="117"/>
      <c r="AS228" s="117"/>
      <c r="AT228" s="117"/>
      <c r="AU228" s="117"/>
    </row>
    <row r="229" spans="25:47" x14ac:dyDescent="0.2">
      <c r="Y229" s="118"/>
      <c r="Z229" s="118"/>
      <c r="AA229" s="118"/>
      <c r="AB229" s="118"/>
      <c r="AC229" s="118"/>
      <c r="AD229" s="118"/>
      <c r="AE229" s="118"/>
      <c r="AF229" s="118"/>
      <c r="AG229" s="118"/>
      <c r="AH229" s="118"/>
      <c r="AI229" s="118"/>
      <c r="AJ229" s="118"/>
      <c r="AK229" s="118"/>
      <c r="AL229" s="118"/>
      <c r="AM229" s="118"/>
      <c r="AN229" s="118"/>
      <c r="AO229" s="118"/>
      <c r="AP229" s="117"/>
      <c r="AQ229" s="117"/>
      <c r="AR229" s="117"/>
      <c r="AS229" s="117"/>
      <c r="AT229" s="117"/>
      <c r="AU229" s="117"/>
    </row>
    <row r="230" spans="25:47" x14ac:dyDescent="0.2">
      <c r="Y230" s="118"/>
      <c r="Z230" s="118"/>
      <c r="AA230" s="118"/>
      <c r="AB230" s="118"/>
      <c r="AC230" s="118"/>
      <c r="AD230" s="118"/>
      <c r="AE230" s="118"/>
      <c r="AF230" s="118"/>
      <c r="AG230" s="118"/>
      <c r="AH230" s="118"/>
      <c r="AI230" s="118"/>
      <c r="AJ230" s="118"/>
      <c r="AK230" s="118"/>
      <c r="AL230" s="118"/>
      <c r="AM230" s="118"/>
      <c r="AN230" s="118"/>
      <c r="AO230" s="118"/>
      <c r="AP230" s="117"/>
      <c r="AQ230" s="117"/>
      <c r="AR230" s="117"/>
      <c r="AS230" s="117"/>
      <c r="AT230" s="117"/>
      <c r="AU230" s="117"/>
    </row>
    <row r="231" spans="25:47" x14ac:dyDescent="0.2">
      <c r="Y231" s="118"/>
      <c r="Z231" s="118"/>
      <c r="AA231" s="118"/>
      <c r="AB231" s="118"/>
      <c r="AC231" s="118"/>
      <c r="AD231" s="118"/>
      <c r="AE231" s="118"/>
      <c r="AF231" s="118"/>
      <c r="AG231" s="118"/>
      <c r="AH231" s="118"/>
      <c r="AI231" s="118"/>
      <c r="AJ231" s="118"/>
      <c r="AK231" s="118"/>
      <c r="AL231" s="118"/>
      <c r="AM231" s="118"/>
      <c r="AN231" s="118"/>
      <c r="AO231" s="118"/>
      <c r="AP231" s="117"/>
      <c r="AQ231" s="117"/>
      <c r="AR231" s="117"/>
      <c r="AS231" s="117"/>
      <c r="AT231" s="117"/>
      <c r="AU231" s="117"/>
    </row>
    <row r="232" spans="25:47" x14ac:dyDescent="0.2">
      <c r="Y232" s="118"/>
      <c r="Z232" s="118"/>
      <c r="AA232" s="118"/>
      <c r="AB232" s="118"/>
      <c r="AC232" s="118"/>
      <c r="AD232" s="118"/>
      <c r="AE232" s="118"/>
      <c r="AF232" s="118"/>
      <c r="AG232" s="118"/>
      <c r="AH232" s="118"/>
      <c r="AI232" s="118"/>
      <c r="AJ232" s="118"/>
      <c r="AK232" s="118"/>
      <c r="AL232" s="118"/>
      <c r="AM232" s="118"/>
      <c r="AN232" s="118"/>
      <c r="AO232" s="118"/>
      <c r="AP232" s="117"/>
      <c r="AQ232" s="117"/>
      <c r="AR232" s="117"/>
      <c r="AS232" s="117"/>
      <c r="AT232" s="117"/>
      <c r="AU232" s="117"/>
    </row>
    <row r="233" spans="25:47" x14ac:dyDescent="0.2">
      <c r="Y233" s="118"/>
      <c r="Z233" s="118"/>
      <c r="AA233" s="118"/>
      <c r="AB233" s="118"/>
      <c r="AC233" s="118"/>
      <c r="AD233" s="118"/>
      <c r="AE233" s="118"/>
      <c r="AF233" s="118"/>
      <c r="AG233" s="118"/>
      <c r="AH233" s="118"/>
      <c r="AI233" s="118"/>
      <c r="AJ233" s="118"/>
      <c r="AK233" s="118"/>
      <c r="AL233" s="118"/>
      <c r="AM233" s="118"/>
      <c r="AN233" s="118"/>
      <c r="AO233" s="118"/>
      <c r="AP233" s="117"/>
      <c r="AQ233" s="117"/>
      <c r="AR233" s="117"/>
      <c r="AS233" s="117"/>
      <c r="AT233" s="117"/>
      <c r="AU233" s="117"/>
    </row>
    <row r="234" spans="25:47" x14ac:dyDescent="0.2">
      <c r="Y234" s="118"/>
      <c r="Z234" s="118"/>
      <c r="AA234" s="118"/>
      <c r="AB234" s="118"/>
      <c r="AC234" s="118"/>
      <c r="AD234" s="118"/>
      <c r="AE234" s="118"/>
      <c r="AF234" s="118"/>
      <c r="AG234" s="118"/>
      <c r="AH234" s="118"/>
      <c r="AI234" s="118"/>
      <c r="AJ234" s="118"/>
      <c r="AK234" s="118"/>
      <c r="AL234" s="118"/>
      <c r="AM234" s="118"/>
      <c r="AN234" s="118"/>
      <c r="AO234" s="118"/>
      <c r="AP234" s="117"/>
      <c r="AQ234" s="117"/>
      <c r="AR234" s="117"/>
      <c r="AS234" s="117"/>
      <c r="AT234" s="117"/>
      <c r="AU234" s="117"/>
    </row>
    <row r="235" spans="25:47" x14ac:dyDescent="0.2">
      <c r="Y235" s="118"/>
      <c r="Z235" s="118"/>
      <c r="AA235" s="118"/>
      <c r="AB235" s="118"/>
      <c r="AC235" s="118"/>
      <c r="AD235" s="118"/>
      <c r="AE235" s="118"/>
      <c r="AF235" s="118"/>
      <c r="AG235" s="118"/>
      <c r="AH235" s="118"/>
      <c r="AI235" s="118"/>
      <c r="AJ235" s="118"/>
      <c r="AK235" s="118"/>
      <c r="AL235" s="118"/>
      <c r="AM235" s="118"/>
      <c r="AN235" s="118"/>
      <c r="AO235" s="118"/>
      <c r="AP235" s="117"/>
      <c r="AQ235" s="117"/>
      <c r="AR235" s="117"/>
      <c r="AS235" s="117"/>
      <c r="AT235" s="117"/>
      <c r="AU235" s="117"/>
    </row>
    <row r="236" spans="25:47" x14ac:dyDescent="0.2">
      <c r="Y236" s="118"/>
      <c r="Z236" s="118"/>
      <c r="AA236" s="118"/>
      <c r="AB236" s="118"/>
      <c r="AC236" s="118"/>
      <c r="AD236" s="118"/>
      <c r="AE236" s="118"/>
      <c r="AF236" s="118"/>
      <c r="AG236" s="118"/>
      <c r="AH236" s="118"/>
      <c r="AI236" s="118"/>
      <c r="AJ236" s="118"/>
      <c r="AK236" s="118"/>
      <c r="AL236" s="118"/>
      <c r="AM236" s="118"/>
      <c r="AN236" s="118"/>
      <c r="AO236" s="118"/>
      <c r="AP236" s="117"/>
      <c r="AQ236" s="117"/>
      <c r="AR236" s="117"/>
      <c r="AS236" s="117"/>
      <c r="AT236" s="117"/>
      <c r="AU236" s="117"/>
    </row>
    <row r="237" spans="25:47" x14ac:dyDescent="0.2">
      <c r="Y237" s="118"/>
      <c r="Z237" s="118"/>
      <c r="AA237" s="118"/>
      <c r="AB237" s="118"/>
      <c r="AC237" s="118"/>
      <c r="AD237" s="118"/>
      <c r="AE237" s="118"/>
      <c r="AF237" s="118"/>
      <c r="AG237" s="118"/>
      <c r="AH237" s="118"/>
      <c r="AI237" s="118"/>
      <c r="AJ237" s="118"/>
      <c r="AK237" s="118"/>
      <c r="AL237" s="118"/>
      <c r="AM237" s="118"/>
      <c r="AN237" s="118"/>
      <c r="AO237" s="118"/>
      <c r="AP237" s="117"/>
      <c r="AQ237" s="117"/>
      <c r="AR237" s="117"/>
      <c r="AS237" s="117"/>
      <c r="AT237" s="117"/>
      <c r="AU237" s="117"/>
    </row>
    <row r="238" spans="25:47" x14ac:dyDescent="0.2">
      <c r="Y238" s="118"/>
      <c r="Z238" s="118"/>
      <c r="AA238" s="118"/>
      <c r="AB238" s="118"/>
      <c r="AC238" s="118"/>
      <c r="AD238" s="118"/>
      <c r="AE238" s="118"/>
      <c r="AF238" s="118"/>
      <c r="AG238" s="118"/>
      <c r="AH238" s="118"/>
      <c r="AI238" s="118"/>
      <c r="AJ238" s="118"/>
      <c r="AK238" s="118"/>
      <c r="AL238" s="118"/>
      <c r="AM238" s="118"/>
      <c r="AN238" s="118"/>
      <c r="AO238" s="118"/>
      <c r="AP238" s="117"/>
      <c r="AQ238" s="117"/>
      <c r="AR238" s="117"/>
      <c r="AS238" s="117"/>
      <c r="AT238" s="117"/>
      <c r="AU238" s="117"/>
    </row>
    <row r="239" spans="25:47" x14ac:dyDescent="0.2">
      <c r="Y239" s="118"/>
      <c r="Z239" s="118"/>
      <c r="AA239" s="118"/>
      <c r="AB239" s="118"/>
      <c r="AC239" s="118"/>
      <c r="AD239" s="118"/>
      <c r="AE239" s="118"/>
      <c r="AF239" s="118"/>
      <c r="AG239" s="118"/>
      <c r="AH239" s="118"/>
      <c r="AI239" s="118"/>
      <c r="AJ239" s="118"/>
      <c r="AK239" s="118"/>
      <c r="AL239" s="118"/>
      <c r="AM239" s="118"/>
      <c r="AN239" s="118"/>
      <c r="AO239" s="118"/>
      <c r="AP239" s="117"/>
      <c r="AQ239" s="117"/>
      <c r="AR239" s="117"/>
      <c r="AS239" s="117"/>
      <c r="AT239" s="117"/>
      <c r="AU239" s="117"/>
    </row>
    <row r="240" spans="25:47" x14ac:dyDescent="0.2">
      <c r="Y240" s="118"/>
      <c r="Z240" s="118"/>
      <c r="AA240" s="118"/>
      <c r="AB240" s="118"/>
      <c r="AC240" s="118"/>
      <c r="AD240" s="118"/>
      <c r="AE240" s="118"/>
      <c r="AF240" s="118"/>
      <c r="AG240" s="118"/>
      <c r="AH240" s="118"/>
      <c r="AI240" s="118"/>
      <c r="AJ240" s="118"/>
      <c r="AK240" s="118"/>
      <c r="AL240" s="118"/>
      <c r="AM240" s="118"/>
      <c r="AN240" s="118"/>
      <c r="AO240" s="118"/>
      <c r="AP240" s="117"/>
      <c r="AQ240" s="117"/>
      <c r="AR240" s="117"/>
      <c r="AS240" s="117"/>
      <c r="AT240" s="117"/>
      <c r="AU240" s="117"/>
    </row>
    <row r="241" spans="25:47" x14ac:dyDescent="0.2">
      <c r="Y241" s="118"/>
      <c r="Z241" s="118"/>
      <c r="AA241" s="118"/>
      <c r="AB241" s="118"/>
      <c r="AC241" s="118"/>
      <c r="AD241" s="118"/>
      <c r="AE241" s="118"/>
      <c r="AF241" s="118"/>
      <c r="AG241" s="118"/>
      <c r="AH241" s="118"/>
      <c r="AI241" s="118"/>
      <c r="AJ241" s="118"/>
      <c r="AK241" s="118"/>
      <c r="AL241" s="118"/>
      <c r="AM241" s="118"/>
      <c r="AN241" s="118"/>
      <c r="AO241" s="118"/>
      <c r="AP241" s="117"/>
      <c r="AQ241" s="117"/>
      <c r="AR241" s="117"/>
      <c r="AS241" s="117"/>
      <c r="AT241" s="117"/>
      <c r="AU241" s="117"/>
    </row>
    <row r="242" spans="25:47" x14ac:dyDescent="0.2">
      <c r="Y242" s="118"/>
      <c r="Z242" s="118"/>
      <c r="AA242" s="118"/>
      <c r="AB242" s="118"/>
      <c r="AC242" s="118"/>
      <c r="AD242" s="118"/>
      <c r="AE242" s="118"/>
      <c r="AF242" s="118"/>
      <c r="AG242" s="118"/>
      <c r="AH242" s="118"/>
      <c r="AI242" s="118"/>
      <c r="AJ242" s="118"/>
      <c r="AK242" s="118"/>
      <c r="AL242" s="118"/>
      <c r="AM242" s="118"/>
      <c r="AN242" s="118"/>
      <c r="AO242" s="118"/>
      <c r="AP242" s="117"/>
      <c r="AQ242" s="117"/>
      <c r="AR242" s="117"/>
      <c r="AS242" s="117"/>
      <c r="AT242" s="117"/>
      <c r="AU242" s="117"/>
    </row>
    <row r="243" spans="25:47" x14ac:dyDescent="0.2">
      <c r="Y243" s="118"/>
      <c r="Z243" s="118"/>
      <c r="AA243" s="118"/>
      <c r="AB243" s="118"/>
      <c r="AC243" s="118"/>
      <c r="AD243" s="118"/>
      <c r="AE243" s="118"/>
      <c r="AF243" s="118"/>
      <c r="AG243" s="118"/>
      <c r="AH243" s="118"/>
      <c r="AI243" s="118"/>
      <c r="AJ243" s="118"/>
      <c r="AK243" s="118"/>
      <c r="AL243" s="118"/>
      <c r="AM243" s="118"/>
      <c r="AN243" s="118"/>
      <c r="AO243" s="118"/>
      <c r="AP243" s="117"/>
      <c r="AQ243" s="117"/>
      <c r="AR243" s="117"/>
      <c r="AS243" s="117"/>
      <c r="AT243" s="117"/>
      <c r="AU243" s="117"/>
    </row>
    <row r="244" spans="25:47" x14ac:dyDescent="0.2">
      <c r="Y244" s="118"/>
      <c r="Z244" s="118"/>
      <c r="AA244" s="118"/>
      <c r="AB244" s="118"/>
      <c r="AC244" s="118"/>
      <c r="AD244" s="118"/>
      <c r="AE244" s="118"/>
      <c r="AF244" s="118"/>
      <c r="AG244" s="118"/>
      <c r="AH244" s="118"/>
      <c r="AI244" s="118"/>
      <c r="AJ244" s="118"/>
      <c r="AK244" s="118"/>
      <c r="AL244" s="118"/>
      <c r="AM244" s="118"/>
      <c r="AN244" s="118"/>
      <c r="AO244" s="118"/>
      <c r="AP244" s="117"/>
      <c r="AQ244" s="117"/>
      <c r="AR244" s="117"/>
      <c r="AS244" s="117"/>
      <c r="AT244" s="117"/>
      <c r="AU244" s="117"/>
    </row>
    <row r="245" spans="25:47" x14ac:dyDescent="0.2">
      <c r="Y245" s="118"/>
      <c r="Z245" s="118"/>
      <c r="AA245" s="118"/>
      <c r="AB245" s="118"/>
      <c r="AC245" s="118"/>
      <c r="AD245" s="118"/>
      <c r="AE245" s="118"/>
      <c r="AF245" s="118"/>
      <c r="AG245" s="118"/>
      <c r="AH245" s="118"/>
      <c r="AI245" s="118"/>
      <c r="AJ245" s="118"/>
      <c r="AK245" s="118"/>
      <c r="AL245" s="118"/>
      <c r="AM245" s="118"/>
      <c r="AN245" s="118"/>
      <c r="AO245" s="118"/>
      <c r="AP245" s="117"/>
      <c r="AQ245" s="117"/>
      <c r="AR245" s="117"/>
      <c r="AS245" s="117"/>
      <c r="AT245" s="117"/>
      <c r="AU245" s="117"/>
    </row>
    <row r="246" spans="25:47" x14ac:dyDescent="0.2">
      <c r="Y246" s="118"/>
      <c r="Z246" s="118"/>
      <c r="AA246" s="118"/>
      <c r="AB246" s="118"/>
      <c r="AC246" s="118"/>
      <c r="AD246" s="118"/>
      <c r="AE246" s="118"/>
      <c r="AF246" s="118"/>
      <c r="AG246" s="118"/>
      <c r="AH246" s="118"/>
      <c r="AI246" s="118"/>
      <c r="AJ246" s="118"/>
      <c r="AK246" s="118"/>
      <c r="AL246" s="118"/>
      <c r="AM246" s="118"/>
      <c r="AN246" s="118"/>
      <c r="AO246" s="118"/>
      <c r="AP246" s="117"/>
      <c r="AQ246" s="117"/>
      <c r="AR246" s="117"/>
      <c r="AS246" s="117"/>
      <c r="AT246" s="117"/>
      <c r="AU246" s="117"/>
    </row>
    <row r="247" spans="25:47" x14ac:dyDescent="0.2">
      <c r="Y247" s="118"/>
      <c r="Z247" s="118"/>
      <c r="AA247" s="118"/>
      <c r="AB247" s="118"/>
      <c r="AC247" s="118"/>
      <c r="AD247" s="118"/>
      <c r="AE247" s="118"/>
      <c r="AF247" s="118"/>
      <c r="AG247" s="118"/>
      <c r="AH247" s="118"/>
      <c r="AI247" s="118"/>
      <c r="AJ247" s="118"/>
      <c r="AK247" s="118"/>
      <c r="AL247" s="118"/>
      <c r="AM247" s="118"/>
      <c r="AN247" s="118"/>
      <c r="AO247" s="118"/>
      <c r="AP247" s="117"/>
      <c r="AQ247" s="117"/>
      <c r="AR247" s="117"/>
      <c r="AS247" s="117"/>
      <c r="AT247" s="117"/>
      <c r="AU247" s="117"/>
    </row>
    <row r="248" spans="25:47" x14ac:dyDescent="0.2">
      <c r="Y248" s="118"/>
      <c r="Z248" s="118"/>
      <c r="AA248" s="118"/>
      <c r="AB248" s="118"/>
      <c r="AC248" s="118"/>
      <c r="AD248" s="118"/>
      <c r="AE248" s="118"/>
      <c r="AF248" s="118"/>
      <c r="AG248" s="118"/>
      <c r="AH248" s="118"/>
      <c r="AI248" s="118"/>
      <c r="AJ248" s="118"/>
      <c r="AK248" s="118"/>
      <c r="AL248" s="118"/>
      <c r="AM248" s="118"/>
      <c r="AN248" s="118"/>
      <c r="AO248" s="118"/>
      <c r="AP248" s="117"/>
      <c r="AQ248" s="117"/>
      <c r="AR248" s="117"/>
      <c r="AS248" s="117"/>
      <c r="AT248" s="117"/>
      <c r="AU248" s="117"/>
    </row>
    <row r="249" spans="25:47" x14ac:dyDescent="0.2">
      <c r="Y249" s="118"/>
      <c r="Z249" s="118"/>
      <c r="AA249" s="118"/>
      <c r="AB249" s="118"/>
      <c r="AC249" s="118"/>
      <c r="AD249" s="118"/>
      <c r="AE249" s="118"/>
      <c r="AF249" s="118"/>
      <c r="AG249" s="118"/>
      <c r="AH249" s="118"/>
      <c r="AI249" s="118"/>
      <c r="AJ249" s="118"/>
      <c r="AK249" s="118"/>
      <c r="AL249" s="118"/>
      <c r="AM249" s="118"/>
      <c r="AN249" s="118"/>
      <c r="AO249" s="118"/>
      <c r="AP249" s="117"/>
      <c r="AQ249" s="117"/>
      <c r="AR249" s="117"/>
      <c r="AS249" s="117"/>
      <c r="AT249" s="117"/>
      <c r="AU249" s="117"/>
    </row>
    <row r="250" spans="25:47" x14ac:dyDescent="0.2">
      <c r="Y250" s="118"/>
      <c r="Z250" s="118"/>
      <c r="AA250" s="118"/>
      <c r="AB250" s="118"/>
      <c r="AC250" s="118"/>
      <c r="AD250" s="118"/>
      <c r="AE250" s="118"/>
      <c r="AF250" s="118"/>
      <c r="AG250" s="118"/>
      <c r="AH250" s="118"/>
      <c r="AI250" s="118"/>
      <c r="AJ250" s="118"/>
      <c r="AK250" s="118"/>
      <c r="AL250" s="118"/>
      <c r="AM250" s="118"/>
      <c r="AN250" s="118"/>
      <c r="AO250" s="118"/>
      <c r="AP250" s="117"/>
      <c r="AQ250" s="117"/>
      <c r="AR250" s="117"/>
      <c r="AS250" s="117"/>
      <c r="AT250" s="117"/>
      <c r="AU250" s="117"/>
    </row>
    <row r="251" spans="25:47" x14ac:dyDescent="0.2">
      <c r="Y251" s="118"/>
      <c r="Z251" s="118"/>
      <c r="AA251" s="118"/>
      <c r="AB251" s="118"/>
      <c r="AC251" s="118"/>
      <c r="AD251" s="118"/>
      <c r="AE251" s="118"/>
      <c r="AF251" s="118"/>
      <c r="AG251" s="118"/>
      <c r="AH251" s="118"/>
      <c r="AI251" s="118"/>
      <c r="AJ251" s="118"/>
      <c r="AK251" s="118"/>
      <c r="AL251" s="118"/>
      <c r="AM251" s="118"/>
      <c r="AN251" s="118"/>
      <c r="AO251" s="118"/>
      <c r="AP251" s="117"/>
      <c r="AQ251" s="117"/>
      <c r="AR251" s="117"/>
      <c r="AS251" s="117"/>
      <c r="AT251" s="117"/>
      <c r="AU251" s="117"/>
    </row>
    <row r="252" spans="25:47" x14ac:dyDescent="0.2">
      <c r="Y252" s="118"/>
      <c r="Z252" s="118"/>
      <c r="AA252" s="118"/>
      <c r="AB252" s="118"/>
      <c r="AC252" s="118"/>
      <c r="AD252" s="118"/>
      <c r="AE252" s="118"/>
      <c r="AF252" s="118"/>
      <c r="AG252" s="118"/>
      <c r="AH252" s="118"/>
      <c r="AI252" s="118"/>
      <c r="AJ252" s="118"/>
      <c r="AK252" s="118"/>
      <c r="AL252" s="118"/>
      <c r="AM252" s="118"/>
      <c r="AN252" s="118"/>
      <c r="AO252" s="118"/>
      <c r="AP252" s="117"/>
      <c r="AQ252" s="117"/>
      <c r="AR252" s="117"/>
      <c r="AS252" s="117"/>
      <c r="AT252" s="117"/>
      <c r="AU252" s="117"/>
    </row>
    <row r="253" spans="25:47" x14ac:dyDescent="0.2">
      <c r="Y253" s="118"/>
      <c r="Z253" s="118"/>
      <c r="AA253" s="118"/>
      <c r="AB253" s="118"/>
      <c r="AC253" s="118"/>
      <c r="AD253" s="118"/>
      <c r="AE253" s="118"/>
      <c r="AF253" s="118"/>
      <c r="AG253" s="118"/>
      <c r="AH253" s="118"/>
      <c r="AI253" s="118"/>
      <c r="AJ253" s="118"/>
      <c r="AK253" s="118"/>
      <c r="AL253" s="118"/>
      <c r="AM253" s="118"/>
      <c r="AN253" s="118"/>
      <c r="AO253" s="118"/>
      <c r="AP253" s="117"/>
      <c r="AQ253" s="117"/>
      <c r="AR253" s="117"/>
      <c r="AS253" s="117"/>
      <c r="AT253" s="117"/>
      <c r="AU253" s="117"/>
    </row>
    <row r="254" spans="25:47" x14ac:dyDescent="0.2">
      <c r="Y254" s="118"/>
      <c r="Z254" s="118"/>
      <c r="AA254" s="118"/>
      <c r="AB254" s="118"/>
      <c r="AC254" s="118"/>
      <c r="AD254" s="118"/>
      <c r="AE254" s="118"/>
      <c r="AF254" s="118"/>
      <c r="AG254" s="118"/>
      <c r="AH254" s="118"/>
      <c r="AI254" s="118"/>
      <c r="AJ254" s="118"/>
      <c r="AK254" s="118"/>
      <c r="AL254" s="118"/>
      <c r="AM254" s="118"/>
      <c r="AN254" s="118"/>
      <c r="AO254" s="118"/>
      <c r="AP254" s="117"/>
      <c r="AQ254" s="117"/>
      <c r="AR254" s="117"/>
      <c r="AS254" s="117"/>
      <c r="AT254" s="117"/>
      <c r="AU254" s="117"/>
    </row>
    <row r="255" spans="25:47" x14ac:dyDescent="0.2">
      <c r="Y255" s="118"/>
      <c r="Z255" s="118"/>
      <c r="AA255" s="118"/>
      <c r="AB255" s="118"/>
      <c r="AC255" s="118"/>
      <c r="AD255" s="118"/>
      <c r="AE255" s="118"/>
      <c r="AF255" s="118"/>
      <c r="AG255" s="118"/>
      <c r="AH255" s="118"/>
      <c r="AI255" s="118"/>
      <c r="AJ255" s="118"/>
      <c r="AK255" s="118"/>
      <c r="AL255" s="118"/>
      <c r="AM255" s="118"/>
      <c r="AN255" s="118"/>
      <c r="AO255" s="118"/>
      <c r="AP255" s="117"/>
      <c r="AQ255" s="117"/>
      <c r="AR255" s="117"/>
      <c r="AS255" s="117"/>
      <c r="AT255" s="117"/>
      <c r="AU255" s="117"/>
    </row>
    <row r="256" spans="25:47" x14ac:dyDescent="0.2">
      <c r="Y256" s="118"/>
      <c r="Z256" s="118"/>
      <c r="AA256" s="118"/>
      <c r="AB256" s="118"/>
      <c r="AC256" s="118"/>
      <c r="AD256" s="118"/>
      <c r="AE256" s="118"/>
      <c r="AF256" s="118"/>
      <c r="AG256" s="118"/>
      <c r="AH256" s="118"/>
      <c r="AI256" s="118"/>
      <c r="AJ256" s="118"/>
      <c r="AK256" s="118"/>
      <c r="AL256" s="118"/>
      <c r="AM256" s="118"/>
      <c r="AN256" s="118"/>
      <c r="AO256" s="118"/>
      <c r="AP256" s="117"/>
      <c r="AQ256" s="117"/>
      <c r="AR256" s="117"/>
      <c r="AS256" s="117"/>
      <c r="AT256" s="117"/>
      <c r="AU256" s="117"/>
    </row>
    <row r="257" spans="25:47" x14ac:dyDescent="0.2">
      <c r="Y257" s="118"/>
      <c r="Z257" s="118"/>
      <c r="AA257" s="118"/>
      <c r="AB257" s="118"/>
      <c r="AC257" s="118"/>
      <c r="AD257" s="118"/>
      <c r="AE257" s="118"/>
      <c r="AF257" s="118"/>
      <c r="AG257" s="118"/>
      <c r="AH257" s="118"/>
      <c r="AI257" s="118"/>
      <c r="AJ257" s="118"/>
      <c r="AK257" s="118"/>
      <c r="AL257" s="118"/>
      <c r="AM257" s="118"/>
      <c r="AN257" s="118"/>
      <c r="AO257" s="118"/>
      <c r="AP257" s="117"/>
      <c r="AQ257" s="117"/>
      <c r="AR257" s="117"/>
      <c r="AS257" s="117"/>
      <c r="AT257" s="117"/>
      <c r="AU257" s="117"/>
    </row>
    <row r="258" spans="25:47" x14ac:dyDescent="0.2">
      <c r="Y258" s="118"/>
      <c r="Z258" s="118"/>
      <c r="AA258" s="118"/>
      <c r="AB258" s="118"/>
      <c r="AC258" s="118"/>
      <c r="AD258" s="118"/>
      <c r="AE258" s="118"/>
      <c r="AF258" s="118"/>
      <c r="AG258" s="118"/>
      <c r="AH258" s="118"/>
      <c r="AI258" s="118"/>
      <c r="AJ258" s="118"/>
      <c r="AK258" s="118"/>
      <c r="AL258" s="118"/>
      <c r="AM258" s="118"/>
      <c r="AN258" s="118"/>
      <c r="AO258" s="118"/>
      <c r="AP258" s="117"/>
      <c r="AQ258" s="117"/>
      <c r="AR258" s="117"/>
      <c r="AS258" s="117"/>
      <c r="AT258" s="117"/>
      <c r="AU258" s="117"/>
    </row>
    <row r="259" spans="25:47" x14ac:dyDescent="0.2">
      <c r="Y259" s="118"/>
      <c r="Z259" s="118"/>
      <c r="AA259" s="118"/>
      <c r="AB259" s="118"/>
      <c r="AC259" s="118"/>
      <c r="AD259" s="118"/>
      <c r="AE259" s="118"/>
      <c r="AF259" s="118"/>
      <c r="AG259" s="118"/>
      <c r="AH259" s="118"/>
      <c r="AI259" s="118"/>
      <c r="AJ259" s="118"/>
      <c r="AK259" s="118"/>
      <c r="AL259" s="118"/>
      <c r="AM259" s="118"/>
      <c r="AN259" s="118"/>
      <c r="AO259" s="118"/>
      <c r="AP259" s="117"/>
      <c r="AQ259" s="117"/>
      <c r="AR259" s="117"/>
      <c r="AS259" s="117"/>
      <c r="AT259" s="117"/>
      <c r="AU259" s="117"/>
    </row>
    <row r="260" spans="25:47" x14ac:dyDescent="0.2">
      <c r="Y260" s="118"/>
      <c r="Z260" s="118"/>
      <c r="AA260" s="118"/>
      <c r="AB260" s="118"/>
      <c r="AC260" s="118"/>
      <c r="AD260" s="118"/>
      <c r="AE260" s="118"/>
      <c r="AF260" s="118"/>
      <c r="AG260" s="118"/>
      <c r="AH260" s="118"/>
      <c r="AI260" s="118"/>
      <c r="AJ260" s="118"/>
      <c r="AK260" s="118"/>
      <c r="AL260" s="118"/>
      <c r="AM260" s="118"/>
      <c r="AN260" s="118"/>
      <c r="AO260" s="118"/>
      <c r="AP260" s="117"/>
      <c r="AQ260" s="117"/>
      <c r="AR260" s="117"/>
      <c r="AS260" s="117"/>
      <c r="AT260" s="117"/>
      <c r="AU260" s="117"/>
    </row>
    <row r="261" spans="25:47" x14ac:dyDescent="0.2">
      <c r="Y261" s="118"/>
      <c r="Z261" s="118"/>
      <c r="AA261" s="118"/>
      <c r="AB261" s="118"/>
      <c r="AC261" s="118"/>
      <c r="AD261" s="118"/>
      <c r="AE261" s="118"/>
      <c r="AF261" s="118"/>
      <c r="AG261" s="118"/>
      <c r="AH261" s="118"/>
      <c r="AI261" s="118"/>
      <c r="AJ261" s="118"/>
      <c r="AK261" s="118"/>
      <c r="AL261" s="118"/>
      <c r="AM261" s="118"/>
      <c r="AN261" s="118"/>
      <c r="AO261" s="118"/>
      <c r="AP261" s="117"/>
      <c r="AQ261" s="117"/>
      <c r="AR261" s="117"/>
      <c r="AS261" s="117"/>
      <c r="AT261" s="117"/>
      <c r="AU261" s="117"/>
    </row>
    <row r="262" spans="25:47" x14ac:dyDescent="0.2">
      <c r="Y262" s="118"/>
      <c r="Z262" s="118"/>
      <c r="AA262" s="118"/>
      <c r="AB262" s="118"/>
      <c r="AC262" s="118"/>
      <c r="AD262" s="118"/>
      <c r="AE262" s="118"/>
      <c r="AF262" s="118"/>
      <c r="AG262" s="118"/>
      <c r="AH262" s="118"/>
      <c r="AI262" s="118"/>
      <c r="AJ262" s="118"/>
      <c r="AK262" s="118"/>
      <c r="AL262" s="118"/>
      <c r="AM262" s="118"/>
      <c r="AN262" s="118"/>
      <c r="AO262" s="118"/>
      <c r="AP262" s="117"/>
      <c r="AQ262" s="117"/>
      <c r="AR262" s="117"/>
      <c r="AS262" s="117"/>
      <c r="AT262" s="117"/>
      <c r="AU262" s="117"/>
    </row>
    <row r="263" spans="25:47" x14ac:dyDescent="0.2">
      <c r="Y263" s="118"/>
      <c r="Z263" s="118"/>
      <c r="AA263" s="118"/>
      <c r="AB263" s="118"/>
      <c r="AC263" s="118"/>
      <c r="AD263" s="118"/>
      <c r="AE263" s="118"/>
      <c r="AF263" s="118"/>
      <c r="AG263" s="118"/>
      <c r="AH263" s="118"/>
      <c r="AI263" s="118"/>
      <c r="AJ263" s="118"/>
      <c r="AK263" s="118"/>
      <c r="AL263" s="118"/>
      <c r="AM263" s="118"/>
      <c r="AN263" s="118"/>
      <c r="AO263" s="118"/>
      <c r="AP263" s="117"/>
      <c r="AQ263" s="117"/>
      <c r="AR263" s="117"/>
      <c r="AS263" s="117"/>
      <c r="AT263" s="117"/>
      <c r="AU263" s="117"/>
    </row>
    <row r="264" spans="25:47" x14ac:dyDescent="0.2">
      <c r="Y264" s="118"/>
      <c r="Z264" s="118"/>
      <c r="AA264" s="118"/>
      <c r="AB264" s="118"/>
      <c r="AC264" s="118"/>
      <c r="AD264" s="118"/>
      <c r="AE264" s="118"/>
      <c r="AF264" s="118"/>
      <c r="AG264" s="118"/>
      <c r="AH264" s="118"/>
      <c r="AI264" s="118"/>
      <c r="AJ264" s="118"/>
      <c r="AK264" s="118"/>
      <c r="AL264" s="118"/>
      <c r="AM264" s="118"/>
      <c r="AN264" s="118"/>
      <c r="AO264" s="118"/>
      <c r="AP264" s="117"/>
      <c r="AQ264" s="117"/>
      <c r="AR264" s="117"/>
      <c r="AS264" s="117"/>
      <c r="AT264" s="117"/>
      <c r="AU264" s="117"/>
    </row>
    <row r="265" spans="25:47" x14ac:dyDescent="0.2">
      <c r="Y265" s="118"/>
      <c r="Z265" s="118"/>
      <c r="AA265" s="118"/>
      <c r="AB265" s="118"/>
      <c r="AC265" s="118"/>
      <c r="AD265" s="118"/>
      <c r="AE265" s="118"/>
      <c r="AF265" s="118"/>
      <c r="AG265" s="118"/>
      <c r="AH265" s="118"/>
      <c r="AI265" s="118"/>
      <c r="AJ265" s="118"/>
      <c r="AK265" s="118"/>
      <c r="AL265" s="118"/>
      <c r="AM265" s="118"/>
      <c r="AN265" s="118"/>
      <c r="AO265" s="118"/>
      <c r="AP265" s="117"/>
      <c r="AQ265" s="117"/>
      <c r="AR265" s="117"/>
      <c r="AS265" s="117"/>
      <c r="AT265" s="117"/>
      <c r="AU265" s="117"/>
    </row>
    <row r="266" spans="25:47" x14ac:dyDescent="0.2">
      <c r="Y266" s="118"/>
      <c r="Z266" s="118"/>
      <c r="AA266" s="118"/>
      <c r="AB266" s="118"/>
      <c r="AC266" s="118"/>
      <c r="AD266" s="118"/>
      <c r="AE266" s="118"/>
      <c r="AF266" s="118"/>
      <c r="AG266" s="118"/>
      <c r="AH266" s="118"/>
      <c r="AI266" s="118"/>
      <c r="AJ266" s="118"/>
      <c r="AK266" s="118"/>
      <c r="AL266" s="118"/>
      <c r="AM266" s="118"/>
      <c r="AN266" s="118"/>
      <c r="AO266" s="118"/>
      <c r="AP266" s="117"/>
      <c r="AQ266" s="117"/>
      <c r="AR266" s="117"/>
      <c r="AS266" s="117"/>
      <c r="AT266" s="117"/>
      <c r="AU266" s="117"/>
    </row>
    <row r="267" spans="25:47" x14ac:dyDescent="0.2">
      <c r="Y267" s="118"/>
      <c r="Z267" s="118"/>
      <c r="AA267" s="118"/>
      <c r="AB267" s="118"/>
      <c r="AC267" s="118"/>
      <c r="AD267" s="118"/>
      <c r="AE267" s="118"/>
      <c r="AF267" s="118"/>
      <c r="AG267" s="118"/>
      <c r="AH267" s="118"/>
      <c r="AI267" s="118"/>
      <c r="AJ267" s="118"/>
      <c r="AK267" s="118"/>
      <c r="AL267" s="118"/>
      <c r="AM267" s="118"/>
      <c r="AN267" s="118"/>
      <c r="AO267" s="118"/>
      <c r="AP267" s="117"/>
      <c r="AQ267" s="117"/>
      <c r="AR267" s="117"/>
      <c r="AS267" s="117"/>
      <c r="AT267" s="117"/>
      <c r="AU267" s="117"/>
    </row>
    <row r="268" spans="25:47" x14ac:dyDescent="0.2">
      <c r="Y268" s="118"/>
      <c r="Z268" s="118"/>
      <c r="AA268" s="118"/>
      <c r="AB268" s="118"/>
      <c r="AC268" s="118"/>
      <c r="AD268" s="118"/>
      <c r="AE268" s="118"/>
      <c r="AF268" s="118"/>
      <c r="AG268" s="118"/>
      <c r="AH268" s="118"/>
      <c r="AI268" s="118"/>
      <c r="AJ268" s="118"/>
      <c r="AK268" s="118"/>
      <c r="AL268" s="118"/>
      <c r="AM268" s="118"/>
      <c r="AN268" s="118"/>
      <c r="AO268" s="118"/>
      <c r="AP268" s="117"/>
      <c r="AQ268" s="117"/>
      <c r="AR268" s="117"/>
      <c r="AS268" s="117"/>
      <c r="AT268" s="117"/>
      <c r="AU268" s="117"/>
    </row>
    <row r="269" spans="25:47" x14ac:dyDescent="0.2">
      <c r="Y269" s="118"/>
      <c r="Z269" s="118"/>
      <c r="AA269" s="118"/>
      <c r="AB269" s="118"/>
      <c r="AC269" s="118"/>
      <c r="AD269" s="118"/>
      <c r="AE269" s="118"/>
      <c r="AF269" s="118"/>
      <c r="AG269" s="118"/>
      <c r="AH269" s="118"/>
      <c r="AI269" s="118"/>
      <c r="AJ269" s="118"/>
      <c r="AK269" s="118"/>
      <c r="AL269" s="118"/>
      <c r="AM269" s="118"/>
      <c r="AN269" s="118"/>
      <c r="AO269" s="118"/>
      <c r="AP269" s="117"/>
      <c r="AQ269" s="117"/>
      <c r="AR269" s="117"/>
      <c r="AS269" s="117"/>
      <c r="AT269" s="117"/>
      <c r="AU269" s="117"/>
    </row>
    <row r="270" spans="25:47" x14ac:dyDescent="0.2">
      <c r="Y270" s="118"/>
      <c r="Z270" s="118"/>
      <c r="AA270" s="118"/>
      <c r="AB270" s="118"/>
      <c r="AC270" s="118"/>
      <c r="AD270" s="118"/>
      <c r="AE270" s="118"/>
      <c r="AF270" s="118"/>
      <c r="AG270" s="118"/>
      <c r="AH270" s="118"/>
      <c r="AI270" s="118"/>
      <c r="AJ270" s="118"/>
      <c r="AK270" s="118"/>
      <c r="AL270" s="118"/>
      <c r="AM270" s="118"/>
      <c r="AN270" s="118"/>
      <c r="AO270" s="118"/>
      <c r="AP270" s="117"/>
      <c r="AQ270" s="117"/>
      <c r="AR270" s="117"/>
      <c r="AS270" s="117"/>
      <c r="AT270" s="117"/>
      <c r="AU270" s="117"/>
    </row>
    <row r="271" spans="25:47" x14ac:dyDescent="0.2">
      <c r="Y271" s="118"/>
      <c r="Z271" s="118"/>
      <c r="AA271" s="118"/>
      <c r="AB271" s="118"/>
      <c r="AC271" s="118"/>
      <c r="AD271" s="118"/>
      <c r="AE271" s="118"/>
      <c r="AF271" s="118"/>
      <c r="AG271" s="118"/>
      <c r="AH271" s="118"/>
      <c r="AI271" s="118"/>
      <c r="AJ271" s="118"/>
      <c r="AK271" s="118"/>
      <c r="AL271" s="118"/>
      <c r="AM271" s="118"/>
      <c r="AN271" s="118"/>
      <c r="AO271" s="118"/>
      <c r="AP271" s="117"/>
      <c r="AQ271" s="117"/>
      <c r="AR271" s="117"/>
      <c r="AS271" s="117"/>
      <c r="AT271" s="117"/>
      <c r="AU271" s="117"/>
    </row>
    <row r="272" spans="25:47" x14ac:dyDescent="0.2">
      <c r="Y272" s="118"/>
      <c r="Z272" s="118"/>
      <c r="AA272" s="118"/>
      <c r="AB272" s="118"/>
      <c r="AC272" s="118"/>
      <c r="AD272" s="118"/>
      <c r="AE272" s="118"/>
      <c r="AF272" s="118"/>
      <c r="AG272" s="118"/>
      <c r="AH272" s="118"/>
      <c r="AI272" s="118"/>
      <c r="AJ272" s="118"/>
      <c r="AK272" s="118"/>
      <c r="AL272" s="118"/>
      <c r="AM272" s="118"/>
      <c r="AN272" s="118"/>
      <c r="AO272" s="118"/>
      <c r="AP272" s="117"/>
      <c r="AQ272" s="117"/>
      <c r="AR272" s="117"/>
      <c r="AS272" s="117"/>
      <c r="AT272" s="117"/>
      <c r="AU272" s="117"/>
    </row>
    <row r="273" spans="25:47" x14ac:dyDescent="0.2">
      <c r="Y273" s="118"/>
      <c r="Z273" s="118"/>
      <c r="AA273" s="118"/>
      <c r="AB273" s="118"/>
      <c r="AC273" s="118"/>
      <c r="AD273" s="118"/>
      <c r="AE273" s="118"/>
      <c r="AF273" s="118"/>
      <c r="AG273" s="118"/>
      <c r="AH273" s="118"/>
      <c r="AI273" s="118"/>
      <c r="AJ273" s="118"/>
      <c r="AK273" s="118"/>
      <c r="AL273" s="118"/>
      <c r="AM273" s="118"/>
      <c r="AN273" s="118"/>
      <c r="AO273" s="118"/>
      <c r="AP273" s="117"/>
      <c r="AQ273" s="117"/>
      <c r="AR273" s="117"/>
      <c r="AS273" s="117"/>
      <c r="AT273" s="117"/>
      <c r="AU273" s="117"/>
    </row>
    <row r="274" spans="25:47" x14ac:dyDescent="0.2">
      <c r="Y274" s="118"/>
      <c r="Z274" s="118"/>
      <c r="AA274" s="118"/>
      <c r="AB274" s="118"/>
      <c r="AC274" s="118"/>
      <c r="AD274" s="118"/>
      <c r="AE274" s="118"/>
      <c r="AF274" s="118"/>
      <c r="AG274" s="118"/>
      <c r="AH274" s="118"/>
      <c r="AI274" s="118"/>
      <c r="AJ274" s="118"/>
      <c r="AK274" s="118"/>
      <c r="AL274" s="118"/>
      <c r="AM274" s="118"/>
      <c r="AN274" s="118"/>
      <c r="AO274" s="118"/>
      <c r="AP274" s="117"/>
      <c r="AQ274" s="117"/>
      <c r="AR274" s="117"/>
      <c r="AS274" s="117"/>
      <c r="AT274" s="117"/>
      <c r="AU274" s="117"/>
    </row>
    <row r="275" spans="25:47" x14ac:dyDescent="0.2">
      <c r="Y275" s="118"/>
      <c r="Z275" s="118"/>
      <c r="AA275" s="118"/>
      <c r="AB275" s="118"/>
      <c r="AC275" s="118"/>
      <c r="AD275" s="118"/>
      <c r="AE275" s="118"/>
      <c r="AF275" s="118"/>
      <c r="AG275" s="118"/>
      <c r="AH275" s="118"/>
      <c r="AI275" s="118"/>
      <c r="AJ275" s="118"/>
      <c r="AK275" s="118"/>
      <c r="AL275" s="118"/>
      <c r="AM275" s="118"/>
      <c r="AN275" s="118"/>
      <c r="AO275" s="118"/>
      <c r="AP275" s="117"/>
      <c r="AQ275" s="117"/>
      <c r="AR275" s="117"/>
      <c r="AS275" s="117"/>
      <c r="AT275" s="117"/>
      <c r="AU275" s="117"/>
    </row>
    <row r="276" spans="25:47" x14ac:dyDescent="0.2">
      <c r="Y276" s="118"/>
      <c r="Z276" s="118"/>
      <c r="AA276" s="118"/>
      <c r="AB276" s="118"/>
      <c r="AC276" s="118"/>
      <c r="AD276" s="118"/>
      <c r="AE276" s="118"/>
      <c r="AF276" s="118"/>
      <c r="AG276" s="118"/>
      <c r="AH276" s="118"/>
      <c r="AI276" s="118"/>
      <c r="AJ276" s="118"/>
      <c r="AK276" s="118"/>
      <c r="AL276" s="118"/>
      <c r="AM276" s="118"/>
      <c r="AN276" s="118"/>
      <c r="AO276" s="118"/>
      <c r="AP276" s="117"/>
      <c r="AQ276" s="117"/>
      <c r="AR276" s="117"/>
      <c r="AS276" s="117"/>
      <c r="AT276" s="117"/>
      <c r="AU276" s="117"/>
    </row>
    <row r="277" spans="25:47" x14ac:dyDescent="0.2">
      <c r="Y277" s="118"/>
      <c r="Z277" s="118"/>
      <c r="AA277" s="118"/>
      <c r="AB277" s="118"/>
      <c r="AC277" s="118"/>
      <c r="AD277" s="118"/>
      <c r="AE277" s="118"/>
      <c r="AF277" s="118"/>
      <c r="AG277" s="118"/>
      <c r="AH277" s="118"/>
      <c r="AI277" s="118"/>
      <c r="AJ277" s="118"/>
      <c r="AK277" s="118"/>
      <c r="AL277" s="118"/>
      <c r="AM277" s="118"/>
      <c r="AN277" s="118"/>
      <c r="AO277" s="118"/>
      <c r="AP277" s="117"/>
      <c r="AQ277" s="117"/>
      <c r="AR277" s="117"/>
      <c r="AS277" s="117"/>
      <c r="AT277" s="117"/>
      <c r="AU277" s="117"/>
    </row>
    <row r="278" spans="25:47" x14ac:dyDescent="0.2">
      <c r="Y278" s="118"/>
      <c r="Z278" s="118"/>
      <c r="AA278" s="118"/>
      <c r="AB278" s="118"/>
      <c r="AC278" s="118"/>
      <c r="AD278" s="118"/>
      <c r="AE278" s="118"/>
      <c r="AF278" s="118"/>
      <c r="AG278" s="118"/>
      <c r="AH278" s="118"/>
      <c r="AI278" s="118"/>
      <c r="AJ278" s="118"/>
      <c r="AK278" s="118"/>
      <c r="AL278" s="118"/>
      <c r="AM278" s="118"/>
      <c r="AN278" s="118"/>
      <c r="AO278" s="118"/>
      <c r="AP278" s="117"/>
      <c r="AQ278" s="117"/>
      <c r="AR278" s="117"/>
      <c r="AS278" s="117"/>
      <c r="AT278" s="117"/>
      <c r="AU278" s="117"/>
    </row>
    <row r="279" spans="25:47" x14ac:dyDescent="0.2">
      <c r="Y279" s="118"/>
      <c r="Z279" s="118"/>
      <c r="AA279" s="118"/>
      <c r="AB279" s="118"/>
      <c r="AC279" s="118"/>
      <c r="AD279" s="118"/>
      <c r="AE279" s="118"/>
      <c r="AF279" s="118"/>
      <c r="AG279" s="118"/>
      <c r="AH279" s="118"/>
      <c r="AI279" s="118"/>
      <c r="AJ279" s="118"/>
      <c r="AK279" s="118"/>
      <c r="AL279" s="118"/>
      <c r="AM279" s="118"/>
      <c r="AN279" s="118"/>
      <c r="AO279" s="118"/>
      <c r="AP279" s="117"/>
      <c r="AQ279" s="117"/>
      <c r="AR279" s="117"/>
      <c r="AS279" s="117"/>
      <c r="AT279" s="117"/>
      <c r="AU279" s="117"/>
    </row>
    <row r="280" spans="25:47" x14ac:dyDescent="0.2">
      <c r="Y280" s="118"/>
      <c r="Z280" s="118"/>
      <c r="AA280" s="118"/>
      <c r="AB280" s="118"/>
      <c r="AC280" s="118"/>
      <c r="AD280" s="118"/>
      <c r="AE280" s="118"/>
      <c r="AF280" s="118"/>
      <c r="AG280" s="118"/>
      <c r="AH280" s="118"/>
      <c r="AI280" s="118"/>
      <c r="AJ280" s="118"/>
      <c r="AK280" s="118"/>
      <c r="AL280" s="118"/>
      <c r="AM280" s="118"/>
      <c r="AN280" s="118"/>
      <c r="AO280" s="118"/>
      <c r="AP280" s="117"/>
      <c r="AQ280" s="117"/>
      <c r="AR280" s="117"/>
      <c r="AS280" s="117"/>
      <c r="AT280" s="117"/>
      <c r="AU280" s="117"/>
    </row>
    <row r="281" spans="25:47" x14ac:dyDescent="0.2">
      <c r="Y281" s="118"/>
      <c r="Z281" s="118"/>
      <c r="AA281" s="118"/>
      <c r="AB281" s="118"/>
      <c r="AC281" s="118"/>
      <c r="AD281" s="118"/>
      <c r="AE281" s="118"/>
      <c r="AF281" s="118"/>
      <c r="AG281" s="118"/>
      <c r="AH281" s="118"/>
      <c r="AI281" s="118"/>
      <c r="AJ281" s="118"/>
      <c r="AK281" s="118"/>
      <c r="AL281" s="118"/>
      <c r="AM281" s="118"/>
      <c r="AN281" s="118"/>
      <c r="AO281" s="118"/>
      <c r="AP281" s="117"/>
      <c r="AQ281" s="117"/>
      <c r="AR281" s="117"/>
      <c r="AS281" s="117"/>
      <c r="AT281" s="117"/>
      <c r="AU281" s="117"/>
    </row>
    <row r="282" spans="25:47" x14ac:dyDescent="0.2">
      <c r="Y282" s="118"/>
      <c r="Z282" s="118"/>
      <c r="AA282" s="118"/>
      <c r="AB282" s="118"/>
      <c r="AC282" s="118"/>
      <c r="AD282" s="118"/>
      <c r="AE282" s="118"/>
      <c r="AF282" s="118"/>
      <c r="AG282" s="118"/>
      <c r="AH282" s="118"/>
      <c r="AI282" s="118"/>
      <c r="AJ282" s="118"/>
      <c r="AK282" s="118"/>
      <c r="AL282" s="118"/>
      <c r="AM282" s="118"/>
      <c r="AN282" s="118"/>
      <c r="AO282" s="118"/>
      <c r="AP282" s="117"/>
      <c r="AQ282" s="117"/>
      <c r="AR282" s="117"/>
      <c r="AS282" s="117"/>
      <c r="AT282" s="117"/>
      <c r="AU282" s="117"/>
    </row>
    <row r="283" spans="25:47" x14ac:dyDescent="0.2">
      <c r="Y283" s="118"/>
      <c r="Z283" s="118"/>
      <c r="AA283" s="118"/>
      <c r="AB283" s="118"/>
      <c r="AC283" s="118"/>
      <c r="AD283" s="118"/>
      <c r="AE283" s="118"/>
      <c r="AF283" s="118"/>
      <c r="AG283" s="118"/>
      <c r="AH283" s="118"/>
      <c r="AI283" s="118"/>
      <c r="AJ283" s="118"/>
      <c r="AK283" s="118"/>
      <c r="AL283" s="118"/>
      <c r="AM283" s="118"/>
      <c r="AN283" s="118"/>
      <c r="AO283" s="118"/>
      <c r="AP283" s="117"/>
      <c r="AQ283" s="117"/>
      <c r="AR283" s="117"/>
      <c r="AS283" s="117"/>
      <c r="AT283" s="117"/>
      <c r="AU283" s="117"/>
    </row>
    <row r="284" spans="25:47" x14ac:dyDescent="0.2">
      <c r="Y284" s="118"/>
      <c r="Z284" s="118"/>
      <c r="AA284" s="118"/>
      <c r="AB284" s="118"/>
      <c r="AC284" s="118"/>
      <c r="AD284" s="118"/>
      <c r="AE284" s="118"/>
      <c r="AF284" s="118"/>
      <c r="AG284" s="118"/>
      <c r="AH284" s="118"/>
      <c r="AI284" s="118"/>
      <c r="AJ284" s="118"/>
      <c r="AK284" s="118"/>
      <c r="AL284" s="118"/>
      <c r="AM284" s="118"/>
      <c r="AN284" s="118"/>
      <c r="AO284" s="118"/>
      <c r="AP284" s="117"/>
      <c r="AQ284" s="117"/>
      <c r="AR284" s="117"/>
      <c r="AS284" s="117"/>
      <c r="AT284" s="117"/>
      <c r="AU284" s="117"/>
    </row>
    <row r="285" spans="25:47" x14ac:dyDescent="0.2">
      <c r="Y285" s="118"/>
      <c r="Z285" s="118"/>
      <c r="AA285" s="118"/>
      <c r="AB285" s="118"/>
      <c r="AC285" s="118"/>
      <c r="AD285" s="118"/>
      <c r="AE285" s="118"/>
      <c r="AF285" s="118"/>
      <c r="AG285" s="118"/>
      <c r="AH285" s="118"/>
      <c r="AI285" s="118"/>
      <c r="AJ285" s="118"/>
      <c r="AK285" s="118"/>
      <c r="AL285" s="118"/>
      <c r="AM285" s="118"/>
      <c r="AN285" s="118"/>
      <c r="AO285" s="118"/>
      <c r="AP285" s="117"/>
      <c r="AQ285" s="117"/>
      <c r="AR285" s="117"/>
      <c r="AS285" s="117"/>
      <c r="AT285" s="117"/>
      <c r="AU285" s="117"/>
    </row>
    <row r="286" spans="25:47" x14ac:dyDescent="0.2">
      <c r="Y286" s="118"/>
      <c r="Z286" s="118"/>
      <c r="AA286" s="118"/>
      <c r="AB286" s="118"/>
      <c r="AC286" s="118"/>
      <c r="AD286" s="118"/>
      <c r="AE286" s="118"/>
      <c r="AF286" s="118"/>
      <c r="AG286" s="118"/>
      <c r="AH286" s="118"/>
      <c r="AI286" s="118"/>
      <c r="AJ286" s="118"/>
      <c r="AK286" s="118"/>
      <c r="AL286" s="118"/>
      <c r="AM286" s="118"/>
      <c r="AN286" s="118"/>
      <c r="AO286" s="118"/>
      <c r="AP286" s="117"/>
      <c r="AQ286" s="117"/>
      <c r="AR286" s="117"/>
      <c r="AS286" s="117"/>
      <c r="AT286" s="117"/>
      <c r="AU286" s="117"/>
    </row>
    <row r="287" spans="25:47" x14ac:dyDescent="0.2">
      <c r="Y287" s="118"/>
      <c r="Z287" s="118"/>
      <c r="AA287" s="118"/>
      <c r="AB287" s="118"/>
      <c r="AC287" s="118"/>
      <c r="AD287" s="118"/>
      <c r="AE287" s="118"/>
      <c r="AF287" s="118"/>
      <c r="AG287" s="118"/>
      <c r="AH287" s="118"/>
      <c r="AI287" s="118"/>
      <c r="AJ287" s="118"/>
      <c r="AK287" s="118"/>
      <c r="AL287" s="118"/>
      <c r="AM287" s="118"/>
      <c r="AN287" s="118"/>
      <c r="AO287" s="118"/>
      <c r="AP287" s="117"/>
      <c r="AQ287" s="117"/>
      <c r="AR287" s="117"/>
      <c r="AS287" s="117"/>
      <c r="AT287" s="117"/>
      <c r="AU287" s="117"/>
    </row>
    <row r="288" spans="25:47" x14ac:dyDescent="0.2">
      <c r="Y288" s="118"/>
      <c r="Z288" s="118"/>
      <c r="AA288" s="118"/>
      <c r="AB288" s="118"/>
      <c r="AC288" s="118"/>
      <c r="AD288" s="118"/>
      <c r="AE288" s="118"/>
      <c r="AF288" s="118"/>
      <c r="AG288" s="118"/>
      <c r="AH288" s="118"/>
      <c r="AI288" s="118"/>
      <c r="AJ288" s="118"/>
      <c r="AK288" s="118"/>
      <c r="AL288" s="118"/>
      <c r="AM288" s="118"/>
      <c r="AN288" s="118"/>
      <c r="AO288" s="118"/>
      <c r="AP288" s="117"/>
      <c r="AQ288" s="117"/>
      <c r="AR288" s="117"/>
      <c r="AS288" s="117"/>
      <c r="AT288" s="117"/>
      <c r="AU288" s="117"/>
    </row>
    <row r="289" spans="25:47" x14ac:dyDescent="0.2">
      <c r="Y289" s="118"/>
      <c r="Z289" s="118"/>
      <c r="AA289" s="118"/>
      <c r="AB289" s="118"/>
      <c r="AC289" s="118"/>
      <c r="AD289" s="118"/>
      <c r="AE289" s="118"/>
      <c r="AF289" s="118"/>
      <c r="AG289" s="118"/>
      <c r="AH289" s="118"/>
      <c r="AI289" s="118"/>
      <c r="AJ289" s="118"/>
      <c r="AK289" s="118"/>
      <c r="AL289" s="118"/>
      <c r="AM289" s="118"/>
      <c r="AN289" s="118"/>
      <c r="AO289" s="118"/>
      <c r="AP289" s="117"/>
      <c r="AQ289" s="117"/>
      <c r="AR289" s="117"/>
      <c r="AS289" s="117"/>
      <c r="AT289" s="117"/>
      <c r="AU289" s="117"/>
    </row>
    <row r="290" spans="25:47" x14ac:dyDescent="0.2">
      <c r="Y290" s="118"/>
      <c r="Z290" s="118"/>
      <c r="AA290" s="118"/>
      <c r="AB290" s="118"/>
      <c r="AC290" s="118"/>
      <c r="AD290" s="118"/>
      <c r="AE290" s="118"/>
      <c r="AF290" s="118"/>
      <c r="AG290" s="118"/>
      <c r="AH290" s="118"/>
      <c r="AI290" s="118"/>
      <c r="AJ290" s="118"/>
      <c r="AK290" s="118"/>
      <c r="AL290" s="118"/>
      <c r="AM290" s="118"/>
      <c r="AN290" s="118"/>
      <c r="AO290" s="118"/>
      <c r="AP290" s="117"/>
      <c r="AQ290" s="117"/>
      <c r="AR290" s="117"/>
      <c r="AS290" s="117"/>
      <c r="AT290" s="117"/>
      <c r="AU290" s="117"/>
    </row>
    <row r="291" spans="25:47" x14ac:dyDescent="0.2">
      <c r="Y291" s="118"/>
      <c r="Z291" s="118"/>
      <c r="AA291" s="118"/>
      <c r="AB291" s="118"/>
      <c r="AC291" s="118"/>
      <c r="AD291" s="118"/>
      <c r="AE291" s="118"/>
      <c r="AF291" s="118"/>
      <c r="AG291" s="118"/>
      <c r="AH291" s="118"/>
      <c r="AI291" s="118"/>
      <c r="AJ291" s="118"/>
      <c r="AK291" s="118"/>
      <c r="AL291" s="118"/>
      <c r="AM291" s="118"/>
      <c r="AN291" s="118"/>
      <c r="AO291" s="118"/>
      <c r="AP291" s="117"/>
      <c r="AQ291" s="117"/>
      <c r="AR291" s="117"/>
      <c r="AS291" s="117"/>
      <c r="AT291" s="117"/>
      <c r="AU291" s="117"/>
    </row>
    <row r="292" spans="25:47" x14ac:dyDescent="0.2">
      <c r="Y292" s="118"/>
      <c r="Z292" s="118"/>
      <c r="AA292" s="118"/>
      <c r="AB292" s="118"/>
      <c r="AC292" s="118"/>
      <c r="AD292" s="118"/>
      <c r="AE292" s="118"/>
      <c r="AF292" s="118"/>
      <c r="AG292" s="118"/>
      <c r="AH292" s="118"/>
      <c r="AI292" s="118"/>
      <c r="AJ292" s="118"/>
      <c r="AK292" s="118"/>
      <c r="AL292" s="118"/>
      <c r="AM292" s="118"/>
      <c r="AN292" s="118"/>
      <c r="AO292" s="118"/>
      <c r="AP292" s="117"/>
      <c r="AQ292" s="117"/>
      <c r="AR292" s="117"/>
      <c r="AS292" s="117"/>
      <c r="AT292" s="117"/>
      <c r="AU292" s="117"/>
    </row>
    <row r="293" spans="25:47" x14ac:dyDescent="0.2">
      <c r="Y293" s="118"/>
      <c r="Z293" s="118"/>
      <c r="AA293" s="118"/>
      <c r="AB293" s="118"/>
      <c r="AC293" s="118"/>
      <c r="AD293" s="118"/>
      <c r="AE293" s="118"/>
      <c r="AF293" s="118"/>
      <c r="AG293" s="118"/>
      <c r="AH293" s="118"/>
      <c r="AI293" s="118"/>
      <c r="AJ293" s="118"/>
      <c r="AK293" s="118"/>
      <c r="AL293" s="118"/>
      <c r="AM293" s="118"/>
      <c r="AN293" s="118"/>
      <c r="AO293" s="118"/>
      <c r="AP293" s="117"/>
      <c r="AQ293" s="117"/>
      <c r="AR293" s="117"/>
      <c r="AS293" s="117"/>
      <c r="AT293" s="117"/>
      <c r="AU293" s="117"/>
    </row>
    <row r="294" spans="25:47" x14ac:dyDescent="0.2">
      <c r="Y294" s="118"/>
      <c r="Z294" s="118"/>
      <c r="AA294" s="118"/>
      <c r="AB294" s="118"/>
      <c r="AC294" s="118"/>
      <c r="AD294" s="118"/>
      <c r="AE294" s="118"/>
      <c r="AF294" s="118"/>
      <c r="AG294" s="118"/>
      <c r="AH294" s="118"/>
      <c r="AI294" s="118"/>
      <c r="AJ294" s="118"/>
      <c r="AK294" s="118"/>
      <c r="AL294" s="118"/>
      <c r="AM294" s="118"/>
      <c r="AN294" s="118"/>
      <c r="AO294" s="118"/>
      <c r="AP294" s="117"/>
      <c r="AQ294" s="117"/>
      <c r="AR294" s="117"/>
      <c r="AS294" s="117"/>
      <c r="AT294" s="117"/>
      <c r="AU294" s="117"/>
    </row>
    <row r="295" spans="25:47" x14ac:dyDescent="0.2">
      <c r="Y295" s="118"/>
      <c r="Z295" s="118"/>
      <c r="AA295" s="118"/>
      <c r="AB295" s="118"/>
      <c r="AC295" s="118"/>
      <c r="AD295" s="118"/>
      <c r="AE295" s="118"/>
      <c r="AF295" s="118"/>
      <c r="AG295" s="118"/>
      <c r="AH295" s="118"/>
      <c r="AI295" s="118"/>
      <c r="AJ295" s="118"/>
      <c r="AK295" s="118"/>
      <c r="AL295" s="118"/>
      <c r="AM295" s="118"/>
      <c r="AN295" s="118"/>
      <c r="AO295" s="118"/>
      <c r="AP295" s="117"/>
      <c r="AQ295" s="117"/>
      <c r="AR295" s="117"/>
      <c r="AS295" s="117"/>
      <c r="AT295" s="117"/>
      <c r="AU295" s="117"/>
    </row>
    <row r="296" spans="25:47" x14ac:dyDescent="0.2">
      <c r="Y296" s="118"/>
      <c r="Z296" s="118"/>
      <c r="AA296" s="118"/>
      <c r="AB296" s="118"/>
      <c r="AC296" s="118"/>
      <c r="AD296" s="118"/>
      <c r="AE296" s="118"/>
      <c r="AF296" s="118"/>
      <c r="AG296" s="118"/>
      <c r="AH296" s="118"/>
      <c r="AI296" s="118"/>
      <c r="AJ296" s="118"/>
      <c r="AK296" s="118"/>
      <c r="AL296" s="118"/>
      <c r="AM296" s="118"/>
      <c r="AN296" s="118"/>
      <c r="AO296" s="118"/>
      <c r="AP296" s="117"/>
      <c r="AQ296" s="117"/>
      <c r="AR296" s="117"/>
      <c r="AS296" s="117"/>
      <c r="AT296" s="117"/>
      <c r="AU296" s="117"/>
    </row>
    <row r="297" spans="25:47" x14ac:dyDescent="0.2">
      <c r="Y297" s="118"/>
      <c r="Z297" s="118"/>
      <c r="AA297" s="118"/>
      <c r="AB297" s="118"/>
      <c r="AC297" s="118"/>
      <c r="AD297" s="118"/>
      <c r="AE297" s="118"/>
      <c r="AF297" s="118"/>
      <c r="AG297" s="118"/>
      <c r="AH297" s="118"/>
      <c r="AI297" s="118"/>
      <c r="AJ297" s="118"/>
      <c r="AK297" s="118"/>
      <c r="AL297" s="118"/>
      <c r="AM297" s="118"/>
      <c r="AN297" s="118"/>
      <c r="AO297" s="118"/>
      <c r="AP297" s="117"/>
      <c r="AQ297" s="117"/>
      <c r="AR297" s="117"/>
      <c r="AS297" s="117"/>
      <c r="AT297" s="117"/>
      <c r="AU297" s="117"/>
    </row>
    <row r="298" spans="25:47" x14ac:dyDescent="0.2">
      <c r="Y298" s="118"/>
      <c r="Z298" s="118"/>
      <c r="AA298" s="118"/>
      <c r="AB298" s="118"/>
      <c r="AC298" s="118"/>
      <c r="AD298" s="118"/>
      <c r="AE298" s="118"/>
      <c r="AF298" s="118"/>
      <c r="AG298" s="118"/>
      <c r="AH298" s="118"/>
      <c r="AI298" s="118"/>
      <c r="AJ298" s="118"/>
      <c r="AK298" s="118"/>
      <c r="AL298" s="118"/>
      <c r="AM298" s="118"/>
      <c r="AN298" s="118"/>
      <c r="AO298" s="118"/>
      <c r="AP298" s="117"/>
      <c r="AQ298" s="117"/>
      <c r="AR298" s="117"/>
      <c r="AS298" s="117"/>
      <c r="AT298" s="117"/>
      <c r="AU298" s="117"/>
    </row>
    <row r="299" spans="25:47" x14ac:dyDescent="0.2">
      <c r="Y299" s="118"/>
      <c r="Z299" s="118"/>
      <c r="AA299" s="118"/>
      <c r="AB299" s="118"/>
      <c r="AC299" s="118"/>
      <c r="AD299" s="118"/>
      <c r="AE299" s="118"/>
      <c r="AF299" s="118"/>
      <c r="AG299" s="118"/>
      <c r="AH299" s="118"/>
      <c r="AI299" s="118"/>
      <c r="AJ299" s="118"/>
      <c r="AK299" s="118"/>
      <c r="AL299" s="118"/>
      <c r="AM299" s="118"/>
      <c r="AN299" s="118"/>
      <c r="AO299" s="118"/>
      <c r="AP299" s="117"/>
      <c r="AQ299" s="117"/>
      <c r="AR299" s="117"/>
      <c r="AS299" s="117"/>
      <c r="AT299" s="117"/>
      <c r="AU299" s="117"/>
    </row>
    <row r="300" spans="25:47" x14ac:dyDescent="0.2">
      <c r="Y300" s="118"/>
      <c r="Z300" s="118"/>
      <c r="AA300" s="118"/>
      <c r="AB300" s="118"/>
      <c r="AC300" s="118"/>
      <c r="AD300" s="118"/>
      <c r="AE300" s="118"/>
      <c r="AF300" s="118"/>
      <c r="AG300" s="118"/>
      <c r="AH300" s="118"/>
      <c r="AI300" s="118"/>
      <c r="AJ300" s="118"/>
      <c r="AK300" s="118"/>
      <c r="AL300" s="118"/>
      <c r="AM300" s="118"/>
      <c r="AN300" s="118"/>
      <c r="AO300" s="118"/>
      <c r="AP300" s="117"/>
      <c r="AQ300" s="117"/>
      <c r="AR300" s="117"/>
      <c r="AS300" s="117"/>
      <c r="AT300" s="117"/>
      <c r="AU300" s="117"/>
    </row>
    <row r="301" spans="25:47" x14ac:dyDescent="0.2">
      <c r="Y301" s="118"/>
      <c r="Z301" s="118"/>
      <c r="AA301" s="118"/>
      <c r="AB301" s="118"/>
      <c r="AC301" s="118"/>
      <c r="AD301" s="118"/>
      <c r="AE301" s="118"/>
      <c r="AF301" s="118"/>
      <c r="AG301" s="118"/>
      <c r="AH301" s="118"/>
      <c r="AI301" s="118"/>
      <c r="AJ301" s="118"/>
      <c r="AK301" s="118"/>
      <c r="AL301" s="118"/>
      <c r="AM301" s="118"/>
      <c r="AN301" s="118"/>
      <c r="AO301" s="118"/>
      <c r="AP301" s="117"/>
      <c r="AQ301" s="117"/>
      <c r="AR301" s="117"/>
      <c r="AS301" s="117"/>
      <c r="AT301" s="117"/>
      <c r="AU301" s="117"/>
    </row>
    <row r="302" spans="25:47" x14ac:dyDescent="0.2">
      <c r="Y302" s="118"/>
      <c r="Z302" s="118"/>
      <c r="AA302" s="118"/>
      <c r="AB302" s="118"/>
      <c r="AC302" s="118"/>
      <c r="AD302" s="118"/>
      <c r="AE302" s="118"/>
      <c r="AF302" s="118"/>
      <c r="AG302" s="118"/>
      <c r="AH302" s="118"/>
      <c r="AI302" s="118"/>
      <c r="AJ302" s="118"/>
      <c r="AK302" s="118"/>
      <c r="AL302" s="118"/>
      <c r="AM302" s="118"/>
      <c r="AN302" s="118"/>
      <c r="AO302" s="118"/>
      <c r="AP302" s="117"/>
      <c r="AQ302" s="117"/>
      <c r="AR302" s="117"/>
      <c r="AS302" s="117"/>
      <c r="AT302" s="117"/>
      <c r="AU302" s="117"/>
    </row>
    <row r="303" spans="25:47" x14ac:dyDescent="0.2">
      <c r="Y303" s="118"/>
      <c r="Z303" s="118"/>
      <c r="AA303" s="118"/>
      <c r="AB303" s="118"/>
      <c r="AC303" s="118"/>
      <c r="AD303" s="118"/>
      <c r="AE303" s="118"/>
      <c r="AF303" s="118"/>
      <c r="AG303" s="118"/>
      <c r="AH303" s="118"/>
      <c r="AI303" s="118"/>
      <c r="AJ303" s="118"/>
      <c r="AK303" s="118"/>
      <c r="AL303" s="118"/>
      <c r="AM303" s="118"/>
      <c r="AN303" s="118"/>
      <c r="AO303" s="118"/>
      <c r="AP303" s="117"/>
      <c r="AQ303" s="117"/>
      <c r="AR303" s="117"/>
      <c r="AS303" s="117"/>
      <c r="AT303" s="117"/>
      <c r="AU303" s="117"/>
    </row>
    <row r="304" spans="25:47" x14ac:dyDescent="0.2">
      <c r="Y304" s="118"/>
      <c r="Z304" s="118"/>
      <c r="AA304" s="118"/>
      <c r="AB304" s="118"/>
      <c r="AC304" s="118"/>
      <c r="AD304" s="118"/>
      <c r="AE304" s="118"/>
      <c r="AF304" s="118"/>
      <c r="AG304" s="118"/>
      <c r="AH304" s="118"/>
      <c r="AI304" s="118"/>
      <c r="AJ304" s="118"/>
      <c r="AK304" s="118"/>
      <c r="AL304" s="118"/>
      <c r="AM304" s="118"/>
      <c r="AN304" s="118"/>
      <c r="AO304" s="118"/>
      <c r="AP304" s="117"/>
      <c r="AQ304" s="117"/>
      <c r="AR304" s="117"/>
      <c r="AS304" s="117"/>
      <c r="AT304" s="117"/>
      <c r="AU304" s="117"/>
    </row>
    <row r="305" spans="25:47" x14ac:dyDescent="0.2">
      <c r="Y305" s="118"/>
      <c r="Z305" s="118"/>
      <c r="AA305" s="118"/>
      <c r="AB305" s="118"/>
      <c r="AC305" s="118"/>
      <c r="AD305" s="118"/>
      <c r="AE305" s="118"/>
      <c r="AF305" s="118"/>
      <c r="AG305" s="118"/>
      <c r="AH305" s="118"/>
      <c r="AI305" s="118"/>
      <c r="AJ305" s="118"/>
      <c r="AK305" s="118"/>
      <c r="AL305" s="118"/>
      <c r="AM305" s="118"/>
      <c r="AN305" s="118"/>
      <c r="AO305" s="118"/>
      <c r="AP305" s="117"/>
      <c r="AQ305" s="117"/>
      <c r="AR305" s="117"/>
      <c r="AS305" s="117"/>
      <c r="AT305" s="117"/>
      <c r="AU305" s="117"/>
    </row>
    <row r="306" spans="25:47" x14ac:dyDescent="0.2">
      <c r="Y306" s="118"/>
      <c r="Z306" s="118"/>
      <c r="AA306" s="118"/>
      <c r="AB306" s="118"/>
      <c r="AC306" s="118"/>
      <c r="AD306" s="118"/>
      <c r="AE306" s="118"/>
      <c r="AF306" s="118"/>
      <c r="AG306" s="118"/>
      <c r="AH306" s="118"/>
      <c r="AI306" s="118"/>
      <c r="AJ306" s="118"/>
      <c r="AK306" s="118"/>
      <c r="AL306" s="118"/>
      <c r="AM306" s="118"/>
      <c r="AN306" s="118"/>
      <c r="AO306" s="118"/>
      <c r="AP306" s="117"/>
      <c r="AQ306" s="117"/>
      <c r="AR306" s="117"/>
      <c r="AS306" s="117"/>
      <c r="AT306" s="117"/>
      <c r="AU306" s="117"/>
    </row>
    <row r="307" spans="25:47" x14ac:dyDescent="0.2">
      <c r="Y307" s="118"/>
      <c r="Z307" s="118"/>
      <c r="AA307" s="118"/>
      <c r="AB307" s="118"/>
      <c r="AC307" s="118"/>
      <c r="AD307" s="118"/>
      <c r="AE307" s="118"/>
      <c r="AF307" s="118"/>
      <c r="AG307" s="118"/>
      <c r="AH307" s="118"/>
      <c r="AI307" s="118"/>
      <c r="AJ307" s="118"/>
      <c r="AK307" s="118"/>
      <c r="AL307" s="118"/>
      <c r="AM307" s="118"/>
      <c r="AN307" s="118"/>
      <c r="AO307" s="118"/>
      <c r="AP307" s="117"/>
      <c r="AQ307" s="117"/>
      <c r="AR307" s="117"/>
      <c r="AS307" s="117"/>
      <c r="AT307" s="117"/>
      <c r="AU307" s="117"/>
    </row>
    <row r="308" spans="25:47" x14ac:dyDescent="0.2">
      <c r="Y308" s="118"/>
      <c r="Z308" s="118"/>
      <c r="AA308" s="118"/>
      <c r="AB308" s="118"/>
      <c r="AC308" s="118"/>
      <c r="AD308" s="118"/>
      <c r="AE308" s="118"/>
      <c r="AF308" s="118"/>
      <c r="AG308" s="118"/>
      <c r="AH308" s="118"/>
      <c r="AI308" s="118"/>
      <c r="AJ308" s="118"/>
      <c r="AK308" s="118"/>
      <c r="AL308" s="118"/>
      <c r="AM308" s="118"/>
      <c r="AN308" s="118"/>
      <c r="AO308" s="118"/>
      <c r="AP308" s="117"/>
      <c r="AQ308" s="117"/>
      <c r="AR308" s="117"/>
      <c r="AS308" s="117"/>
      <c r="AT308" s="117"/>
      <c r="AU308" s="117"/>
    </row>
    <row r="309" spans="25:47" x14ac:dyDescent="0.2">
      <c r="Y309" s="118"/>
      <c r="Z309" s="118"/>
      <c r="AA309" s="118"/>
      <c r="AB309" s="118"/>
      <c r="AC309" s="118"/>
      <c r="AD309" s="118"/>
      <c r="AE309" s="118"/>
      <c r="AF309" s="118"/>
      <c r="AG309" s="118"/>
      <c r="AH309" s="118"/>
      <c r="AI309" s="118"/>
      <c r="AJ309" s="118"/>
      <c r="AK309" s="118"/>
      <c r="AL309" s="118"/>
      <c r="AM309" s="118"/>
      <c r="AN309" s="118"/>
      <c r="AO309" s="118"/>
      <c r="AP309" s="117"/>
      <c r="AQ309" s="117"/>
      <c r="AR309" s="117"/>
      <c r="AS309" s="117"/>
      <c r="AT309" s="117"/>
      <c r="AU309" s="117"/>
    </row>
    <row r="310" spans="25:47" x14ac:dyDescent="0.2">
      <c r="Y310" s="118"/>
      <c r="Z310" s="118"/>
      <c r="AA310" s="118"/>
      <c r="AB310" s="118"/>
      <c r="AC310" s="118"/>
      <c r="AD310" s="118"/>
      <c r="AE310" s="118"/>
      <c r="AF310" s="118"/>
      <c r="AG310" s="118"/>
      <c r="AH310" s="118"/>
      <c r="AI310" s="118"/>
      <c r="AJ310" s="118"/>
      <c r="AK310" s="118"/>
      <c r="AL310" s="118"/>
      <c r="AM310" s="118"/>
      <c r="AN310" s="118"/>
      <c r="AO310" s="118"/>
      <c r="AP310" s="117"/>
      <c r="AQ310" s="117"/>
      <c r="AR310" s="117"/>
      <c r="AS310" s="117"/>
      <c r="AT310" s="117"/>
      <c r="AU310" s="117"/>
    </row>
    <row r="311" spans="25:47" x14ac:dyDescent="0.2">
      <c r="Y311" s="118"/>
      <c r="Z311" s="118"/>
      <c r="AA311" s="118"/>
      <c r="AB311" s="118"/>
      <c r="AC311" s="118"/>
      <c r="AD311" s="118"/>
      <c r="AE311" s="118"/>
      <c r="AF311" s="118"/>
      <c r="AG311" s="118"/>
      <c r="AH311" s="118"/>
      <c r="AI311" s="118"/>
      <c r="AJ311" s="118"/>
      <c r="AK311" s="118"/>
      <c r="AL311" s="118"/>
      <c r="AM311" s="118"/>
      <c r="AN311" s="118"/>
      <c r="AO311" s="118"/>
      <c r="AP311" s="117"/>
      <c r="AQ311" s="117"/>
      <c r="AR311" s="117"/>
      <c r="AS311" s="117"/>
      <c r="AT311" s="117"/>
      <c r="AU311" s="117"/>
    </row>
    <row r="312" spans="25:47" x14ac:dyDescent="0.2">
      <c r="Y312" s="118"/>
      <c r="Z312" s="118"/>
      <c r="AA312" s="118"/>
      <c r="AB312" s="118"/>
      <c r="AC312" s="118"/>
      <c r="AD312" s="118"/>
      <c r="AE312" s="118"/>
      <c r="AF312" s="118"/>
      <c r="AG312" s="118"/>
      <c r="AH312" s="118"/>
      <c r="AI312" s="118"/>
      <c r="AJ312" s="118"/>
      <c r="AK312" s="118"/>
      <c r="AL312" s="118"/>
      <c r="AM312" s="118"/>
      <c r="AN312" s="118"/>
      <c r="AO312" s="118"/>
      <c r="AP312" s="117"/>
      <c r="AQ312" s="117"/>
      <c r="AR312" s="117"/>
      <c r="AS312" s="117"/>
      <c r="AT312" s="117"/>
      <c r="AU312" s="117"/>
    </row>
    <row r="313" spans="25:47" x14ac:dyDescent="0.2">
      <c r="Y313" s="118"/>
      <c r="Z313" s="118"/>
      <c r="AA313" s="118"/>
      <c r="AB313" s="118"/>
      <c r="AC313" s="118"/>
      <c r="AD313" s="118"/>
      <c r="AE313" s="118"/>
      <c r="AF313" s="118"/>
      <c r="AG313" s="118"/>
      <c r="AH313" s="118"/>
      <c r="AI313" s="118"/>
      <c r="AJ313" s="118"/>
      <c r="AK313" s="118"/>
      <c r="AL313" s="118"/>
      <c r="AM313" s="118"/>
      <c r="AN313" s="118"/>
      <c r="AO313" s="118"/>
      <c r="AP313" s="117"/>
      <c r="AQ313" s="117"/>
      <c r="AR313" s="117"/>
      <c r="AS313" s="117"/>
      <c r="AT313" s="117"/>
      <c r="AU313" s="117"/>
    </row>
    <row r="314" spans="25:47" x14ac:dyDescent="0.2">
      <c r="Y314" s="118"/>
      <c r="Z314" s="118"/>
      <c r="AA314" s="118"/>
      <c r="AB314" s="118"/>
      <c r="AC314" s="118"/>
      <c r="AD314" s="118"/>
      <c r="AE314" s="118"/>
      <c r="AF314" s="118"/>
      <c r="AG314" s="118"/>
      <c r="AH314" s="118"/>
      <c r="AI314" s="118"/>
      <c r="AJ314" s="118"/>
      <c r="AK314" s="118"/>
      <c r="AL314" s="118"/>
      <c r="AM314" s="118"/>
      <c r="AN314" s="118"/>
      <c r="AO314" s="118"/>
      <c r="AP314" s="117"/>
      <c r="AQ314" s="117"/>
      <c r="AR314" s="117"/>
      <c r="AS314" s="117"/>
      <c r="AT314" s="117"/>
      <c r="AU314" s="117"/>
    </row>
    <row r="315" spans="25:47" x14ac:dyDescent="0.2">
      <c r="Y315" s="118"/>
      <c r="Z315" s="118"/>
      <c r="AA315" s="118"/>
      <c r="AB315" s="118"/>
      <c r="AC315" s="118"/>
      <c r="AD315" s="118"/>
      <c r="AE315" s="118"/>
      <c r="AF315" s="118"/>
      <c r="AG315" s="118"/>
      <c r="AH315" s="118"/>
      <c r="AI315" s="118"/>
      <c r="AJ315" s="118"/>
      <c r="AK315" s="118"/>
      <c r="AL315" s="118"/>
      <c r="AM315" s="118"/>
      <c r="AN315" s="118"/>
      <c r="AO315" s="118"/>
      <c r="AP315" s="117"/>
      <c r="AQ315" s="117"/>
      <c r="AR315" s="117"/>
      <c r="AS315" s="117"/>
      <c r="AT315" s="117"/>
      <c r="AU315" s="117"/>
    </row>
    <row r="316" spans="25:47" x14ac:dyDescent="0.2">
      <c r="Y316" s="118"/>
      <c r="Z316" s="118"/>
      <c r="AA316" s="118"/>
      <c r="AB316" s="118"/>
      <c r="AC316" s="118"/>
      <c r="AD316" s="118"/>
      <c r="AE316" s="118"/>
      <c r="AF316" s="118"/>
      <c r="AG316" s="118"/>
      <c r="AH316" s="118"/>
      <c r="AI316" s="118"/>
      <c r="AJ316" s="118"/>
      <c r="AK316" s="118"/>
      <c r="AL316" s="118"/>
      <c r="AM316" s="118"/>
      <c r="AN316" s="118"/>
      <c r="AO316" s="118"/>
      <c r="AP316" s="117"/>
      <c r="AQ316" s="117"/>
      <c r="AR316" s="117"/>
      <c r="AS316" s="117"/>
      <c r="AT316" s="117"/>
      <c r="AU316" s="117"/>
    </row>
    <row r="317" spans="25:47" x14ac:dyDescent="0.2">
      <c r="Y317" s="118"/>
      <c r="Z317" s="118"/>
      <c r="AA317" s="118"/>
      <c r="AB317" s="118"/>
      <c r="AC317" s="118"/>
      <c r="AD317" s="118"/>
      <c r="AE317" s="118"/>
      <c r="AF317" s="118"/>
      <c r="AG317" s="118"/>
      <c r="AH317" s="118"/>
      <c r="AI317" s="118"/>
      <c r="AJ317" s="118"/>
      <c r="AK317" s="118"/>
      <c r="AL317" s="118"/>
      <c r="AM317" s="118"/>
      <c r="AN317" s="118"/>
      <c r="AO317" s="118"/>
      <c r="AP317" s="117"/>
      <c r="AQ317" s="117"/>
      <c r="AR317" s="117"/>
      <c r="AS317" s="117"/>
      <c r="AT317" s="117"/>
      <c r="AU317" s="117"/>
    </row>
    <row r="318" spans="25:47" x14ac:dyDescent="0.2">
      <c r="Y318" s="118"/>
      <c r="Z318" s="118"/>
      <c r="AA318" s="118"/>
      <c r="AB318" s="118"/>
      <c r="AC318" s="118"/>
      <c r="AD318" s="118"/>
      <c r="AE318" s="118"/>
      <c r="AF318" s="118"/>
      <c r="AG318" s="118"/>
      <c r="AH318" s="118"/>
      <c r="AI318" s="118"/>
      <c r="AJ318" s="118"/>
      <c r="AK318" s="118"/>
      <c r="AL318" s="118"/>
      <c r="AM318" s="118"/>
      <c r="AN318" s="118"/>
      <c r="AO318" s="118"/>
      <c r="AP318" s="117"/>
      <c r="AQ318" s="117"/>
      <c r="AR318" s="117"/>
      <c r="AS318" s="117"/>
      <c r="AT318" s="117"/>
      <c r="AU318" s="117"/>
    </row>
    <row r="319" spans="25:47" x14ac:dyDescent="0.2">
      <c r="Y319" s="118"/>
      <c r="Z319" s="118"/>
      <c r="AA319" s="118"/>
      <c r="AB319" s="118"/>
      <c r="AC319" s="118"/>
      <c r="AD319" s="118"/>
      <c r="AE319" s="118"/>
      <c r="AF319" s="118"/>
      <c r="AG319" s="118"/>
      <c r="AH319" s="118"/>
      <c r="AI319" s="118"/>
      <c r="AJ319" s="118"/>
      <c r="AK319" s="118"/>
      <c r="AL319" s="118"/>
      <c r="AM319" s="118"/>
      <c r="AN319" s="118"/>
      <c r="AO319" s="118"/>
      <c r="AP319" s="117"/>
      <c r="AQ319" s="117"/>
      <c r="AR319" s="117"/>
      <c r="AS319" s="117"/>
      <c r="AT319" s="117"/>
      <c r="AU319" s="117"/>
    </row>
    <row r="320" spans="25:47" x14ac:dyDescent="0.2">
      <c r="Y320" s="118"/>
      <c r="Z320" s="118"/>
      <c r="AA320" s="118"/>
      <c r="AB320" s="118"/>
      <c r="AC320" s="118"/>
      <c r="AD320" s="118"/>
      <c r="AE320" s="118"/>
      <c r="AF320" s="118"/>
      <c r="AG320" s="118"/>
      <c r="AH320" s="118"/>
      <c r="AI320" s="118"/>
      <c r="AJ320" s="118"/>
      <c r="AK320" s="118"/>
      <c r="AL320" s="118"/>
      <c r="AM320" s="118"/>
      <c r="AN320" s="118"/>
      <c r="AO320" s="118"/>
      <c r="AP320" s="117"/>
      <c r="AQ320" s="117"/>
      <c r="AR320" s="117"/>
      <c r="AS320" s="117"/>
      <c r="AT320" s="117"/>
      <c r="AU320" s="117"/>
    </row>
    <row r="321" spans="25:47" x14ac:dyDescent="0.2">
      <c r="Y321" s="118"/>
      <c r="Z321" s="118"/>
      <c r="AA321" s="118"/>
      <c r="AB321" s="118"/>
      <c r="AC321" s="118"/>
      <c r="AD321" s="118"/>
      <c r="AE321" s="118"/>
      <c r="AF321" s="118"/>
      <c r="AG321" s="118"/>
      <c r="AH321" s="118"/>
      <c r="AI321" s="118"/>
      <c r="AJ321" s="118"/>
      <c r="AK321" s="118"/>
      <c r="AL321" s="118"/>
      <c r="AM321" s="118"/>
      <c r="AN321" s="118"/>
      <c r="AO321" s="118"/>
      <c r="AP321" s="117"/>
      <c r="AQ321" s="117"/>
      <c r="AR321" s="117"/>
      <c r="AS321" s="117"/>
      <c r="AT321" s="117"/>
      <c r="AU321" s="117"/>
    </row>
    <row r="322" spans="25:47" x14ac:dyDescent="0.2">
      <c r="Y322" s="118"/>
      <c r="Z322" s="118"/>
      <c r="AA322" s="118"/>
      <c r="AB322" s="118"/>
      <c r="AC322" s="118"/>
      <c r="AD322" s="118"/>
      <c r="AE322" s="118"/>
      <c r="AF322" s="118"/>
      <c r="AG322" s="118"/>
      <c r="AH322" s="118"/>
      <c r="AI322" s="118"/>
      <c r="AJ322" s="118"/>
      <c r="AK322" s="118"/>
      <c r="AL322" s="118"/>
      <c r="AM322" s="118"/>
      <c r="AN322" s="118"/>
      <c r="AO322" s="118"/>
      <c r="AP322" s="117"/>
      <c r="AQ322" s="117"/>
      <c r="AR322" s="117"/>
      <c r="AS322" s="117"/>
      <c r="AT322" s="117"/>
      <c r="AU322" s="117"/>
    </row>
    <row r="323" spans="25:47" x14ac:dyDescent="0.2">
      <c r="Y323" s="118"/>
      <c r="Z323" s="118"/>
      <c r="AA323" s="118"/>
      <c r="AB323" s="118"/>
      <c r="AC323" s="118"/>
      <c r="AD323" s="118"/>
      <c r="AE323" s="118"/>
      <c r="AF323" s="118"/>
      <c r="AG323" s="118"/>
      <c r="AH323" s="118"/>
      <c r="AI323" s="118"/>
      <c r="AJ323" s="118"/>
      <c r="AK323" s="118"/>
      <c r="AL323" s="118"/>
      <c r="AM323" s="118"/>
      <c r="AN323" s="118"/>
      <c r="AO323" s="118"/>
      <c r="AP323" s="117"/>
      <c r="AQ323" s="117"/>
      <c r="AR323" s="117"/>
      <c r="AS323" s="117"/>
      <c r="AT323" s="117"/>
      <c r="AU323" s="117"/>
    </row>
    <row r="324" spans="25:47" x14ac:dyDescent="0.2">
      <c r="Y324" s="118"/>
      <c r="Z324" s="118"/>
      <c r="AA324" s="118"/>
      <c r="AB324" s="118"/>
      <c r="AC324" s="118"/>
      <c r="AD324" s="118"/>
      <c r="AE324" s="118"/>
      <c r="AF324" s="118"/>
      <c r="AG324" s="118"/>
      <c r="AH324" s="118"/>
      <c r="AI324" s="118"/>
      <c r="AJ324" s="118"/>
      <c r="AK324" s="118"/>
      <c r="AL324" s="118"/>
      <c r="AM324" s="118"/>
      <c r="AN324" s="118"/>
      <c r="AO324" s="118"/>
      <c r="AP324" s="117"/>
      <c r="AQ324" s="117"/>
      <c r="AR324" s="117"/>
      <c r="AS324" s="117"/>
      <c r="AT324" s="117"/>
      <c r="AU324" s="117"/>
    </row>
    <row r="325" spans="25:47" x14ac:dyDescent="0.2">
      <c r="Y325" s="118"/>
      <c r="Z325" s="118"/>
      <c r="AA325" s="118"/>
      <c r="AB325" s="118"/>
      <c r="AC325" s="118"/>
      <c r="AD325" s="118"/>
      <c r="AE325" s="118"/>
      <c r="AF325" s="118"/>
      <c r="AG325" s="118"/>
      <c r="AH325" s="118"/>
      <c r="AI325" s="118"/>
      <c r="AJ325" s="118"/>
      <c r="AK325" s="118"/>
      <c r="AL325" s="118"/>
      <c r="AM325" s="118"/>
      <c r="AN325" s="118"/>
      <c r="AO325" s="118"/>
      <c r="AP325" s="117"/>
      <c r="AQ325" s="117"/>
      <c r="AR325" s="117"/>
      <c r="AS325" s="117"/>
      <c r="AT325" s="117"/>
      <c r="AU325" s="117"/>
    </row>
    <row r="326" spans="25:47" x14ac:dyDescent="0.2">
      <c r="Y326" s="118"/>
      <c r="Z326" s="118"/>
      <c r="AA326" s="118"/>
      <c r="AB326" s="118"/>
      <c r="AC326" s="118"/>
      <c r="AD326" s="118"/>
      <c r="AE326" s="118"/>
      <c r="AF326" s="118"/>
      <c r="AG326" s="118"/>
      <c r="AH326" s="118"/>
      <c r="AI326" s="118"/>
      <c r="AJ326" s="118"/>
      <c r="AK326" s="118"/>
      <c r="AL326" s="118"/>
      <c r="AM326" s="118"/>
      <c r="AN326" s="118"/>
      <c r="AO326" s="118"/>
      <c r="AP326" s="117"/>
      <c r="AQ326" s="117"/>
      <c r="AR326" s="117"/>
      <c r="AS326" s="117"/>
      <c r="AT326" s="117"/>
      <c r="AU326" s="117"/>
    </row>
    <row r="327" spans="25:47" x14ac:dyDescent="0.2">
      <c r="Y327" s="118"/>
      <c r="Z327" s="118"/>
      <c r="AA327" s="118"/>
      <c r="AB327" s="118"/>
      <c r="AC327" s="118"/>
      <c r="AD327" s="118"/>
      <c r="AE327" s="118"/>
      <c r="AF327" s="118"/>
      <c r="AG327" s="118"/>
      <c r="AH327" s="118"/>
      <c r="AI327" s="118"/>
      <c r="AJ327" s="118"/>
      <c r="AK327" s="118"/>
      <c r="AL327" s="118"/>
      <c r="AM327" s="118"/>
      <c r="AN327" s="118"/>
      <c r="AO327" s="118"/>
      <c r="AP327" s="117"/>
      <c r="AQ327" s="117"/>
      <c r="AR327" s="117"/>
      <c r="AS327" s="117"/>
      <c r="AT327" s="117"/>
      <c r="AU327" s="117"/>
    </row>
    <row r="328" spans="25:47" x14ac:dyDescent="0.2">
      <c r="Y328" s="118"/>
      <c r="Z328" s="118"/>
      <c r="AA328" s="118"/>
      <c r="AB328" s="118"/>
      <c r="AC328" s="118"/>
      <c r="AD328" s="118"/>
      <c r="AE328" s="118"/>
      <c r="AF328" s="118"/>
      <c r="AG328" s="118"/>
      <c r="AH328" s="118"/>
      <c r="AI328" s="118"/>
      <c r="AJ328" s="118"/>
      <c r="AK328" s="118"/>
      <c r="AL328" s="118"/>
      <c r="AM328" s="118"/>
      <c r="AN328" s="118"/>
      <c r="AO328" s="118"/>
      <c r="AP328" s="117"/>
      <c r="AQ328" s="117"/>
      <c r="AR328" s="117"/>
      <c r="AS328" s="117"/>
      <c r="AT328" s="117"/>
      <c r="AU328" s="117"/>
    </row>
    <row r="329" spans="25:47" x14ac:dyDescent="0.2">
      <c r="Y329" s="118"/>
      <c r="Z329" s="118"/>
      <c r="AA329" s="118"/>
      <c r="AB329" s="118"/>
      <c r="AC329" s="118"/>
      <c r="AD329" s="118"/>
      <c r="AE329" s="118"/>
      <c r="AF329" s="118"/>
      <c r="AG329" s="118"/>
      <c r="AH329" s="118"/>
      <c r="AI329" s="118"/>
      <c r="AJ329" s="118"/>
      <c r="AK329" s="118"/>
      <c r="AL329" s="118"/>
      <c r="AM329" s="118"/>
      <c r="AN329" s="118"/>
      <c r="AO329" s="118"/>
      <c r="AP329" s="117"/>
      <c r="AQ329" s="117"/>
      <c r="AR329" s="117"/>
      <c r="AS329" s="117"/>
      <c r="AT329" s="117"/>
      <c r="AU329" s="117"/>
    </row>
    <row r="330" spans="25:47" x14ac:dyDescent="0.2">
      <c r="Y330" s="118"/>
      <c r="Z330" s="118"/>
      <c r="AA330" s="118"/>
      <c r="AB330" s="118"/>
      <c r="AC330" s="118"/>
      <c r="AD330" s="118"/>
      <c r="AE330" s="118"/>
      <c r="AF330" s="118"/>
      <c r="AG330" s="118"/>
      <c r="AH330" s="118"/>
      <c r="AI330" s="118"/>
      <c r="AJ330" s="118"/>
      <c r="AK330" s="118"/>
      <c r="AL330" s="118"/>
      <c r="AM330" s="118"/>
      <c r="AN330" s="118"/>
      <c r="AO330" s="118"/>
      <c r="AP330" s="117"/>
      <c r="AQ330" s="117"/>
      <c r="AR330" s="117"/>
      <c r="AS330" s="117"/>
      <c r="AT330" s="117"/>
      <c r="AU330" s="117"/>
    </row>
    <row r="331" spans="25:47" x14ac:dyDescent="0.2">
      <c r="Y331" s="118"/>
      <c r="Z331" s="118"/>
      <c r="AA331" s="118"/>
      <c r="AB331" s="118"/>
      <c r="AC331" s="118"/>
      <c r="AD331" s="118"/>
      <c r="AE331" s="118"/>
      <c r="AF331" s="118"/>
      <c r="AG331" s="118"/>
      <c r="AH331" s="118"/>
      <c r="AI331" s="118"/>
      <c r="AJ331" s="118"/>
      <c r="AK331" s="118"/>
      <c r="AL331" s="118"/>
      <c r="AM331" s="118"/>
      <c r="AN331" s="118"/>
      <c r="AO331" s="118"/>
      <c r="AP331" s="117"/>
      <c r="AQ331" s="117"/>
      <c r="AR331" s="117"/>
      <c r="AS331" s="117"/>
      <c r="AT331" s="117"/>
      <c r="AU331" s="117"/>
    </row>
    <row r="332" spans="25:47" x14ac:dyDescent="0.2">
      <c r="Y332" s="118"/>
      <c r="Z332" s="118"/>
      <c r="AA332" s="118"/>
      <c r="AB332" s="118"/>
      <c r="AC332" s="118"/>
      <c r="AD332" s="118"/>
      <c r="AE332" s="118"/>
      <c r="AF332" s="118"/>
      <c r="AG332" s="118"/>
      <c r="AH332" s="118"/>
      <c r="AI332" s="118"/>
      <c r="AJ332" s="118"/>
      <c r="AK332" s="118"/>
      <c r="AL332" s="118"/>
      <c r="AM332" s="118"/>
      <c r="AN332" s="118"/>
      <c r="AO332" s="118"/>
      <c r="AP332" s="117"/>
      <c r="AQ332" s="117"/>
      <c r="AR332" s="117"/>
      <c r="AS332" s="117"/>
      <c r="AT332" s="117"/>
      <c r="AU332" s="117"/>
    </row>
    <row r="333" spans="25:47" x14ac:dyDescent="0.2">
      <c r="Y333" s="118"/>
      <c r="Z333" s="118"/>
      <c r="AA333" s="118"/>
      <c r="AB333" s="118"/>
      <c r="AC333" s="118"/>
      <c r="AD333" s="118"/>
      <c r="AE333" s="118"/>
      <c r="AF333" s="118"/>
      <c r="AG333" s="118"/>
      <c r="AH333" s="118"/>
      <c r="AI333" s="118"/>
      <c r="AJ333" s="118"/>
      <c r="AK333" s="118"/>
      <c r="AL333" s="118"/>
      <c r="AM333" s="118"/>
      <c r="AN333" s="118"/>
      <c r="AO333" s="118"/>
      <c r="AP333" s="117"/>
      <c r="AQ333" s="117"/>
      <c r="AR333" s="117"/>
      <c r="AS333" s="117"/>
      <c r="AT333" s="117"/>
      <c r="AU333" s="117"/>
    </row>
    <row r="334" spans="25:47" x14ac:dyDescent="0.2">
      <c r="Y334" s="118"/>
      <c r="Z334" s="118"/>
      <c r="AA334" s="118"/>
      <c r="AB334" s="118"/>
      <c r="AC334" s="118"/>
      <c r="AD334" s="118"/>
      <c r="AE334" s="118"/>
      <c r="AF334" s="118"/>
      <c r="AG334" s="118"/>
      <c r="AH334" s="118"/>
      <c r="AI334" s="118"/>
      <c r="AJ334" s="118"/>
      <c r="AK334" s="118"/>
      <c r="AL334" s="118"/>
      <c r="AM334" s="118"/>
      <c r="AN334" s="118"/>
      <c r="AO334" s="118"/>
      <c r="AP334" s="117"/>
      <c r="AQ334" s="117"/>
      <c r="AR334" s="117"/>
      <c r="AS334" s="117"/>
      <c r="AT334" s="117"/>
      <c r="AU334" s="117"/>
    </row>
    <row r="335" spans="25:47" x14ac:dyDescent="0.2">
      <c r="Y335" s="118"/>
      <c r="Z335" s="118"/>
      <c r="AA335" s="118"/>
      <c r="AB335" s="118"/>
      <c r="AC335" s="118"/>
      <c r="AD335" s="118"/>
      <c r="AE335" s="118"/>
      <c r="AF335" s="118"/>
      <c r="AG335" s="118"/>
      <c r="AH335" s="118"/>
      <c r="AI335" s="118"/>
      <c r="AJ335" s="118"/>
      <c r="AK335" s="118"/>
      <c r="AL335" s="118"/>
      <c r="AM335" s="118"/>
      <c r="AN335" s="118"/>
      <c r="AO335" s="118"/>
      <c r="AP335" s="117"/>
      <c r="AQ335" s="117"/>
      <c r="AR335" s="117"/>
      <c r="AS335" s="117"/>
      <c r="AT335" s="117"/>
      <c r="AU335" s="117"/>
    </row>
    <row r="336" spans="25:47" x14ac:dyDescent="0.2">
      <c r="Y336" s="118"/>
      <c r="Z336" s="118"/>
      <c r="AA336" s="118"/>
      <c r="AB336" s="118"/>
      <c r="AC336" s="118"/>
      <c r="AD336" s="118"/>
      <c r="AE336" s="118"/>
      <c r="AF336" s="118"/>
      <c r="AG336" s="118"/>
      <c r="AH336" s="118"/>
      <c r="AI336" s="118"/>
      <c r="AJ336" s="118"/>
      <c r="AK336" s="118"/>
      <c r="AL336" s="118"/>
      <c r="AM336" s="118"/>
      <c r="AN336" s="118"/>
      <c r="AO336" s="118"/>
      <c r="AP336" s="117"/>
      <c r="AQ336" s="117"/>
      <c r="AR336" s="117"/>
      <c r="AS336" s="117"/>
      <c r="AT336" s="117"/>
      <c r="AU336" s="117"/>
    </row>
    <row r="337" spans="25:47" x14ac:dyDescent="0.2">
      <c r="Y337" s="118"/>
      <c r="Z337" s="118"/>
      <c r="AA337" s="118"/>
      <c r="AB337" s="118"/>
      <c r="AC337" s="118"/>
      <c r="AD337" s="118"/>
      <c r="AE337" s="118"/>
      <c r="AF337" s="118"/>
      <c r="AG337" s="118"/>
      <c r="AH337" s="118"/>
      <c r="AI337" s="118"/>
      <c r="AJ337" s="118"/>
      <c r="AK337" s="118"/>
      <c r="AL337" s="118"/>
      <c r="AM337" s="118"/>
      <c r="AN337" s="118"/>
      <c r="AO337" s="118"/>
      <c r="AP337" s="117"/>
      <c r="AQ337" s="117"/>
      <c r="AR337" s="117"/>
      <c r="AS337" s="117"/>
      <c r="AT337" s="117"/>
      <c r="AU337" s="117"/>
    </row>
    <row r="338" spans="25:47" x14ac:dyDescent="0.2">
      <c r="Y338" s="118"/>
      <c r="Z338" s="118"/>
      <c r="AA338" s="118"/>
      <c r="AB338" s="118"/>
      <c r="AC338" s="118"/>
      <c r="AD338" s="118"/>
      <c r="AE338" s="118"/>
      <c r="AF338" s="118"/>
      <c r="AG338" s="118"/>
      <c r="AH338" s="118"/>
      <c r="AI338" s="118"/>
      <c r="AJ338" s="118"/>
      <c r="AK338" s="118"/>
      <c r="AL338" s="118"/>
      <c r="AM338" s="118"/>
      <c r="AN338" s="118"/>
      <c r="AO338" s="118"/>
      <c r="AP338" s="117"/>
      <c r="AQ338" s="117"/>
      <c r="AR338" s="117"/>
      <c r="AS338" s="117"/>
      <c r="AT338" s="117"/>
      <c r="AU338" s="117"/>
    </row>
    <row r="339" spans="25:47" x14ac:dyDescent="0.2">
      <c r="Y339" s="118"/>
      <c r="Z339" s="118"/>
      <c r="AA339" s="118"/>
      <c r="AB339" s="118"/>
      <c r="AC339" s="118"/>
      <c r="AD339" s="118"/>
      <c r="AE339" s="118"/>
      <c r="AF339" s="118"/>
      <c r="AG339" s="118"/>
      <c r="AH339" s="118"/>
      <c r="AI339" s="118"/>
      <c r="AJ339" s="118"/>
      <c r="AK339" s="118"/>
      <c r="AL339" s="118"/>
      <c r="AM339" s="118"/>
      <c r="AN339" s="118"/>
      <c r="AO339" s="118"/>
      <c r="AP339" s="117"/>
      <c r="AQ339" s="117"/>
      <c r="AR339" s="117"/>
      <c r="AS339" s="117"/>
      <c r="AT339" s="117"/>
      <c r="AU339" s="117"/>
    </row>
    <row r="340" spans="25:47" x14ac:dyDescent="0.2">
      <c r="Y340" s="118"/>
      <c r="Z340" s="118"/>
      <c r="AA340" s="118"/>
      <c r="AB340" s="118"/>
      <c r="AC340" s="118"/>
      <c r="AD340" s="118"/>
      <c r="AE340" s="118"/>
      <c r="AF340" s="118"/>
      <c r="AG340" s="118"/>
      <c r="AH340" s="118"/>
      <c r="AI340" s="118"/>
      <c r="AJ340" s="118"/>
      <c r="AK340" s="118"/>
      <c r="AL340" s="118"/>
      <c r="AM340" s="118"/>
      <c r="AN340" s="118"/>
      <c r="AO340" s="118"/>
      <c r="AP340" s="117"/>
      <c r="AQ340" s="117"/>
      <c r="AR340" s="117"/>
      <c r="AS340" s="117"/>
      <c r="AT340" s="117"/>
      <c r="AU340" s="117"/>
    </row>
    <row r="341" spans="25:47" x14ac:dyDescent="0.2">
      <c r="Y341" s="118"/>
      <c r="Z341" s="118"/>
      <c r="AA341" s="118"/>
      <c r="AB341" s="118"/>
      <c r="AC341" s="118"/>
      <c r="AD341" s="118"/>
      <c r="AE341" s="118"/>
      <c r="AF341" s="118"/>
      <c r="AG341" s="118"/>
      <c r="AH341" s="118"/>
      <c r="AI341" s="118"/>
      <c r="AJ341" s="118"/>
      <c r="AK341" s="118"/>
      <c r="AL341" s="118"/>
      <c r="AM341" s="118"/>
      <c r="AN341" s="118"/>
      <c r="AO341" s="118"/>
      <c r="AP341" s="117"/>
      <c r="AQ341" s="117"/>
      <c r="AR341" s="117"/>
      <c r="AS341" s="117"/>
      <c r="AT341" s="117"/>
      <c r="AU341" s="117"/>
    </row>
    <row r="342" spans="25:47" x14ac:dyDescent="0.2">
      <c r="Y342" s="118"/>
      <c r="Z342" s="118"/>
      <c r="AA342" s="118"/>
      <c r="AB342" s="118"/>
      <c r="AC342" s="118"/>
      <c r="AD342" s="118"/>
      <c r="AE342" s="118"/>
      <c r="AF342" s="118"/>
      <c r="AG342" s="118"/>
      <c r="AH342" s="118"/>
      <c r="AI342" s="118"/>
      <c r="AJ342" s="118"/>
      <c r="AK342" s="118"/>
      <c r="AL342" s="118"/>
      <c r="AM342" s="118"/>
      <c r="AN342" s="118"/>
      <c r="AO342" s="118"/>
      <c r="AP342" s="117"/>
      <c r="AQ342" s="117"/>
      <c r="AR342" s="117"/>
      <c r="AS342" s="117"/>
      <c r="AT342" s="117"/>
      <c r="AU342" s="117"/>
    </row>
    <row r="343" spans="25:47" x14ac:dyDescent="0.2">
      <c r="Y343" s="118"/>
      <c r="Z343" s="118"/>
      <c r="AA343" s="118"/>
      <c r="AB343" s="118"/>
      <c r="AC343" s="118"/>
      <c r="AD343" s="118"/>
      <c r="AE343" s="118"/>
      <c r="AF343" s="118"/>
      <c r="AG343" s="118"/>
      <c r="AH343" s="118"/>
      <c r="AI343" s="118"/>
      <c r="AJ343" s="118"/>
      <c r="AK343" s="118"/>
      <c r="AL343" s="118"/>
      <c r="AM343" s="118"/>
      <c r="AN343" s="118"/>
      <c r="AO343" s="118"/>
      <c r="AP343" s="117"/>
      <c r="AQ343" s="117"/>
      <c r="AR343" s="117"/>
      <c r="AS343" s="117"/>
      <c r="AT343" s="117"/>
      <c r="AU343" s="117"/>
    </row>
    <row r="344" spans="25:47" x14ac:dyDescent="0.2">
      <c r="Y344" s="118"/>
      <c r="Z344" s="118"/>
      <c r="AA344" s="118"/>
      <c r="AB344" s="118"/>
      <c r="AC344" s="118"/>
      <c r="AD344" s="118"/>
      <c r="AE344" s="118"/>
      <c r="AF344" s="118"/>
      <c r="AG344" s="118"/>
      <c r="AH344" s="118"/>
      <c r="AI344" s="118"/>
      <c r="AJ344" s="118"/>
      <c r="AK344" s="118"/>
      <c r="AL344" s="118"/>
      <c r="AM344" s="118"/>
      <c r="AN344" s="118"/>
      <c r="AO344" s="118"/>
      <c r="AP344" s="117"/>
      <c r="AQ344" s="117"/>
      <c r="AR344" s="117"/>
      <c r="AS344" s="117"/>
      <c r="AT344" s="117"/>
      <c r="AU344" s="117"/>
    </row>
    <row r="345" spans="25:47" x14ac:dyDescent="0.2">
      <c r="Y345" s="118"/>
      <c r="Z345" s="118"/>
      <c r="AA345" s="118"/>
      <c r="AB345" s="118"/>
      <c r="AC345" s="118"/>
      <c r="AD345" s="118"/>
      <c r="AE345" s="118"/>
      <c r="AF345" s="118"/>
      <c r="AG345" s="118"/>
      <c r="AH345" s="118"/>
      <c r="AI345" s="118"/>
      <c r="AJ345" s="118"/>
      <c r="AK345" s="118"/>
      <c r="AL345" s="118"/>
      <c r="AM345" s="118"/>
      <c r="AN345" s="118"/>
      <c r="AO345" s="118"/>
      <c r="AP345" s="117"/>
      <c r="AQ345" s="117"/>
      <c r="AR345" s="117"/>
      <c r="AS345" s="117"/>
      <c r="AT345" s="117"/>
      <c r="AU345" s="117"/>
    </row>
    <row r="346" spans="25:47" x14ac:dyDescent="0.2">
      <c r="Y346" s="118"/>
      <c r="Z346" s="118"/>
      <c r="AA346" s="118"/>
      <c r="AB346" s="118"/>
      <c r="AC346" s="118"/>
      <c r="AD346" s="118"/>
      <c r="AE346" s="118"/>
      <c r="AF346" s="118"/>
      <c r="AG346" s="118"/>
      <c r="AH346" s="118"/>
      <c r="AI346" s="118"/>
      <c r="AJ346" s="118"/>
      <c r="AK346" s="118"/>
      <c r="AL346" s="118"/>
      <c r="AM346" s="118"/>
      <c r="AN346" s="118"/>
      <c r="AO346" s="118"/>
      <c r="AP346" s="117"/>
      <c r="AQ346" s="117"/>
      <c r="AR346" s="117"/>
      <c r="AS346" s="117"/>
      <c r="AT346" s="117"/>
      <c r="AU346" s="117"/>
    </row>
    <row r="347" spans="25:47" x14ac:dyDescent="0.2">
      <c r="Y347" s="118"/>
      <c r="Z347" s="118"/>
      <c r="AA347" s="118"/>
      <c r="AB347" s="118"/>
      <c r="AC347" s="118"/>
      <c r="AD347" s="118"/>
      <c r="AE347" s="118"/>
      <c r="AF347" s="118"/>
      <c r="AG347" s="118"/>
      <c r="AH347" s="118"/>
      <c r="AI347" s="118"/>
      <c r="AJ347" s="118"/>
      <c r="AK347" s="118"/>
      <c r="AL347" s="118"/>
      <c r="AM347" s="118"/>
      <c r="AN347" s="118"/>
      <c r="AO347" s="118"/>
      <c r="AP347" s="117"/>
      <c r="AQ347" s="117"/>
      <c r="AR347" s="117"/>
      <c r="AS347" s="117"/>
      <c r="AT347" s="117"/>
      <c r="AU347" s="117"/>
    </row>
    <row r="348" spans="25:47" x14ac:dyDescent="0.2">
      <c r="Y348" s="118"/>
      <c r="Z348" s="118"/>
      <c r="AA348" s="118"/>
      <c r="AB348" s="118"/>
      <c r="AC348" s="118"/>
      <c r="AD348" s="118"/>
      <c r="AE348" s="118"/>
      <c r="AF348" s="118"/>
      <c r="AG348" s="118"/>
      <c r="AH348" s="118"/>
      <c r="AI348" s="118"/>
      <c r="AJ348" s="118"/>
      <c r="AK348" s="118"/>
      <c r="AL348" s="118"/>
      <c r="AM348" s="118"/>
      <c r="AN348" s="118"/>
      <c r="AO348" s="118"/>
      <c r="AP348" s="117"/>
      <c r="AQ348" s="117"/>
      <c r="AR348" s="117"/>
      <c r="AS348" s="117"/>
      <c r="AT348" s="117"/>
      <c r="AU348" s="117"/>
    </row>
    <row r="349" spans="25:47" x14ac:dyDescent="0.2">
      <c r="Y349" s="118"/>
      <c r="Z349" s="118"/>
      <c r="AA349" s="118"/>
      <c r="AB349" s="118"/>
      <c r="AC349" s="118"/>
      <c r="AD349" s="118"/>
      <c r="AE349" s="118"/>
      <c r="AF349" s="118"/>
      <c r="AG349" s="118"/>
      <c r="AH349" s="118"/>
      <c r="AI349" s="118"/>
      <c r="AJ349" s="118"/>
      <c r="AK349" s="118"/>
      <c r="AL349" s="118"/>
      <c r="AM349" s="118"/>
      <c r="AN349" s="118"/>
      <c r="AO349" s="118"/>
      <c r="AP349" s="117"/>
      <c r="AQ349" s="117"/>
      <c r="AR349" s="117"/>
      <c r="AS349" s="117"/>
      <c r="AT349" s="117"/>
      <c r="AU349" s="117"/>
    </row>
    <row r="350" spans="25:47" x14ac:dyDescent="0.2">
      <c r="Y350" s="118"/>
      <c r="Z350" s="118"/>
      <c r="AA350" s="118"/>
      <c r="AB350" s="118"/>
      <c r="AC350" s="118"/>
      <c r="AD350" s="118"/>
      <c r="AE350" s="118"/>
      <c r="AF350" s="118"/>
      <c r="AG350" s="118"/>
      <c r="AH350" s="118"/>
      <c r="AI350" s="118"/>
      <c r="AJ350" s="118"/>
      <c r="AK350" s="118"/>
      <c r="AL350" s="118"/>
      <c r="AM350" s="118"/>
      <c r="AN350" s="118"/>
      <c r="AO350" s="118"/>
      <c r="AP350" s="117"/>
      <c r="AQ350" s="117"/>
      <c r="AR350" s="117"/>
      <c r="AS350" s="117"/>
      <c r="AT350" s="117"/>
      <c r="AU350" s="117"/>
    </row>
    <row r="351" spans="25:47" x14ac:dyDescent="0.2">
      <c r="Y351" s="118"/>
      <c r="Z351" s="118"/>
      <c r="AA351" s="118"/>
      <c r="AB351" s="118"/>
      <c r="AC351" s="118"/>
      <c r="AD351" s="118"/>
      <c r="AE351" s="118"/>
      <c r="AF351" s="118"/>
      <c r="AG351" s="118"/>
      <c r="AH351" s="118"/>
      <c r="AI351" s="118"/>
      <c r="AJ351" s="118"/>
      <c r="AK351" s="118"/>
      <c r="AL351" s="118"/>
      <c r="AM351" s="118"/>
      <c r="AN351" s="118"/>
      <c r="AO351" s="118"/>
      <c r="AP351" s="117"/>
      <c r="AQ351" s="117"/>
      <c r="AR351" s="117"/>
      <c r="AS351" s="117"/>
      <c r="AT351" s="117"/>
      <c r="AU351" s="117"/>
    </row>
    <row r="352" spans="25:47" x14ac:dyDescent="0.2">
      <c r="Y352" s="118"/>
      <c r="Z352" s="118"/>
      <c r="AA352" s="118"/>
      <c r="AB352" s="118"/>
      <c r="AC352" s="118"/>
      <c r="AD352" s="118"/>
      <c r="AE352" s="118"/>
      <c r="AF352" s="118"/>
      <c r="AG352" s="118"/>
      <c r="AH352" s="118"/>
      <c r="AI352" s="118"/>
      <c r="AJ352" s="118"/>
      <c r="AK352" s="118"/>
      <c r="AL352" s="118"/>
      <c r="AM352" s="118"/>
      <c r="AN352" s="118"/>
      <c r="AO352" s="118"/>
      <c r="AP352" s="117"/>
      <c r="AQ352" s="117"/>
      <c r="AR352" s="117"/>
      <c r="AS352" s="117"/>
      <c r="AT352" s="117"/>
      <c r="AU352" s="117"/>
    </row>
    <row r="353" spans="25:47" x14ac:dyDescent="0.2">
      <c r="Y353" s="118"/>
      <c r="Z353" s="118"/>
      <c r="AA353" s="118"/>
      <c r="AB353" s="118"/>
      <c r="AC353" s="118"/>
      <c r="AD353" s="118"/>
      <c r="AE353" s="118"/>
      <c r="AF353" s="118"/>
      <c r="AG353" s="118"/>
      <c r="AH353" s="118"/>
      <c r="AI353" s="118"/>
      <c r="AJ353" s="118"/>
      <c r="AK353" s="118"/>
      <c r="AL353" s="118"/>
      <c r="AM353" s="118"/>
      <c r="AN353" s="118"/>
      <c r="AO353" s="118"/>
      <c r="AP353" s="117"/>
      <c r="AQ353" s="117"/>
      <c r="AR353" s="117"/>
      <c r="AS353" s="117"/>
      <c r="AT353" s="117"/>
      <c r="AU353" s="117"/>
    </row>
    <row r="354" spans="25:47" x14ac:dyDescent="0.2">
      <c r="Y354" s="118"/>
      <c r="Z354" s="118"/>
      <c r="AA354" s="118"/>
      <c r="AB354" s="118"/>
      <c r="AC354" s="118"/>
      <c r="AD354" s="118"/>
      <c r="AE354" s="118"/>
      <c r="AF354" s="118"/>
      <c r="AG354" s="118"/>
      <c r="AH354" s="118"/>
      <c r="AI354" s="118"/>
      <c r="AJ354" s="118"/>
      <c r="AK354" s="118"/>
      <c r="AL354" s="118"/>
      <c r="AM354" s="118"/>
      <c r="AN354" s="118"/>
      <c r="AO354" s="118"/>
      <c r="AP354" s="117"/>
      <c r="AQ354" s="117"/>
      <c r="AR354" s="117"/>
      <c r="AS354" s="117"/>
      <c r="AT354" s="117"/>
      <c r="AU354" s="117"/>
    </row>
    <row r="355" spans="25:47" x14ac:dyDescent="0.2">
      <c r="Y355" s="118"/>
      <c r="Z355" s="118"/>
      <c r="AA355" s="118"/>
      <c r="AB355" s="118"/>
      <c r="AC355" s="118"/>
      <c r="AD355" s="118"/>
      <c r="AE355" s="118"/>
      <c r="AF355" s="118"/>
      <c r="AG355" s="118"/>
      <c r="AH355" s="118"/>
      <c r="AI355" s="118"/>
      <c r="AJ355" s="118"/>
      <c r="AK355" s="118"/>
      <c r="AL355" s="118"/>
      <c r="AM355" s="118"/>
      <c r="AN355" s="118"/>
      <c r="AO355" s="118"/>
      <c r="AP355" s="117"/>
      <c r="AQ355" s="117"/>
      <c r="AR355" s="117"/>
      <c r="AS355" s="117"/>
      <c r="AT355" s="117"/>
      <c r="AU355" s="117"/>
    </row>
    <row r="356" spans="25:47" x14ac:dyDescent="0.2">
      <c r="Y356" s="118"/>
      <c r="Z356" s="118"/>
      <c r="AA356" s="118"/>
      <c r="AB356" s="118"/>
      <c r="AC356" s="118"/>
      <c r="AD356" s="118"/>
      <c r="AE356" s="118"/>
      <c r="AF356" s="118"/>
      <c r="AG356" s="118"/>
      <c r="AH356" s="118"/>
      <c r="AI356" s="118"/>
      <c r="AJ356" s="118"/>
      <c r="AK356" s="118"/>
      <c r="AL356" s="118"/>
      <c r="AM356" s="118"/>
      <c r="AN356" s="118"/>
      <c r="AO356" s="118"/>
      <c r="AP356" s="117"/>
      <c r="AQ356" s="117"/>
      <c r="AR356" s="117"/>
      <c r="AS356" s="117"/>
      <c r="AT356" s="117"/>
      <c r="AU356" s="117"/>
    </row>
    <row r="357" spans="25:47" x14ac:dyDescent="0.2">
      <c r="Y357" s="118"/>
      <c r="Z357" s="118"/>
      <c r="AA357" s="118"/>
      <c r="AB357" s="118"/>
      <c r="AC357" s="118"/>
      <c r="AD357" s="118"/>
      <c r="AE357" s="118"/>
      <c r="AF357" s="118"/>
      <c r="AG357" s="118"/>
      <c r="AH357" s="118"/>
      <c r="AI357" s="118"/>
      <c r="AJ357" s="118"/>
      <c r="AK357" s="118"/>
      <c r="AL357" s="118"/>
      <c r="AM357" s="118"/>
      <c r="AN357" s="118"/>
      <c r="AO357" s="118"/>
      <c r="AP357" s="117"/>
      <c r="AQ357" s="117"/>
      <c r="AR357" s="117"/>
      <c r="AS357" s="117"/>
      <c r="AT357" s="117"/>
      <c r="AU357" s="117"/>
    </row>
    <row r="358" spans="25:47" x14ac:dyDescent="0.2">
      <c r="Y358" s="118"/>
      <c r="Z358" s="118"/>
      <c r="AA358" s="118"/>
      <c r="AB358" s="118"/>
      <c r="AC358" s="118"/>
      <c r="AD358" s="118"/>
      <c r="AE358" s="118"/>
      <c r="AF358" s="118"/>
      <c r="AG358" s="118"/>
      <c r="AH358" s="118"/>
      <c r="AI358" s="118"/>
      <c r="AJ358" s="118"/>
      <c r="AK358" s="118"/>
      <c r="AL358" s="118"/>
      <c r="AM358" s="118"/>
      <c r="AN358" s="118"/>
      <c r="AO358" s="118"/>
      <c r="AP358" s="117"/>
      <c r="AQ358" s="117"/>
      <c r="AR358" s="117"/>
      <c r="AS358" s="117"/>
      <c r="AT358" s="117"/>
      <c r="AU358" s="117"/>
    </row>
    <row r="359" spans="25:47" x14ac:dyDescent="0.2">
      <c r="Y359" s="118"/>
      <c r="Z359" s="118"/>
      <c r="AA359" s="118"/>
      <c r="AB359" s="118"/>
      <c r="AC359" s="118"/>
      <c r="AD359" s="118"/>
      <c r="AE359" s="118"/>
      <c r="AF359" s="118"/>
      <c r="AG359" s="118"/>
      <c r="AH359" s="118"/>
      <c r="AI359" s="118"/>
      <c r="AJ359" s="118"/>
      <c r="AK359" s="118"/>
      <c r="AL359" s="118"/>
      <c r="AM359" s="118"/>
      <c r="AN359" s="118"/>
      <c r="AO359" s="118"/>
      <c r="AP359" s="117"/>
      <c r="AQ359" s="117"/>
      <c r="AR359" s="117"/>
      <c r="AS359" s="117"/>
      <c r="AT359" s="117"/>
      <c r="AU359" s="117"/>
    </row>
    <row r="360" spans="25:47" x14ac:dyDescent="0.2">
      <c r="Y360" s="118"/>
      <c r="Z360" s="118"/>
      <c r="AA360" s="118"/>
      <c r="AB360" s="118"/>
      <c r="AC360" s="118"/>
      <c r="AD360" s="118"/>
      <c r="AE360" s="118"/>
      <c r="AF360" s="118"/>
      <c r="AG360" s="118"/>
      <c r="AH360" s="118"/>
      <c r="AI360" s="118"/>
      <c r="AJ360" s="118"/>
      <c r="AK360" s="118"/>
      <c r="AL360" s="118"/>
      <c r="AM360" s="118"/>
      <c r="AN360" s="118"/>
      <c r="AO360" s="118"/>
      <c r="AP360" s="117"/>
      <c r="AQ360" s="117"/>
      <c r="AR360" s="117"/>
      <c r="AS360" s="117"/>
      <c r="AT360" s="117"/>
      <c r="AU360" s="117"/>
    </row>
    <row r="361" spans="25:47" x14ac:dyDescent="0.2">
      <c r="Y361" s="118"/>
      <c r="Z361" s="118"/>
      <c r="AA361" s="118"/>
      <c r="AB361" s="118"/>
      <c r="AC361" s="118"/>
      <c r="AD361" s="118"/>
      <c r="AE361" s="118"/>
      <c r="AF361" s="118"/>
      <c r="AG361" s="118"/>
      <c r="AH361" s="118"/>
      <c r="AI361" s="118"/>
      <c r="AJ361" s="118"/>
      <c r="AK361" s="118"/>
      <c r="AL361" s="118"/>
      <c r="AM361" s="118"/>
      <c r="AN361" s="118"/>
      <c r="AO361" s="118"/>
      <c r="AP361" s="117"/>
      <c r="AQ361" s="117"/>
      <c r="AR361" s="117"/>
      <c r="AS361" s="117"/>
      <c r="AT361" s="117"/>
      <c r="AU361" s="117"/>
    </row>
    <row r="362" spans="25:47" x14ac:dyDescent="0.2">
      <c r="Y362" s="118"/>
      <c r="Z362" s="118"/>
      <c r="AA362" s="118"/>
      <c r="AB362" s="118"/>
      <c r="AC362" s="118"/>
      <c r="AD362" s="118"/>
      <c r="AE362" s="118"/>
      <c r="AF362" s="118"/>
      <c r="AG362" s="118"/>
      <c r="AH362" s="118"/>
      <c r="AI362" s="118"/>
      <c r="AJ362" s="118"/>
      <c r="AK362" s="118"/>
      <c r="AL362" s="118"/>
      <c r="AM362" s="118"/>
      <c r="AN362" s="118"/>
      <c r="AO362" s="118"/>
      <c r="AP362" s="117"/>
      <c r="AQ362" s="117"/>
      <c r="AR362" s="117"/>
      <c r="AS362" s="117"/>
      <c r="AT362" s="117"/>
      <c r="AU362" s="117"/>
    </row>
    <row r="363" spans="25:47" x14ac:dyDescent="0.2">
      <c r="Y363" s="118"/>
      <c r="Z363" s="118"/>
      <c r="AA363" s="118"/>
      <c r="AB363" s="118"/>
      <c r="AC363" s="118"/>
      <c r="AD363" s="118"/>
      <c r="AE363" s="118"/>
      <c r="AF363" s="118"/>
      <c r="AG363" s="118"/>
      <c r="AH363" s="118"/>
      <c r="AI363" s="118"/>
      <c r="AJ363" s="118"/>
      <c r="AK363" s="118"/>
      <c r="AL363" s="118"/>
      <c r="AM363" s="118"/>
      <c r="AN363" s="118"/>
      <c r="AO363" s="118"/>
      <c r="AP363" s="117"/>
      <c r="AQ363" s="117"/>
      <c r="AR363" s="117"/>
      <c r="AS363" s="117"/>
      <c r="AT363" s="117"/>
      <c r="AU363" s="117"/>
    </row>
    <row r="364" spans="25:47" x14ac:dyDescent="0.2">
      <c r="Y364" s="118"/>
      <c r="Z364" s="118"/>
      <c r="AA364" s="118"/>
      <c r="AB364" s="118"/>
      <c r="AC364" s="118"/>
      <c r="AD364" s="118"/>
      <c r="AE364" s="118"/>
      <c r="AF364" s="118"/>
      <c r="AG364" s="118"/>
      <c r="AH364" s="118"/>
      <c r="AI364" s="118"/>
      <c r="AJ364" s="118"/>
      <c r="AK364" s="118"/>
      <c r="AL364" s="118"/>
      <c r="AM364" s="118"/>
      <c r="AN364" s="118"/>
      <c r="AO364" s="118"/>
      <c r="AP364" s="117"/>
      <c r="AQ364" s="117"/>
      <c r="AR364" s="117"/>
      <c r="AS364" s="117"/>
      <c r="AT364" s="117"/>
      <c r="AU364" s="117"/>
    </row>
    <row r="365" spans="25:47" x14ac:dyDescent="0.2">
      <c r="Y365" s="118"/>
      <c r="Z365" s="118"/>
      <c r="AA365" s="118"/>
      <c r="AB365" s="118"/>
      <c r="AC365" s="118"/>
      <c r="AD365" s="118"/>
      <c r="AE365" s="118"/>
      <c r="AF365" s="118"/>
      <c r="AG365" s="118"/>
      <c r="AH365" s="118"/>
      <c r="AI365" s="118"/>
      <c r="AJ365" s="118"/>
      <c r="AK365" s="118"/>
      <c r="AL365" s="118"/>
      <c r="AM365" s="118"/>
      <c r="AN365" s="118"/>
      <c r="AO365" s="118"/>
      <c r="AP365" s="117"/>
      <c r="AQ365" s="117"/>
      <c r="AR365" s="117"/>
      <c r="AS365" s="117"/>
      <c r="AT365" s="117"/>
      <c r="AU365" s="117"/>
    </row>
    <row r="366" spans="25:47" x14ac:dyDescent="0.2">
      <c r="Y366" s="118"/>
      <c r="Z366" s="118"/>
      <c r="AA366" s="118"/>
      <c r="AB366" s="118"/>
      <c r="AC366" s="118"/>
      <c r="AD366" s="118"/>
      <c r="AE366" s="118"/>
      <c r="AF366" s="118"/>
      <c r="AG366" s="118"/>
      <c r="AH366" s="118"/>
      <c r="AI366" s="118"/>
      <c r="AJ366" s="118"/>
      <c r="AK366" s="118"/>
      <c r="AL366" s="118"/>
      <c r="AM366" s="118"/>
      <c r="AN366" s="118"/>
      <c r="AO366" s="118"/>
      <c r="AP366" s="117"/>
      <c r="AQ366" s="117"/>
      <c r="AR366" s="117"/>
      <c r="AS366" s="117"/>
      <c r="AT366" s="117"/>
      <c r="AU366" s="117"/>
    </row>
    <row r="367" spans="25:47" x14ac:dyDescent="0.2">
      <c r="Y367" s="118"/>
      <c r="Z367" s="118"/>
      <c r="AA367" s="118"/>
      <c r="AB367" s="118"/>
      <c r="AC367" s="118"/>
      <c r="AD367" s="118"/>
      <c r="AE367" s="118"/>
      <c r="AF367" s="118"/>
      <c r="AG367" s="118"/>
      <c r="AH367" s="118"/>
      <c r="AI367" s="118"/>
      <c r="AJ367" s="118"/>
      <c r="AK367" s="118"/>
      <c r="AL367" s="118"/>
      <c r="AM367" s="118"/>
      <c r="AN367" s="118"/>
      <c r="AO367" s="118"/>
      <c r="AP367" s="117"/>
      <c r="AQ367" s="117"/>
      <c r="AR367" s="117"/>
      <c r="AS367" s="117"/>
      <c r="AT367" s="117"/>
      <c r="AU367" s="117"/>
    </row>
    <row r="368" spans="25:47" x14ac:dyDescent="0.2">
      <c r="Y368" s="118"/>
      <c r="Z368" s="118"/>
      <c r="AA368" s="118"/>
      <c r="AB368" s="118"/>
      <c r="AC368" s="118"/>
      <c r="AD368" s="118"/>
      <c r="AE368" s="118"/>
      <c r="AF368" s="118"/>
      <c r="AG368" s="118"/>
      <c r="AH368" s="118"/>
      <c r="AI368" s="118"/>
      <c r="AJ368" s="118"/>
      <c r="AK368" s="118"/>
      <c r="AL368" s="118"/>
      <c r="AM368" s="118"/>
      <c r="AN368" s="118"/>
      <c r="AO368" s="118"/>
      <c r="AP368" s="117"/>
      <c r="AQ368" s="117"/>
      <c r="AR368" s="117"/>
      <c r="AS368" s="117"/>
      <c r="AT368" s="117"/>
      <c r="AU368" s="117"/>
    </row>
    <row r="369" spans="25:47" x14ac:dyDescent="0.2">
      <c r="Y369" s="118"/>
      <c r="Z369" s="118"/>
      <c r="AA369" s="118"/>
      <c r="AB369" s="118"/>
      <c r="AC369" s="118"/>
      <c r="AD369" s="118"/>
      <c r="AE369" s="118"/>
      <c r="AF369" s="118"/>
      <c r="AG369" s="118"/>
      <c r="AH369" s="118"/>
      <c r="AI369" s="118"/>
      <c r="AJ369" s="118"/>
      <c r="AK369" s="118"/>
      <c r="AL369" s="118"/>
      <c r="AM369" s="118"/>
      <c r="AN369" s="118"/>
      <c r="AO369" s="118"/>
      <c r="AP369" s="117"/>
      <c r="AQ369" s="117"/>
      <c r="AR369" s="117"/>
      <c r="AS369" s="117"/>
      <c r="AT369" s="117"/>
      <c r="AU369" s="117"/>
    </row>
    <row r="370" spans="25:47" x14ac:dyDescent="0.2">
      <c r="Y370" s="118"/>
      <c r="Z370" s="118"/>
      <c r="AA370" s="118"/>
      <c r="AB370" s="118"/>
      <c r="AC370" s="118"/>
      <c r="AD370" s="118"/>
      <c r="AE370" s="118"/>
      <c r="AF370" s="118"/>
      <c r="AG370" s="118"/>
      <c r="AH370" s="118"/>
      <c r="AI370" s="118"/>
      <c r="AJ370" s="118"/>
      <c r="AK370" s="118"/>
      <c r="AL370" s="118"/>
      <c r="AM370" s="118"/>
      <c r="AN370" s="118"/>
      <c r="AO370" s="118"/>
      <c r="AP370" s="117"/>
      <c r="AQ370" s="117"/>
      <c r="AR370" s="117"/>
      <c r="AS370" s="117"/>
      <c r="AT370" s="117"/>
      <c r="AU370" s="117"/>
    </row>
    <row r="371" spans="25:47" x14ac:dyDescent="0.2">
      <c r="Y371" s="118"/>
      <c r="Z371" s="118"/>
      <c r="AA371" s="118"/>
      <c r="AB371" s="118"/>
      <c r="AC371" s="118"/>
      <c r="AD371" s="118"/>
      <c r="AE371" s="118"/>
      <c r="AF371" s="118"/>
      <c r="AG371" s="118"/>
      <c r="AH371" s="118"/>
      <c r="AI371" s="118"/>
      <c r="AJ371" s="118"/>
      <c r="AK371" s="118"/>
      <c r="AL371" s="118"/>
      <c r="AM371" s="118"/>
      <c r="AN371" s="118"/>
      <c r="AO371" s="118"/>
      <c r="AP371" s="117"/>
      <c r="AQ371" s="117"/>
      <c r="AR371" s="117"/>
      <c r="AS371" s="117"/>
      <c r="AT371" s="117"/>
      <c r="AU371" s="117"/>
    </row>
    <row r="372" spans="25:47" x14ac:dyDescent="0.2">
      <c r="Y372" s="118"/>
      <c r="Z372" s="118"/>
      <c r="AA372" s="118"/>
      <c r="AB372" s="118"/>
      <c r="AC372" s="118"/>
      <c r="AD372" s="118"/>
      <c r="AE372" s="118"/>
      <c r="AF372" s="118"/>
      <c r="AG372" s="118"/>
      <c r="AH372" s="118"/>
      <c r="AI372" s="118"/>
      <c r="AJ372" s="118"/>
      <c r="AK372" s="118"/>
      <c r="AL372" s="118"/>
      <c r="AM372" s="118"/>
      <c r="AN372" s="118"/>
      <c r="AO372" s="118"/>
      <c r="AP372" s="117"/>
      <c r="AQ372" s="117"/>
      <c r="AR372" s="117"/>
      <c r="AS372" s="117"/>
      <c r="AT372" s="117"/>
      <c r="AU372" s="117"/>
    </row>
    <row r="373" spans="25:47" x14ac:dyDescent="0.2">
      <c r="Y373" s="118"/>
      <c r="Z373" s="118"/>
      <c r="AA373" s="118"/>
      <c r="AB373" s="118"/>
      <c r="AC373" s="118"/>
      <c r="AD373" s="118"/>
      <c r="AE373" s="118"/>
      <c r="AF373" s="118"/>
      <c r="AG373" s="118"/>
      <c r="AH373" s="118"/>
      <c r="AI373" s="118"/>
      <c r="AJ373" s="118"/>
      <c r="AK373" s="118"/>
      <c r="AL373" s="118"/>
      <c r="AM373" s="118"/>
      <c r="AN373" s="118"/>
      <c r="AO373" s="118"/>
      <c r="AP373" s="117"/>
      <c r="AQ373" s="117"/>
      <c r="AR373" s="117"/>
      <c r="AS373" s="117"/>
      <c r="AT373" s="117"/>
      <c r="AU373" s="117"/>
    </row>
    <row r="374" spans="25:47" x14ac:dyDescent="0.2">
      <c r="Y374" s="118"/>
      <c r="Z374" s="118"/>
      <c r="AA374" s="118"/>
      <c r="AB374" s="118"/>
      <c r="AC374" s="118"/>
      <c r="AD374" s="118"/>
      <c r="AE374" s="118"/>
      <c r="AF374" s="118"/>
      <c r="AG374" s="118"/>
      <c r="AH374" s="118"/>
      <c r="AI374" s="118"/>
      <c r="AJ374" s="118"/>
      <c r="AK374" s="118"/>
      <c r="AL374" s="118"/>
      <c r="AM374" s="118"/>
      <c r="AN374" s="118"/>
      <c r="AO374" s="118"/>
      <c r="AP374" s="117"/>
      <c r="AQ374" s="117"/>
      <c r="AR374" s="117"/>
      <c r="AS374" s="117"/>
      <c r="AT374" s="117"/>
      <c r="AU374" s="117"/>
    </row>
    <row r="375" spans="25:47" x14ac:dyDescent="0.2">
      <c r="Y375" s="118"/>
      <c r="Z375" s="118"/>
      <c r="AA375" s="118"/>
      <c r="AB375" s="118"/>
      <c r="AC375" s="118"/>
      <c r="AD375" s="118"/>
      <c r="AE375" s="118"/>
      <c r="AF375" s="118"/>
      <c r="AG375" s="118"/>
      <c r="AH375" s="118"/>
      <c r="AI375" s="118"/>
      <c r="AJ375" s="118"/>
      <c r="AK375" s="118"/>
      <c r="AL375" s="118"/>
      <c r="AM375" s="118"/>
      <c r="AN375" s="118"/>
      <c r="AO375" s="118"/>
      <c r="AP375" s="117"/>
      <c r="AQ375" s="117"/>
      <c r="AR375" s="117"/>
      <c r="AS375" s="117"/>
      <c r="AT375" s="117"/>
      <c r="AU375" s="117"/>
    </row>
    <row r="376" spans="25:47" x14ac:dyDescent="0.2">
      <c r="Y376" s="118"/>
      <c r="Z376" s="118"/>
      <c r="AA376" s="118"/>
      <c r="AB376" s="118"/>
      <c r="AC376" s="118"/>
      <c r="AD376" s="118"/>
      <c r="AE376" s="118"/>
      <c r="AF376" s="118"/>
      <c r="AG376" s="118"/>
      <c r="AH376" s="118"/>
      <c r="AI376" s="118"/>
      <c r="AJ376" s="118"/>
      <c r="AK376" s="118"/>
      <c r="AL376" s="118"/>
      <c r="AM376" s="118"/>
      <c r="AN376" s="118"/>
      <c r="AO376" s="118"/>
      <c r="AP376" s="117"/>
      <c r="AQ376" s="117"/>
      <c r="AR376" s="117"/>
      <c r="AS376" s="117"/>
      <c r="AT376" s="117"/>
      <c r="AU376" s="117"/>
    </row>
    <row r="377" spans="25:47" x14ac:dyDescent="0.2">
      <c r="Y377" s="118"/>
      <c r="Z377" s="118"/>
      <c r="AA377" s="118"/>
      <c r="AB377" s="118"/>
      <c r="AC377" s="118"/>
      <c r="AD377" s="118"/>
      <c r="AE377" s="118"/>
      <c r="AF377" s="118"/>
      <c r="AG377" s="118"/>
      <c r="AH377" s="118"/>
      <c r="AI377" s="118"/>
      <c r="AJ377" s="118"/>
      <c r="AK377" s="118"/>
      <c r="AL377" s="118"/>
      <c r="AM377" s="118"/>
      <c r="AN377" s="118"/>
      <c r="AO377" s="118"/>
      <c r="AP377" s="117"/>
      <c r="AQ377" s="117"/>
      <c r="AR377" s="117"/>
      <c r="AS377" s="117"/>
      <c r="AT377" s="117"/>
      <c r="AU377" s="117"/>
    </row>
    <row r="378" spans="25:47" x14ac:dyDescent="0.2">
      <c r="Y378" s="118"/>
      <c r="Z378" s="118"/>
      <c r="AA378" s="118"/>
      <c r="AB378" s="118"/>
      <c r="AC378" s="118"/>
      <c r="AD378" s="118"/>
      <c r="AE378" s="118"/>
      <c r="AF378" s="118"/>
      <c r="AG378" s="118"/>
      <c r="AH378" s="118"/>
      <c r="AI378" s="118"/>
      <c r="AJ378" s="118"/>
      <c r="AK378" s="118"/>
      <c r="AL378" s="118"/>
      <c r="AM378" s="118"/>
      <c r="AN378" s="118"/>
      <c r="AO378" s="118"/>
      <c r="AP378" s="117"/>
      <c r="AQ378" s="117"/>
      <c r="AR378" s="117"/>
      <c r="AS378" s="117"/>
      <c r="AT378" s="117"/>
      <c r="AU378" s="117"/>
    </row>
    <row r="379" spans="25:47" x14ac:dyDescent="0.2">
      <c r="Y379" s="118"/>
      <c r="Z379" s="118"/>
      <c r="AA379" s="118"/>
      <c r="AB379" s="118"/>
      <c r="AC379" s="118"/>
      <c r="AD379" s="118"/>
      <c r="AE379" s="118"/>
      <c r="AF379" s="118"/>
      <c r="AG379" s="118"/>
      <c r="AH379" s="118"/>
      <c r="AI379" s="118"/>
      <c r="AJ379" s="118"/>
      <c r="AK379" s="118"/>
      <c r="AL379" s="118"/>
      <c r="AM379" s="118"/>
      <c r="AN379" s="118"/>
      <c r="AO379" s="118"/>
      <c r="AP379" s="117"/>
      <c r="AQ379" s="117"/>
      <c r="AR379" s="117"/>
      <c r="AS379" s="117"/>
      <c r="AT379" s="117"/>
      <c r="AU379" s="117"/>
    </row>
    <row r="380" spans="25:47" x14ac:dyDescent="0.2">
      <c r="Y380" s="118"/>
      <c r="Z380" s="118"/>
      <c r="AA380" s="118"/>
      <c r="AB380" s="118"/>
      <c r="AC380" s="118"/>
      <c r="AD380" s="118"/>
      <c r="AE380" s="118"/>
      <c r="AF380" s="118"/>
      <c r="AG380" s="118"/>
      <c r="AH380" s="118"/>
      <c r="AI380" s="118"/>
      <c r="AJ380" s="118"/>
      <c r="AK380" s="118"/>
      <c r="AL380" s="118"/>
      <c r="AM380" s="118"/>
      <c r="AN380" s="118"/>
      <c r="AO380" s="118"/>
      <c r="AP380" s="117"/>
      <c r="AQ380" s="117"/>
      <c r="AR380" s="117"/>
      <c r="AS380" s="117"/>
      <c r="AT380" s="117"/>
      <c r="AU380" s="117"/>
    </row>
    <row r="381" spans="25:47" x14ac:dyDescent="0.2">
      <c r="Y381" s="118"/>
      <c r="Z381" s="118"/>
      <c r="AA381" s="118"/>
      <c r="AB381" s="118"/>
      <c r="AC381" s="118"/>
      <c r="AD381" s="118"/>
      <c r="AE381" s="118"/>
      <c r="AF381" s="118"/>
      <c r="AG381" s="118"/>
      <c r="AH381" s="118"/>
      <c r="AI381" s="118"/>
      <c r="AJ381" s="118"/>
      <c r="AK381" s="118"/>
      <c r="AL381" s="118"/>
      <c r="AM381" s="118"/>
      <c r="AN381" s="118"/>
      <c r="AO381" s="118"/>
      <c r="AP381" s="117"/>
      <c r="AQ381" s="117"/>
      <c r="AR381" s="117"/>
      <c r="AS381" s="117"/>
      <c r="AT381" s="117"/>
      <c r="AU381" s="117"/>
    </row>
    <row r="382" spans="25:47" x14ac:dyDescent="0.2">
      <c r="Y382" s="118"/>
      <c r="Z382" s="118"/>
      <c r="AA382" s="118"/>
      <c r="AB382" s="118"/>
      <c r="AC382" s="118"/>
      <c r="AD382" s="118"/>
      <c r="AE382" s="118"/>
      <c r="AF382" s="118"/>
      <c r="AG382" s="118"/>
      <c r="AH382" s="118"/>
      <c r="AI382" s="118"/>
      <c r="AJ382" s="118"/>
      <c r="AK382" s="118"/>
      <c r="AL382" s="118"/>
      <c r="AM382" s="118"/>
      <c r="AN382" s="118"/>
      <c r="AO382" s="118"/>
      <c r="AP382" s="117"/>
      <c r="AQ382" s="117"/>
      <c r="AR382" s="117"/>
      <c r="AS382" s="117"/>
      <c r="AT382" s="117"/>
      <c r="AU382" s="117"/>
    </row>
    <row r="383" spans="25:47" x14ac:dyDescent="0.2">
      <c r="Y383" s="118"/>
      <c r="Z383" s="118"/>
      <c r="AA383" s="118"/>
      <c r="AB383" s="118"/>
      <c r="AC383" s="118"/>
      <c r="AD383" s="118"/>
      <c r="AE383" s="118"/>
      <c r="AF383" s="118"/>
      <c r="AG383" s="118"/>
      <c r="AH383" s="118"/>
      <c r="AI383" s="118"/>
      <c r="AJ383" s="118"/>
      <c r="AK383" s="118"/>
      <c r="AL383" s="118"/>
      <c r="AM383" s="118"/>
      <c r="AN383" s="118"/>
      <c r="AO383" s="118"/>
      <c r="AP383" s="117"/>
      <c r="AQ383" s="117"/>
      <c r="AR383" s="117"/>
      <c r="AS383" s="117"/>
      <c r="AT383" s="117"/>
      <c r="AU383" s="117"/>
    </row>
    <row r="384" spans="25:47" x14ac:dyDescent="0.2">
      <c r="Y384" s="118"/>
      <c r="Z384" s="118"/>
      <c r="AA384" s="118"/>
      <c r="AB384" s="118"/>
      <c r="AC384" s="118"/>
      <c r="AD384" s="118"/>
      <c r="AE384" s="118"/>
      <c r="AF384" s="118"/>
      <c r="AG384" s="118"/>
      <c r="AH384" s="118"/>
      <c r="AI384" s="118"/>
      <c r="AJ384" s="118"/>
      <c r="AK384" s="118"/>
      <c r="AL384" s="118"/>
      <c r="AM384" s="118"/>
      <c r="AN384" s="118"/>
      <c r="AO384" s="118"/>
      <c r="AP384" s="117"/>
      <c r="AQ384" s="117"/>
      <c r="AR384" s="117"/>
      <c r="AS384" s="117"/>
      <c r="AT384" s="117"/>
      <c r="AU384" s="117"/>
    </row>
    <row r="385" spans="25:47" x14ac:dyDescent="0.2">
      <c r="Y385" s="118"/>
      <c r="Z385" s="118"/>
      <c r="AA385" s="118"/>
      <c r="AB385" s="118"/>
      <c r="AC385" s="118"/>
      <c r="AD385" s="118"/>
      <c r="AE385" s="118"/>
      <c r="AF385" s="118"/>
      <c r="AG385" s="118"/>
      <c r="AH385" s="118"/>
      <c r="AI385" s="118"/>
      <c r="AJ385" s="118"/>
      <c r="AK385" s="118"/>
      <c r="AL385" s="118"/>
      <c r="AM385" s="118"/>
      <c r="AN385" s="118"/>
      <c r="AO385" s="118"/>
      <c r="AP385" s="117"/>
      <c r="AQ385" s="117"/>
      <c r="AR385" s="117"/>
      <c r="AS385" s="117"/>
      <c r="AT385" s="117"/>
      <c r="AU385" s="117"/>
    </row>
    <row r="386" spans="25:47" x14ac:dyDescent="0.2">
      <c r="Y386" s="118"/>
      <c r="Z386" s="118"/>
      <c r="AA386" s="118"/>
      <c r="AB386" s="118"/>
      <c r="AC386" s="118"/>
      <c r="AD386" s="118"/>
      <c r="AE386" s="118"/>
      <c r="AF386" s="118"/>
      <c r="AG386" s="118"/>
      <c r="AH386" s="118"/>
      <c r="AI386" s="118"/>
      <c r="AJ386" s="118"/>
      <c r="AK386" s="118"/>
      <c r="AL386" s="118"/>
      <c r="AM386" s="118"/>
      <c r="AN386" s="118"/>
      <c r="AO386" s="118"/>
      <c r="AP386" s="117"/>
      <c r="AQ386" s="117"/>
      <c r="AR386" s="117"/>
      <c r="AS386" s="117"/>
      <c r="AT386" s="117"/>
      <c r="AU386" s="117"/>
    </row>
    <row r="387" spans="25:47" x14ac:dyDescent="0.2">
      <c r="Y387" s="118"/>
      <c r="Z387" s="118"/>
      <c r="AA387" s="118"/>
      <c r="AB387" s="118"/>
      <c r="AC387" s="118"/>
      <c r="AD387" s="118"/>
      <c r="AE387" s="118"/>
      <c r="AF387" s="118"/>
      <c r="AG387" s="118"/>
      <c r="AH387" s="118"/>
      <c r="AI387" s="118"/>
      <c r="AJ387" s="118"/>
      <c r="AK387" s="118"/>
      <c r="AL387" s="118"/>
      <c r="AM387" s="118"/>
      <c r="AN387" s="118"/>
      <c r="AO387" s="118"/>
      <c r="AP387" s="117"/>
      <c r="AQ387" s="117"/>
      <c r="AR387" s="117"/>
      <c r="AS387" s="117"/>
      <c r="AT387" s="117"/>
      <c r="AU387" s="117"/>
    </row>
    <row r="388" spans="25:47" x14ac:dyDescent="0.2">
      <c r="Y388" s="118"/>
      <c r="Z388" s="118"/>
      <c r="AA388" s="118"/>
      <c r="AB388" s="118"/>
      <c r="AC388" s="118"/>
      <c r="AD388" s="118"/>
      <c r="AE388" s="118"/>
      <c r="AF388" s="118"/>
      <c r="AG388" s="118"/>
      <c r="AH388" s="118"/>
      <c r="AI388" s="118"/>
      <c r="AJ388" s="118"/>
      <c r="AK388" s="118"/>
      <c r="AL388" s="118"/>
      <c r="AM388" s="118"/>
      <c r="AN388" s="118"/>
      <c r="AO388" s="118"/>
      <c r="AP388" s="117"/>
      <c r="AQ388" s="117"/>
      <c r="AR388" s="117"/>
      <c r="AS388" s="117"/>
      <c r="AT388" s="117"/>
      <c r="AU388" s="117"/>
    </row>
    <row r="389" spans="25:47" x14ac:dyDescent="0.2">
      <c r="Y389" s="118"/>
      <c r="Z389" s="118"/>
      <c r="AA389" s="118"/>
      <c r="AB389" s="118"/>
      <c r="AC389" s="118"/>
      <c r="AD389" s="118"/>
      <c r="AE389" s="118"/>
      <c r="AF389" s="118"/>
      <c r="AG389" s="118"/>
      <c r="AH389" s="118"/>
      <c r="AI389" s="118"/>
      <c r="AJ389" s="118"/>
      <c r="AK389" s="118"/>
      <c r="AL389" s="118"/>
      <c r="AM389" s="118"/>
      <c r="AN389" s="118"/>
      <c r="AO389" s="118"/>
      <c r="AP389" s="117"/>
      <c r="AQ389" s="117"/>
      <c r="AR389" s="117"/>
      <c r="AS389" s="117"/>
      <c r="AT389" s="117"/>
      <c r="AU389" s="117"/>
    </row>
    <row r="390" spans="25:47" x14ac:dyDescent="0.2">
      <c r="Y390" s="118"/>
      <c r="Z390" s="118"/>
      <c r="AA390" s="118"/>
      <c r="AB390" s="118"/>
      <c r="AC390" s="118"/>
      <c r="AD390" s="118"/>
      <c r="AE390" s="118"/>
      <c r="AF390" s="118"/>
      <c r="AG390" s="118"/>
      <c r="AH390" s="118"/>
      <c r="AI390" s="118"/>
      <c r="AJ390" s="118"/>
      <c r="AK390" s="118"/>
      <c r="AL390" s="118"/>
      <c r="AM390" s="118"/>
      <c r="AN390" s="118"/>
      <c r="AO390" s="118"/>
      <c r="AP390" s="117"/>
      <c r="AQ390" s="117"/>
      <c r="AR390" s="117"/>
      <c r="AS390" s="117"/>
      <c r="AT390" s="117"/>
      <c r="AU390" s="117"/>
    </row>
    <row r="391" spans="25:47" x14ac:dyDescent="0.2">
      <c r="Y391" s="118"/>
      <c r="Z391" s="118"/>
      <c r="AA391" s="118"/>
      <c r="AB391" s="118"/>
      <c r="AC391" s="118"/>
      <c r="AD391" s="118"/>
      <c r="AE391" s="118"/>
      <c r="AF391" s="118"/>
      <c r="AG391" s="118"/>
      <c r="AH391" s="118"/>
      <c r="AI391" s="118"/>
      <c r="AJ391" s="118"/>
      <c r="AK391" s="118"/>
      <c r="AL391" s="118"/>
      <c r="AM391" s="118"/>
      <c r="AN391" s="118"/>
      <c r="AO391" s="118"/>
      <c r="AP391" s="117"/>
      <c r="AQ391" s="117"/>
      <c r="AR391" s="117"/>
      <c r="AS391" s="117"/>
      <c r="AT391" s="117"/>
      <c r="AU391" s="117"/>
    </row>
    <row r="392" spans="25:47" x14ac:dyDescent="0.2">
      <c r="Y392" s="118"/>
      <c r="Z392" s="118"/>
      <c r="AA392" s="118"/>
      <c r="AB392" s="118"/>
      <c r="AC392" s="118"/>
      <c r="AD392" s="118"/>
      <c r="AE392" s="118"/>
      <c r="AF392" s="118"/>
      <c r="AG392" s="118"/>
      <c r="AH392" s="118"/>
      <c r="AI392" s="118"/>
      <c r="AJ392" s="118"/>
      <c r="AK392" s="118"/>
      <c r="AL392" s="118"/>
      <c r="AM392" s="118"/>
      <c r="AN392" s="118"/>
      <c r="AO392" s="118"/>
      <c r="AP392" s="117"/>
      <c r="AQ392" s="117"/>
      <c r="AR392" s="117"/>
      <c r="AS392" s="117"/>
      <c r="AT392" s="117"/>
      <c r="AU392" s="117"/>
    </row>
    <row r="393" spans="25:47" x14ac:dyDescent="0.2">
      <c r="Y393" s="118"/>
      <c r="Z393" s="118"/>
      <c r="AA393" s="118"/>
      <c r="AB393" s="118"/>
      <c r="AC393" s="118"/>
      <c r="AD393" s="118"/>
      <c r="AE393" s="118"/>
      <c r="AF393" s="118"/>
      <c r="AG393" s="118"/>
      <c r="AH393" s="118"/>
      <c r="AI393" s="118"/>
      <c r="AJ393" s="118"/>
      <c r="AK393" s="118"/>
      <c r="AL393" s="118"/>
      <c r="AM393" s="118"/>
      <c r="AN393" s="118"/>
      <c r="AO393" s="118"/>
      <c r="AP393" s="117"/>
      <c r="AQ393" s="117"/>
      <c r="AR393" s="117"/>
      <c r="AS393" s="117"/>
      <c r="AT393" s="117"/>
      <c r="AU393" s="117"/>
    </row>
    <row r="394" spans="25:47" x14ac:dyDescent="0.2">
      <c r="Y394" s="118"/>
      <c r="Z394" s="118"/>
      <c r="AA394" s="118"/>
      <c r="AB394" s="118"/>
      <c r="AC394" s="118"/>
      <c r="AD394" s="118"/>
      <c r="AE394" s="118"/>
      <c r="AF394" s="118"/>
      <c r="AG394" s="118"/>
      <c r="AH394" s="118"/>
      <c r="AI394" s="118"/>
      <c r="AJ394" s="118"/>
      <c r="AK394" s="118"/>
      <c r="AL394" s="118"/>
      <c r="AM394" s="118"/>
      <c r="AN394" s="118"/>
      <c r="AO394" s="118"/>
      <c r="AP394" s="117"/>
      <c r="AQ394" s="117"/>
      <c r="AR394" s="117"/>
      <c r="AS394" s="117"/>
      <c r="AT394" s="117"/>
      <c r="AU394" s="117"/>
    </row>
    <row r="395" spans="25:47" x14ac:dyDescent="0.2">
      <c r="Y395" s="118"/>
      <c r="Z395" s="118"/>
      <c r="AA395" s="118"/>
      <c r="AB395" s="118"/>
      <c r="AC395" s="118"/>
      <c r="AD395" s="118"/>
      <c r="AE395" s="118"/>
      <c r="AF395" s="118"/>
      <c r="AG395" s="118"/>
      <c r="AH395" s="118"/>
      <c r="AI395" s="118"/>
      <c r="AJ395" s="118"/>
      <c r="AK395" s="118"/>
      <c r="AL395" s="118"/>
      <c r="AM395" s="118"/>
      <c r="AN395" s="118"/>
      <c r="AO395" s="118"/>
      <c r="AP395" s="117"/>
      <c r="AQ395" s="117"/>
      <c r="AR395" s="117"/>
      <c r="AS395" s="117"/>
      <c r="AT395" s="117"/>
      <c r="AU395" s="117"/>
    </row>
    <row r="396" spans="25:47" x14ac:dyDescent="0.2">
      <c r="Y396" s="118"/>
      <c r="Z396" s="118"/>
      <c r="AA396" s="118"/>
      <c r="AB396" s="118"/>
      <c r="AC396" s="118"/>
      <c r="AD396" s="118"/>
      <c r="AE396" s="118"/>
      <c r="AF396" s="118"/>
      <c r="AG396" s="118"/>
      <c r="AH396" s="118"/>
      <c r="AI396" s="118"/>
      <c r="AJ396" s="118"/>
      <c r="AK396" s="118"/>
      <c r="AL396" s="118"/>
      <c r="AM396" s="118"/>
      <c r="AN396" s="118"/>
      <c r="AO396" s="118"/>
      <c r="AP396" s="117"/>
      <c r="AQ396" s="117"/>
      <c r="AR396" s="117"/>
      <c r="AS396" s="117"/>
      <c r="AT396" s="117"/>
      <c r="AU396" s="117"/>
    </row>
    <row r="397" spans="25:47" x14ac:dyDescent="0.2">
      <c r="Y397" s="118"/>
      <c r="Z397" s="118"/>
      <c r="AA397" s="118"/>
      <c r="AB397" s="118"/>
      <c r="AC397" s="118"/>
      <c r="AD397" s="118"/>
      <c r="AE397" s="118"/>
      <c r="AF397" s="118"/>
      <c r="AG397" s="118"/>
      <c r="AH397" s="118"/>
      <c r="AI397" s="118"/>
      <c r="AJ397" s="118"/>
      <c r="AK397" s="118"/>
      <c r="AL397" s="118"/>
      <c r="AM397" s="118"/>
      <c r="AN397" s="118"/>
      <c r="AO397" s="118"/>
      <c r="AP397" s="117"/>
      <c r="AQ397" s="117"/>
      <c r="AR397" s="117"/>
      <c r="AS397" s="117"/>
      <c r="AT397" s="117"/>
      <c r="AU397" s="117"/>
    </row>
    <row r="398" spans="25:47" x14ac:dyDescent="0.2">
      <c r="Y398" s="118"/>
      <c r="Z398" s="118"/>
      <c r="AA398" s="118"/>
      <c r="AB398" s="118"/>
      <c r="AC398" s="118"/>
      <c r="AD398" s="118"/>
      <c r="AE398" s="118"/>
      <c r="AF398" s="118"/>
      <c r="AG398" s="118"/>
      <c r="AH398" s="118"/>
      <c r="AI398" s="118"/>
      <c r="AJ398" s="118"/>
      <c r="AK398" s="118"/>
      <c r="AL398" s="118"/>
      <c r="AM398" s="118"/>
      <c r="AN398" s="118"/>
      <c r="AO398" s="118"/>
      <c r="AP398" s="117"/>
      <c r="AQ398" s="117"/>
      <c r="AR398" s="117"/>
      <c r="AS398" s="117"/>
      <c r="AT398" s="117"/>
      <c r="AU398" s="117"/>
    </row>
    <row r="399" spans="25:47" x14ac:dyDescent="0.2">
      <c r="Y399" s="118"/>
      <c r="Z399" s="118"/>
      <c r="AA399" s="118"/>
      <c r="AB399" s="118"/>
      <c r="AC399" s="118"/>
      <c r="AD399" s="118"/>
      <c r="AE399" s="118"/>
      <c r="AF399" s="118"/>
      <c r="AG399" s="118"/>
      <c r="AH399" s="118"/>
      <c r="AI399" s="118"/>
      <c r="AJ399" s="118"/>
      <c r="AK399" s="118"/>
      <c r="AL399" s="118"/>
      <c r="AM399" s="118"/>
      <c r="AN399" s="118"/>
      <c r="AO399" s="118"/>
      <c r="AP399" s="117"/>
      <c r="AQ399" s="117"/>
      <c r="AR399" s="117"/>
      <c r="AS399" s="117"/>
      <c r="AT399" s="117"/>
      <c r="AU399" s="117"/>
    </row>
    <row r="400" spans="25:47" x14ac:dyDescent="0.2">
      <c r="Y400" s="118"/>
      <c r="Z400" s="118"/>
      <c r="AA400" s="118"/>
      <c r="AB400" s="118"/>
      <c r="AC400" s="118"/>
      <c r="AD400" s="118"/>
      <c r="AE400" s="118"/>
      <c r="AF400" s="118"/>
      <c r="AG400" s="118"/>
      <c r="AH400" s="118"/>
      <c r="AI400" s="118"/>
      <c r="AJ400" s="118"/>
      <c r="AK400" s="118"/>
      <c r="AL400" s="118"/>
      <c r="AM400" s="118"/>
      <c r="AN400" s="118"/>
      <c r="AO400" s="118"/>
      <c r="AP400" s="117"/>
      <c r="AQ400" s="117"/>
      <c r="AR400" s="117"/>
      <c r="AS400" s="117"/>
      <c r="AT400" s="117"/>
      <c r="AU400" s="117"/>
    </row>
    <row r="401" spans="25:47" x14ac:dyDescent="0.2">
      <c r="Y401" s="118"/>
      <c r="Z401" s="118"/>
      <c r="AA401" s="118"/>
      <c r="AB401" s="118"/>
      <c r="AC401" s="118"/>
      <c r="AD401" s="118"/>
      <c r="AE401" s="118"/>
      <c r="AF401" s="118"/>
      <c r="AG401" s="118"/>
      <c r="AH401" s="118"/>
      <c r="AI401" s="118"/>
      <c r="AJ401" s="118"/>
      <c r="AK401" s="118"/>
      <c r="AL401" s="118"/>
      <c r="AM401" s="118"/>
      <c r="AN401" s="118"/>
      <c r="AO401" s="118"/>
      <c r="AP401" s="117"/>
      <c r="AQ401" s="117"/>
      <c r="AR401" s="117"/>
      <c r="AS401" s="117"/>
      <c r="AT401" s="117"/>
      <c r="AU401" s="117"/>
    </row>
    <row r="402" spans="25:47" x14ac:dyDescent="0.2">
      <c r="Y402" s="118"/>
      <c r="Z402" s="118"/>
      <c r="AA402" s="118"/>
      <c r="AB402" s="118"/>
      <c r="AC402" s="118"/>
      <c r="AD402" s="118"/>
      <c r="AE402" s="118"/>
      <c r="AF402" s="118"/>
      <c r="AG402" s="118"/>
      <c r="AH402" s="118"/>
      <c r="AI402" s="118"/>
      <c r="AJ402" s="118"/>
      <c r="AK402" s="118"/>
      <c r="AL402" s="118"/>
      <c r="AM402" s="118"/>
      <c r="AN402" s="118"/>
      <c r="AO402" s="118"/>
      <c r="AP402" s="117"/>
      <c r="AQ402" s="117"/>
      <c r="AR402" s="117"/>
      <c r="AS402" s="117"/>
      <c r="AT402" s="117"/>
      <c r="AU402" s="117"/>
    </row>
    <row r="403" spans="25:47" x14ac:dyDescent="0.2">
      <c r="Y403" s="118"/>
      <c r="Z403" s="118"/>
      <c r="AA403" s="118"/>
      <c r="AB403" s="118"/>
      <c r="AC403" s="118"/>
      <c r="AD403" s="118"/>
      <c r="AE403" s="118"/>
      <c r="AF403" s="118"/>
      <c r="AG403" s="118"/>
      <c r="AH403" s="118"/>
      <c r="AI403" s="118"/>
      <c r="AJ403" s="118"/>
      <c r="AK403" s="118"/>
      <c r="AL403" s="118"/>
      <c r="AM403" s="118"/>
      <c r="AN403" s="118"/>
      <c r="AO403" s="118"/>
      <c r="AP403" s="117"/>
      <c r="AQ403" s="117"/>
      <c r="AR403" s="117"/>
      <c r="AS403" s="117"/>
      <c r="AT403" s="117"/>
      <c r="AU403" s="117"/>
    </row>
    <row r="404" spans="25:47" x14ac:dyDescent="0.2">
      <c r="Y404" s="118"/>
      <c r="Z404" s="118"/>
      <c r="AA404" s="118"/>
      <c r="AB404" s="118"/>
      <c r="AC404" s="118"/>
      <c r="AD404" s="118"/>
      <c r="AE404" s="118"/>
      <c r="AF404" s="118"/>
      <c r="AG404" s="118"/>
      <c r="AH404" s="118"/>
      <c r="AI404" s="118"/>
      <c r="AJ404" s="118"/>
      <c r="AK404" s="118"/>
      <c r="AL404" s="118"/>
      <c r="AM404" s="118"/>
      <c r="AN404" s="118"/>
      <c r="AO404" s="118"/>
      <c r="AP404" s="117"/>
      <c r="AQ404" s="117"/>
      <c r="AR404" s="117"/>
      <c r="AS404" s="117"/>
      <c r="AT404" s="117"/>
      <c r="AU404" s="117"/>
    </row>
    <row r="405" spans="25:47" x14ac:dyDescent="0.2">
      <c r="Y405" s="118"/>
      <c r="Z405" s="118"/>
      <c r="AA405" s="118"/>
      <c r="AB405" s="118"/>
      <c r="AC405" s="118"/>
      <c r="AD405" s="118"/>
      <c r="AE405" s="118"/>
      <c r="AF405" s="118"/>
      <c r="AG405" s="118"/>
      <c r="AH405" s="118"/>
      <c r="AI405" s="118"/>
      <c r="AJ405" s="118"/>
      <c r="AK405" s="118"/>
      <c r="AL405" s="118"/>
      <c r="AM405" s="118"/>
      <c r="AN405" s="118"/>
      <c r="AO405" s="118"/>
      <c r="AP405" s="117"/>
      <c r="AQ405" s="117"/>
      <c r="AR405" s="117"/>
      <c r="AS405" s="117"/>
      <c r="AT405" s="117"/>
      <c r="AU405" s="117"/>
    </row>
    <row r="406" spans="25:47" x14ac:dyDescent="0.2">
      <c r="Y406" s="118"/>
      <c r="Z406" s="118"/>
      <c r="AA406" s="118"/>
      <c r="AB406" s="118"/>
      <c r="AC406" s="118"/>
      <c r="AD406" s="118"/>
      <c r="AE406" s="118"/>
      <c r="AF406" s="118"/>
      <c r="AG406" s="118"/>
      <c r="AH406" s="118"/>
      <c r="AI406" s="118"/>
      <c r="AJ406" s="118"/>
      <c r="AK406" s="118"/>
      <c r="AL406" s="118"/>
      <c r="AM406" s="118"/>
      <c r="AN406" s="118"/>
      <c r="AO406" s="118"/>
      <c r="AP406" s="117"/>
      <c r="AQ406" s="117"/>
      <c r="AR406" s="117"/>
      <c r="AS406" s="117"/>
      <c r="AT406" s="117"/>
      <c r="AU406" s="117"/>
    </row>
    <row r="407" spans="25:47" x14ac:dyDescent="0.2">
      <c r="Y407" s="118"/>
      <c r="Z407" s="118"/>
      <c r="AA407" s="118"/>
      <c r="AB407" s="118"/>
      <c r="AC407" s="118"/>
      <c r="AD407" s="118"/>
      <c r="AE407" s="118"/>
      <c r="AF407" s="118"/>
      <c r="AG407" s="118"/>
      <c r="AH407" s="118"/>
      <c r="AI407" s="118"/>
      <c r="AJ407" s="118"/>
      <c r="AK407" s="118"/>
      <c r="AL407" s="118"/>
      <c r="AM407" s="118"/>
      <c r="AN407" s="118"/>
      <c r="AO407" s="118"/>
      <c r="AP407" s="117"/>
      <c r="AQ407" s="117"/>
      <c r="AR407" s="117"/>
      <c r="AS407" s="117"/>
      <c r="AT407" s="117"/>
      <c r="AU407" s="117"/>
    </row>
    <row r="408" spans="25:47" x14ac:dyDescent="0.2">
      <c r="Y408" s="118"/>
      <c r="Z408" s="118"/>
      <c r="AA408" s="118"/>
      <c r="AB408" s="118"/>
      <c r="AC408" s="118"/>
      <c r="AD408" s="118"/>
      <c r="AE408" s="118"/>
      <c r="AF408" s="118"/>
      <c r="AG408" s="118"/>
      <c r="AH408" s="118"/>
      <c r="AI408" s="118"/>
      <c r="AJ408" s="118"/>
      <c r="AK408" s="118"/>
      <c r="AL408" s="118"/>
      <c r="AM408" s="118"/>
      <c r="AN408" s="118"/>
      <c r="AO408" s="118"/>
      <c r="AP408" s="117"/>
      <c r="AQ408" s="117"/>
      <c r="AR408" s="117"/>
      <c r="AS408" s="117"/>
      <c r="AT408" s="117"/>
      <c r="AU408" s="117"/>
    </row>
    <row r="409" spans="25:47" x14ac:dyDescent="0.2">
      <c r="Y409" s="118"/>
      <c r="Z409" s="118"/>
      <c r="AA409" s="118"/>
      <c r="AB409" s="118"/>
      <c r="AC409" s="118"/>
      <c r="AD409" s="118"/>
      <c r="AE409" s="118"/>
      <c r="AF409" s="118"/>
      <c r="AG409" s="118"/>
      <c r="AH409" s="118"/>
      <c r="AI409" s="118"/>
      <c r="AJ409" s="118"/>
      <c r="AK409" s="118"/>
      <c r="AL409" s="118"/>
      <c r="AM409" s="118"/>
      <c r="AN409" s="118"/>
      <c r="AO409" s="118"/>
      <c r="AP409" s="117"/>
      <c r="AQ409" s="117"/>
      <c r="AR409" s="117"/>
      <c r="AS409" s="117"/>
      <c r="AT409" s="117"/>
      <c r="AU409" s="117"/>
    </row>
    <row r="410" spans="25:47" x14ac:dyDescent="0.2">
      <c r="Y410" s="118"/>
      <c r="Z410" s="118"/>
      <c r="AA410" s="118"/>
      <c r="AB410" s="118"/>
      <c r="AC410" s="118"/>
      <c r="AD410" s="118"/>
      <c r="AE410" s="118"/>
      <c r="AF410" s="118"/>
      <c r="AG410" s="118"/>
      <c r="AH410" s="118"/>
      <c r="AI410" s="118"/>
      <c r="AJ410" s="118"/>
      <c r="AK410" s="118"/>
      <c r="AL410" s="118"/>
      <c r="AM410" s="118"/>
      <c r="AN410" s="118"/>
      <c r="AO410" s="118"/>
      <c r="AP410" s="117"/>
      <c r="AQ410" s="117"/>
      <c r="AR410" s="117"/>
      <c r="AS410" s="117"/>
      <c r="AT410" s="117"/>
      <c r="AU410" s="117"/>
    </row>
    <row r="411" spans="25:47" x14ac:dyDescent="0.2">
      <c r="Y411" s="118"/>
      <c r="Z411" s="118"/>
      <c r="AA411" s="118"/>
      <c r="AB411" s="118"/>
      <c r="AC411" s="118"/>
      <c r="AD411" s="118"/>
      <c r="AE411" s="118"/>
      <c r="AF411" s="118"/>
      <c r="AG411" s="118"/>
      <c r="AH411" s="118"/>
      <c r="AI411" s="118"/>
      <c r="AJ411" s="118"/>
      <c r="AK411" s="118"/>
      <c r="AL411" s="118"/>
      <c r="AM411" s="118"/>
      <c r="AN411" s="118"/>
      <c r="AO411" s="118"/>
      <c r="AP411" s="117"/>
      <c r="AQ411" s="117"/>
      <c r="AR411" s="117"/>
      <c r="AS411" s="117"/>
      <c r="AT411" s="117"/>
      <c r="AU411" s="117"/>
    </row>
    <row r="412" spans="25:47" x14ac:dyDescent="0.2">
      <c r="Y412" s="118"/>
      <c r="Z412" s="118"/>
      <c r="AA412" s="118"/>
      <c r="AB412" s="118"/>
      <c r="AC412" s="118"/>
      <c r="AD412" s="118"/>
      <c r="AE412" s="118"/>
      <c r="AF412" s="118"/>
      <c r="AG412" s="118"/>
      <c r="AH412" s="118"/>
      <c r="AI412" s="118"/>
      <c r="AJ412" s="118"/>
      <c r="AK412" s="118"/>
      <c r="AL412" s="118"/>
      <c r="AM412" s="118"/>
      <c r="AN412" s="118"/>
      <c r="AO412" s="118"/>
      <c r="AP412" s="117"/>
      <c r="AQ412" s="117"/>
      <c r="AR412" s="117"/>
      <c r="AS412" s="117"/>
      <c r="AT412" s="117"/>
      <c r="AU412" s="117"/>
    </row>
    <row r="413" spans="25:47" x14ac:dyDescent="0.2">
      <c r="Y413" s="118"/>
      <c r="Z413" s="118"/>
      <c r="AA413" s="118"/>
      <c r="AB413" s="118"/>
      <c r="AC413" s="118"/>
      <c r="AD413" s="118"/>
      <c r="AE413" s="118"/>
      <c r="AF413" s="118"/>
      <c r="AG413" s="118"/>
      <c r="AH413" s="118"/>
      <c r="AI413" s="118"/>
      <c r="AJ413" s="118"/>
      <c r="AK413" s="118"/>
      <c r="AL413" s="118"/>
      <c r="AM413" s="118"/>
      <c r="AN413" s="118"/>
      <c r="AO413" s="118"/>
      <c r="AP413" s="117"/>
      <c r="AQ413" s="117"/>
      <c r="AR413" s="117"/>
      <c r="AS413" s="117"/>
      <c r="AT413" s="117"/>
      <c r="AU413" s="117"/>
    </row>
    <row r="414" spans="25:47" x14ac:dyDescent="0.2">
      <c r="Y414" s="118"/>
      <c r="Z414" s="118"/>
      <c r="AA414" s="118"/>
      <c r="AB414" s="118"/>
      <c r="AC414" s="118"/>
      <c r="AD414" s="118"/>
      <c r="AE414" s="118"/>
      <c r="AF414" s="118"/>
      <c r="AG414" s="118"/>
      <c r="AH414" s="118"/>
      <c r="AI414" s="118"/>
      <c r="AJ414" s="118"/>
      <c r="AK414" s="118"/>
      <c r="AL414" s="118"/>
      <c r="AM414" s="118"/>
      <c r="AN414" s="118"/>
      <c r="AO414" s="118"/>
      <c r="AP414" s="117"/>
      <c r="AQ414" s="117"/>
      <c r="AR414" s="117"/>
      <c r="AS414" s="117"/>
      <c r="AT414" s="117"/>
      <c r="AU414" s="117"/>
    </row>
    <row r="415" spans="25:47" x14ac:dyDescent="0.2">
      <c r="Y415" s="118"/>
      <c r="Z415" s="118"/>
      <c r="AA415" s="118"/>
      <c r="AB415" s="118"/>
      <c r="AC415" s="118"/>
      <c r="AD415" s="118"/>
      <c r="AE415" s="118"/>
      <c r="AF415" s="118"/>
      <c r="AG415" s="118"/>
      <c r="AH415" s="118"/>
      <c r="AI415" s="118"/>
      <c r="AJ415" s="118"/>
      <c r="AK415" s="118"/>
      <c r="AL415" s="118"/>
      <c r="AM415" s="118"/>
      <c r="AN415" s="118"/>
      <c r="AO415" s="118"/>
      <c r="AP415" s="117"/>
      <c r="AQ415" s="117"/>
      <c r="AR415" s="117"/>
      <c r="AS415" s="117"/>
      <c r="AT415" s="117"/>
      <c r="AU415" s="117"/>
    </row>
    <row r="416" spans="25:47" x14ac:dyDescent="0.2">
      <c r="Y416" s="118"/>
      <c r="Z416" s="118"/>
      <c r="AA416" s="118"/>
      <c r="AB416" s="118"/>
      <c r="AC416" s="118"/>
      <c r="AD416" s="118"/>
      <c r="AE416" s="118"/>
      <c r="AF416" s="118"/>
      <c r="AG416" s="118"/>
      <c r="AH416" s="118"/>
      <c r="AI416" s="118"/>
      <c r="AJ416" s="118"/>
      <c r="AK416" s="118"/>
      <c r="AL416" s="118"/>
      <c r="AM416" s="118"/>
      <c r="AN416" s="118"/>
      <c r="AO416" s="118"/>
      <c r="AP416" s="117"/>
      <c r="AQ416" s="117"/>
      <c r="AR416" s="117"/>
      <c r="AS416" s="117"/>
      <c r="AT416" s="117"/>
      <c r="AU416" s="117"/>
    </row>
    <row r="417" spans="25:47" x14ac:dyDescent="0.2">
      <c r="Y417" s="118"/>
      <c r="Z417" s="118"/>
      <c r="AA417" s="118"/>
      <c r="AB417" s="118"/>
      <c r="AC417" s="118"/>
      <c r="AD417" s="118"/>
      <c r="AE417" s="118"/>
      <c r="AF417" s="118"/>
      <c r="AG417" s="118"/>
      <c r="AH417" s="118"/>
      <c r="AI417" s="118"/>
      <c r="AJ417" s="118"/>
      <c r="AK417" s="118"/>
      <c r="AL417" s="118"/>
      <c r="AM417" s="118"/>
      <c r="AN417" s="118"/>
      <c r="AO417" s="118"/>
      <c r="AP417" s="117"/>
      <c r="AQ417" s="117"/>
      <c r="AR417" s="117"/>
      <c r="AS417" s="117"/>
      <c r="AT417" s="117"/>
      <c r="AU417" s="117"/>
    </row>
    <row r="418" spans="25:47" x14ac:dyDescent="0.2">
      <c r="Y418" s="118"/>
      <c r="Z418" s="118"/>
      <c r="AA418" s="118"/>
      <c r="AB418" s="118"/>
      <c r="AC418" s="118"/>
      <c r="AD418" s="118"/>
      <c r="AE418" s="118"/>
      <c r="AF418" s="118"/>
      <c r="AG418" s="118"/>
      <c r="AH418" s="118"/>
      <c r="AI418" s="118"/>
      <c r="AJ418" s="118"/>
      <c r="AK418" s="118"/>
      <c r="AL418" s="118"/>
      <c r="AM418" s="118"/>
      <c r="AN418" s="118"/>
      <c r="AO418" s="118"/>
      <c r="AP418" s="117"/>
      <c r="AQ418" s="117"/>
      <c r="AR418" s="117"/>
      <c r="AS418" s="117"/>
      <c r="AT418" s="117"/>
      <c r="AU418" s="117"/>
    </row>
    <row r="419" spans="25:47" x14ac:dyDescent="0.2">
      <c r="Y419" s="118"/>
      <c r="Z419" s="118"/>
      <c r="AA419" s="118"/>
      <c r="AB419" s="118"/>
      <c r="AC419" s="118"/>
      <c r="AD419" s="118"/>
      <c r="AE419" s="118"/>
      <c r="AF419" s="118"/>
      <c r="AG419" s="118"/>
      <c r="AH419" s="118"/>
      <c r="AI419" s="118"/>
      <c r="AJ419" s="118"/>
      <c r="AK419" s="118"/>
      <c r="AL419" s="118"/>
      <c r="AM419" s="118"/>
      <c r="AN419" s="118"/>
      <c r="AO419" s="118"/>
      <c r="AP419" s="117"/>
      <c r="AQ419" s="117"/>
      <c r="AR419" s="117"/>
      <c r="AS419" s="117"/>
      <c r="AT419" s="117"/>
      <c r="AU419" s="117"/>
    </row>
    <row r="420" spans="25:47" x14ac:dyDescent="0.2">
      <c r="Y420" s="118"/>
      <c r="Z420" s="118"/>
      <c r="AA420" s="118"/>
      <c r="AB420" s="118"/>
      <c r="AC420" s="118"/>
      <c r="AD420" s="118"/>
      <c r="AE420" s="118"/>
      <c r="AF420" s="118"/>
      <c r="AG420" s="118"/>
      <c r="AH420" s="118"/>
      <c r="AI420" s="118"/>
      <c r="AJ420" s="118"/>
      <c r="AK420" s="118"/>
      <c r="AL420" s="118"/>
      <c r="AM420" s="118"/>
      <c r="AN420" s="118"/>
      <c r="AO420" s="118"/>
      <c r="AP420" s="117"/>
      <c r="AQ420" s="117"/>
      <c r="AR420" s="117"/>
      <c r="AS420" s="117"/>
      <c r="AT420" s="117"/>
      <c r="AU420" s="117"/>
    </row>
    <row r="421" spans="25:47" x14ac:dyDescent="0.2">
      <c r="Y421" s="118"/>
      <c r="Z421" s="118"/>
      <c r="AA421" s="118"/>
      <c r="AB421" s="118"/>
      <c r="AC421" s="118"/>
      <c r="AD421" s="118"/>
      <c r="AE421" s="118"/>
      <c r="AF421" s="118"/>
      <c r="AG421" s="118"/>
      <c r="AH421" s="118"/>
      <c r="AI421" s="118"/>
      <c r="AJ421" s="118"/>
      <c r="AK421" s="118"/>
      <c r="AL421" s="118"/>
      <c r="AM421" s="118"/>
      <c r="AN421" s="118"/>
      <c r="AO421" s="118"/>
      <c r="AP421" s="117"/>
      <c r="AQ421" s="117"/>
      <c r="AR421" s="117"/>
      <c r="AS421" s="117"/>
      <c r="AT421" s="117"/>
      <c r="AU421" s="117"/>
    </row>
    <row r="422" spans="25:47" x14ac:dyDescent="0.2">
      <c r="Y422" s="118"/>
      <c r="Z422" s="118"/>
      <c r="AA422" s="118"/>
      <c r="AB422" s="118"/>
      <c r="AC422" s="118"/>
      <c r="AD422" s="118"/>
      <c r="AE422" s="118"/>
      <c r="AF422" s="118"/>
      <c r="AG422" s="118"/>
      <c r="AH422" s="118"/>
      <c r="AI422" s="118"/>
      <c r="AJ422" s="118"/>
      <c r="AK422" s="118"/>
      <c r="AL422" s="118"/>
      <c r="AM422" s="118"/>
      <c r="AN422" s="118"/>
      <c r="AO422" s="118"/>
      <c r="AP422" s="117"/>
      <c r="AQ422" s="117"/>
      <c r="AR422" s="117"/>
      <c r="AS422" s="117"/>
      <c r="AT422" s="117"/>
      <c r="AU422" s="117"/>
    </row>
    <row r="423" spans="25:47" x14ac:dyDescent="0.2">
      <c r="Y423" s="118"/>
      <c r="Z423" s="118"/>
      <c r="AA423" s="118"/>
      <c r="AB423" s="118"/>
      <c r="AC423" s="118"/>
      <c r="AD423" s="118"/>
      <c r="AE423" s="118"/>
      <c r="AF423" s="118"/>
      <c r="AG423" s="118"/>
      <c r="AH423" s="118"/>
      <c r="AI423" s="118"/>
      <c r="AJ423" s="118"/>
      <c r="AK423" s="118"/>
      <c r="AL423" s="118"/>
      <c r="AM423" s="118"/>
      <c r="AN423" s="118"/>
      <c r="AO423" s="118"/>
      <c r="AP423" s="117"/>
      <c r="AQ423" s="117"/>
      <c r="AR423" s="117"/>
      <c r="AS423" s="117"/>
      <c r="AT423" s="117"/>
      <c r="AU423" s="117"/>
    </row>
    <row r="424" spans="25:47" x14ac:dyDescent="0.2">
      <c r="Y424" s="118"/>
      <c r="Z424" s="118"/>
      <c r="AA424" s="118"/>
      <c r="AB424" s="118"/>
      <c r="AC424" s="118"/>
      <c r="AD424" s="118"/>
      <c r="AE424" s="118"/>
      <c r="AF424" s="118"/>
      <c r="AG424" s="118"/>
      <c r="AH424" s="118"/>
      <c r="AI424" s="118"/>
      <c r="AJ424" s="118"/>
      <c r="AK424" s="118"/>
      <c r="AL424" s="118"/>
      <c r="AM424" s="118"/>
      <c r="AN424" s="118"/>
      <c r="AO424" s="118"/>
      <c r="AP424" s="117"/>
      <c r="AQ424" s="117"/>
      <c r="AR424" s="117"/>
      <c r="AS424" s="117"/>
      <c r="AT424" s="117"/>
      <c r="AU424" s="117"/>
    </row>
    <row r="425" spans="25:47" x14ac:dyDescent="0.2">
      <c r="Y425" s="118"/>
      <c r="Z425" s="118"/>
      <c r="AA425" s="118"/>
      <c r="AB425" s="118"/>
      <c r="AC425" s="118"/>
      <c r="AD425" s="118"/>
      <c r="AE425" s="118"/>
      <c r="AF425" s="118"/>
      <c r="AG425" s="118"/>
      <c r="AH425" s="118"/>
      <c r="AI425" s="118"/>
      <c r="AJ425" s="118"/>
      <c r="AK425" s="118"/>
      <c r="AL425" s="118"/>
      <c r="AM425" s="118"/>
      <c r="AN425" s="118"/>
      <c r="AO425" s="118"/>
      <c r="AP425" s="117"/>
      <c r="AQ425" s="117"/>
      <c r="AR425" s="117"/>
      <c r="AS425" s="117"/>
      <c r="AT425" s="117"/>
      <c r="AU425" s="117"/>
    </row>
    <row r="426" spans="25:47" x14ac:dyDescent="0.2">
      <c r="Y426" s="118"/>
      <c r="Z426" s="118"/>
      <c r="AA426" s="118"/>
      <c r="AB426" s="118"/>
      <c r="AC426" s="118"/>
      <c r="AD426" s="118"/>
      <c r="AE426" s="118"/>
      <c r="AF426" s="118"/>
      <c r="AG426" s="118"/>
      <c r="AH426" s="118"/>
      <c r="AI426" s="118"/>
      <c r="AJ426" s="118"/>
      <c r="AK426" s="118"/>
      <c r="AL426" s="118"/>
      <c r="AM426" s="118"/>
      <c r="AN426" s="118"/>
      <c r="AO426" s="118"/>
      <c r="AP426" s="117"/>
      <c r="AQ426" s="117"/>
      <c r="AR426" s="117"/>
      <c r="AS426" s="117"/>
      <c r="AT426" s="117"/>
      <c r="AU426" s="117"/>
    </row>
    <row r="427" spans="25:47" x14ac:dyDescent="0.2">
      <c r="Y427" s="118"/>
      <c r="Z427" s="118"/>
      <c r="AA427" s="118"/>
      <c r="AB427" s="118"/>
      <c r="AC427" s="118"/>
      <c r="AD427" s="118"/>
      <c r="AE427" s="118"/>
      <c r="AF427" s="118"/>
      <c r="AG427" s="118"/>
      <c r="AH427" s="118"/>
      <c r="AI427" s="118"/>
      <c r="AJ427" s="118"/>
      <c r="AK427" s="118"/>
      <c r="AL427" s="118"/>
      <c r="AM427" s="118"/>
      <c r="AN427" s="118"/>
      <c r="AO427" s="118"/>
      <c r="AP427" s="117"/>
      <c r="AQ427" s="117"/>
      <c r="AR427" s="117"/>
      <c r="AS427" s="117"/>
      <c r="AT427" s="117"/>
      <c r="AU427" s="117"/>
    </row>
    <row r="428" spans="25:47" x14ac:dyDescent="0.2">
      <c r="Y428" s="118"/>
      <c r="Z428" s="118"/>
      <c r="AA428" s="118"/>
      <c r="AB428" s="118"/>
      <c r="AC428" s="118"/>
      <c r="AD428" s="118"/>
      <c r="AE428" s="118"/>
      <c r="AF428" s="118"/>
      <c r="AG428" s="118"/>
      <c r="AH428" s="118"/>
      <c r="AI428" s="118"/>
      <c r="AJ428" s="118"/>
      <c r="AK428" s="118"/>
      <c r="AL428" s="118"/>
      <c r="AM428" s="118"/>
      <c r="AN428" s="118"/>
      <c r="AO428" s="118"/>
      <c r="AP428" s="117"/>
      <c r="AQ428" s="117"/>
      <c r="AR428" s="117"/>
      <c r="AS428" s="117"/>
      <c r="AT428" s="117"/>
      <c r="AU428" s="117"/>
    </row>
    <row r="429" spans="25:47" x14ac:dyDescent="0.2">
      <c r="Y429" s="118"/>
      <c r="Z429" s="118"/>
      <c r="AA429" s="118"/>
      <c r="AB429" s="118"/>
      <c r="AC429" s="118"/>
      <c r="AD429" s="118"/>
      <c r="AE429" s="118"/>
      <c r="AF429" s="118"/>
      <c r="AG429" s="118"/>
      <c r="AH429" s="118"/>
      <c r="AI429" s="118"/>
      <c r="AJ429" s="118"/>
      <c r="AK429" s="118"/>
      <c r="AL429" s="118"/>
      <c r="AM429" s="118"/>
      <c r="AN429" s="118"/>
      <c r="AO429" s="118"/>
      <c r="AP429" s="117"/>
      <c r="AQ429" s="117"/>
      <c r="AR429" s="117"/>
      <c r="AS429" s="117"/>
      <c r="AT429" s="117"/>
      <c r="AU429" s="117"/>
    </row>
    <row r="430" spans="25:47" x14ac:dyDescent="0.2">
      <c r="Y430" s="118"/>
      <c r="Z430" s="118"/>
      <c r="AA430" s="118"/>
      <c r="AB430" s="118"/>
      <c r="AC430" s="118"/>
      <c r="AD430" s="118"/>
      <c r="AE430" s="118"/>
      <c r="AF430" s="118"/>
      <c r="AG430" s="118"/>
      <c r="AH430" s="118"/>
      <c r="AI430" s="118"/>
      <c r="AJ430" s="118"/>
      <c r="AK430" s="118"/>
      <c r="AL430" s="118"/>
      <c r="AM430" s="118"/>
      <c r="AN430" s="118"/>
      <c r="AO430" s="118"/>
      <c r="AP430" s="117"/>
      <c r="AQ430" s="117"/>
      <c r="AR430" s="117"/>
      <c r="AS430" s="117"/>
      <c r="AT430" s="117"/>
      <c r="AU430" s="117"/>
    </row>
    <row r="431" spans="25:47" x14ac:dyDescent="0.2">
      <c r="Y431" s="118"/>
      <c r="Z431" s="118"/>
      <c r="AA431" s="118"/>
      <c r="AB431" s="118"/>
      <c r="AC431" s="118"/>
      <c r="AD431" s="118"/>
      <c r="AE431" s="118"/>
      <c r="AF431" s="118"/>
      <c r="AG431" s="118"/>
      <c r="AH431" s="118"/>
      <c r="AI431" s="118"/>
      <c r="AJ431" s="118"/>
      <c r="AK431" s="118"/>
      <c r="AL431" s="118"/>
      <c r="AM431" s="118"/>
      <c r="AN431" s="118"/>
      <c r="AO431" s="118"/>
      <c r="AP431" s="117"/>
      <c r="AQ431" s="117"/>
      <c r="AR431" s="117"/>
      <c r="AS431" s="117"/>
      <c r="AT431" s="117"/>
      <c r="AU431" s="117"/>
    </row>
    <row r="432" spans="25:47" x14ac:dyDescent="0.2">
      <c r="Y432" s="118"/>
      <c r="Z432" s="118"/>
      <c r="AA432" s="118"/>
      <c r="AB432" s="118"/>
      <c r="AC432" s="118"/>
      <c r="AD432" s="118"/>
      <c r="AE432" s="118"/>
      <c r="AF432" s="118"/>
      <c r="AG432" s="118"/>
      <c r="AH432" s="118"/>
      <c r="AI432" s="118"/>
      <c r="AJ432" s="118"/>
      <c r="AK432" s="118"/>
      <c r="AL432" s="118"/>
      <c r="AM432" s="118"/>
      <c r="AN432" s="118"/>
      <c r="AO432" s="118"/>
      <c r="AP432" s="117"/>
      <c r="AQ432" s="117"/>
      <c r="AR432" s="117"/>
      <c r="AS432" s="117"/>
      <c r="AT432" s="117"/>
      <c r="AU432" s="117"/>
    </row>
    <row r="433" spans="25:47" x14ac:dyDescent="0.2">
      <c r="Y433" s="118"/>
      <c r="Z433" s="118"/>
      <c r="AA433" s="118"/>
      <c r="AB433" s="118"/>
      <c r="AC433" s="118"/>
      <c r="AD433" s="118"/>
      <c r="AE433" s="118"/>
      <c r="AF433" s="118"/>
      <c r="AG433" s="118"/>
      <c r="AH433" s="118"/>
      <c r="AI433" s="118"/>
      <c r="AJ433" s="118"/>
      <c r="AK433" s="118"/>
      <c r="AL433" s="118"/>
      <c r="AM433" s="118"/>
      <c r="AN433" s="118"/>
      <c r="AO433" s="118"/>
      <c r="AP433" s="117"/>
      <c r="AQ433" s="117"/>
      <c r="AR433" s="117"/>
      <c r="AS433" s="117"/>
      <c r="AT433" s="117"/>
      <c r="AU433" s="117"/>
    </row>
    <row r="434" spans="25:47" x14ac:dyDescent="0.2">
      <c r="Y434" s="118"/>
      <c r="Z434" s="118"/>
      <c r="AA434" s="118"/>
      <c r="AB434" s="118"/>
      <c r="AC434" s="118"/>
      <c r="AD434" s="118"/>
      <c r="AE434" s="118"/>
      <c r="AF434" s="118"/>
      <c r="AG434" s="118"/>
      <c r="AH434" s="118"/>
      <c r="AI434" s="118"/>
      <c r="AJ434" s="118"/>
      <c r="AK434" s="118"/>
      <c r="AL434" s="118"/>
      <c r="AM434" s="118"/>
      <c r="AN434" s="118"/>
      <c r="AO434" s="118"/>
      <c r="AP434" s="117"/>
      <c r="AQ434" s="117"/>
      <c r="AR434" s="117"/>
      <c r="AS434" s="117"/>
      <c r="AT434" s="117"/>
      <c r="AU434" s="117"/>
    </row>
    <row r="435" spans="25:47" x14ac:dyDescent="0.2">
      <c r="Y435" s="118"/>
      <c r="Z435" s="118"/>
      <c r="AA435" s="118"/>
      <c r="AB435" s="118"/>
      <c r="AC435" s="118"/>
      <c r="AD435" s="118"/>
      <c r="AE435" s="118"/>
      <c r="AF435" s="118"/>
      <c r="AG435" s="118"/>
      <c r="AH435" s="118"/>
      <c r="AI435" s="118"/>
      <c r="AJ435" s="118"/>
      <c r="AK435" s="118"/>
      <c r="AL435" s="118"/>
      <c r="AM435" s="118"/>
      <c r="AN435" s="118"/>
      <c r="AO435" s="118"/>
      <c r="AP435" s="117"/>
      <c r="AQ435" s="117"/>
      <c r="AR435" s="117"/>
      <c r="AS435" s="117"/>
      <c r="AT435" s="117"/>
      <c r="AU435" s="117"/>
    </row>
    <row r="436" spans="25:47" x14ac:dyDescent="0.2">
      <c r="Y436" s="118"/>
      <c r="Z436" s="118"/>
      <c r="AA436" s="118"/>
      <c r="AB436" s="118"/>
      <c r="AC436" s="118"/>
      <c r="AD436" s="118"/>
      <c r="AE436" s="118"/>
      <c r="AF436" s="118"/>
      <c r="AG436" s="118"/>
      <c r="AH436" s="118"/>
      <c r="AI436" s="118"/>
      <c r="AJ436" s="118"/>
      <c r="AK436" s="118"/>
      <c r="AL436" s="118"/>
      <c r="AM436" s="118"/>
      <c r="AN436" s="118"/>
      <c r="AO436" s="118"/>
      <c r="AP436" s="117"/>
      <c r="AQ436" s="117"/>
      <c r="AR436" s="117"/>
      <c r="AS436" s="117"/>
      <c r="AT436" s="117"/>
      <c r="AU436" s="117"/>
    </row>
    <row r="437" spans="25:47" x14ac:dyDescent="0.2">
      <c r="Y437" s="118"/>
      <c r="Z437" s="118"/>
      <c r="AA437" s="118"/>
      <c r="AB437" s="118"/>
      <c r="AC437" s="118"/>
      <c r="AD437" s="118"/>
      <c r="AE437" s="118"/>
      <c r="AF437" s="118"/>
      <c r="AG437" s="118"/>
      <c r="AH437" s="118"/>
      <c r="AI437" s="118"/>
      <c r="AJ437" s="118"/>
      <c r="AK437" s="118"/>
      <c r="AL437" s="118"/>
      <c r="AM437" s="118"/>
      <c r="AN437" s="118"/>
      <c r="AO437" s="118"/>
      <c r="AP437" s="117"/>
      <c r="AQ437" s="117"/>
      <c r="AR437" s="117"/>
      <c r="AS437" s="117"/>
      <c r="AT437" s="117"/>
      <c r="AU437" s="117"/>
    </row>
    <row r="438" spans="25:47" x14ac:dyDescent="0.2">
      <c r="Y438" s="118"/>
      <c r="Z438" s="118"/>
      <c r="AA438" s="118"/>
      <c r="AB438" s="118"/>
      <c r="AC438" s="118"/>
      <c r="AD438" s="118"/>
      <c r="AE438" s="118"/>
      <c r="AF438" s="118"/>
      <c r="AG438" s="118"/>
      <c r="AH438" s="118"/>
      <c r="AI438" s="118"/>
      <c r="AJ438" s="118"/>
      <c r="AK438" s="118"/>
      <c r="AL438" s="118"/>
      <c r="AM438" s="118"/>
      <c r="AN438" s="118"/>
      <c r="AO438" s="118"/>
      <c r="AP438" s="117"/>
      <c r="AQ438" s="117"/>
      <c r="AR438" s="117"/>
      <c r="AS438" s="117"/>
      <c r="AT438" s="117"/>
      <c r="AU438" s="117"/>
    </row>
    <row r="439" spans="25:47" x14ac:dyDescent="0.2">
      <c r="Y439" s="118"/>
      <c r="Z439" s="118"/>
      <c r="AA439" s="118"/>
      <c r="AB439" s="118"/>
      <c r="AC439" s="118"/>
      <c r="AD439" s="118"/>
      <c r="AE439" s="118"/>
      <c r="AF439" s="118"/>
      <c r="AG439" s="118"/>
      <c r="AH439" s="118"/>
      <c r="AI439" s="118"/>
      <c r="AJ439" s="118"/>
      <c r="AK439" s="118"/>
      <c r="AL439" s="118"/>
      <c r="AM439" s="118"/>
      <c r="AN439" s="118"/>
      <c r="AO439" s="118"/>
      <c r="AP439" s="117"/>
      <c r="AQ439" s="117"/>
      <c r="AR439" s="117"/>
      <c r="AS439" s="117"/>
      <c r="AT439" s="117"/>
      <c r="AU439" s="117"/>
    </row>
    <row r="440" spans="25:47" x14ac:dyDescent="0.2">
      <c r="Y440" s="118"/>
      <c r="Z440" s="118"/>
      <c r="AA440" s="118"/>
      <c r="AB440" s="118"/>
      <c r="AC440" s="118"/>
      <c r="AD440" s="118"/>
      <c r="AE440" s="118"/>
      <c r="AF440" s="118"/>
      <c r="AG440" s="118"/>
      <c r="AH440" s="118"/>
      <c r="AI440" s="118"/>
      <c r="AJ440" s="118"/>
      <c r="AK440" s="118"/>
      <c r="AL440" s="118"/>
      <c r="AM440" s="118"/>
      <c r="AN440" s="118"/>
      <c r="AO440" s="118"/>
      <c r="AP440" s="117"/>
      <c r="AQ440" s="117"/>
      <c r="AR440" s="117"/>
      <c r="AS440" s="117"/>
      <c r="AT440" s="117"/>
      <c r="AU440" s="117"/>
    </row>
    <row r="441" spans="25:47" x14ac:dyDescent="0.2">
      <c r="Y441" s="118"/>
      <c r="Z441" s="118"/>
      <c r="AA441" s="118"/>
      <c r="AB441" s="118"/>
      <c r="AC441" s="118"/>
      <c r="AD441" s="118"/>
      <c r="AE441" s="118"/>
      <c r="AF441" s="118"/>
      <c r="AG441" s="118"/>
      <c r="AH441" s="118"/>
      <c r="AI441" s="118"/>
      <c r="AJ441" s="118"/>
      <c r="AK441" s="118"/>
      <c r="AL441" s="118"/>
      <c r="AM441" s="118"/>
      <c r="AN441" s="118"/>
      <c r="AO441" s="118"/>
      <c r="AP441" s="117"/>
      <c r="AQ441" s="117"/>
      <c r="AR441" s="117"/>
      <c r="AS441" s="117"/>
      <c r="AT441" s="117"/>
      <c r="AU441" s="117"/>
    </row>
    <row r="442" spans="25:47" x14ac:dyDescent="0.2">
      <c r="Y442" s="118"/>
      <c r="Z442" s="118"/>
      <c r="AA442" s="118"/>
      <c r="AB442" s="118"/>
      <c r="AC442" s="118"/>
      <c r="AD442" s="118"/>
      <c r="AE442" s="118"/>
      <c r="AF442" s="118"/>
      <c r="AG442" s="118"/>
      <c r="AH442" s="118"/>
      <c r="AI442" s="118"/>
      <c r="AJ442" s="118"/>
      <c r="AK442" s="118"/>
      <c r="AL442" s="118"/>
      <c r="AM442" s="118"/>
      <c r="AN442" s="118"/>
      <c r="AO442" s="118"/>
      <c r="AP442" s="117"/>
      <c r="AQ442" s="117"/>
      <c r="AR442" s="117"/>
      <c r="AS442" s="117"/>
      <c r="AT442" s="117"/>
      <c r="AU442" s="117"/>
    </row>
    <row r="443" spans="25:47" x14ac:dyDescent="0.2">
      <c r="Y443" s="118"/>
      <c r="Z443" s="118"/>
      <c r="AA443" s="118"/>
      <c r="AB443" s="118"/>
      <c r="AC443" s="118"/>
      <c r="AD443" s="118"/>
      <c r="AE443" s="118"/>
      <c r="AF443" s="118"/>
      <c r="AG443" s="118"/>
      <c r="AH443" s="118"/>
      <c r="AI443" s="118"/>
      <c r="AJ443" s="118"/>
      <c r="AK443" s="118"/>
      <c r="AL443" s="118"/>
      <c r="AM443" s="118"/>
      <c r="AN443" s="118"/>
      <c r="AO443" s="118"/>
      <c r="AP443" s="117"/>
      <c r="AQ443" s="117"/>
      <c r="AR443" s="117"/>
      <c r="AS443" s="117"/>
      <c r="AT443" s="117"/>
      <c r="AU443" s="117"/>
    </row>
    <row r="444" spans="25:47" x14ac:dyDescent="0.2">
      <c r="Y444" s="118"/>
      <c r="Z444" s="118"/>
      <c r="AA444" s="118"/>
      <c r="AB444" s="118"/>
      <c r="AC444" s="118"/>
      <c r="AD444" s="118"/>
      <c r="AE444" s="118"/>
      <c r="AF444" s="118"/>
      <c r="AG444" s="118"/>
      <c r="AH444" s="118"/>
      <c r="AI444" s="118"/>
      <c r="AJ444" s="118"/>
      <c r="AK444" s="118"/>
      <c r="AL444" s="118"/>
      <c r="AM444" s="118"/>
      <c r="AN444" s="118"/>
      <c r="AO444" s="118"/>
      <c r="AP444" s="117"/>
      <c r="AQ444" s="117"/>
      <c r="AR444" s="117"/>
      <c r="AS444" s="117"/>
      <c r="AT444" s="117"/>
      <c r="AU444" s="117"/>
    </row>
    <row r="445" spans="25:47" x14ac:dyDescent="0.2">
      <c r="Y445" s="118"/>
      <c r="Z445" s="118"/>
      <c r="AA445" s="118"/>
      <c r="AB445" s="118"/>
      <c r="AC445" s="118"/>
      <c r="AD445" s="118"/>
      <c r="AE445" s="118"/>
      <c r="AF445" s="118"/>
      <c r="AG445" s="118"/>
      <c r="AH445" s="118"/>
      <c r="AI445" s="118"/>
      <c r="AJ445" s="118"/>
      <c r="AK445" s="118"/>
      <c r="AL445" s="118"/>
      <c r="AM445" s="118"/>
      <c r="AN445" s="118"/>
      <c r="AO445" s="118"/>
      <c r="AP445" s="117"/>
      <c r="AQ445" s="117"/>
      <c r="AR445" s="117"/>
      <c r="AS445" s="117"/>
      <c r="AT445" s="117"/>
      <c r="AU445" s="117"/>
    </row>
    <row r="446" spans="25:47" x14ac:dyDescent="0.2">
      <c r="Y446" s="118"/>
      <c r="Z446" s="118"/>
      <c r="AA446" s="118"/>
      <c r="AB446" s="118"/>
      <c r="AC446" s="118"/>
      <c r="AD446" s="118"/>
      <c r="AE446" s="118"/>
      <c r="AF446" s="118"/>
      <c r="AG446" s="118"/>
      <c r="AH446" s="118"/>
      <c r="AI446" s="118"/>
      <c r="AJ446" s="118"/>
      <c r="AK446" s="118"/>
      <c r="AL446" s="118"/>
      <c r="AM446" s="118"/>
      <c r="AN446" s="118"/>
      <c r="AO446" s="118"/>
      <c r="AP446" s="117"/>
      <c r="AQ446" s="117"/>
      <c r="AR446" s="117"/>
      <c r="AS446" s="117"/>
      <c r="AT446" s="117"/>
      <c r="AU446" s="117"/>
    </row>
    <row r="447" spans="25:47" x14ac:dyDescent="0.2">
      <c r="Y447" s="118"/>
      <c r="Z447" s="118"/>
      <c r="AA447" s="118"/>
      <c r="AB447" s="118"/>
      <c r="AC447" s="118"/>
      <c r="AD447" s="118"/>
      <c r="AE447" s="118"/>
      <c r="AF447" s="118"/>
      <c r="AG447" s="118"/>
      <c r="AH447" s="118"/>
      <c r="AI447" s="118"/>
      <c r="AJ447" s="118"/>
      <c r="AK447" s="118"/>
      <c r="AL447" s="118"/>
      <c r="AM447" s="118"/>
      <c r="AN447" s="118"/>
      <c r="AO447" s="118"/>
      <c r="AP447" s="117"/>
      <c r="AQ447" s="117"/>
      <c r="AR447" s="117"/>
      <c r="AS447" s="117"/>
      <c r="AT447" s="117"/>
      <c r="AU447" s="117"/>
    </row>
    <row r="448" spans="25:47" x14ac:dyDescent="0.2">
      <c r="Y448" s="118"/>
      <c r="Z448" s="118"/>
      <c r="AA448" s="118"/>
      <c r="AB448" s="118"/>
      <c r="AC448" s="118"/>
      <c r="AD448" s="118"/>
      <c r="AE448" s="118"/>
      <c r="AF448" s="118"/>
      <c r="AG448" s="118"/>
      <c r="AH448" s="118"/>
      <c r="AI448" s="118"/>
      <c r="AJ448" s="118"/>
      <c r="AK448" s="118"/>
      <c r="AL448" s="118"/>
      <c r="AM448" s="118"/>
      <c r="AN448" s="118"/>
      <c r="AO448" s="118"/>
      <c r="AP448" s="117"/>
      <c r="AQ448" s="117"/>
      <c r="AR448" s="117"/>
      <c r="AS448" s="117"/>
      <c r="AT448" s="117"/>
      <c r="AU448" s="117"/>
    </row>
    <row r="449" spans="25:47" x14ac:dyDescent="0.2">
      <c r="Y449" s="118"/>
      <c r="Z449" s="118"/>
      <c r="AA449" s="118"/>
      <c r="AB449" s="118"/>
      <c r="AC449" s="118"/>
      <c r="AD449" s="118"/>
      <c r="AE449" s="118"/>
      <c r="AF449" s="118"/>
      <c r="AG449" s="118"/>
      <c r="AH449" s="118"/>
      <c r="AI449" s="118"/>
      <c r="AJ449" s="118"/>
      <c r="AK449" s="118"/>
      <c r="AL449" s="118"/>
      <c r="AM449" s="118"/>
      <c r="AN449" s="118"/>
      <c r="AO449" s="118"/>
      <c r="AP449" s="117"/>
      <c r="AQ449" s="117"/>
      <c r="AR449" s="117"/>
      <c r="AS449" s="117"/>
      <c r="AT449" s="117"/>
      <c r="AU449" s="117"/>
    </row>
    <row r="450" spans="25:47" x14ac:dyDescent="0.2">
      <c r="Y450" s="118"/>
      <c r="Z450" s="118"/>
      <c r="AA450" s="118"/>
      <c r="AB450" s="118"/>
      <c r="AC450" s="118"/>
      <c r="AD450" s="118"/>
      <c r="AE450" s="118"/>
      <c r="AF450" s="118"/>
      <c r="AG450" s="118"/>
      <c r="AH450" s="118"/>
      <c r="AI450" s="118"/>
      <c r="AJ450" s="118"/>
      <c r="AK450" s="118"/>
      <c r="AL450" s="118"/>
      <c r="AM450" s="118"/>
      <c r="AN450" s="118"/>
      <c r="AO450" s="118"/>
      <c r="AP450" s="117"/>
      <c r="AQ450" s="117"/>
      <c r="AR450" s="117"/>
      <c r="AS450" s="117"/>
      <c r="AT450" s="117"/>
      <c r="AU450" s="117"/>
    </row>
    <row r="451" spans="25:47" x14ac:dyDescent="0.2">
      <c r="Y451" s="118"/>
      <c r="Z451" s="118"/>
      <c r="AA451" s="118"/>
      <c r="AB451" s="118"/>
      <c r="AC451" s="118"/>
      <c r="AD451" s="118"/>
      <c r="AE451" s="118"/>
      <c r="AF451" s="118"/>
      <c r="AG451" s="118"/>
      <c r="AH451" s="118"/>
      <c r="AI451" s="118"/>
      <c r="AJ451" s="118"/>
      <c r="AK451" s="118"/>
      <c r="AL451" s="118"/>
      <c r="AM451" s="118"/>
      <c r="AN451" s="118"/>
      <c r="AO451" s="118"/>
      <c r="AP451" s="117"/>
      <c r="AQ451" s="117"/>
      <c r="AR451" s="117"/>
      <c r="AS451" s="117"/>
      <c r="AT451" s="117"/>
      <c r="AU451" s="117"/>
    </row>
    <row r="452" spans="25:47" x14ac:dyDescent="0.2">
      <c r="Y452" s="118"/>
      <c r="Z452" s="118"/>
      <c r="AA452" s="118"/>
      <c r="AB452" s="118"/>
      <c r="AC452" s="118"/>
      <c r="AD452" s="118"/>
      <c r="AE452" s="118"/>
      <c r="AF452" s="118"/>
      <c r="AG452" s="118"/>
      <c r="AH452" s="118"/>
      <c r="AI452" s="118"/>
      <c r="AJ452" s="118"/>
      <c r="AK452" s="118"/>
      <c r="AL452" s="118"/>
      <c r="AM452" s="118"/>
      <c r="AN452" s="118"/>
      <c r="AO452" s="118"/>
      <c r="AP452" s="117"/>
      <c r="AQ452" s="117"/>
      <c r="AR452" s="117"/>
      <c r="AS452" s="117"/>
      <c r="AT452" s="117"/>
      <c r="AU452" s="117"/>
    </row>
    <row r="453" spans="25:47" x14ac:dyDescent="0.2">
      <c r="Y453" s="118"/>
      <c r="Z453" s="118"/>
      <c r="AA453" s="118"/>
      <c r="AB453" s="118"/>
      <c r="AC453" s="118"/>
      <c r="AD453" s="118"/>
      <c r="AE453" s="118"/>
      <c r="AF453" s="118"/>
      <c r="AG453" s="118"/>
      <c r="AH453" s="118"/>
      <c r="AI453" s="118"/>
      <c r="AJ453" s="118"/>
      <c r="AK453" s="118"/>
      <c r="AL453" s="118"/>
      <c r="AM453" s="118"/>
      <c r="AN453" s="118"/>
      <c r="AO453" s="118"/>
      <c r="AP453" s="117"/>
      <c r="AQ453" s="117"/>
      <c r="AR453" s="117"/>
      <c r="AS453" s="117"/>
      <c r="AT453" s="117"/>
      <c r="AU453" s="117"/>
    </row>
    <row r="454" spans="25:47" x14ac:dyDescent="0.2">
      <c r="Y454" s="118"/>
      <c r="Z454" s="118"/>
      <c r="AA454" s="118"/>
      <c r="AB454" s="118"/>
      <c r="AC454" s="118"/>
      <c r="AD454" s="118"/>
      <c r="AE454" s="118"/>
      <c r="AF454" s="118"/>
      <c r="AG454" s="118"/>
      <c r="AH454" s="118"/>
      <c r="AI454" s="118"/>
      <c r="AJ454" s="118"/>
      <c r="AK454" s="118"/>
      <c r="AL454" s="118"/>
      <c r="AM454" s="118"/>
      <c r="AN454" s="118"/>
      <c r="AO454" s="118"/>
      <c r="AP454" s="117"/>
      <c r="AQ454" s="117"/>
      <c r="AR454" s="117"/>
      <c r="AS454" s="117"/>
      <c r="AT454" s="117"/>
      <c r="AU454" s="117"/>
    </row>
    <row r="455" spans="25:47" x14ac:dyDescent="0.2">
      <c r="Y455" s="118"/>
      <c r="Z455" s="118"/>
      <c r="AA455" s="118"/>
      <c r="AB455" s="118"/>
      <c r="AC455" s="118"/>
      <c r="AD455" s="118"/>
      <c r="AE455" s="118"/>
      <c r="AF455" s="118"/>
      <c r="AG455" s="118"/>
      <c r="AH455" s="118"/>
      <c r="AI455" s="118"/>
      <c r="AJ455" s="118"/>
      <c r="AK455" s="118"/>
      <c r="AL455" s="118"/>
      <c r="AM455" s="118"/>
      <c r="AN455" s="118"/>
      <c r="AO455" s="118"/>
      <c r="AP455" s="117"/>
      <c r="AQ455" s="117"/>
      <c r="AR455" s="117"/>
      <c r="AS455" s="117"/>
      <c r="AT455" s="117"/>
      <c r="AU455" s="117"/>
    </row>
    <row r="456" spans="25:47" x14ac:dyDescent="0.2">
      <c r="Y456" s="118"/>
      <c r="Z456" s="118"/>
      <c r="AA456" s="118"/>
      <c r="AB456" s="118"/>
      <c r="AC456" s="118"/>
      <c r="AD456" s="118"/>
      <c r="AE456" s="118"/>
      <c r="AF456" s="118"/>
      <c r="AG456" s="118"/>
      <c r="AH456" s="118"/>
      <c r="AI456" s="118"/>
      <c r="AJ456" s="118"/>
      <c r="AK456" s="118"/>
      <c r="AL456" s="118"/>
      <c r="AM456" s="118"/>
      <c r="AN456" s="118"/>
      <c r="AO456" s="118"/>
      <c r="AP456" s="117"/>
      <c r="AQ456" s="117"/>
      <c r="AR456" s="117"/>
      <c r="AS456" s="117"/>
      <c r="AT456" s="117"/>
      <c r="AU456" s="117"/>
    </row>
    <row r="457" spans="25:47" x14ac:dyDescent="0.2">
      <c r="Y457" s="118"/>
      <c r="Z457" s="118"/>
      <c r="AA457" s="118"/>
      <c r="AB457" s="118"/>
      <c r="AC457" s="118"/>
      <c r="AD457" s="118"/>
      <c r="AE457" s="118"/>
      <c r="AF457" s="118"/>
      <c r="AG457" s="118"/>
      <c r="AH457" s="118"/>
      <c r="AI457" s="118"/>
      <c r="AJ457" s="118"/>
      <c r="AK457" s="118"/>
      <c r="AL457" s="118"/>
      <c r="AM457" s="118"/>
      <c r="AN457" s="118"/>
      <c r="AO457" s="118"/>
      <c r="AP457" s="117"/>
      <c r="AQ457" s="117"/>
      <c r="AR457" s="117"/>
      <c r="AS457" s="117"/>
      <c r="AT457" s="117"/>
      <c r="AU457" s="117"/>
    </row>
    <row r="458" spans="25:47" x14ac:dyDescent="0.2">
      <c r="Y458" s="118"/>
      <c r="Z458" s="118"/>
      <c r="AA458" s="118"/>
      <c r="AB458" s="118"/>
      <c r="AC458" s="118"/>
      <c r="AD458" s="118"/>
      <c r="AE458" s="118"/>
      <c r="AF458" s="118"/>
      <c r="AG458" s="118"/>
      <c r="AH458" s="118"/>
      <c r="AI458" s="118"/>
      <c r="AJ458" s="118"/>
      <c r="AK458" s="118"/>
      <c r="AL458" s="118"/>
      <c r="AM458" s="118"/>
      <c r="AN458" s="118"/>
      <c r="AO458" s="118"/>
      <c r="AP458" s="117"/>
      <c r="AQ458" s="117"/>
      <c r="AR458" s="117"/>
      <c r="AS458" s="117"/>
      <c r="AT458" s="117"/>
      <c r="AU458" s="117"/>
    </row>
    <row r="459" spans="25:47" x14ac:dyDescent="0.2">
      <c r="Y459" s="118"/>
      <c r="Z459" s="118"/>
      <c r="AA459" s="118"/>
      <c r="AB459" s="118"/>
      <c r="AC459" s="118"/>
      <c r="AD459" s="118"/>
      <c r="AE459" s="118"/>
      <c r="AF459" s="118"/>
      <c r="AG459" s="118"/>
      <c r="AH459" s="118"/>
      <c r="AI459" s="118"/>
      <c r="AJ459" s="118"/>
      <c r="AK459" s="118"/>
      <c r="AL459" s="118"/>
      <c r="AM459" s="118"/>
      <c r="AN459" s="118"/>
      <c r="AO459" s="118"/>
      <c r="AP459" s="117"/>
      <c r="AQ459" s="117"/>
      <c r="AR459" s="117"/>
      <c r="AS459" s="117"/>
      <c r="AT459" s="117"/>
      <c r="AU459" s="117"/>
    </row>
    <row r="460" spans="25:47" x14ac:dyDescent="0.2">
      <c r="Y460" s="118"/>
      <c r="Z460" s="118"/>
      <c r="AA460" s="118"/>
      <c r="AB460" s="118"/>
      <c r="AC460" s="118"/>
      <c r="AD460" s="118"/>
      <c r="AE460" s="118"/>
      <c r="AF460" s="118"/>
      <c r="AG460" s="118"/>
      <c r="AH460" s="118"/>
      <c r="AI460" s="118"/>
      <c r="AJ460" s="118"/>
      <c r="AK460" s="118"/>
      <c r="AL460" s="118"/>
      <c r="AM460" s="118"/>
      <c r="AN460" s="118"/>
      <c r="AO460" s="118"/>
      <c r="AP460" s="117"/>
      <c r="AQ460" s="117"/>
      <c r="AR460" s="117"/>
      <c r="AS460" s="117"/>
      <c r="AT460" s="117"/>
      <c r="AU460" s="117"/>
    </row>
    <row r="461" spans="25:47" x14ac:dyDescent="0.2">
      <c r="Y461" s="118"/>
      <c r="Z461" s="118"/>
      <c r="AA461" s="118"/>
      <c r="AB461" s="118"/>
      <c r="AC461" s="118"/>
      <c r="AD461" s="118"/>
      <c r="AE461" s="118"/>
      <c r="AF461" s="118"/>
      <c r="AG461" s="118"/>
      <c r="AH461" s="118"/>
      <c r="AI461" s="118"/>
      <c r="AJ461" s="118"/>
      <c r="AK461" s="118"/>
      <c r="AL461" s="118"/>
      <c r="AM461" s="118"/>
      <c r="AN461" s="118"/>
      <c r="AO461" s="118"/>
      <c r="AP461" s="117"/>
      <c r="AQ461" s="117"/>
      <c r="AR461" s="117"/>
      <c r="AS461" s="117"/>
      <c r="AT461" s="117"/>
      <c r="AU461" s="117"/>
    </row>
    <row r="462" spans="25:47" x14ac:dyDescent="0.2">
      <c r="Y462" s="118"/>
      <c r="Z462" s="118"/>
      <c r="AA462" s="118"/>
      <c r="AB462" s="118"/>
      <c r="AC462" s="118"/>
      <c r="AD462" s="118"/>
      <c r="AE462" s="118"/>
      <c r="AF462" s="118"/>
      <c r="AG462" s="118"/>
      <c r="AH462" s="118"/>
      <c r="AI462" s="118"/>
      <c r="AJ462" s="118"/>
      <c r="AK462" s="118"/>
      <c r="AL462" s="118"/>
      <c r="AM462" s="118"/>
      <c r="AN462" s="118"/>
      <c r="AO462" s="118"/>
      <c r="AP462" s="117"/>
      <c r="AQ462" s="117"/>
      <c r="AR462" s="117"/>
      <c r="AS462" s="117"/>
      <c r="AT462" s="117"/>
      <c r="AU462" s="117"/>
    </row>
    <row r="463" spans="25:47" x14ac:dyDescent="0.2">
      <c r="Y463" s="118"/>
      <c r="Z463" s="118"/>
      <c r="AA463" s="118"/>
      <c r="AB463" s="118"/>
      <c r="AC463" s="118"/>
      <c r="AD463" s="118"/>
      <c r="AE463" s="118"/>
      <c r="AF463" s="118"/>
      <c r="AG463" s="118"/>
      <c r="AH463" s="118"/>
      <c r="AI463" s="118"/>
      <c r="AJ463" s="118"/>
      <c r="AK463" s="118"/>
      <c r="AL463" s="118"/>
      <c r="AM463" s="118"/>
      <c r="AN463" s="118"/>
      <c r="AO463" s="118"/>
      <c r="AP463" s="117"/>
      <c r="AQ463" s="117"/>
      <c r="AR463" s="117"/>
      <c r="AS463" s="117"/>
      <c r="AT463" s="117"/>
      <c r="AU463" s="117"/>
    </row>
    <row r="464" spans="25:47" x14ac:dyDescent="0.2">
      <c r="Y464" s="118"/>
      <c r="Z464" s="118"/>
      <c r="AA464" s="118"/>
      <c r="AB464" s="118"/>
      <c r="AC464" s="118"/>
      <c r="AD464" s="118"/>
      <c r="AE464" s="118"/>
      <c r="AF464" s="118"/>
      <c r="AG464" s="118"/>
      <c r="AH464" s="118"/>
      <c r="AI464" s="118"/>
      <c r="AJ464" s="118"/>
      <c r="AK464" s="118"/>
      <c r="AL464" s="118"/>
      <c r="AM464" s="118"/>
      <c r="AN464" s="118"/>
      <c r="AO464" s="118"/>
      <c r="AP464" s="117"/>
      <c r="AQ464" s="117"/>
      <c r="AR464" s="117"/>
      <c r="AS464" s="117"/>
      <c r="AT464" s="117"/>
      <c r="AU464" s="117"/>
    </row>
    <row r="465" spans="25:47" x14ac:dyDescent="0.2">
      <c r="Y465" s="118"/>
      <c r="Z465" s="118"/>
      <c r="AA465" s="118"/>
      <c r="AB465" s="118"/>
      <c r="AC465" s="118"/>
      <c r="AD465" s="118"/>
      <c r="AE465" s="118"/>
      <c r="AF465" s="118"/>
      <c r="AG465" s="118"/>
      <c r="AH465" s="118"/>
      <c r="AI465" s="118"/>
      <c r="AJ465" s="118"/>
      <c r="AK465" s="118"/>
      <c r="AL465" s="118"/>
      <c r="AM465" s="118"/>
      <c r="AN465" s="118"/>
      <c r="AO465" s="118"/>
      <c r="AP465" s="117"/>
      <c r="AQ465" s="117"/>
      <c r="AR465" s="117"/>
      <c r="AS465" s="117"/>
      <c r="AT465" s="117"/>
      <c r="AU465" s="117"/>
    </row>
    <row r="466" spans="25:47" x14ac:dyDescent="0.2">
      <c r="Y466" s="118"/>
      <c r="Z466" s="118"/>
      <c r="AA466" s="118"/>
      <c r="AB466" s="118"/>
      <c r="AC466" s="118"/>
      <c r="AD466" s="118"/>
      <c r="AE466" s="118"/>
      <c r="AF466" s="118"/>
      <c r="AG466" s="118"/>
      <c r="AH466" s="118"/>
      <c r="AI466" s="118"/>
      <c r="AJ466" s="118"/>
      <c r="AK466" s="118"/>
      <c r="AL466" s="118"/>
      <c r="AM466" s="118"/>
      <c r="AN466" s="118"/>
      <c r="AO466" s="118"/>
      <c r="AP466" s="117"/>
      <c r="AQ466" s="117"/>
      <c r="AR466" s="117"/>
      <c r="AS466" s="117"/>
      <c r="AT466" s="117"/>
      <c r="AU466" s="117"/>
    </row>
    <row r="467" spans="25:47" x14ac:dyDescent="0.2">
      <c r="Y467" s="118"/>
      <c r="Z467" s="118"/>
      <c r="AA467" s="118"/>
      <c r="AB467" s="118"/>
      <c r="AC467" s="118"/>
      <c r="AD467" s="118"/>
      <c r="AE467" s="118"/>
      <c r="AF467" s="118"/>
      <c r="AG467" s="118"/>
      <c r="AH467" s="118"/>
      <c r="AI467" s="118"/>
      <c r="AJ467" s="118"/>
      <c r="AK467" s="118"/>
      <c r="AL467" s="118"/>
      <c r="AM467" s="118"/>
      <c r="AN467" s="118"/>
      <c r="AO467" s="118"/>
      <c r="AP467" s="117"/>
      <c r="AQ467" s="117"/>
      <c r="AR467" s="117"/>
      <c r="AS467" s="117"/>
      <c r="AT467" s="117"/>
      <c r="AU467" s="117"/>
    </row>
    <row r="468" spans="25:47" x14ac:dyDescent="0.2">
      <c r="Y468" s="118"/>
      <c r="Z468" s="118"/>
      <c r="AA468" s="118"/>
      <c r="AB468" s="118"/>
      <c r="AC468" s="118"/>
      <c r="AD468" s="118"/>
      <c r="AE468" s="118"/>
      <c r="AF468" s="118"/>
      <c r="AG468" s="118"/>
      <c r="AH468" s="118"/>
      <c r="AI468" s="118"/>
      <c r="AJ468" s="118"/>
      <c r="AK468" s="118"/>
      <c r="AL468" s="118"/>
      <c r="AM468" s="118"/>
      <c r="AN468" s="118"/>
      <c r="AO468" s="118"/>
      <c r="AP468" s="117"/>
      <c r="AQ468" s="117"/>
      <c r="AR468" s="117"/>
      <c r="AS468" s="117"/>
      <c r="AT468" s="117"/>
      <c r="AU468" s="117"/>
    </row>
    <row r="469" spans="25:47" x14ac:dyDescent="0.2">
      <c r="Y469" s="118"/>
      <c r="Z469" s="118"/>
      <c r="AA469" s="118"/>
      <c r="AB469" s="118"/>
      <c r="AC469" s="118"/>
      <c r="AD469" s="118"/>
      <c r="AE469" s="118"/>
      <c r="AF469" s="118"/>
      <c r="AG469" s="118"/>
      <c r="AH469" s="118"/>
      <c r="AI469" s="118"/>
      <c r="AJ469" s="118"/>
      <c r="AK469" s="118"/>
      <c r="AL469" s="118"/>
      <c r="AM469" s="118"/>
      <c r="AN469" s="118"/>
      <c r="AO469" s="118"/>
      <c r="AP469" s="117"/>
      <c r="AQ469" s="117"/>
      <c r="AR469" s="117"/>
      <c r="AS469" s="117"/>
      <c r="AT469" s="117"/>
      <c r="AU469" s="117"/>
    </row>
    <row r="470" spans="25:47" x14ac:dyDescent="0.2">
      <c r="Y470" s="118"/>
      <c r="Z470" s="118"/>
      <c r="AA470" s="118"/>
      <c r="AB470" s="118"/>
      <c r="AC470" s="118"/>
      <c r="AD470" s="118"/>
      <c r="AE470" s="118"/>
      <c r="AF470" s="118"/>
      <c r="AG470" s="118"/>
      <c r="AH470" s="118"/>
      <c r="AI470" s="118"/>
      <c r="AJ470" s="118"/>
      <c r="AK470" s="118"/>
      <c r="AL470" s="118"/>
      <c r="AM470" s="118"/>
      <c r="AN470" s="118"/>
      <c r="AO470" s="118"/>
      <c r="AP470" s="117"/>
      <c r="AQ470" s="117"/>
      <c r="AR470" s="117"/>
      <c r="AS470" s="117"/>
      <c r="AT470" s="117"/>
      <c r="AU470" s="117"/>
    </row>
    <row r="471" spans="25:47" x14ac:dyDescent="0.2">
      <c r="Y471" s="118"/>
      <c r="Z471" s="118"/>
      <c r="AA471" s="118"/>
      <c r="AB471" s="118"/>
      <c r="AC471" s="118"/>
      <c r="AD471" s="118"/>
      <c r="AE471" s="118"/>
      <c r="AF471" s="118"/>
      <c r="AG471" s="118"/>
      <c r="AH471" s="118"/>
      <c r="AI471" s="118"/>
      <c r="AJ471" s="118"/>
      <c r="AK471" s="118"/>
      <c r="AL471" s="118"/>
      <c r="AM471" s="118"/>
      <c r="AN471" s="118"/>
      <c r="AO471" s="118"/>
      <c r="AP471" s="117"/>
      <c r="AQ471" s="117"/>
      <c r="AR471" s="117"/>
      <c r="AS471" s="117"/>
      <c r="AT471" s="117"/>
      <c r="AU471" s="117"/>
    </row>
    <row r="472" spans="25:47" x14ac:dyDescent="0.2">
      <c r="Y472" s="118"/>
      <c r="Z472" s="118"/>
      <c r="AA472" s="118"/>
      <c r="AB472" s="118"/>
      <c r="AC472" s="118"/>
      <c r="AD472" s="118"/>
      <c r="AE472" s="118"/>
      <c r="AF472" s="118"/>
      <c r="AG472" s="118"/>
      <c r="AH472" s="118"/>
      <c r="AI472" s="118"/>
      <c r="AJ472" s="118"/>
      <c r="AK472" s="118"/>
      <c r="AL472" s="118"/>
      <c r="AM472" s="118"/>
      <c r="AN472" s="118"/>
      <c r="AO472" s="118"/>
      <c r="AP472" s="117"/>
      <c r="AQ472" s="117"/>
      <c r="AR472" s="117"/>
      <c r="AS472" s="117"/>
      <c r="AT472" s="117"/>
      <c r="AU472" s="117"/>
    </row>
    <row r="473" spans="25:47" x14ac:dyDescent="0.2">
      <c r="Y473" s="118"/>
      <c r="Z473" s="118"/>
      <c r="AA473" s="118"/>
      <c r="AB473" s="118"/>
      <c r="AC473" s="118"/>
      <c r="AD473" s="118"/>
      <c r="AE473" s="118"/>
      <c r="AF473" s="118"/>
      <c r="AG473" s="118"/>
      <c r="AH473" s="118"/>
      <c r="AI473" s="118"/>
      <c r="AJ473" s="118"/>
      <c r="AK473" s="118"/>
      <c r="AL473" s="118"/>
      <c r="AM473" s="118"/>
      <c r="AN473" s="118"/>
      <c r="AO473" s="118"/>
      <c r="AP473" s="117"/>
      <c r="AQ473" s="117"/>
      <c r="AR473" s="117"/>
      <c r="AS473" s="117"/>
      <c r="AT473" s="117"/>
      <c r="AU473" s="117"/>
    </row>
    <row r="474" spans="25:47" x14ac:dyDescent="0.2">
      <c r="Y474" s="118"/>
      <c r="Z474" s="118"/>
      <c r="AA474" s="118"/>
      <c r="AB474" s="118"/>
      <c r="AC474" s="118"/>
      <c r="AD474" s="118"/>
      <c r="AE474" s="118"/>
      <c r="AF474" s="118"/>
      <c r="AG474" s="118"/>
      <c r="AH474" s="118"/>
      <c r="AI474" s="118"/>
      <c r="AJ474" s="118"/>
      <c r="AK474" s="118"/>
      <c r="AL474" s="118"/>
      <c r="AM474" s="118"/>
      <c r="AN474" s="118"/>
      <c r="AO474" s="118"/>
      <c r="AP474" s="117"/>
      <c r="AQ474" s="117"/>
      <c r="AR474" s="117"/>
      <c r="AS474" s="117"/>
      <c r="AT474" s="117"/>
      <c r="AU474" s="117"/>
    </row>
    <row r="475" spans="25:47" x14ac:dyDescent="0.2">
      <c r="Y475" s="118"/>
      <c r="Z475" s="118"/>
      <c r="AA475" s="118"/>
      <c r="AB475" s="118"/>
      <c r="AC475" s="118"/>
      <c r="AD475" s="118"/>
      <c r="AE475" s="118"/>
      <c r="AF475" s="118"/>
      <c r="AG475" s="118"/>
      <c r="AH475" s="118"/>
      <c r="AI475" s="118"/>
      <c r="AJ475" s="118"/>
      <c r="AK475" s="118"/>
      <c r="AL475" s="118"/>
      <c r="AM475" s="118"/>
      <c r="AN475" s="118"/>
      <c r="AO475" s="118"/>
      <c r="AP475" s="117"/>
      <c r="AQ475" s="117"/>
      <c r="AR475" s="117"/>
      <c r="AS475" s="117"/>
      <c r="AT475" s="117"/>
      <c r="AU475" s="117"/>
    </row>
    <row r="476" spans="25:47" x14ac:dyDescent="0.2">
      <c r="Y476" s="118"/>
      <c r="Z476" s="118"/>
      <c r="AA476" s="118"/>
      <c r="AB476" s="118"/>
      <c r="AC476" s="118"/>
      <c r="AD476" s="118"/>
      <c r="AE476" s="118"/>
      <c r="AF476" s="118"/>
      <c r="AG476" s="118"/>
      <c r="AH476" s="118"/>
      <c r="AI476" s="118"/>
      <c r="AJ476" s="118"/>
      <c r="AK476" s="118"/>
      <c r="AL476" s="118"/>
      <c r="AM476" s="118"/>
      <c r="AN476" s="118"/>
      <c r="AO476" s="118"/>
      <c r="AP476" s="117"/>
      <c r="AQ476" s="117"/>
      <c r="AR476" s="117"/>
      <c r="AS476" s="117"/>
      <c r="AT476" s="117"/>
      <c r="AU476" s="117"/>
    </row>
    <row r="477" spans="25:47" x14ac:dyDescent="0.2">
      <c r="Y477" s="118"/>
      <c r="Z477" s="118"/>
      <c r="AA477" s="118"/>
      <c r="AB477" s="118"/>
      <c r="AC477" s="118"/>
      <c r="AD477" s="118"/>
      <c r="AE477" s="118"/>
      <c r="AF477" s="118"/>
      <c r="AG477" s="118"/>
      <c r="AH477" s="118"/>
      <c r="AI477" s="118"/>
      <c r="AJ477" s="118"/>
      <c r="AK477" s="118"/>
      <c r="AL477" s="118"/>
      <c r="AM477" s="118"/>
      <c r="AN477" s="118"/>
      <c r="AO477" s="118"/>
      <c r="AP477" s="117"/>
      <c r="AQ477" s="117"/>
      <c r="AR477" s="117"/>
      <c r="AS477" s="117"/>
      <c r="AT477" s="117"/>
      <c r="AU477" s="117"/>
    </row>
    <row r="478" spans="25:47" x14ac:dyDescent="0.2">
      <c r="Y478" s="118"/>
      <c r="Z478" s="118"/>
      <c r="AA478" s="118"/>
      <c r="AB478" s="118"/>
      <c r="AC478" s="118"/>
      <c r="AD478" s="118"/>
      <c r="AE478" s="118"/>
      <c r="AF478" s="118"/>
      <c r="AG478" s="118"/>
      <c r="AH478" s="118"/>
      <c r="AI478" s="118"/>
      <c r="AJ478" s="118"/>
      <c r="AK478" s="118"/>
      <c r="AL478" s="118"/>
      <c r="AM478" s="118"/>
      <c r="AN478" s="118"/>
      <c r="AO478" s="118"/>
      <c r="AP478" s="117"/>
      <c r="AQ478" s="117"/>
      <c r="AR478" s="117"/>
      <c r="AS478" s="117"/>
      <c r="AT478" s="117"/>
      <c r="AU478" s="117"/>
    </row>
    <row r="479" spans="25:47" x14ac:dyDescent="0.2">
      <c r="Y479" s="118"/>
      <c r="Z479" s="118"/>
      <c r="AA479" s="118"/>
      <c r="AB479" s="118"/>
      <c r="AC479" s="118"/>
      <c r="AD479" s="118"/>
      <c r="AE479" s="118"/>
      <c r="AF479" s="118"/>
      <c r="AG479" s="118"/>
      <c r="AH479" s="118"/>
      <c r="AI479" s="118"/>
      <c r="AJ479" s="118"/>
      <c r="AK479" s="118"/>
      <c r="AL479" s="118"/>
      <c r="AM479" s="118"/>
      <c r="AN479" s="118"/>
      <c r="AO479" s="118"/>
      <c r="AP479" s="117"/>
      <c r="AQ479" s="117"/>
      <c r="AR479" s="117"/>
      <c r="AS479" s="117"/>
      <c r="AT479" s="117"/>
      <c r="AU479" s="117"/>
    </row>
    <row r="480" spans="25:47" x14ac:dyDescent="0.2">
      <c r="Y480" s="118"/>
      <c r="Z480" s="118"/>
      <c r="AA480" s="118"/>
      <c r="AB480" s="118"/>
      <c r="AC480" s="118"/>
      <c r="AD480" s="118"/>
      <c r="AE480" s="118"/>
      <c r="AF480" s="118"/>
      <c r="AG480" s="118"/>
      <c r="AH480" s="118"/>
      <c r="AI480" s="118"/>
      <c r="AJ480" s="118"/>
      <c r="AK480" s="118"/>
      <c r="AL480" s="118"/>
      <c r="AM480" s="118"/>
      <c r="AN480" s="118"/>
      <c r="AO480" s="118"/>
      <c r="AP480" s="117"/>
      <c r="AQ480" s="117"/>
      <c r="AR480" s="117"/>
      <c r="AS480" s="117"/>
      <c r="AT480" s="117"/>
      <c r="AU480" s="117"/>
    </row>
    <row r="481" spans="25:47" x14ac:dyDescent="0.2">
      <c r="Y481" s="118"/>
      <c r="Z481" s="118"/>
      <c r="AA481" s="118"/>
      <c r="AB481" s="118"/>
      <c r="AC481" s="118"/>
      <c r="AD481" s="118"/>
      <c r="AE481" s="118"/>
      <c r="AF481" s="118"/>
      <c r="AG481" s="118"/>
      <c r="AH481" s="118"/>
      <c r="AI481" s="118"/>
      <c r="AJ481" s="118"/>
      <c r="AK481" s="118"/>
      <c r="AL481" s="118"/>
      <c r="AM481" s="118"/>
      <c r="AN481" s="118"/>
      <c r="AO481" s="118"/>
      <c r="AP481" s="117"/>
      <c r="AQ481" s="117"/>
      <c r="AR481" s="117"/>
      <c r="AS481" s="117"/>
      <c r="AT481" s="117"/>
      <c r="AU481" s="117"/>
    </row>
    <row r="482" spans="25:47" x14ac:dyDescent="0.2">
      <c r="Y482" s="118"/>
      <c r="Z482" s="118"/>
      <c r="AA482" s="118"/>
      <c r="AB482" s="118"/>
      <c r="AC482" s="118"/>
      <c r="AD482" s="118"/>
      <c r="AE482" s="118"/>
      <c r="AF482" s="118"/>
      <c r="AG482" s="118"/>
      <c r="AH482" s="118"/>
      <c r="AI482" s="118"/>
      <c r="AJ482" s="118"/>
      <c r="AK482" s="118"/>
      <c r="AL482" s="118"/>
      <c r="AM482" s="118"/>
      <c r="AN482" s="118"/>
      <c r="AO482" s="118"/>
      <c r="AP482" s="117"/>
      <c r="AQ482" s="117"/>
      <c r="AR482" s="117"/>
      <c r="AS482" s="117"/>
      <c r="AT482" s="117"/>
      <c r="AU482" s="117"/>
    </row>
    <row r="483" spans="25:47" x14ac:dyDescent="0.2">
      <c r="Y483" s="118"/>
      <c r="Z483" s="118"/>
      <c r="AA483" s="118"/>
      <c r="AB483" s="118"/>
      <c r="AC483" s="118"/>
      <c r="AD483" s="118"/>
      <c r="AE483" s="118"/>
      <c r="AF483" s="118"/>
      <c r="AG483" s="118"/>
      <c r="AH483" s="118"/>
      <c r="AI483" s="118"/>
      <c r="AJ483" s="118"/>
      <c r="AK483" s="118"/>
      <c r="AL483" s="118"/>
      <c r="AM483" s="118"/>
      <c r="AN483" s="118"/>
      <c r="AO483" s="118"/>
      <c r="AP483" s="117"/>
      <c r="AQ483" s="117"/>
      <c r="AR483" s="117"/>
      <c r="AS483" s="117"/>
      <c r="AT483" s="117"/>
      <c r="AU483" s="117"/>
    </row>
    <row r="484" spans="25:47" x14ac:dyDescent="0.2">
      <c r="Y484" s="118"/>
      <c r="Z484" s="118"/>
      <c r="AA484" s="118"/>
      <c r="AB484" s="118"/>
      <c r="AC484" s="118"/>
      <c r="AD484" s="118"/>
      <c r="AE484" s="118"/>
      <c r="AF484" s="118"/>
      <c r="AG484" s="118"/>
      <c r="AH484" s="118"/>
      <c r="AI484" s="118"/>
      <c r="AJ484" s="118"/>
      <c r="AK484" s="118"/>
      <c r="AL484" s="118"/>
      <c r="AM484" s="118"/>
      <c r="AN484" s="118"/>
      <c r="AO484" s="118"/>
      <c r="AP484" s="117"/>
      <c r="AQ484" s="117"/>
      <c r="AR484" s="117"/>
      <c r="AS484" s="117"/>
      <c r="AT484" s="117"/>
      <c r="AU484" s="117"/>
    </row>
    <row r="485" spans="25:47" x14ac:dyDescent="0.2">
      <c r="Y485" s="118"/>
      <c r="Z485" s="118"/>
      <c r="AA485" s="118"/>
      <c r="AB485" s="118"/>
      <c r="AC485" s="118"/>
      <c r="AD485" s="118"/>
      <c r="AE485" s="118"/>
      <c r="AF485" s="118"/>
      <c r="AG485" s="118"/>
      <c r="AH485" s="118"/>
      <c r="AI485" s="118"/>
      <c r="AJ485" s="118"/>
      <c r="AK485" s="118"/>
      <c r="AL485" s="118"/>
      <c r="AM485" s="118"/>
      <c r="AN485" s="118"/>
      <c r="AO485" s="118"/>
      <c r="AP485" s="117"/>
      <c r="AQ485" s="117"/>
      <c r="AR485" s="117"/>
      <c r="AS485" s="117"/>
      <c r="AT485" s="117"/>
      <c r="AU485" s="117"/>
    </row>
    <row r="486" spans="25:47" x14ac:dyDescent="0.2">
      <c r="Y486" s="118"/>
      <c r="Z486" s="118"/>
      <c r="AA486" s="118"/>
      <c r="AB486" s="118"/>
      <c r="AC486" s="118"/>
      <c r="AD486" s="118"/>
      <c r="AE486" s="118"/>
      <c r="AF486" s="118"/>
      <c r="AG486" s="118"/>
      <c r="AH486" s="118"/>
      <c r="AI486" s="118"/>
      <c r="AJ486" s="118"/>
      <c r="AK486" s="118"/>
      <c r="AL486" s="118"/>
      <c r="AM486" s="118"/>
      <c r="AN486" s="118"/>
      <c r="AO486" s="118"/>
      <c r="AP486" s="117"/>
      <c r="AQ486" s="117"/>
      <c r="AR486" s="117"/>
      <c r="AS486" s="117"/>
      <c r="AT486" s="117"/>
      <c r="AU486" s="117"/>
    </row>
    <row r="487" spans="25:47" x14ac:dyDescent="0.2">
      <c r="Y487" s="118"/>
      <c r="Z487" s="118"/>
      <c r="AA487" s="118"/>
      <c r="AB487" s="118"/>
      <c r="AC487" s="118"/>
      <c r="AD487" s="118"/>
      <c r="AE487" s="118"/>
      <c r="AF487" s="118"/>
      <c r="AG487" s="118"/>
      <c r="AH487" s="118"/>
      <c r="AI487" s="118"/>
      <c r="AJ487" s="118"/>
      <c r="AK487" s="118"/>
      <c r="AL487" s="118"/>
      <c r="AM487" s="118"/>
      <c r="AN487" s="118"/>
      <c r="AO487" s="118"/>
      <c r="AP487" s="117"/>
      <c r="AQ487" s="117"/>
      <c r="AR487" s="117"/>
      <c r="AS487" s="117"/>
      <c r="AT487" s="117"/>
      <c r="AU487" s="117"/>
    </row>
    <row r="488" spans="25:47" x14ac:dyDescent="0.2">
      <c r="Y488" s="118"/>
      <c r="Z488" s="118"/>
      <c r="AA488" s="118"/>
      <c r="AB488" s="118"/>
      <c r="AC488" s="118"/>
      <c r="AD488" s="118"/>
      <c r="AE488" s="118"/>
      <c r="AF488" s="118"/>
      <c r="AG488" s="118"/>
      <c r="AH488" s="118"/>
      <c r="AI488" s="118"/>
      <c r="AJ488" s="118"/>
      <c r="AK488" s="118"/>
      <c r="AL488" s="118"/>
      <c r="AM488" s="118"/>
      <c r="AN488" s="118"/>
      <c r="AO488" s="118"/>
      <c r="AP488" s="117"/>
      <c r="AQ488" s="117"/>
      <c r="AR488" s="117"/>
      <c r="AS488" s="117"/>
      <c r="AT488" s="117"/>
      <c r="AU488" s="117"/>
    </row>
    <row r="489" spans="25:47" x14ac:dyDescent="0.2">
      <c r="Y489" s="118"/>
      <c r="Z489" s="118"/>
      <c r="AA489" s="118"/>
      <c r="AB489" s="118"/>
      <c r="AC489" s="118"/>
      <c r="AD489" s="118"/>
      <c r="AE489" s="118"/>
      <c r="AF489" s="118"/>
      <c r="AG489" s="118"/>
      <c r="AH489" s="118"/>
      <c r="AI489" s="118"/>
      <c r="AJ489" s="118"/>
      <c r="AK489" s="118"/>
      <c r="AL489" s="118"/>
      <c r="AM489" s="118"/>
      <c r="AN489" s="118"/>
      <c r="AO489" s="118"/>
      <c r="AP489" s="117"/>
      <c r="AQ489" s="117"/>
      <c r="AR489" s="117"/>
      <c r="AS489" s="117"/>
      <c r="AT489" s="117"/>
      <c r="AU489" s="117"/>
    </row>
    <row r="490" spans="25:47" x14ac:dyDescent="0.2">
      <c r="Y490" s="118"/>
      <c r="Z490" s="118"/>
      <c r="AA490" s="118"/>
      <c r="AB490" s="118"/>
      <c r="AC490" s="118"/>
      <c r="AD490" s="118"/>
      <c r="AE490" s="118"/>
      <c r="AF490" s="118"/>
      <c r="AG490" s="118"/>
      <c r="AH490" s="118"/>
      <c r="AI490" s="118"/>
      <c r="AJ490" s="118"/>
      <c r="AK490" s="118"/>
      <c r="AL490" s="118"/>
      <c r="AM490" s="118"/>
      <c r="AN490" s="118"/>
      <c r="AO490" s="118"/>
      <c r="AP490" s="117"/>
      <c r="AQ490" s="117"/>
      <c r="AR490" s="117"/>
      <c r="AS490" s="117"/>
      <c r="AT490" s="117"/>
      <c r="AU490" s="117"/>
    </row>
    <row r="491" spans="25:47" x14ac:dyDescent="0.2">
      <c r="Y491" s="118"/>
      <c r="Z491" s="118"/>
      <c r="AA491" s="118"/>
      <c r="AB491" s="118"/>
      <c r="AC491" s="118"/>
      <c r="AD491" s="118"/>
      <c r="AE491" s="118"/>
      <c r="AF491" s="118"/>
      <c r="AG491" s="118"/>
      <c r="AH491" s="118"/>
      <c r="AI491" s="118"/>
      <c r="AJ491" s="118"/>
      <c r="AK491" s="118"/>
      <c r="AL491" s="118"/>
      <c r="AM491" s="118"/>
      <c r="AN491" s="118"/>
      <c r="AO491" s="118"/>
      <c r="AP491" s="117"/>
      <c r="AQ491" s="117"/>
      <c r="AR491" s="117"/>
      <c r="AS491" s="117"/>
      <c r="AT491" s="117"/>
      <c r="AU491" s="117"/>
    </row>
    <row r="492" spans="25:47" x14ac:dyDescent="0.2">
      <c r="Y492" s="118"/>
      <c r="Z492" s="118"/>
      <c r="AA492" s="118"/>
      <c r="AB492" s="118"/>
      <c r="AC492" s="118"/>
      <c r="AD492" s="118"/>
      <c r="AE492" s="118"/>
      <c r="AF492" s="118"/>
      <c r="AG492" s="118"/>
      <c r="AH492" s="118"/>
      <c r="AI492" s="118"/>
      <c r="AJ492" s="118"/>
      <c r="AK492" s="118"/>
      <c r="AL492" s="118"/>
      <c r="AM492" s="118"/>
      <c r="AN492" s="118"/>
      <c r="AO492" s="118"/>
      <c r="AP492" s="117"/>
      <c r="AQ492" s="117"/>
      <c r="AR492" s="117"/>
      <c r="AS492" s="117"/>
      <c r="AT492" s="117"/>
      <c r="AU492" s="117"/>
    </row>
    <row r="493" spans="25:47" x14ac:dyDescent="0.2">
      <c r="Y493" s="118"/>
      <c r="Z493" s="118"/>
      <c r="AA493" s="118"/>
      <c r="AB493" s="118"/>
      <c r="AC493" s="118"/>
      <c r="AD493" s="118"/>
      <c r="AE493" s="118"/>
      <c r="AF493" s="118"/>
      <c r="AG493" s="118"/>
      <c r="AH493" s="118"/>
      <c r="AI493" s="118"/>
      <c r="AJ493" s="118"/>
      <c r="AK493" s="118"/>
      <c r="AL493" s="118"/>
      <c r="AM493" s="118"/>
      <c r="AN493" s="118"/>
      <c r="AO493" s="118"/>
      <c r="AP493" s="117"/>
      <c r="AQ493" s="117"/>
      <c r="AR493" s="117"/>
      <c r="AS493" s="117"/>
      <c r="AT493" s="117"/>
      <c r="AU493" s="117"/>
    </row>
    <row r="494" spans="25:47" x14ac:dyDescent="0.2">
      <c r="Y494" s="118"/>
      <c r="Z494" s="118"/>
      <c r="AA494" s="118"/>
      <c r="AB494" s="118"/>
      <c r="AC494" s="118"/>
      <c r="AD494" s="118"/>
      <c r="AE494" s="118"/>
      <c r="AF494" s="118"/>
      <c r="AG494" s="118"/>
      <c r="AH494" s="118"/>
      <c r="AI494" s="118"/>
      <c r="AJ494" s="118"/>
      <c r="AK494" s="118"/>
      <c r="AL494" s="118"/>
      <c r="AM494" s="118"/>
      <c r="AN494" s="118"/>
      <c r="AO494" s="118"/>
      <c r="AP494" s="117"/>
      <c r="AQ494" s="117"/>
      <c r="AR494" s="117"/>
      <c r="AS494" s="117"/>
      <c r="AT494" s="117"/>
      <c r="AU494" s="117"/>
    </row>
    <row r="495" spans="25:47" x14ac:dyDescent="0.2">
      <c r="Y495" s="118"/>
      <c r="Z495" s="118"/>
      <c r="AA495" s="118"/>
      <c r="AB495" s="118"/>
      <c r="AC495" s="118"/>
      <c r="AD495" s="118"/>
      <c r="AE495" s="118"/>
      <c r="AF495" s="118"/>
      <c r="AG495" s="118"/>
      <c r="AH495" s="118"/>
      <c r="AI495" s="118"/>
      <c r="AJ495" s="118"/>
      <c r="AK495" s="118"/>
      <c r="AL495" s="118"/>
      <c r="AM495" s="118"/>
      <c r="AN495" s="118"/>
      <c r="AO495" s="118"/>
      <c r="AP495" s="117"/>
      <c r="AQ495" s="117"/>
      <c r="AR495" s="117"/>
      <c r="AS495" s="117"/>
      <c r="AT495" s="117"/>
      <c r="AU495" s="117"/>
    </row>
    <row r="496" spans="25:47" x14ac:dyDescent="0.2">
      <c r="Y496" s="118"/>
      <c r="Z496" s="118"/>
      <c r="AA496" s="118"/>
      <c r="AB496" s="118"/>
      <c r="AC496" s="118"/>
      <c r="AD496" s="118"/>
      <c r="AE496" s="118"/>
      <c r="AF496" s="118"/>
      <c r="AG496" s="118"/>
      <c r="AH496" s="118"/>
      <c r="AI496" s="118"/>
      <c r="AJ496" s="118"/>
      <c r="AK496" s="118"/>
      <c r="AL496" s="118"/>
      <c r="AM496" s="118"/>
      <c r="AN496" s="118"/>
      <c r="AO496" s="118"/>
      <c r="AP496" s="117"/>
      <c r="AQ496" s="117"/>
      <c r="AR496" s="117"/>
      <c r="AS496" s="117"/>
      <c r="AT496" s="117"/>
      <c r="AU496" s="117"/>
    </row>
    <row r="497" spans="25:47" x14ac:dyDescent="0.2">
      <c r="Y497" s="118"/>
      <c r="Z497" s="118"/>
      <c r="AA497" s="118"/>
      <c r="AB497" s="118"/>
      <c r="AC497" s="118"/>
      <c r="AD497" s="118"/>
      <c r="AE497" s="118"/>
      <c r="AF497" s="118"/>
      <c r="AG497" s="118"/>
      <c r="AH497" s="118"/>
      <c r="AI497" s="118"/>
      <c r="AJ497" s="118"/>
      <c r="AK497" s="118"/>
      <c r="AL497" s="118"/>
      <c r="AM497" s="118"/>
      <c r="AN497" s="118"/>
      <c r="AO497" s="118"/>
      <c r="AP497" s="117"/>
      <c r="AQ497" s="117"/>
      <c r="AR497" s="117"/>
      <c r="AS497" s="117"/>
      <c r="AT497" s="117"/>
      <c r="AU497" s="117"/>
    </row>
    <row r="498" spans="25:47" x14ac:dyDescent="0.2">
      <c r="Y498" s="118"/>
      <c r="Z498" s="118"/>
      <c r="AA498" s="118"/>
      <c r="AB498" s="118"/>
      <c r="AC498" s="118"/>
      <c r="AD498" s="118"/>
      <c r="AE498" s="118"/>
      <c r="AF498" s="118"/>
      <c r="AG498" s="118"/>
      <c r="AH498" s="118"/>
      <c r="AI498" s="118"/>
      <c r="AJ498" s="118"/>
      <c r="AK498" s="118"/>
      <c r="AL498" s="118"/>
      <c r="AM498" s="118"/>
      <c r="AN498" s="118"/>
      <c r="AO498" s="118"/>
      <c r="AP498" s="117"/>
      <c r="AQ498" s="117"/>
      <c r="AR498" s="117"/>
      <c r="AS498" s="117"/>
      <c r="AT498" s="117"/>
      <c r="AU498" s="117"/>
    </row>
    <row r="499" spans="25:47" x14ac:dyDescent="0.2">
      <c r="Y499" s="118"/>
      <c r="Z499" s="118"/>
      <c r="AA499" s="118"/>
      <c r="AB499" s="118"/>
      <c r="AC499" s="118"/>
      <c r="AD499" s="118"/>
      <c r="AE499" s="118"/>
      <c r="AF499" s="118"/>
      <c r="AG499" s="118"/>
      <c r="AH499" s="118"/>
      <c r="AI499" s="118"/>
      <c r="AJ499" s="118"/>
      <c r="AK499" s="118"/>
      <c r="AL499" s="118"/>
      <c r="AM499" s="118"/>
      <c r="AN499" s="118"/>
      <c r="AO499" s="118"/>
      <c r="AP499" s="117"/>
      <c r="AQ499" s="117"/>
      <c r="AR499" s="117"/>
      <c r="AS499" s="117"/>
      <c r="AT499" s="117"/>
      <c r="AU499" s="117"/>
    </row>
    <row r="500" spans="25:47" x14ac:dyDescent="0.2">
      <c r="Y500" s="118"/>
      <c r="Z500" s="118"/>
      <c r="AA500" s="118"/>
      <c r="AB500" s="118"/>
      <c r="AC500" s="118"/>
      <c r="AD500" s="118"/>
      <c r="AE500" s="118"/>
      <c r="AF500" s="118"/>
      <c r="AG500" s="118"/>
      <c r="AH500" s="118"/>
      <c r="AI500" s="118"/>
      <c r="AJ500" s="118"/>
      <c r="AK500" s="118"/>
      <c r="AL500" s="118"/>
      <c r="AM500" s="118"/>
      <c r="AN500" s="118"/>
      <c r="AO500" s="118"/>
      <c r="AP500" s="117"/>
      <c r="AQ500" s="117"/>
      <c r="AR500" s="117"/>
      <c r="AS500" s="117"/>
      <c r="AT500" s="117"/>
      <c r="AU500" s="117"/>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2060"/>
  </sheetPr>
  <dimension ref="A1:BX76"/>
  <sheetViews>
    <sheetView showGridLines="0" topLeftCell="A10" workbookViewId="0">
      <selection activeCell="W53" sqref="W53"/>
    </sheetView>
  </sheetViews>
  <sheetFormatPr defaultColWidth="9.33203125" defaultRowHeight="12" x14ac:dyDescent="0.2"/>
  <cols>
    <col min="1" max="1" width="10" customWidth="1"/>
    <col min="2" max="2" width="26.6640625" customWidth="1"/>
    <col min="3" max="3" width="23.33203125" customWidth="1"/>
    <col min="4" max="4" width="24.1640625" customWidth="1"/>
    <col min="5" max="5" width="2.6640625" customWidth="1"/>
    <col min="6" max="6" width="7" customWidth="1"/>
    <col min="7" max="9" width="11.6640625" style="1" customWidth="1"/>
    <col min="10" max="10" width="6.6640625" customWidth="1"/>
    <col min="11" max="11" width="3" customWidth="1"/>
    <col min="12" max="28" width="9.33203125" customWidth="1"/>
    <col min="29" max="29" width="3.6640625" customWidth="1"/>
    <col min="30" max="30" width="25.1640625" style="28" customWidth="1"/>
    <col min="31" max="32" width="9.5" style="1" bestFit="1" customWidth="1"/>
    <col min="33" max="33" width="10.5" style="1" bestFit="1" customWidth="1"/>
    <col min="34" max="34" width="9.5" style="1" bestFit="1" customWidth="1"/>
    <col min="35" max="36" width="10.5" style="1" bestFit="1" customWidth="1"/>
    <col min="37" max="37" width="9.5" style="1" bestFit="1" customWidth="1"/>
    <col min="38" max="39" width="10.5" style="1" bestFit="1" customWidth="1"/>
    <col min="40" max="40" width="9.5" style="1" bestFit="1" customWidth="1"/>
    <col min="41" max="42" width="10.5" style="1" bestFit="1" customWidth="1"/>
    <col min="43" max="43" width="9.5" style="1" bestFit="1" customWidth="1"/>
    <col min="44" max="44" width="10.5" style="1" bestFit="1" customWidth="1"/>
    <col min="45" max="46" width="9.5" style="1" bestFit="1" customWidth="1"/>
    <col min="47" max="48" width="10.5" style="1" bestFit="1" customWidth="1"/>
    <col min="49" max="50" width="9.5" style="1" bestFit="1" customWidth="1"/>
    <col min="51" max="51" width="10.5" style="1" bestFit="1" customWidth="1"/>
  </cols>
  <sheetData>
    <row r="1" spans="1:76" x14ac:dyDescent="0.2">
      <c r="A1" s="552" t="s">
        <v>84</v>
      </c>
      <c r="B1" s="338" t="s">
        <v>81</v>
      </c>
      <c r="C1" s="337" t="s">
        <v>82</v>
      </c>
      <c r="D1" s="554" t="s">
        <v>302</v>
      </c>
      <c r="F1" s="362" t="s">
        <v>380</v>
      </c>
      <c r="G1" s="363"/>
      <c r="H1" s="364">
        <v>1</v>
      </c>
      <c r="I1" s="411" t="s">
        <v>381</v>
      </c>
      <c r="J1" s="365"/>
    </row>
    <row r="2" spans="1:76" x14ac:dyDescent="0.2">
      <c r="A2" s="359" t="s">
        <v>268</v>
      </c>
      <c r="B2" s="293" t="s">
        <v>263</v>
      </c>
      <c r="C2" s="600">
        <v>400</v>
      </c>
      <c r="D2" s="295" t="s">
        <v>67</v>
      </c>
      <c r="F2" s="366" t="s">
        <v>364</v>
      </c>
      <c r="G2" s="367"/>
      <c r="H2" s="368">
        <v>1</v>
      </c>
      <c r="I2" s="412" t="s">
        <v>381</v>
      </c>
      <c r="J2" s="369"/>
    </row>
    <row r="3" spans="1:76" x14ac:dyDescent="0.2">
      <c r="A3" s="360" t="s">
        <v>51</v>
      </c>
      <c r="B3" s="49" t="s">
        <v>51</v>
      </c>
      <c r="C3" s="601">
        <v>33.119998932000001</v>
      </c>
      <c r="D3" s="296" t="s">
        <v>75</v>
      </c>
      <c r="F3" s="370" t="s">
        <v>365</v>
      </c>
      <c r="G3" s="328"/>
      <c r="H3" s="328">
        <v>60</v>
      </c>
      <c r="I3" s="328"/>
      <c r="J3" s="329"/>
      <c r="AD3" s="335" t="s">
        <v>81</v>
      </c>
      <c r="AE3" s="336"/>
      <c r="AF3" s="337"/>
      <c r="AG3" s="337"/>
      <c r="AH3" s="337"/>
      <c r="AI3" s="337"/>
      <c r="AJ3" s="337"/>
      <c r="AK3" s="337"/>
      <c r="AL3" s="337"/>
      <c r="AM3" s="337"/>
      <c r="AN3" s="337"/>
      <c r="AO3" s="337"/>
      <c r="AP3" s="337"/>
      <c r="AQ3" s="337"/>
      <c r="AR3" s="337"/>
      <c r="AS3" s="337"/>
      <c r="AT3" s="337"/>
      <c r="AU3" s="337"/>
      <c r="AV3" s="337"/>
      <c r="AW3" s="337"/>
      <c r="AX3" s="337"/>
      <c r="AY3" s="337"/>
      <c r="AZ3" s="338"/>
      <c r="BA3" s="338"/>
      <c r="BB3" s="338"/>
      <c r="BC3" s="338"/>
      <c r="BD3" s="338"/>
      <c r="BE3" s="338"/>
      <c r="BF3" s="338"/>
      <c r="BG3" s="338"/>
      <c r="BH3" s="338"/>
      <c r="BI3" s="338"/>
      <c r="BJ3" s="338"/>
      <c r="BK3" s="338"/>
      <c r="BL3" s="338"/>
      <c r="BM3" s="338"/>
      <c r="BN3" s="338"/>
      <c r="BO3" s="338"/>
      <c r="BP3" s="338"/>
      <c r="BQ3" s="338"/>
      <c r="BR3" s="338"/>
      <c r="BS3" s="338"/>
      <c r="BT3" s="338"/>
      <c r="BU3" s="338"/>
      <c r="BV3" s="338"/>
      <c r="BW3" s="338"/>
      <c r="BX3" s="339"/>
    </row>
    <row r="4" spans="1:76" x14ac:dyDescent="0.2">
      <c r="A4" s="360" t="s">
        <v>53</v>
      </c>
      <c r="B4" s="49" t="s">
        <v>53</v>
      </c>
      <c r="C4" s="601">
        <v>56320.5</v>
      </c>
      <c r="D4" s="296" t="s">
        <v>75</v>
      </c>
      <c r="F4" s="371" t="s">
        <v>366</v>
      </c>
      <c r="G4" s="330"/>
      <c r="H4" s="330">
        <v>10000</v>
      </c>
      <c r="I4" s="330"/>
      <c r="J4" s="314"/>
      <c r="AD4" s="340" t="s">
        <v>130</v>
      </c>
      <c r="AE4" s="341">
        <v>0</v>
      </c>
      <c r="AF4" s="342">
        <v>5</v>
      </c>
      <c r="AG4" s="342">
        <v>10</v>
      </c>
      <c r="AH4" s="342">
        <v>20</v>
      </c>
      <c r="AI4" s="342">
        <v>30</v>
      </c>
      <c r="AJ4" s="342">
        <v>37</v>
      </c>
      <c r="AK4" s="342">
        <v>40</v>
      </c>
      <c r="AL4" s="342"/>
      <c r="AM4" s="342"/>
      <c r="AN4" s="342"/>
      <c r="AO4" s="342"/>
      <c r="AP4" s="342"/>
      <c r="AQ4" s="342"/>
      <c r="AR4" s="342"/>
      <c r="AS4" s="342"/>
      <c r="AT4" s="342"/>
      <c r="AU4" s="342"/>
      <c r="AV4" s="342"/>
      <c r="AW4" s="342"/>
      <c r="AX4" s="342"/>
      <c r="AY4" s="342"/>
      <c r="AZ4" s="343"/>
      <c r="BA4" s="343"/>
      <c r="BB4" s="343"/>
      <c r="BC4" s="343"/>
      <c r="BD4" s="343"/>
      <c r="BE4" s="343"/>
      <c r="BF4" s="343"/>
      <c r="BG4" s="343"/>
      <c r="BH4" s="343"/>
      <c r="BI4" s="343"/>
      <c r="BJ4" s="343"/>
      <c r="BK4" s="343"/>
      <c r="BL4" s="343"/>
      <c r="BM4" s="343"/>
      <c r="BN4" s="343"/>
      <c r="BO4" s="343"/>
      <c r="BP4" s="343"/>
      <c r="BQ4" s="343"/>
      <c r="BR4" s="343"/>
      <c r="BS4" s="343"/>
      <c r="BT4" s="343"/>
      <c r="BU4" s="343"/>
      <c r="BV4" s="343"/>
      <c r="BW4" s="343"/>
      <c r="BX4" s="344"/>
    </row>
    <row r="5" spans="1:76" x14ac:dyDescent="0.2">
      <c r="A5" s="360" t="s">
        <v>270</v>
      </c>
      <c r="B5" s="49" t="s">
        <v>296</v>
      </c>
      <c r="C5" s="28" t="s">
        <v>341</v>
      </c>
      <c r="D5" s="388">
        <v>7</v>
      </c>
      <c r="F5" s="354" t="s">
        <v>10</v>
      </c>
      <c r="G5" s="3" t="s">
        <v>360</v>
      </c>
      <c r="H5" s="3" t="s">
        <v>361</v>
      </c>
      <c r="I5" s="3" t="s">
        <v>362</v>
      </c>
      <c r="J5" s="373" t="s">
        <v>200</v>
      </c>
      <c r="AD5" s="345" t="s">
        <v>347</v>
      </c>
      <c r="AE5" s="346"/>
      <c r="AF5" s="347"/>
      <c r="AG5" s="347"/>
      <c r="AH5" s="347"/>
      <c r="AI5" s="347"/>
      <c r="AJ5" s="347"/>
      <c r="AK5" s="347"/>
      <c r="AL5" s="347"/>
      <c r="AM5" s="347"/>
      <c r="AN5" s="347"/>
      <c r="AO5" s="347"/>
      <c r="AP5" s="347"/>
      <c r="AQ5" s="347"/>
      <c r="AR5" s="347"/>
      <c r="AS5" s="347"/>
      <c r="AT5" s="347"/>
      <c r="AU5" s="347"/>
      <c r="AV5" s="347"/>
      <c r="AW5" s="347"/>
      <c r="AX5" s="347"/>
      <c r="AY5" s="347"/>
      <c r="AZ5" s="348"/>
      <c r="BA5" s="348"/>
      <c r="BB5" s="348"/>
      <c r="BC5" s="348"/>
      <c r="BD5" s="348"/>
      <c r="BE5" s="348"/>
      <c r="BF5" s="348"/>
      <c r="BG5" s="348"/>
      <c r="BH5" s="348"/>
      <c r="BI5" s="348"/>
      <c r="BJ5" s="348"/>
      <c r="BK5" s="348"/>
      <c r="BL5" s="348"/>
      <c r="BM5" s="348"/>
      <c r="BN5" s="348"/>
      <c r="BO5" s="348"/>
      <c r="BP5" s="348"/>
      <c r="BQ5" s="348"/>
      <c r="BR5" s="348"/>
      <c r="BS5" s="348"/>
      <c r="BT5" s="348"/>
      <c r="BU5" s="348"/>
      <c r="BV5" s="348"/>
      <c r="BW5" s="348"/>
      <c r="BX5" s="349"/>
    </row>
    <row r="6" spans="1:76" x14ac:dyDescent="0.2">
      <c r="A6" s="360"/>
      <c r="B6" s="86" t="s">
        <v>297</v>
      </c>
      <c r="C6" s="294">
        <v>1</v>
      </c>
      <c r="D6" s="388"/>
      <c r="F6" s="355"/>
      <c r="G6" s="361" t="str">
        <f>+B19</f>
        <v>Skin</v>
      </c>
      <c r="H6" s="361" t="str">
        <f>+C19</f>
        <v>Select Variable</v>
      </c>
      <c r="I6" s="361">
        <f>+D19</f>
        <v>0</v>
      </c>
      <c r="J6" s="321"/>
      <c r="AD6" s="350"/>
      <c r="AE6" s="331"/>
      <c r="AF6" s="332"/>
      <c r="AG6" s="332"/>
      <c r="AH6" s="332"/>
      <c r="AI6" s="332"/>
      <c r="AJ6" s="332"/>
      <c r="AK6" s="332"/>
      <c r="AL6" s="332"/>
      <c r="AM6" s="332"/>
      <c r="AN6" s="332"/>
      <c r="AO6" s="332"/>
      <c r="AP6" s="332"/>
      <c r="AQ6" s="332"/>
      <c r="AR6" s="332"/>
      <c r="AS6" s="332"/>
      <c r="AT6" s="332"/>
      <c r="AU6" s="332"/>
      <c r="AV6" s="332"/>
      <c r="AW6" s="332"/>
      <c r="AX6" s="332"/>
      <c r="AY6" s="332"/>
      <c r="AZ6" s="333"/>
      <c r="BA6" s="333"/>
      <c r="BB6" s="333"/>
      <c r="BC6" s="333"/>
      <c r="BD6" s="333"/>
      <c r="BE6" s="333"/>
      <c r="BF6" s="333"/>
      <c r="BG6" s="333"/>
      <c r="BH6" s="333"/>
      <c r="BI6" s="333"/>
      <c r="BJ6" s="333"/>
      <c r="BK6" s="333"/>
      <c r="BL6" s="333"/>
      <c r="BM6" s="333"/>
      <c r="BN6" s="333"/>
      <c r="BO6" s="333"/>
      <c r="BP6" s="333"/>
      <c r="BQ6" s="333"/>
      <c r="BR6" s="333"/>
      <c r="BS6" s="333"/>
      <c r="BT6" s="333"/>
      <c r="BU6" s="333"/>
      <c r="BV6" s="333"/>
      <c r="BW6" s="333"/>
      <c r="BX6" s="334"/>
    </row>
    <row r="7" spans="1:76" x14ac:dyDescent="0.2">
      <c r="A7" s="360"/>
      <c r="B7" s="86" t="s">
        <v>298</v>
      </c>
      <c r="C7" s="294">
        <v>1</v>
      </c>
      <c r="D7" s="388"/>
      <c r="F7" s="357">
        <v>0</v>
      </c>
      <c r="G7" s="220">
        <v>0</v>
      </c>
      <c r="H7" s="220"/>
      <c r="I7" s="220"/>
      <c r="J7" s="351">
        <v>1</v>
      </c>
    </row>
    <row r="8" spans="1:76" x14ac:dyDescent="0.2">
      <c r="A8" s="360"/>
      <c r="B8" s="86" t="s">
        <v>299</v>
      </c>
      <c r="C8" s="294">
        <v>1</v>
      </c>
      <c r="D8" s="388"/>
      <c r="F8" s="358">
        <v>1</v>
      </c>
      <c r="G8" s="1">
        <v>5</v>
      </c>
      <c r="J8" s="352">
        <v>1</v>
      </c>
      <c r="AD8" s="315" t="s">
        <v>170</v>
      </c>
      <c r="AE8" s="2" t="s">
        <v>352</v>
      </c>
      <c r="AF8" s="3" t="s">
        <v>354</v>
      </c>
      <c r="AG8" s="3" t="s">
        <v>356</v>
      </c>
      <c r="AH8" s="3" t="s">
        <v>358</v>
      </c>
      <c r="AI8" s="3" t="s">
        <v>494</v>
      </c>
      <c r="AJ8" s="3" t="s">
        <v>522</v>
      </c>
      <c r="AK8" s="3" t="s">
        <v>544</v>
      </c>
      <c r="AL8" s="3"/>
      <c r="AM8" s="3"/>
      <c r="AN8" s="3"/>
      <c r="AO8" s="3"/>
      <c r="AP8" s="3"/>
      <c r="AQ8" s="3"/>
      <c r="AR8" s="3"/>
      <c r="AS8" s="3"/>
      <c r="AT8" s="3"/>
      <c r="AU8" s="3"/>
      <c r="AV8" s="3"/>
      <c r="AW8" s="3"/>
      <c r="AX8" s="3"/>
      <c r="AY8" s="3"/>
      <c r="AZ8" s="30"/>
      <c r="BA8" s="30"/>
      <c r="BB8" s="30"/>
      <c r="BC8" s="30"/>
      <c r="BD8" s="30"/>
      <c r="BE8" s="30"/>
      <c r="BF8" s="30"/>
      <c r="BG8" s="30"/>
      <c r="BH8" s="30"/>
      <c r="BI8" s="30"/>
      <c r="BJ8" s="30"/>
      <c r="BK8" s="30"/>
      <c r="BL8" s="30"/>
      <c r="BM8" s="30"/>
      <c r="BN8" s="30"/>
      <c r="BO8" s="30"/>
      <c r="BP8" s="30"/>
      <c r="BQ8" s="30"/>
      <c r="BR8" s="30"/>
      <c r="BS8" s="30"/>
      <c r="BT8" s="30"/>
      <c r="BU8" s="30"/>
      <c r="BV8" s="30"/>
      <c r="BW8" s="30"/>
      <c r="BX8" s="317"/>
    </row>
    <row r="9" spans="1:76" x14ac:dyDescent="0.2">
      <c r="A9" s="360" t="s">
        <v>272</v>
      </c>
      <c r="B9" s="49" t="s">
        <v>273</v>
      </c>
      <c r="C9" s="28" t="s">
        <v>333</v>
      </c>
      <c r="D9" s="388">
        <v>20</v>
      </c>
      <c r="F9" s="358">
        <v>2</v>
      </c>
      <c r="G9" s="1">
        <v>10</v>
      </c>
      <c r="J9" s="352">
        <v>1</v>
      </c>
      <c r="AD9" s="316" t="s">
        <v>125</v>
      </c>
      <c r="AE9" s="318" t="s">
        <v>67</v>
      </c>
      <c r="AF9" s="319" t="s">
        <v>67</v>
      </c>
      <c r="AG9" s="319" t="s">
        <v>67</v>
      </c>
      <c r="AH9" s="319" t="s">
        <v>67</v>
      </c>
      <c r="AI9" s="319" t="s">
        <v>67</v>
      </c>
      <c r="AJ9" s="319" t="s">
        <v>67</v>
      </c>
      <c r="AK9" s="319" t="s">
        <v>67</v>
      </c>
      <c r="AL9" s="319"/>
      <c r="AM9" s="319"/>
      <c r="AN9" s="319"/>
      <c r="AO9" s="319"/>
      <c r="AP9" s="319"/>
      <c r="AQ9" s="319"/>
      <c r="AR9" s="319"/>
      <c r="AS9" s="319"/>
      <c r="AT9" s="319"/>
      <c r="AU9" s="319"/>
      <c r="AV9" s="319"/>
      <c r="AW9" s="319"/>
      <c r="AX9" s="319"/>
      <c r="AY9" s="319"/>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1"/>
    </row>
    <row r="10" spans="1:76" x14ac:dyDescent="0.2">
      <c r="A10" s="360"/>
      <c r="B10" s="86" t="s">
        <v>297</v>
      </c>
      <c r="C10" s="294">
        <v>0.92575383200000005</v>
      </c>
      <c r="D10" s="388"/>
      <c r="F10" s="358">
        <v>3</v>
      </c>
      <c r="G10" s="1">
        <v>20</v>
      </c>
      <c r="J10" s="352">
        <v>1</v>
      </c>
      <c r="AD10" s="378">
        <v>0.112298</v>
      </c>
      <c r="AE10" s="322"/>
      <c r="AF10" s="323"/>
      <c r="AG10" s="323"/>
      <c r="AH10" s="323"/>
      <c r="AI10" s="323"/>
      <c r="AJ10" s="323"/>
      <c r="AK10" s="323"/>
      <c r="AL10" s="323"/>
      <c r="AM10" s="323"/>
      <c r="AN10" s="323"/>
      <c r="AO10" s="323"/>
      <c r="AP10" s="323"/>
      <c r="AQ10" s="323"/>
      <c r="AR10" s="323"/>
      <c r="AS10" s="323"/>
      <c r="AT10" s="323"/>
      <c r="AU10" s="323"/>
      <c r="AV10" s="323"/>
      <c r="AW10" s="323"/>
      <c r="AX10" s="323"/>
      <c r="AY10" s="323"/>
      <c r="AZ10" s="265"/>
      <c r="BA10" s="265"/>
      <c r="BB10" s="265"/>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98"/>
    </row>
    <row r="11" spans="1:76" x14ac:dyDescent="0.2">
      <c r="A11" s="360"/>
      <c r="B11" s="86" t="s">
        <v>298</v>
      </c>
      <c r="C11" s="294">
        <v>1</v>
      </c>
      <c r="D11" s="388"/>
      <c r="F11" s="358">
        <v>4</v>
      </c>
      <c r="G11" s="1">
        <v>30</v>
      </c>
      <c r="J11" s="352">
        <v>1</v>
      </c>
      <c r="AD11" s="379">
        <v>0.16152900000000001</v>
      </c>
      <c r="AE11" s="324"/>
      <c r="AF11" s="325"/>
      <c r="AG11" s="325"/>
      <c r="AH11" s="325"/>
      <c r="AI11" s="325"/>
      <c r="AJ11" s="325"/>
      <c r="AK11" s="325"/>
      <c r="AL11" s="325"/>
      <c r="AM11" s="325"/>
      <c r="AN11" s="325"/>
      <c r="AO11" s="325"/>
      <c r="AP11" s="325"/>
      <c r="AQ11" s="325"/>
      <c r="AR11" s="325"/>
      <c r="AS11" s="325"/>
      <c r="AT11" s="325"/>
      <c r="AU11" s="325"/>
      <c r="AV11" s="325"/>
      <c r="AW11" s="325"/>
      <c r="AX11" s="325"/>
      <c r="AY11" s="325"/>
      <c r="BX11" s="299"/>
    </row>
    <row r="12" spans="1:76" x14ac:dyDescent="0.2">
      <c r="A12" s="360"/>
      <c r="B12" s="86" t="s">
        <v>299</v>
      </c>
      <c r="C12" s="294">
        <v>1</v>
      </c>
      <c r="D12" s="388"/>
      <c r="F12" s="358">
        <v>5</v>
      </c>
      <c r="G12" s="1">
        <v>37</v>
      </c>
      <c r="J12" s="352">
        <v>1</v>
      </c>
      <c r="AD12" s="379">
        <v>0.23234199999999999</v>
      </c>
      <c r="AE12" s="324"/>
      <c r="AF12" s="325"/>
      <c r="AG12" s="325"/>
      <c r="AH12" s="325"/>
      <c r="AI12" s="325"/>
      <c r="AJ12" s="325"/>
      <c r="AK12" s="325"/>
      <c r="AL12" s="325"/>
      <c r="AM12" s="325"/>
      <c r="AN12" s="325"/>
      <c r="AO12" s="325"/>
      <c r="AP12" s="325"/>
      <c r="AQ12" s="325"/>
      <c r="AR12" s="325"/>
      <c r="AS12" s="325"/>
      <c r="AT12" s="325"/>
      <c r="AU12" s="325"/>
      <c r="AV12" s="325"/>
      <c r="AW12" s="325"/>
      <c r="AX12" s="325"/>
      <c r="AY12" s="325"/>
      <c r="BX12" s="299"/>
    </row>
    <row r="13" spans="1:76" x14ac:dyDescent="0.2">
      <c r="A13" s="360" t="s">
        <v>274</v>
      </c>
      <c r="B13" s="49" t="s">
        <v>264</v>
      </c>
      <c r="C13" s="28" t="s">
        <v>300</v>
      </c>
      <c r="D13" s="388">
        <v>1</v>
      </c>
      <c r="F13" s="358">
        <v>6</v>
      </c>
      <c r="G13" s="1">
        <v>40</v>
      </c>
      <c r="J13" s="352">
        <v>1</v>
      </c>
      <c r="AD13" s="379">
        <v>0.334198</v>
      </c>
      <c r="AE13" s="324"/>
      <c r="AF13" s="325"/>
      <c r="AG13" s="325"/>
      <c r="AH13" s="325"/>
      <c r="AI13" s="325"/>
      <c r="AJ13" s="325"/>
      <c r="AK13" s="325"/>
      <c r="AL13" s="325"/>
      <c r="AM13" s="325"/>
      <c r="AN13" s="325"/>
      <c r="AO13" s="325"/>
      <c r="AP13" s="325"/>
      <c r="AQ13" s="325"/>
      <c r="AR13" s="325"/>
      <c r="AS13" s="325"/>
      <c r="AT13" s="325"/>
      <c r="AU13" s="325"/>
      <c r="AV13" s="325"/>
      <c r="AW13" s="325"/>
      <c r="AX13" s="325"/>
      <c r="AY13" s="325"/>
      <c r="BX13" s="299"/>
    </row>
    <row r="14" spans="1:76" x14ac:dyDescent="0.2">
      <c r="A14" s="360" t="s">
        <v>275</v>
      </c>
      <c r="B14" s="49" t="s">
        <v>265</v>
      </c>
      <c r="C14" s="28" t="s">
        <v>301</v>
      </c>
      <c r="D14" s="388">
        <v>2</v>
      </c>
      <c r="F14" s="358"/>
      <c r="J14" s="352"/>
      <c r="AD14" s="379">
        <v>0.48070600000000002</v>
      </c>
      <c r="AE14" s="324"/>
      <c r="AF14" s="325"/>
      <c r="AG14" s="325"/>
      <c r="AH14" s="325"/>
      <c r="AI14" s="325"/>
      <c r="AJ14" s="325"/>
      <c r="AK14" s="325"/>
      <c r="AL14" s="325"/>
      <c r="AM14" s="325"/>
      <c r="AN14" s="325"/>
      <c r="AO14" s="325"/>
      <c r="AP14" s="325"/>
      <c r="AQ14" s="325"/>
      <c r="AR14" s="325"/>
      <c r="AS14" s="325"/>
      <c r="AT14" s="325"/>
      <c r="AU14" s="325"/>
      <c r="AV14" s="325"/>
      <c r="AW14" s="325"/>
      <c r="AX14" s="325"/>
      <c r="AY14" s="325"/>
      <c r="BX14" s="299"/>
    </row>
    <row r="15" spans="1:76" x14ac:dyDescent="0.2">
      <c r="A15" s="360" t="s">
        <v>276</v>
      </c>
      <c r="B15" s="49" t="s">
        <v>266</v>
      </c>
      <c r="C15" s="28" t="s">
        <v>485</v>
      </c>
      <c r="D15" s="388">
        <v>0</v>
      </c>
      <c r="F15" s="358"/>
      <c r="J15" s="352"/>
      <c r="AD15" s="379">
        <v>0.69144300000000003</v>
      </c>
      <c r="AE15" s="324"/>
      <c r="AF15" s="325"/>
      <c r="AG15" s="325"/>
      <c r="AH15" s="325"/>
      <c r="AI15" s="325"/>
      <c r="AJ15" s="325"/>
      <c r="AK15" s="325"/>
      <c r="AL15" s="325"/>
      <c r="AM15" s="325"/>
      <c r="AN15" s="325"/>
      <c r="AO15" s="325"/>
      <c r="AP15" s="325"/>
      <c r="AQ15" s="325"/>
      <c r="AR15" s="325"/>
      <c r="AS15" s="325"/>
      <c r="AT15" s="325"/>
      <c r="AU15" s="325"/>
      <c r="AV15" s="325"/>
      <c r="AW15" s="325"/>
      <c r="AX15" s="325"/>
      <c r="AY15" s="325"/>
      <c r="BX15" s="299"/>
    </row>
    <row r="16" spans="1:76" x14ac:dyDescent="0.2">
      <c r="A16" s="360" t="s">
        <v>277</v>
      </c>
      <c r="B16" s="49" t="s">
        <v>267</v>
      </c>
      <c r="C16" s="28" t="s">
        <v>367</v>
      </c>
      <c r="D16" s="388">
        <v>1</v>
      </c>
      <c r="F16" s="358"/>
      <c r="J16" s="352"/>
      <c r="AD16" s="379">
        <v>0.994564</v>
      </c>
      <c r="AE16" s="324">
        <v>4865.03</v>
      </c>
      <c r="AF16" s="325">
        <v>4865.03</v>
      </c>
      <c r="AG16" s="325">
        <v>4865.03</v>
      </c>
      <c r="AH16" s="325">
        <v>4865.03</v>
      </c>
      <c r="AI16" s="325">
        <v>4865.03</v>
      </c>
      <c r="AJ16" s="325">
        <v>4865.03</v>
      </c>
      <c r="AK16" s="325">
        <v>4865.03</v>
      </c>
      <c r="AL16" s="325"/>
      <c r="AM16" s="325"/>
      <c r="AN16" s="325"/>
      <c r="AO16" s="325"/>
      <c r="AP16" s="325"/>
      <c r="AQ16" s="325"/>
      <c r="AR16" s="325"/>
      <c r="AS16" s="325"/>
      <c r="AT16" s="325"/>
      <c r="AU16" s="325"/>
      <c r="AV16" s="325"/>
      <c r="AW16" s="325"/>
      <c r="AX16" s="325"/>
      <c r="AY16" s="325"/>
      <c r="BX16" s="299"/>
    </row>
    <row r="17" spans="1:76" x14ac:dyDescent="0.2">
      <c r="A17" s="704" t="s">
        <v>303</v>
      </c>
      <c r="B17" s="705"/>
      <c r="C17" s="705"/>
      <c r="D17" s="706"/>
      <c r="F17" s="358"/>
      <c r="J17" s="352"/>
      <c r="AD17" s="379">
        <v>1.4305699999999999</v>
      </c>
      <c r="AE17" s="324">
        <v>4266.3599999999997</v>
      </c>
      <c r="AF17" s="325">
        <v>4266.3599999999997</v>
      </c>
      <c r="AG17" s="325">
        <v>4266.3599999999997</v>
      </c>
      <c r="AH17" s="325">
        <v>4266.3599999999997</v>
      </c>
      <c r="AI17" s="325">
        <v>4266.3599999999997</v>
      </c>
      <c r="AJ17" s="325">
        <v>4266.3599999999997</v>
      </c>
      <c r="AK17" s="325">
        <v>4266.3599999999997</v>
      </c>
      <c r="AL17" s="325"/>
      <c r="AM17" s="325"/>
      <c r="AN17" s="325"/>
      <c r="AO17" s="325"/>
      <c r="AP17" s="325"/>
      <c r="AQ17" s="325"/>
      <c r="AR17" s="325"/>
      <c r="AS17" s="325"/>
      <c r="AT17" s="325"/>
      <c r="AU17" s="325"/>
      <c r="AV17" s="325"/>
      <c r="AW17" s="325"/>
      <c r="AX17" s="325"/>
      <c r="AY17" s="325"/>
      <c r="BX17" s="299"/>
    </row>
    <row r="18" spans="1:76" x14ac:dyDescent="0.2">
      <c r="A18" s="304" t="s">
        <v>83</v>
      </c>
      <c r="B18" s="557"/>
      <c r="C18" s="557"/>
      <c r="D18" s="558"/>
      <c r="F18" s="358"/>
      <c r="J18" s="352"/>
      <c r="AD18" s="379">
        <v>2.0577200000000002</v>
      </c>
      <c r="AE18" s="324">
        <v>3487.86</v>
      </c>
      <c r="AF18" s="325">
        <v>3487.86</v>
      </c>
      <c r="AG18" s="325">
        <v>3487.86</v>
      </c>
      <c r="AH18" s="325">
        <v>3487.86</v>
      </c>
      <c r="AI18" s="325">
        <v>3487.86</v>
      </c>
      <c r="AJ18" s="325">
        <v>3487.86</v>
      </c>
      <c r="AK18" s="325">
        <v>3487.86</v>
      </c>
      <c r="AL18" s="325"/>
      <c r="AM18" s="325"/>
      <c r="AN18" s="325"/>
      <c r="AO18" s="325"/>
      <c r="AP18" s="325"/>
      <c r="AQ18" s="325"/>
      <c r="AR18" s="325"/>
      <c r="AS18" s="325"/>
      <c r="AT18" s="325"/>
      <c r="AU18" s="325"/>
      <c r="AV18" s="325"/>
      <c r="AW18" s="325"/>
      <c r="AX18" s="325"/>
      <c r="AY18" s="325"/>
      <c r="BX18" s="299"/>
    </row>
    <row r="19" spans="1:76" x14ac:dyDescent="0.2">
      <c r="A19" s="553" t="s">
        <v>81</v>
      </c>
      <c r="B19" s="555" t="s">
        <v>130</v>
      </c>
      <c r="C19" s="555" t="s">
        <v>347</v>
      </c>
      <c r="D19" s="556"/>
      <c r="F19" s="358"/>
      <c r="J19" s="352"/>
      <c r="AD19" s="379">
        <v>2.9598</v>
      </c>
      <c r="AE19" s="324">
        <v>2582.9</v>
      </c>
      <c r="AF19" s="325">
        <v>2582.9</v>
      </c>
      <c r="AG19" s="325">
        <v>2582.9</v>
      </c>
      <c r="AH19" s="325">
        <v>2582.9</v>
      </c>
      <c r="AI19" s="325">
        <v>2582.9</v>
      </c>
      <c r="AJ19" s="325">
        <v>2582.9</v>
      </c>
      <c r="AK19" s="325">
        <v>2582.9</v>
      </c>
      <c r="AL19" s="325"/>
      <c r="AM19" s="325"/>
      <c r="AN19" s="325"/>
      <c r="AO19" s="325"/>
      <c r="AP19" s="325"/>
      <c r="AQ19" s="325"/>
      <c r="AR19" s="325"/>
      <c r="AS19" s="325"/>
      <c r="AT19" s="325"/>
      <c r="AU19" s="325"/>
      <c r="AV19" s="325"/>
      <c r="AW19" s="325"/>
      <c r="AX19" s="325"/>
      <c r="AY19" s="325"/>
      <c r="BX19" s="299"/>
    </row>
    <row r="20" spans="1:76" x14ac:dyDescent="0.2">
      <c r="A20" s="309" t="s">
        <v>10</v>
      </c>
      <c r="B20" s="414">
        <v>27</v>
      </c>
      <c r="C20" s="310"/>
      <c r="D20" s="311"/>
      <c r="F20" s="358"/>
      <c r="J20" s="352"/>
      <c r="AD20" s="379">
        <v>4.2573400000000001</v>
      </c>
      <c r="AE20" s="324">
        <v>1757.97</v>
      </c>
      <c r="AF20" s="325">
        <v>1757.97</v>
      </c>
      <c r="AG20" s="325">
        <v>1757.97</v>
      </c>
      <c r="AH20" s="325">
        <v>1757.97</v>
      </c>
      <c r="AI20" s="325">
        <v>1757.97</v>
      </c>
      <c r="AJ20" s="325">
        <v>1757.97</v>
      </c>
      <c r="AK20" s="325">
        <v>1757.97</v>
      </c>
      <c r="AL20" s="325"/>
      <c r="AM20" s="325"/>
      <c r="AN20" s="325"/>
      <c r="AO20" s="325"/>
      <c r="AP20" s="325"/>
      <c r="AQ20" s="325"/>
      <c r="AR20" s="325"/>
      <c r="AS20" s="325"/>
      <c r="AT20" s="325"/>
      <c r="AU20" s="325"/>
      <c r="AV20" s="325"/>
      <c r="AW20" s="325"/>
      <c r="AX20" s="325"/>
      <c r="AY20" s="325"/>
      <c r="BX20" s="299"/>
    </row>
    <row r="21" spans="1:76" x14ac:dyDescent="0.2">
      <c r="A21" s="312" t="s">
        <v>12</v>
      </c>
      <c r="B21" s="330">
        <v>2</v>
      </c>
      <c r="C21" s="313"/>
      <c r="D21" s="314"/>
      <c r="F21" s="358"/>
      <c r="J21" s="352"/>
      <c r="AD21" s="379">
        <v>6.12371</v>
      </c>
      <c r="AE21" s="324">
        <v>1237.3399999999999</v>
      </c>
      <c r="AF21" s="325">
        <v>1237.3399999999999</v>
      </c>
      <c r="AG21" s="325">
        <v>1237.3399999999999</v>
      </c>
      <c r="AH21" s="325">
        <v>1237.3399999999999</v>
      </c>
      <c r="AI21" s="325">
        <v>1237.3399999999999</v>
      </c>
      <c r="AJ21" s="325">
        <v>1237.3399999999999</v>
      </c>
      <c r="AK21" s="325">
        <v>1237.3399999999999</v>
      </c>
      <c r="AL21" s="325"/>
      <c r="AM21" s="325"/>
      <c r="AN21" s="325"/>
      <c r="AO21" s="325"/>
      <c r="AP21" s="325"/>
      <c r="AQ21" s="325"/>
      <c r="AR21" s="325"/>
      <c r="AS21" s="325"/>
      <c r="AT21" s="325"/>
      <c r="AU21" s="325"/>
      <c r="AV21" s="325"/>
      <c r="AW21" s="325"/>
      <c r="AX21" s="325"/>
      <c r="AY21" s="325"/>
      <c r="BX21" s="299"/>
    </row>
    <row r="22" spans="1:76" x14ac:dyDescent="0.2">
      <c r="A22" s="302">
        <v>0</v>
      </c>
      <c r="B22" s="1">
        <v>0</v>
      </c>
      <c r="C22" s="1"/>
      <c r="D22" s="306"/>
      <c r="F22" s="358"/>
      <c r="J22" s="352"/>
      <c r="AD22" s="379">
        <v>8.8082799999999999</v>
      </c>
      <c r="AE22" s="324">
        <v>1001.84</v>
      </c>
      <c r="AF22" s="325">
        <v>1001.84</v>
      </c>
      <c r="AG22" s="325">
        <v>1001.84</v>
      </c>
      <c r="AH22" s="325">
        <v>1001.84</v>
      </c>
      <c r="AI22" s="325">
        <v>1001.84</v>
      </c>
      <c r="AJ22" s="325">
        <v>1001.84</v>
      </c>
      <c r="AK22" s="325">
        <v>1001.84</v>
      </c>
      <c r="AL22" s="325"/>
      <c r="AM22" s="325"/>
      <c r="AN22" s="325"/>
      <c r="AO22" s="325"/>
      <c r="AP22" s="325"/>
      <c r="AQ22" s="325"/>
      <c r="AR22" s="325"/>
      <c r="AS22" s="325"/>
      <c r="AT22" s="325"/>
      <c r="AU22" s="325"/>
      <c r="AV22" s="325"/>
      <c r="AW22" s="325"/>
      <c r="AX22" s="325"/>
      <c r="AY22" s="325"/>
      <c r="BX22" s="299"/>
    </row>
    <row r="23" spans="1:76" x14ac:dyDescent="0.2">
      <c r="A23" s="302">
        <v>1</v>
      </c>
      <c r="B23" s="1">
        <v>5</v>
      </c>
      <c r="C23" s="1"/>
      <c r="D23" s="306"/>
      <c r="F23" s="358"/>
      <c r="J23" s="352"/>
      <c r="AD23" s="379">
        <v>12.669700000000001</v>
      </c>
      <c r="AE23" s="324">
        <v>949.98800000000006</v>
      </c>
      <c r="AF23" s="325">
        <v>949.98800000000006</v>
      </c>
      <c r="AG23" s="325">
        <v>949.98800000000006</v>
      </c>
      <c r="AH23" s="325">
        <v>949.98800000000006</v>
      </c>
      <c r="AI23" s="325">
        <v>949.98800000000006</v>
      </c>
      <c r="AJ23" s="325">
        <v>949.98800000000006</v>
      </c>
      <c r="AK23" s="325">
        <v>949.98800000000006</v>
      </c>
      <c r="AL23" s="325"/>
      <c r="AM23" s="325"/>
      <c r="AN23" s="325"/>
      <c r="AO23" s="325"/>
      <c r="AP23" s="325"/>
      <c r="AQ23" s="325"/>
      <c r="AR23" s="325"/>
      <c r="AS23" s="325"/>
      <c r="AT23" s="325"/>
      <c r="AU23" s="325"/>
      <c r="AV23" s="325"/>
      <c r="AW23" s="325"/>
      <c r="AX23" s="325"/>
      <c r="AY23" s="325"/>
      <c r="BX23" s="299"/>
    </row>
    <row r="24" spans="1:76" x14ac:dyDescent="0.2">
      <c r="A24" s="302">
        <v>2</v>
      </c>
      <c r="B24" s="1">
        <v>10</v>
      </c>
      <c r="C24" s="1"/>
      <c r="D24" s="306"/>
      <c r="F24" s="358"/>
      <c r="J24" s="352"/>
      <c r="AD24" s="379">
        <v>18.224</v>
      </c>
      <c r="AE24" s="324">
        <v>986.072</v>
      </c>
      <c r="AF24" s="325">
        <v>986.072</v>
      </c>
      <c r="AG24" s="325">
        <v>986.072</v>
      </c>
      <c r="AH24" s="325">
        <v>986.072</v>
      </c>
      <c r="AI24" s="325">
        <v>986.072</v>
      </c>
      <c r="AJ24" s="325">
        <v>986.072</v>
      </c>
      <c r="AK24" s="325">
        <v>986.072</v>
      </c>
      <c r="AL24" s="325"/>
      <c r="AM24" s="325"/>
      <c r="AN24" s="325"/>
      <c r="AO24" s="325"/>
      <c r="AP24" s="325"/>
      <c r="AQ24" s="325"/>
      <c r="AR24" s="325"/>
      <c r="AS24" s="325"/>
      <c r="AT24" s="325"/>
      <c r="AU24" s="325"/>
      <c r="AV24" s="325"/>
      <c r="AW24" s="325"/>
      <c r="AX24" s="325"/>
      <c r="AY24" s="325"/>
      <c r="BX24" s="299"/>
    </row>
    <row r="25" spans="1:76" x14ac:dyDescent="0.2">
      <c r="A25" s="302">
        <v>3</v>
      </c>
      <c r="B25" s="1">
        <v>20</v>
      </c>
      <c r="C25" s="1"/>
      <c r="D25" s="306"/>
      <c r="F25" s="358"/>
      <c r="J25" s="352"/>
      <c r="AD25" s="379">
        <v>26.213200000000001</v>
      </c>
      <c r="AE25" s="324">
        <v>1157.6500000000001</v>
      </c>
      <c r="AF25" s="325">
        <v>1157.6500000000001</v>
      </c>
      <c r="AG25" s="325">
        <v>1157.6500000000001</v>
      </c>
      <c r="AH25" s="325">
        <v>1157.6500000000001</v>
      </c>
      <c r="AI25" s="325">
        <v>1157.6500000000001</v>
      </c>
      <c r="AJ25" s="325">
        <v>1157.6500000000001</v>
      </c>
      <c r="AK25" s="325">
        <v>1157.6500000000001</v>
      </c>
      <c r="AL25" s="325"/>
      <c r="AM25" s="325"/>
      <c r="AN25" s="325"/>
      <c r="AO25" s="325"/>
      <c r="AP25" s="325"/>
      <c r="AQ25" s="325"/>
      <c r="AR25" s="325"/>
      <c r="AS25" s="325"/>
      <c r="AT25" s="325"/>
      <c r="AU25" s="325"/>
      <c r="AV25" s="325"/>
      <c r="AW25" s="325"/>
      <c r="AX25" s="325"/>
      <c r="AY25" s="325"/>
      <c r="BX25" s="299"/>
    </row>
    <row r="26" spans="1:76" x14ac:dyDescent="0.2">
      <c r="A26" s="302">
        <v>4</v>
      </c>
      <c r="B26" s="1">
        <v>30</v>
      </c>
      <c r="C26" s="1"/>
      <c r="D26" s="306"/>
      <c r="F26" s="358"/>
      <c r="J26" s="352"/>
      <c r="AD26" s="379">
        <v>37.704799999999999</v>
      </c>
      <c r="AE26" s="324">
        <v>1496.8</v>
      </c>
      <c r="AF26" s="325">
        <v>1496.8</v>
      </c>
      <c r="AG26" s="325">
        <v>1496.8</v>
      </c>
      <c r="AH26" s="325">
        <v>1496.8</v>
      </c>
      <c r="AI26" s="325">
        <v>1496.8</v>
      </c>
      <c r="AJ26" s="325">
        <v>1496.8</v>
      </c>
      <c r="AK26" s="325">
        <v>1496.8</v>
      </c>
      <c r="AL26" s="325"/>
      <c r="AM26" s="325"/>
      <c r="AN26" s="325"/>
      <c r="AO26" s="325"/>
      <c r="AP26" s="325"/>
      <c r="AQ26" s="325"/>
      <c r="AR26" s="325"/>
      <c r="AS26" s="325"/>
      <c r="AT26" s="325"/>
      <c r="AU26" s="325"/>
      <c r="AV26" s="325"/>
      <c r="AW26" s="325"/>
      <c r="AX26" s="325"/>
      <c r="AY26" s="325"/>
      <c r="BX26" s="299"/>
    </row>
    <row r="27" spans="1:76" x14ac:dyDescent="0.2">
      <c r="A27" s="302">
        <v>5</v>
      </c>
      <c r="B27" s="1">
        <v>37</v>
      </c>
      <c r="C27" s="1"/>
      <c r="D27" s="306"/>
      <c r="F27" s="358"/>
      <c r="J27" s="352"/>
      <c r="AD27" s="379">
        <v>54.234200000000001</v>
      </c>
      <c r="AE27" s="324">
        <v>2025.72</v>
      </c>
      <c r="AF27" s="325">
        <v>2025.72</v>
      </c>
      <c r="AG27" s="325">
        <v>2025.72</v>
      </c>
      <c r="AH27" s="325">
        <v>2025.72</v>
      </c>
      <c r="AI27" s="325">
        <v>2025.72</v>
      </c>
      <c r="AJ27" s="325">
        <v>2025.72</v>
      </c>
      <c r="AK27" s="325">
        <v>2025.72</v>
      </c>
      <c r="AL27" s="325"/>
      <c r="AM27" s="325"/>
      <c r="AN27" s="325"/>
      <c r="AO27" s="325"/>
      <c r="AP27" s="325"/>
      <c r="AQ27" s="325"/>
      <c r="AR27" s="325"/>
      <c r="AS27" s="325"/>
      <c r="AT27" s="325"/>
      <c r="AU27" s="325"/>
      <c r="AV27" s="325"/>
      <c r="AW27" s="325"/>
      <c r="AX27" s="325"/>
      <c r="AY27" s="325"/>
      <c r="BX27" s="299"/>
    </row>
    <row r="28" spans="1:76" x14ac:dyDescent="0.2">
      <c r="A28" s="302">
        <v>6</v>
      </c>
      <c r="B28" s="1">
        <v>40</v>
      </c>
      <c r="C28" s="1"/>
      <c r="D28" s="306"/>
      <c r="F28" s="358"/>
      <c r="J28" s="352"/>
      <c r="AD28" s="379">
        <v>78.009900000000002</v>
      </c>
      <c r="AE28" s="324">
        <v>2796.7</v>
      </c>
      <c r="AF28" s="325">
        <v>2796.7</v>
      </c>
      <c r="AG28" s="325">
        <v>2796.7</v>
      </c>
      <c r="AH28" s="325">
        <v>2796.7</v>
      </c>
      <c r="AI28" s="325">
        <v>2796.7</v>
      </c>
      <c r="AJ28" s="325">
        <v>2796.7</v>
      </c>
      <c r="AK28" s="325">
        <v>2796.7</v>
      </c>
      <c r="AL28" s="325"/>
      <c r="AM28" s="325"/>
      <c r="AN28" s="325"/>
      <c r="AO28" s="325"/>
      <c r="AP28" s="325"/>
      <c r="AQ28" s="325"/>
      <c r="AR28" s="325"/>
      <c r="AS28" s="325"/>
      <c r="AT28" s="325"/>
      <c r="AU28" s="325"/>
      <c r="AV28" s="325"/>
      <c r="AW28" s="325"/>
      <c r="AX28" s="325"/>
      <c r="AY28" s="325"/>
      <c r="BX28" s="299"/>
    </row>
    <row r="29" spans="1:76" x14ac:dyDescent="0.2">
      <c r="A29" s="302">
        <v>7</v>
      </c>
      <c r="B29" s="1"/>
      <c r="C29" s="1"/>
      <c r="D29" s="306"/>
      <c r="F29" s="358"/>
      <c r="J29" s="352"/>
      <c r="AD29" s="380">
        <v>112.209</v>
      </c>
      <c r="AE29" s="326">
        <v>3894.41</v>
      </c>
      <c r="AF29" s="327">
        <v>3894.41</v>
      </c>
      <c r="AG29" s="327">
        <v>3894.41</v>
      </c>
      <c r="AH29" s="327">
        <v>3894.41</v>
      </c>
      <c r="AI29" s="327">
        <v>3894.41</v>
      </c>
      <c r="AJ29" s="327">
        <v>3894.41</v>
      </c>
      <c r="AK29" s="327">
        <v>3894.41</v>
      </c>
      <c r="AL29" s="327"/>
      <c r="AM29" s="327"/>
      <c r="AN29" s="327"/>
      <c r="AO29" s="327"/>
      <c r="AP29" s="327"/>
      <c r="AQ29" s="327"/>
      <c r="AR29" s="327"/>
      <c r="AS29" s="327"/>
      <c r="AT29" s="327"/>
      <c r="AU29" s="327"/>
      <c r="AV29" s="327"/>
      <c r="AW29" s="327"/>
      <c r="AX29" s="327"/>
      <c r="AY29" s="327"/>
      <c r="AZ29" s="300"/>
      <c r="BA29" s="300"/>
      <c r="BB29" s="300"/>
      <c r="BC29" s="300"/>
      <c r="BD29" s="300"/>
      <c r="BE29" s="300"/>
      <c r="BF29" s="300"/>
      <c r="BG29" s="300"/>
      <c r="BH29" s="300"/>
      <c r="BI29" s="300"/>
      <c r="BJ29" s="300"/>
      <c r="BK29" s="300"/>
      <c r="BL29" s="300"/>
      <c r="BM29" s="300"/>
      <c r="BN29" s="300"/>
      <c r="BO29" s="300"/>
      <c r="BP29" s="300"/>
      <c r="BQ29" s="300"/>
      <c r="BR29" s="300"/>
      <c r="BS29" s="300"/>
      <c r="BT29" s="300"/>
      <c r="BU29" s="300"/>
      <c r="BV29" s="300"/>
      <c r="BW29" s="300"/>
      <c r="BX29" s="301"/>
    </row>
    <row r="30" spans="1:76" x14ac:dyDescent="0.2">
      <c r="A30" s="302">
        <v>8</v>
      </c>
      <c r="B30" s="1"/>
      <c r="C30" s="1"/>
      <c r="D30" s="306"/>
      <c r="F30" s="358"/>
      <c r="J30" s="352"/>
    </row>
    <row r="31" spans="1:76" x14ac:dyDescent="0.2">
      <c r="A31" s="302">
        <v>9</v>
      </c>
      <c r="B31" s="1"/>
      <c r="C31" s="1"/>
      <c r="D31" s="306"/>
      <c r="F31" s="358"/>
      <c r="J31" s="352"/>
      <c r="AD31" s="13"/>
    </row>
    <row r="32" spans="1:76" x14ac:dyDescent="0.2">
      <c r="A32" s="302">
        <v>10</v>
      </c>
      <c r="B32" s="1"/>
      <c r="C32" s="1"/>
      <c r="D32" s="306"/>
      <c r="F32" s="358"/>
      <c r="J32" s="352"/>
      <c r="AD32"/>
      <c r="AE32"/>
      <c r="AF32"/>
      <c r="AG32"/>
      <c r="AH32"/>
      <c r="AI32"/>
      <c r="AJ32"/>
      <c r="AK32"/>
      <c r="AL32"/>
      <c r="AM32"/>
      <c r="AN32"/>
      <c r="AO32"/>
      <c r="AP32"/>
      <c r="AQ32"/>
      <c r="AR32"/>
      <c r="AS32"/>
      <c r="AT32"/>
      <c r="AU32"/>
      <c r="AV32"/>
      <c r="AW32"/>
      <c r="AX32"/>
      <c r="AY32"/>
    </row>
    <row r="33" spans="1:76" x14ac:dyDescent="0.2">
      <c r="A33" s="302">
        <v>11</v>
      </c>
      <c r="B33" s="1"/>
      <c r="C33" s="1"/>
      <c r="D33" s="306"/>
      <c r="F33" s="358"/>
      <c r="J33" s="352"/>
      <c r="AD33"/>
      <c r="AE33"/>
      <c r="AF33"/>
      <c r="AG33"/>
      <c r="AH33"/>
      <c r="AI33"/>
      <c r="AJ33"/>
      <c r="AK33"/>
      <c r="AL33"/>
      <c r="AM33"/>
      <c r="AN33"/>
      <c r="AO33"/>
      <c r="AP33"/>
      <c r="AQ33"/>
      <c r="AR33"/>
      <c r="AS33"/>
      <c r="AT33"/>
      <c r="AU33"/>
      <c r="AV33"/>
      <c r="AW33"/>
      <c r="AX33"/>
      <c r="AY33"/>
    </row>
    <row r="34" spans="1:76" x14ac:dyDescent="0.2">
      <c r="A34" s="302">
        <v>12</v>
      </c>
      <c r="B34" s="1"/>
      <c r="C34" s="1"/>
      <c r="D34" s="306"/>
      <c r="F34" s="358"/>
      <c r="J34" s="352"/>
      <c r="AD34"/>
      <c r="AE34"/>
      <c r="AF34"/>
      <c r="AG34"/>
      <c r="AH34"/>
      <c r="AI34"/>
      <c r="AJ34"/>
      <c r="AK34"/>
      <c r="AL34"/>
      <c r="AM34"/>
      <c r="AN34"/>
      <c r="AO34"/>
      <c r="AP34"/>
      <c r="AQ34"/>
      <c r="AR34"/>
      <c r="AS34"/>
      <c r="AT34"/>
      <c r="AU34"/>
      <c r="AV34"/>
      <c r="AW34"/>
      <c r="AX34"/>
      <c r="AY34"/>
    </row>
    <row r="35" spans="1:76" x14ac:dyDescent="0.2">
      <c r="A35" s="302">
        <v>13</v>
      </c>
      <c r="B35" s="1"/>
      <c r="C35" s="1"/>
      <c r="D35" s="306"/>
      <c r="F35" s="358"/>
      <c r="J35" s="352"/>
      <c r="AD35"/>
      <c r="AE35"/>
      <c r="AF35"/>
      <c r="AG35"/>
      <c r="AH35"/>
      <c r="AI35"/>
      <c r="AJ35"/>
      <c r="AK35"/>
      <c r="AL35"/>
      <c r="AM35"/>
      <c r="AN35"/>
      <c r="AO35"/>
      <c r="AP35"/>
      <c r="AQ35"/>
      <c r="AR35"/>
      <c r="AS35"/>
      <c r="AT35"/>
      <c r="AU35"/>
      <c r="AV35"/>
      <c r="AW35"/>
      <c r="AX35"/>
      <c r="AY35"/>
    </row>
    <row r="36" spans="1:76" x14ac:dyDescent="0.2">
      <c r="A36" s="302">
        <v>14</v>
      </c>
      <c r="B36" s="1"/>
      <c r="C36" s="1"/>
      <c r="D36" s="306"/>
      <c r="F36" s="358"/>
      <c r="J36" s="352"/>
      <c r="AD36"/>
      <c r="AE36"/>
      <c r="AF36"/>
      <c r="AG36"/>
      <c r="AH36"/>
      <c r="AI36"/>
      <c r="AJ36"/>
      <c r="AK36"/>
      <c r="AL36"/>
      <c r="AM36"/>
      <c r="AN36"/>
      <c r="AO36"/>
      <c r="AP36"/>
      <c r="AQ36"/>
      <c r="AR36"/>
      <c r="AS36"/>
      <c r="AT36"/>
      <c r="AU36"/>
      <c r="AV36"/>
      <c r="AW36"/>
      <c r="AX36"/>
      <c r="AY36"/>
    </row>
    <row r="37" spans="1:76" x14ac:dyDescent="0.2">
      <c r="A37" s="302">
        <v>15</v>
      </c>
      <c r="B37" s="1"/>
      <c r="C37" s="1"/>
      <c r="D37" s="306"/>
      <c r="F37" s="358"/>
      <c r="J37" s="352"/>
    </row>
    <row r="38" spans="1:76" x14ac:dyDescent="0.2">
      <c r="A38" s="302">
        <v>16</v>
      </c>
      <c r="B38" s="1"/>
      <c r="C38" s="1"/>
      <c r="D38" s="306"/>
      <c r="F38" s="358"/>
      <c r="J38" s="352"/>
      <c r="AE38" s="2" t="s">
        <v>353</v>
      </c>
      <c r="AF38" s="3" t="s">
        <v>355</v>
      </c>
      <c r="AG38" s="3" t="s">
        <v>357</v>
      </c>
      <c r="AH38" s="3" t="s">
        <v>359</v>
      </c>
      <c r="AI38" s="3" t="s">
        <v>495</v>
      </c>
      <c r="AJ38" s="3" t="s">
        <v>523</v>
      </c>
      <c r="AK38" s="3" t="s">
        <v>545</v>
      </c>
      <c r="AL38" s="3"/>
      <c r="AM38" s="3"/>
      <c r="AN38" s="3"/>
      <c r="AO38" s="3"/>
      <c r="AP38" s="3"/>
      <c r="AQ38" s="3"/>
      <c r="AR38" s="3"/>
      <c r="AS38" s="3"/>
      <c r="AT38" s="3"/>
      <c r="AU38" s="3"/>
      <c r="AV38" s="3"/>
      <c r="AW38" s="3"/>
      <c r="AX38" s="3"/>
      <c r="AY38" s="3"/>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17"/>
    </row>
    <row r="39" spans="1:76" x14ac:dyDescent="0.2">
      <c r="A39" s="302">
        <v>17</v>
      </c>
      <c r="B39" s="1"/>
      <c r="C39" s="1"/>
      <c r="D39" s="306"/>
      <c r="F39" s="358"/>
      <c r="J39" s="352"/>
      <c r="AE39" s="318" t="s">
        <v>67</v>
      </c>
      <c r="AF39" s="319" t="s">
        <v>67</v>
      </c>
      <c r="AG39" s="319" t="s">
        <v>67</v>
      </c>
      <c r="AH39" s="319" t="s">
        <v>67</v>
      </c>
      <c r="AI39" s="319" t="s">
        <v>67</v>
      </c>
      <c r="AJ39" s="319" t="s">
        <v>67</v>
      </c>
      <c r="AK39" s="319" t="s">
        <v>67</v>
      </c>
      <c r="AL39" s="319"/>
      <c r="AM39" s="319"/>
      <c r="AN39" s="319"/>
      <c r="AO39" s="319"/>
      <c r="AP39" s="319"/>
      <c r="AQ39" s="319"/>
      <c r="AR39" s="319"/>
      <c r="AS39" s="319"/>
      <c r="AT39" s="319"/>
      <c r="AU39" s="319"/>
      <c r="AV39" s="319"/>
      <c r="AW39" s="319"/>
      <c r="AX39" s="319"/>
      <c r="AY39" s="319"/>
      <c r="AZ39" s="320"/>
      <c r="BA39" s="320"/>
      <c r="BB39" s="320"/>
      <c r="BC39" s="320"/>
      <c r="BD39" s="320"/>
      <c r="BE39" s="320"/>
      <c r="BF39" s="320"/>
      <c r="BG39" s="320"/>
      <c r="BH39" s="320"/>
      <c r="BI39" s="320"/>
      <c r="BJ39" s="320"/>
      <c r="BK39" s="320"/>
      <c r="BL39" s="320"/>
      <c r="BM39" s="320"/>
      <c r="BN39" s="320"/>
      <c r="BO39" s="320"/>
      <c r="BP39" s="320"/>
      <c r="BQ39" s="320"/>
      <c r="BR39" s="320"/>
      <c r="BS39" s="320"/>
      <c r="BT39" s="320"/>
      <c r="BU39" s="320"/>
      <c r="BV39" s="320"/>
      <c r="BW39" s="320"/>
      <c r="BX39" s="321"/>
    </row>
    <row r="40" spans="1:76" x14ac:dyDescent="0.2">
      <c r="A40" s="302">
        <v>18</v>
      </c>
      <c r="B40" s="1"/>
      <c r="C40" s="1"/>
      <c r="D40" s="306"/>
      <c r="F40" s="358"/>
      <c r="J40" s="352"/>
      <c r="AE40" s="322">
        <v>2519.42</v>
      </c>
      <c r="AF40" s="323">
        <v>2519.0700000000002</v>
      </c>
      <c r="AG40" s="323">
        <v>2518.7199999999998</v>
      </c>
      <c r="AH40" s="323">
        <v>2518.0100000000002</v>
      </c>
      <c r="AI40" s="323">
        <v>2515.96</v>
      </c>
      <c r="AJ40" s="323">
        <v>2515.2199999999998</v>
      </c>
      <c r="AK40" s="323">
        <v>2514.9</v>
      </c>
      <c r="AL40" s="323"/>
      <c r="AM40" s="323"/>
      <c r="AN40" s="323"/>
      <c r="AO40" s="323"/>
      <c r="AP40" s="323"/>
      <c r="AQ40" s="323"/>
      <c r="AR40" s="323"/>
      <c r="AS40" s="323"/>
      <c r="AT40" s="323"/>
      <c r="AU40" s="323"/>
      <c r="AV40" s="323"/>
      <c r="AW40" s="323"/>
      <c r="AX40" s="323"/>
      <c r="AY40" s="323"/>
      <c r="AZ40" s="265"/>
      <c r="BA40" s="265"/>
      <c r="BB40" s="265"/>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98"/>
    </row>
    <row r="41" spans="1:76" x14ac:dyDescent="0.2">
      <c r="A41" s="303">
        <v>19</v>
      </c>
      <c r="B41" s="307"/>
      <c r="C41" s="307"/>
      <c r="D41" s="308"/>
      <c r="F41" s="358"/>
      <c r="J41" s="352"/>
      <c r="AE41" s="324">
        <v>2519.17</v>
      </c>
      <c r="AF41" s="325">
        <v>2518.66</v>
      </c>
      <c r="AG41" s="325">
        <v>2518.16</v>
      </c>
      <c r="AH41" s="325">
        <v>2515.71</v>
      </c>
      <c r="AI41" s="325">
        <v>2514.19</v>
      </c>
      <c r="AJ41" s="325">
        <v>2513.12</v>
      </c>
      <c r="AK41" s="325">
        <v>2512.66</v>
      </c>
      <c r="AL41" s="325"/>
      <c r="AM41" s="325"/>
      <c r="AN41" s="325"/>
      <c r="AO41" s="325"/>
      <c r="AP41" s="325"/>
      <c r="AQ41" s="325"/>
      <c r="AR41" s="325"/>
      <c r="AS41" s="325"/>
      <c r="AT41" s="325"/>
      <c r="AU41" s="325"/>
      <c r="AV41" s="325"/>
      <c r="AW41" s="325"/>
      <c r="AX41" s="325"/>
      <c r="AY41" s="325"/>
      <c r="BX41" s="299"/>
    </row>
    <row r="42" spans="1:76" x14ac:dyDescent="0.2">
      <c r="F42" s="358"/>
      <c r="J42" s="352"/>
      <c r="AE42" s="324">
        <v>2518.81</v>
      </c>
      <c r="AF42" s="325">
        <v>2518.08</v>
      </c>
      <c r="AG42" s="325">
        <v>2516.02</v>
      </c>
      <c r="AH42" s="325">
        <v>2513.83</v>
      </c>
      <c r="AI42" s="325">
        <v>2510.2399999999998</v>
      </c>
      <c r="AJ42" s="325">
        <v>2508.4499999999998</v>
      </c>
      <c r="AK42" s="325">
        <v>2507.6799999999998</v>
      </c>
      <c r="AL42" s="325"/>
      <c r="AM42" s="325"/>
      <c r="AN42" s="325"/>
      <c r="AO42" s="325"/>
      <c r="AP42" s="325"/>
      <c r="AQ42" s="325"/>
      <c r="AR42" s="325"/>
      <c r="AS42" s="325"/>
      <c r="AT42" s="325"/>
      <c r="AU42" s="325"/>
      <c r="AV42" s="325"/>
      <c r="AW42" s="325"/>
      <c r="AX42" s="325"/>
      <c r="AY42" s="325"/>
      <c r="BX42" s="299"/>
    </row>
    <row r="43" spans="1:76" x14ac:dyDescent="0.2">
      <c r="A43" s="415" t="s">
        <v>350</v>
      </c>
      <c r="B43" s="417"/>
      <c r="F43" s="358"/>
      <c r="J43" s="352"/>
      <c r="AE43" s="324">
        <v>2518.2800000000002</v>
      </c>
      <c r="AF43" s="325">
        <v>2515.85</v>
      </c>
      <c r="AG43" s="325">
        <v>2514.27</v>
      </c>
      <c r="AH43" s="325">
        <v>2509.64</v>
      </c>
      <c r="AI43" s="325">
        <v>2505.96</v>
      </c>
      <c r="AJ43" s="325">
        <v>2503.38</v>
      </c>
      <c r="AK43" s="325">
        <v>2501.0100000000002</v>
      </c>
      <c r="AL43" s="325"/>
      <c r="AM43" s="325"/>
      <c r="AN43" s="325"/>
      <c r="AO43" s="325"/>
      <c r="AP43" s="325"/>
      <c r="AQ43" s="325"/>
      <c r="AR43" s="325"/>
      <c r="AS43" s="325"/>
      <c r="AT43" s="325"/>
      <c r="AU43" s="325"/>
      <c r="AV43" s="325"/>
      <c r="AW43" s="325"/>
      <c r="AX43" s="325"/>
      <c r="AY43" s="325"/>
      <c r="BX43" s="299"/>
    </row>
    <row r="44" spans="1:76" x14ac:dyDescent="0.2">
      <c r="A44" s="304" t="s">
        <v>10</v>
      </c>
      <c r="B44" s="418" t="s">
        <v>170</v>
      </c>
      <c r="F44" s="358"/>
      <c r="J44" s="352"/>
      <c r="AE44" s="324">
        <v>2517.5300000000002</v>
      </c>
      <c r="AF44" s="325">
        <v>2514.0300000000002</v>
      </c>
      <c r="AG44" s="325">
        <v>2510.39</v>
      </c>
      <c r="AH44" s="325">
        <v>2505.09</v>
      </c>
      <c r="AI44" s="325">
        <v>2498.34</v>
      </c>
      <c r="AJ44" s="325">
        <v>2494.35</v>
      </c>
      <c r="AK44" s="325">
        <v>2492.64</v>
      </c>
      <c r="AL44" s="325"/>
      <c r="AM44" s="325"/>
      <c r="AN44" s="325"/>
      <c r="AO44" s="325"/>
      <c r="AP44" s="325"/>
      <c r="AQ44" s="325"/>
      <c r="AR44" s="325"/>
      <c r="AS44" s="325"/>
      <c r="AT44" s="325"/>
      <c r="AU44" s="325"/>
      <c r="AV44" s="325"/>
      <c r="AW44" s="325"/>
      <c r="AX44" s="325"/>
      <c r="AY44" s="325"/>
      <c r="BX44" s="299"/>
    </row>
    <row r="45" spans="1:76" x14ac:dyDescent="0.2">
      <c r="A45" s="305"/>
      <c r="B45" s="419"/>
      <c r="F45" s="358"/>
      <c r="J45" s="352"/>
      <c r="AE45" s="324">
        <v>2514.67</v>
      </c>
      <c r="AF45" s="325">
        <v>2509.9699999999998</v>
      </c>
      <c r="AG45" s="325">
        <v>2506.16</v>
      </c>
      <c r="AH45" s="325">
        <v>2497</v>
      </c>
      <c r="AI45" s="325">
        <v>2488.8000000000002</v>
      </c>
      <c r="AJ45" s="325">
        <v>2483.04</v>
      </c>
      <c r="AK45" s="325">
        <v>2479.2800000000002</v>
      </c>
      <c r="AL45" s="325"/>
      <c r="AM45" s="325"/>
      <c r="AN45" s="325"/>
      <c r="AO45" s="325"/>
      <c r="AP45" s="325"/>
      <c r="AQ45" s="325"/>
      <c r="AR45" s="325"/>
      <c r="AS45" s="325"/>
      <c r="AT45" s="325"/>
      <c r="AU45" s="325"/>
      <c r="AV45" s="325"/>
      <c r="AW45" s="325"/>
      <c r="AX45" s="325"/>
      <c r="AY45" s="325"/>
      <c r="BX45" s="299"/>
    </row>
    <row r="46" spans="1:76" x14ac:dyDescent="0.2">
      <c r="A46" s="420">
        <v>0</v>
      </c>
      <c r="B46" s="421">
        <v>1</v>
      </c>
      <c r="F46" s="358"/>
      <c r="J46" s="352"/>
      <c r="AE46" s="324">
        <v>2511.04</v>
      </c>
      <c r="AF46" s="325">
        <v>2505.56</v>
      </c>
      <c r="AG46" s="325">
        <v>2498.65</v>
      </c>
      <c r="AH46" s="325">
        <v>2486.86</v>
      </c>
      <c r="AI46" s="325">
        <v>2473.54</v>
      </c>
      <c r="AJ46" s="325">
        <v>2464.96</v>
      </c>
      <c r="AK46" s="325">
        <v>2461.27</v>
      </c>
      <c r="AL46" s="325"/>
      <c r="AM46" s="325"/>
      <c r="AN46" s="325"/>
      <c r="AO46" s="325"/>
      <c r="AP46" s="325"/>
      <c r="AQ46" s="325"/>
      <c r="AR46" s="325"/>
      <c r="AS46" s="325"/>
      <c r="AT46" s="325"/>
      <c r="AU46" s="325"/>
      <c r="AV46" s="325"/>
      <c r="AW46" s="325"/>
      <c r="AX46" s="325"/>
      <c r="AY46" s="325"/>
      <c r="BX46" s="299"/>
    </row>
    <row r="47" spans="1:76" x14ac:dyDescent="0.2">
      <c r="A47" s="422">
        <v>1</v>
      </c>
      <c r="B47" s="423">
        <v>5</v>
      </c>
      <c r="D47">
        <v>0.188</v>
      </c>
      <c r="F47" s="358"/>
      <c r="J47" s="352"/>
      <c r="AE47" s="324">
        <v>2507.1</v>
      </c>
      <c r="AF47" s="325">
        <v>2497.7199999999998</v>
      </c>
      <c r="AG47" s="325">
        <v>2489.2399999999998</v>
      </c>
      <c r="AH47" s="325">
        <v>2470.64</v>
      </c>
      <c r="AI47" s="325">
        <v>2452.9699999999998</v>
      </c>
      <c r="AJ47" s="325">
        <v>2439.29</v>
      </c>
      <c r="AK47" s="325">
        <v>2433.87</v>
      </c>
      <c r="AL47" s="325"/>
      <c r="AM47" s="325"/>
      <c r="AN47" s="325"/>
      <c r="AO47" s="325"/>
      <c r="AP47" s="325"/>
      <c r="AQ47" s="325"/>
      <c r="AR47" s="325"/>
      <c r="AS47" s="325"/>
      <c r="AT47" s="325"/>
      <c r="AU47" s="325"/>
      <c r="AV47" s="325"/>
      <c r="AW47" s="325"/>
      <c r="AX47" s="325"/>
      <c r="AY47" s="325"/>
      <c r="BX47" s="299"/>
    </row>
    <row r="48" spans="1:76" x14ac:dyDescent="0.2">
      <c r="A48" s="422">
        <v>2</v>
      </c>
      <c r="B48" s="423">
        <v>10</v>
      </c>
      <c r="D48">
        <v>0.219</v>
      </c>
      <c r="F48" s="358"/>
      <c r="J48" s="352"/>
      <c r="AE48" s="324">
        <v>2500.08</v>
      </c>
      <c r="AF48" s="325">
        <v>2487.88</v>
      </c>
      <c r="AG48" s="325">
        <v>2474.1799999999998</v>
      </c>
      <c r="AH48" s="325">
        <v>2448.7600000000002</v>
      </c>
      <c r="AI48" s="325">
        <v>2421.64</v>
      </c>
      <c r="AJ48" s="325">
        <v>2403.3200000000002</v>
      </c>
      <c r="AK48" s="325">
        <v>2395.4499999999998</v>
      </c>
      <c r="AL48" s="325"/>
      <c r="AM48" s="325"/>
      <c r="AN48" s="325"/>
      <c r="AO48" s="325"/>
      <c r="AP48" s="325"/>
      <c r="AQ48" s="325"/>
      <c r="AR48" s="325"/>
      <c r="AS48" s="325"/>
      <c r="AT48" s="325"/>
      <c r="AU48" s="325"/>
      <c r="AV48" s="325"/>
      <c r="AW48" s="325"/>
      <c r="AX48" s="325"/>
      <c r="AY48" s="325"/>
      <c r="BX48" s="299"/>
    </row>
    <row r="49" spans="1:76" x14ac:dyDescent="0.2">
      <c r="A49" s="422">
        <v>3</v>
      </c>
      <c r="B49" s="423">
        <v>15</v>
      </c>
      <c r="D49">
        <v>0.25</v>
      </c>
      <c r="F49" s="358"/>
      <c r="J49" s="352"/>
      <c r="AE49" s="324">
        <v>2491.27</v>
      </c>
      <c r="AF49" s="325">
        <v>2472.13</v>
      </c>
      <c r="AG49" s="325">
        <v>2453.86</v>
      </c>
      <c r="AH49" s="325">
        <v>2415.41</v>
      </c>
      <c r="AI49" s="325">
        <v>2377.61</v>
      </c>
      <c r="AJ49" s="325">
        <v>2349.66</v>
      </c>
      <c r="AK49" s="325">
        <v>2338.0700000000002</v>
      </c>
      <c r="AL49" s="325"/>
      <c r="AM49" s="325"/>
      <c r="AN49" s="325"/>
      <c r="AO49" s="325"/>
      <c r="AP49" s="325"/>
      <c r="AQ49" s="325"/>
      <c r="AR49" s="325"/>
      <c r="AS49" s="325"/>
      <c r="AT49" s="325"/>
      <c r="AU49" s="325"/>
      <c r="AV49" s="325"/>
      <c r="AW49" s="325"/>
      <c r="AX49" s="325"/>
      <c r="AY49" s="325"/>
      <c r="BX49" s="299"/>
    </row>
    <row r="50" spans="1:76" x14ac:dyDescent="0.2">
      <c r="A50" s="422">
        <v>4</v>
      </c>
      <c r="B50" s="423">
        <v>20</v>
      </c>
      <c r="D50">
        <v>0.28100000000000003</v>
      </c>
      <c r="F50" s="358"/>
      <c r="J50" s="352"/>
      <c r="AE50" s="324">
        <v>2477.13</v>
      </c>
      <c r="AF50" s="325">
        <v>2450.85</v>
      </c>
      <c r="AG50" s="325">
        <v>2422.88</v>
      </c>
      <c r="AH50" s="325">
        <v>2368.4899999999998</v>
      </c>
      <c r="AI50" s="325">
        <v>2311.73</v>
      </c>
      <c r="AJ50" s="325">
        <v>2272.23</v>
      </c>
      <c r="AK50" s="325">
        <v>2255.16</v>
      </c>
      <c r="AL50" s="325"/>
      <c r="AM50" s="325"/>
      <c r="AN50" s="325"/>
      <c r="AO50" s="325"/>
      <c r="AP50" s="325"/>
      <c r="AQ50" s="325"/>
      <c r="AR50" s="325"/>
      <c r="AS50" s="325"/>
      <c r="AT50" s="325"/>
      <c r="AU50" s="325"/>
      <c r="AV50" s="325"/>
      <c r="AW50" s="325"/>
      <c r="AX50" s="325"/>
      <c r="AY50" s="325"/>
      <c r="BX50" s="299"/>
    </row>
    <row r="51" spans="1:76" x14ac:dyDescent="0.2">
      <c r="A51" s="422">
        <v>5</v>
      </c>
      <c r="B51" s="423">
        <v>25</v>
      </c>
      <c r="D51">
        <v>0.313</v>
      </c>
      <c r="F51" s="358"/>
      <c r="J51" s="352"/>
      <c r="AE51" s="324">
        <v>2457.9699999999998</v>
      </c>
      <c r="AF51" s="325">
        <v>2418.34</v>
      </c>
      <c r="AG51" s="325">
        <v>2379.2600000000002</v>
      </c>
      <c r="AH51" s="325">
        <v>2298.15</v>
      </c>
      <c r="AI51" s="325">
        <v>2216.12</v>
      </c>
      <c r="AJ51" s="325">
        <v>2156.21</v>
      </c>
      <c r="AK51" s="325">
        <v>2130.62</v>
      </c>
      <c r="AL51" s="325"/>
      <c r="AM51" s="325"/>
      <c r="AN51" s="325"/>
      <c r="AO51" s="325"/>
      <c r="AP51" s="325"/>
      <c r="AQ51" s="325"/>
      <c r="AR51" s="325"/>
      <c r="AS51" s="325"/>
      <c r="AT51" s="325"/>
      <c r="AU51" s="325"/>
      <c r="AV51" s="325"/>
      <c r="AW51" s="325"/>
      <c r="AX51" s="325"/>
      <c r="AY51" s="325"/>
      <c r="BX51" s="299"/>
    </row>
    <row r="52" spans="1:76" x14ac:dyDescent="0.2">
      <c r="A52" s="422">
        <v>6</v>
      </c>
      <c r="B52" s="423">
        <v>30</v>
      </c>
      <c r="F52" s="358"/>
      <c r="J52" s="352"/>
      <c r="AE52" s="324">
        <v>2428.61</v>
      </c>
      <c r="AF52" s="325">
        <v>2372.4299999999998</v>
      </c>
      <c r="AG52" s="325">
        <v>2313.8200000000002</v>
      </c>
      <c r="AH52" s="325">
        <v>2194.64</v>
      </c>
      <c r="AI52" s="325">
        <v>2071.52</v>
      </c>
      <c r="AJ52" s="325">
        <v>1982.05</v>
      </c>
      <c r="AK52" s="325">
        <v>1942.76</v>
      </c>
      <c r="AL52" s="325"/>
      <c r="AM52" s="325"/>
      <c r="AN52" s="325"/>
      <c r="AO52" s="325"/>
      <c r="AP52" s="325"/>
      <c r="AQ52" s="325"/>
      <c r="AR52" s="325"/>
      <c r="AS52" s="325"/>
      <c r="AT52" s="325"/>
      <c r="AU52" s="325"/>
      <c r="AV52" s="325"/>
      <c r="AW52" s="325"/>
      <c r="AX52" s="325"/>
      <c r="AY52" s="325"/>
      <c r="BX52" s="299"/>
    </row>
    <row r="53" spans="1:76" x14ac:dyDescent="0.2">
      <c r="A53" s="422">
        <v>7</v>
      </c>
      <c r="B53" s="423">
        <v>35</v>
      </c>
      <c r="F53" s="358"/>
      <c r="J53" s="352"/>
      <c r="M53" s="1" t="s">
        <v>47</v>
      </c>
      <c r="N53" s="1" t="s">
        <v>54</v>
      </c>
      <c r="O53" s="1" t="s">
        <v>446</v>
      </c>
      <c r="P53" s="1" t="s">
        <v>442</v>
      </c>
      <c r="AE53" s="324">
        <v>2386.9299999999998</v>
      </c>
      <c r="AF53" s="325">
        <v>2303.25</v>
      </c>
      <c r="AG53" s="325">
        <v>2218.4899999999998</v>
      </c>
      <c r="AH53" s="325">
        <v>2040.06</v>
      </c>
      <c r="AI53" s="325">
        <v>1849.44</v>
      </c>
      <c r="AJ53" s="325">
        <v>1706.91</v>
      </c>
      <c r="AK53" s="325">
        <v>1642.8</v>
      </c>
      <c r="AL53" s="325"/>
      <c r="AM53" s="325"/>
      <c r="AN53" s="325"/>
      <c r="AO53" s="325"/>
      <c r="AP53" s="325"/>
      <c r="AQ53" s="325"/>
      <c r="AR53" s="325"/>
      <c r="AS53" s="325"/>
      <c r="AT53" s="325"/>
      <c r="AU53" s="325"/>
      <c r="AV53" s="325"/>
      <c r="AW53" s="325"/>
      <c r="AX53" s="325"/>
      <c r="AY53" s="325"/>
      <c r="BX53" s="299"/>
    </row>
    <row r="54" spans="1:76" x14ac:dyDescent="0.2">
      <c r="A54" s="422">
        <v>8</v>
      </c>
      <c r="B54" s="423">
        <v>40</v>
      </c>
      <c r="F54" s="358"/>
      <c r="J54" s="352"/>
      <c r="L54" s="28" t="s">
        <v>486</v>
      </c>
      <c r="M54" s="394">
        <v>1149</v>
      </c>
      <c r="N54" s="394">
        <v>1.0125</v>
      </c>
      <c r="O54" s="394">
        <v>0</v>
      </c>
      <c r="P54" s="394">
        <v>47</v>
      </c>
      <c r="AE54" s="324">
        <v>2323.6799999999998</v>
      </c>
      <c r="AF54" s="325">
        <v>2200.7199999999998</v>
      </c>
      <c r="AG54" s="325">
        <v>2073.48</v>
      </c>
      <c r="AH54" s="325">
        <v>1798.57</v>
      </c>
      <c r="AI54" s="325">
        <v>1485.81</v>
      </c>
      <c r="AJ54" s="325">
        <v>1227.3499999999999</v>
      </c>
      <c r="AK54" s="325">
        <v>1100.55</v>
      </c>
      <c r="AL54" s="325"/>
      <c r="AM54" s="325"/>
      <c r="AN54" s="325"/>
      <c r="AO54" s="325"/>
      <c r="AP54" s="325"/>
      <c r="AQ54" s="325"/>
      <c r="AR54" s="325"/>
      <c r="AS54" s="325"/>
      <c r="AT54" s="325"/>
      <c r="AU54" s="325"/>
      <c r="AV54" s="325"/>
      <c r="AW54" s="325"/>
      <c r="AX54" s="325"/>
      <c r="AY54" s="325"/>
      <c r="BX54" s="299"/>
    </row>
    <row r="55" spans="1:76" x14ac:dyDescent="0.2">
      <c r="A55" s="422">
        <v>9</v>
      </c>
      <c r="B55" s="423">
        <v>45</v>
      </c>
      <c r="F55" s="358"/>
      <c r="J55" s="352"/>
      <c r="L55" s="28" t="s">
        <v>487</v>
      </c>
      <c r="M55" s="394">
        <f>+AE67</f>
        <v>400</v>
      </c>
      <c r="N55" s="394">
        <f>+AE64</f>
        <v>50.413200000000003</v>
      </c>
      <c r="O55" s="394">
        <f>+AE65</f>
        <v>412.351</v>
      </c>
      <c r="P55" s="394">
        <f>+AE66</f>
        <v>1669.69</v>
      </c>
      <c r="AE55" s="324">
        <v>2229.9699999999998</v>
      </c>
      <c r="AF55" s="325">
        <v>2045.87</v>
      </c>
      <c r="AG55" s="325">
        <v>1848.77</v>
      </c>
      <c r="AH55" s="325">
        <v>1393.43</v>
      </c>
      <c r="AI55" s="325">
        <v>726.98400000000004</v>
      </c>
      <c r="AJ55" s="325"/>
      <c r="AK55" s="325"/>
      <c r="AL55" s="325"/>
      <c r="AM55" s="325"/>
      <c r="AN55" s="325"/>
      <c r="AO55" s="325"/>
      <c r="AP55" s="325"/>
      <c r="AQ55" s="325"/>
      <c r="AR55" s="325"/>
      <c r="AS55" s="325"/>
      <c r="AT55" s="325"/>
      <c r="AU55" s="325"/>
      <c r="AV55" s="325"/>
      <c r="AW55" s="325"/>
      <c r="AX55" s="325"/>
      <c r="AY55" s="325"/>
      <c r="BX55" s="299"/>
    </row>
    <row r="56" spans="1:76" x14ac:dyDescent="0.2">
      <c r="A56" s="422">
        <v>10</v>
      </c>
      <c r="B56" s="423">
        <v>50</v>
      </c>
      <c r="F56" s="358"/>
      <c r="J56" s="352"/>
      <c r="L56" s="28" t="s">
        <v>488</v>
      </c>
      <c r="M56" s="394">
        <f>+M55-M54</f>
        <v>-749</v>
      </c>
      <c r="N56" s="394">
        <f t="shared" ref="N56:P56" si="0">+N55-N54</f>
        <v>49.400700000000001</v>
      </c>
      <c r="O56" s="394">
        <f t="shared" si="0"/>
        <v>412.351</v>
      </c>
      <c r="P56" s="394">
        <f t="shared" si="0"/>
        <v>1622.69</v>
      </c>
      <c r="AE56" s="324">
        <v>2083.9499999999998</v>
      </c>
      <c r="AF56" s="325">
        <v>1799.83</v>
      </c>
      <c r="AG56" s="325">
        <v>1475</v>
      </c>
      <c r="AH56" s="325">
        <v>383.81599999999997</v>
      </c>
      <c r="AI56" s="325"/>
      <c r="AJ56" s="325"/>
      <c r="AK56" s="325"/>
      <c r="AL56" s="325"/>
      <c r="AM56" s="325"/>
      <c r="AN56" s="325"/>
      <c r="AO56" s="325"/>
      <c r="AP56" s="325"/>
      <c r="AQ56" s="325"/>
      <c r="AR56" s="325"/>
      <c r="AS56" s="325"/>
      <c r="AT56" s="325"/>
      <c r="AU56" s="325"/>
      <c r="AV56" s="325"/>
      <c r="AW56" s="325"/>
      <c r="AX56" s="325"/>
      <c r="AY56" s="325"/>
      <c r="BX56" s="299"/>
    </row>
    <row r="57" spans="1:76" x14ac:dyDescent="0.2">
      <c r="A57" s="422">
        <v>11</v>
      </c>
      <c r="B57" s="423"/>
      <c r="F57" s="358"/>
      <c r="J57" s="352"/>
      <c r="L57" s="1"/>
      <c r="M57" s="394"/>
      <c r="N57" s="394"/>
      <c r="O57" s="394"/>
      <c r="P57" s="394"/>
      <c r="AE57" s="324">
        <v>1849.18</v>
      </c>
      <c r="AF57" s="325">
        <v>1374.33</v>
      </c>
      <c r="AG57" s="325">
        <v>652.58299999999997</v>
      </c>
      <c r="AH57" s="325"/>
      <c r="AI57" s="325"/>
      <c r="AJ57" s="325"/>
      <c r="AK57" s="325"/>
      <c r="AL57" s="325"/>
      <c r="AM57" s="325"/>
      <c r="AN57" s="325"/>
      <c r="AO57" s="325"/>
      <c r="AP57" s="325"/>
      <c r="AQ57" s="325"/>
      <c r="AR57" s="325"/>
      <c r="AS57" s="325"/>
      <c r="AT57" s="325"/>
      <c r="AU57" s="325"/>
      <c r="AV57" s="325"/>
      <c r="AW57" s="325"/>
      <c r="AX57" s="325"/>
      <c r="AY57" s="325"/>
      <c r="BX57" s="299"/>
    </row>
    <row r="58" spans="1:76" x14ac:dyDescent="0.2">
      <c r="A58" s="422">
        <v>12</v>
      </c>
      <c r="B58" s="423"/>
      <c r="F58" s="358"/>
      <c r="J58" s="352"/>
      <c r="L58" s="1"/>
      <c r="M58" s="394"/>
      <c r="N58" s="394"/>
      <c r="O58" s="394"/>
      <c r="P58" s="394"/>
      <c r="AE58" s="324">
        <v>1433.48</v>
      </c>
      <c r="AF58" s="325"/>
      <c r="AG58" s="325"/>
      <c r="AH58" s="325"/>
      <c r="AI58" s="325"/>
      <c r="AJ58" s="325"/>
      <c r="AK58" s="325"/>
      <c r="AL58" s="325"/>
      <c r="AM58" s="325"/>
      <c r="AN58" s="325"/>
      <c r="AO58" s="325"/>
      <c r="AP58" s="325"/>
      <c r="AQ58" s="325"/>
      <c r="AR58" s="325"/>
      <c r="AS58" s="325"/>
      <c r="AT58" s="325"/>
      <c r="AU58" s="325"/>
      <c r="AV58" s="325"/>
      <c r="AW58" s="325"/>
      <c r="AX58" s="325"/>
      <c r="AY58" s="325"/>
      <c r="BX58" s="299"/>
    </row>
    <row r="59" spans="1:76" x14ac:dyDescent="0.2">
      <c r="A59" s="422">
        <v>13</v>
      </c>
      <c r="B59" s="423"/>
      <c r="F59" s="358"/>
      <c r="J59" s="352"/>
      <c r="L59" s="1"/>
      <c r="M59" s="394"/>
      <c r="N59" s="394"/>
      <c r="O59" s="394"/>
      <c r="P59" s="394"/>
      <c r="AE59" s="326">
        <v>74.178200000000004</v>
      </c>
      <c r="AF59" s="327"/>
      <c r="AG59" s="327"/>
      <c r="AH59" s="327"/>
      <c r="AI59" s="327"/>
      <c r="AJ59" s="327"/>
      <c r="AK59" s="327"/>
      <c r="AL59" s="327"/>
      <c r="AM59" s="327"/>
      <c r="AN59" s="327"/>
      <c r="AO59" s="327"/>
      <c r="AP59" s="327"/>
      <c r="AQ59" s="327"/>
      <c r="AR59" s="327"/>
      <c r="AS59" s="327"/>
      <c r="AT59" s="327"/>
      <c r="AU59" s="327"/>
      <c r="AV59" s="327"/>
      <c r="AW59" s="327"/>
      <c r="AX59" s="327"/>
      <c r="AY59" s="327"/>
      <c r="AZ59" s="300"/>
      <c r="BA59" s="300"/>
      <c r="BB59" s="300"/>
      <c r="BC59" s="300"/>
      <c r="BD59" s="300"/>
      <c r="BE59" s="300"/>
      <c r="BF59" s="300"/>
      <c r="BG59" s="300"/>
      <c r="BH59" s="300"/>
      <c r="BI59" s="300"/>
      <c r="BJ59" s="300"/>
      <c r="BK59" s="300"/>
      <c r="BL59" s="300"/>
      <c r="BM59" s="300"/>
      <c r="BN59" s="300"/>
      <c r="BO59" s="300"/>
      <c r="BP59" s="300"/>
      <c r="BQ59" s="300"/>
      <c r="BR59" s="300"/>
      <c r="BS59" s="300"/>
      <c r="BT59" s="300"/>
      <c r="BU59" s="300"/>
      <c r="BV59" s="300"/>
      <c r="BW59" s="300"/>
      <c r="BX59" s="301"/>
    </row>
    <row r="60" spans="1:76" x14ac:dyDescent="0.2">
      <c r="A60" s="422">
        <v>14</v>
      </c>
      <c r="B60" s="423"/>
      <c r="F60" s="358"/>
      <c r="J60" s="352"/>
      <c r="L60" s="1"/>
      <c r="M60" s="394"/>
      <c r="N60" s="394"/>
      <c r="O60" s="394"/>
      <c r="P60" s="394"/>
    </row>
    <row r="61" spans="1:76" x14ac:dyDescent="0.2">
      <c r="A61" s="422">
        <v>15</v>
      </c>
      <c r="B61" s="423"/>
      <c r="F61" s="358"/>
      <c r="J61" s="352"/>
      <c r="L61" s="1"/>
      <c r="M61" s="394"/>
      <c r="N61" s="394"/>
      <c r="O61" s="394"/>
      <c r="P61" s="394"/>
    </row>
    <row r="62" spans="1:76" x14ac:dyDescent="0.2">
      <c r="A62" s="422">
        <v>16</v>
      </c>
      <c r="B62" s="423"/>
      <c r="F62" s="358"/>
      <c r="J62" s="352"/>
      <c r="M62" s="395"/>
      <c r="N62" s="395"/>
      <c r="O62" s="395"/>
      <c r="P62" s="395"/>
      <c r="AD62" s="335"/>
      <c r="AE62" s="258" t="s">
        <v>382</v>
      </c>
      <c r="AF62" s="95" t="s">
        <v>383</v>
      </c>
      <c r="AG62" s="95" t="s">
        <v>384</v>
      </c>
      <c r="AH62" s="95" t="s">
        <v>385</v>
      </c>
      <c r="AI62" s="95" t="s">
        <v>496</v>
      </c>
      <c r="AJ62" s="95" t="s">
        <v>524</v>
      </c>
      <c r="AK62" s="95" t="s">
        <v>546</v>
      </c>
      <c r="AL62" s="95"/>
      <c r="AM62" s="95"/>
      <c r="AN62" s="95"/>
      <c r="AO62" s="95"/>
      <c r="AP62" s="95"/>
      <c r="AQ62" s="95"/>
      <c r="AR62" s="95"/>
      <c r="AS62" s="95"/>
      <c r="AT62" s="95"/>
      <c r="AU62" s="95"/>
      <c r="AV62" s="95"/>
      <c r="AW62" s="95"/>
      <c r="AX62" s="95"/>
      <c r="AY62" s="95"/>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413"/>
    </row>
    <row r="63" spans="1:76" x14ac:dyDescent="0.2">
      <c r="A63" s="422">
        <v>17</v>
      </c>
      <c r="B63" s="423"/>
      <c r="F63" s="358"/>
      <c r="J63" s="352"/>
      <c r="M63" s="395"/>
      <c r="N63" s="395"/>
      <c r="O63" s="395"/>
      <c r="P63" s="395"/>
      <c r="AD63" s="340" t="s">
        <v>431</v>
      </c>
      <c r="AE63" s="402">
        <v>1903.45</v>
      </c>
      <c r="AF63" s="403">
        <v>1664.73</v>
      </c>
      <c r="AG63" s="403">
        <v>1486.43</v>
      </c>
      <c r="AH63" s="403">
        <v>1216.94</v>
      </c>
      <c r="AI63" s="403">
        <v>1078.23</v>
      </c>
      <c r="AJ63" s="403">
        <v>1015.66</v>
      </c>
      <c r="AK63" s="403">
        <v>1001.51</v>
      </c>
      <c r="AL63" s="403"/>
      <c r="AM63" s="403"/>
      <c r="AN63" s="403"/>
      <c r="AO63" s="403"/>
      <c r="AP63" s="403"/>
      <c r="AQ63" s="403"/>
      <c r="AR63" s="403"/>
      <c r="AS63" s="403"/>
      <c r="AT63" s="403"/>
      <c r="AU63" s="403"/>
      <c r="AV63" s="403"/>
      <c r="AW63" s="403"/>
      <c r="AX63" s="403"/>
      <c r="AY63" s="403"/>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4"/>
      <c r="BW63" s="404"/>
      <c r="BX63" s="405"/>
    </row>
    <row r="64" spans="1:76" x14ac:dyDescent="0.2">
      <c r="A64" s="422">
        <v>18</v>
      </c>
      <c r="B64" s="423"/>
      <c r="F64" s="358"/>
      <c r="J64" s="352"/>
      <c r="M64" s="395"/>
      <c r="N64" s="395"/>
      <c r="O64" s="395"/>
      <c r="P64" s="395"/>
      <c r="AD64" s="401" t="s">
        <v>432</v>
      </c>
      <c r="AE64" s="402">
        <v>50.413200000000003</v>
      </c>
      <c r="AF64" s="403">
        <v>42.953000000000003</v>
      </c>
      <c r="AG64" s="403">
        <v>37.353400000000001</v>
      </c>
      <c r="AH64" s="403">
        <v>28.222200000000001</v>
      </c>
      <c r="AI64" s="403">
        <v>22.5152</v>
      </c>
      <c r="AJ64" s="403">
        <v>19.601900000000001</v>
      </c>
      <c r="AK64" s="403">
        <v>18.943000000000001</v>
      </c>
      <c r="AL64" s="403"/>
      <c r="AM64" s="403"/>
      <c r="AN64" s="403"/>
      <c r="AO64" s="403"/>
      <c r="AP64" s="403"/>
      <c r="AQ64" s="403"/>
      <c r="AR64" s="403"/>
      <c r="AS64" s="403"/>
      <c r="AT64" s="403"/>
      <c r="AU64" s="403"/>
      <c r="AV64" s="403"/>
      <c r="AW64" s="403"/>
      <c r="AX64" s="403"/>
      <c r="AY64" s="403"/>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4"/>
      <c r="BW64" s="404"/>
      <c r="BX64" s="405"/>
    </row>
    <row r="65" spans="1:76" x14ac:dyDescent="0.2">
      <c r="A65" s="424">
        <v>19</v>
      </c>
      <c r="B65" s="425"/>
      <c r="F65" s="358"/>
      <c r="J65" s="352"/>
      <c r="M65" s="395"/>
      <c r="N65" s="395"/>
      <c r="O65" s="395"/>
      <c r="P65" s="395"/>
      <c r="AD65" s="401" t="s">
        <v>433</v>
      </c>
      <c r="AE65" s="402">
        <v>412.351</v>
      </c>
      <c r="AF65" s="403">
        <v>351.33100000000002</v>
      </c>
      <c r="AG65" s="403">
        <v>305.52999999999997</v>
      </c>
      <c r="AH65" s="403">
        <v>230.84100000000001</v>
      </c>
      <c r="AI65" s="403">
        <v>184.161</v>
      </c>
      <c r="AJ65" s="403">
        <v>160.333</v>
      </c>
      <c r="AK65" s="403">
        <v>154.94300000000001</v>
      </c>
      <c r="AL65" s="403"/>
      <c r="AM65" s="403"/>
      <c r="AN65" s="403"/>
      <c r="AO65" s="403"/>
      <c r="AP65" s="403"/>
      <c r="AQ65" s="403"/>
      <c r="AR65" s="403"/>
      <c r="AS65" s="403"/>
      <c r="AT65" s="403"/>
      <c r="AU65" s="403"/>
      <c r="AV65" s="403"/>
      <c r="AW65" s="403"/>
      <c r="AX65" s="403"/>
      <c r="AY65" s="403"/>
      <c r="AZ65" s="404"/>
      <c r="BA65" s="404"/>
      <c r="BB65" s="404"/>
      <c r="BC65" s="404"/>
      <c r="BD65" s="404"/>
      <c r="BE65" s="404"/>
      <c r="BF65" s="404"/>
      <c r="BG65" s="404"/>
      <c r="BH65" s="404"/>
      <c r="BI65" s="404"/>
      <c r="BJ65" s="404"/>
      <c r="BK65" s="404"/>
      <c r="BL65" s="404"/>
      <c r="BM65" s="404"/>
      <c r="BN65" s="404"/>
      <c r="BO65" s="404"/>
      <c r="BP65" s="404"/>
      <c r="BQ65" s="404"/>
      <c r="BR65" s="404"/>
      <c r="BS65" s="404"/>
      <c r="BT65" s="404"/>
      <c r="BU65" s="404"/>
      <c r="BV65" s="404"/>
      <c r="BW65" s="404"/>
      <c r="BX65" s="405"/>
    </row>
    <row r="66" spans="1:76" x14ac:dyDescent="0.2">
      <c r="F66" s="358"/>
      <c r="J66" s="352"/>
      <c r="M66" s="395"/>
      <c r="N66" s="395"/>
      <c r="O66" s="395"/>
      <c r="P66" s="395"/>
      <c r="AD66" s="401" t="s">
        <v>369</v>
      </c>
      <c r="AE66" s="402">
        <v>1669.69</v>
      </c>
      <c r="AF66" s="403">
        <v>1422.6</v>
      </c>
      <c r="AG66" s="403">
        <v>1237.1500000000001</v>
      </c>
      <c r="AH66" s="403">
        <v>934.71799999999996</v>
      </c>
      <c r="AI66" s="403">
        <v>745.70399999999995</v>
      </c>
      <c r="AJ66" s="403">
        <v>649.21600000000001</v>
      </c>
      <c r="AK66" s="403">
        <v>627.39099999999996</v>
      </c>
      <c r="AL66" s="403"/>
      <c r="AM66" s="403"/>
      <c r="AN66" s="403"/>
      <c r="AO66" s="403"/>
      <c r="AP66" s="403"/>
      <c r="AQ66" s="403"/>
      <c r="AR66" s="403"/>
      <c r="AS66" s="403"/>
      <c r="AT66" s="403"/>
      <c r="AU66" s="403"/>
      <c r="AV66" s="403"/>
      <c r="AW66" s="403"/>
      <c r="AX66" s="403"/>
      <c r="AY66" s="403"/>
      <c r="AZ66" s="404"/>
      <c r="BA66" s="404"/>
      <c r="BB66" s="404"/>
      <c r="BC66" s="404"/>
      <c r="BD66" s="404"/>
      <c r="BE66" s="404"/>
      <c r="BF66" s="404"/>
      <c r="BG66" s="404"/>
      <c r="BH66" s="404"/>
      <c r="BI66" s="404"/>
      <c r="BJ66" s="404"/>
      <c r="BK66" s="404"/>
      <c r="BL66" s="404"/>
      <c r="BM66" s="404"/>
      <c r="BN66" s="404"/>
      <c r="BO66" s="404"/>
      <c r="BP66" s="404"/>
      <c r="BQ66" s="404"/>
      <c r="BR66" s="404"/>
      <c r="BS66" s="404"/>
      <c r="BT66" s="404"/>
      <c r="BU66" s="404"/>
      <c r="BV66" s="404"/>
      <c r="BW66" s="404"/>
      <c r="BX66" s="405"/>
    </row>
    <row r="67" spans="1:76" x14ac:dyDescent="0.2">
      <c r="F67" s="358"/>
      <c r="J67" s="352"/>
      <c r="M67" s="395"/>
      <c r="N67" s="395"/>
      <c r="O67" s="395"/>
      <c r="P67" s="395"/>
      <c r="AD67" s="406" t="s">
        <v>47</v>
      </c>
      <c r="AE67" s="407">
        <v>400</v>
      </c>
      <c r="AF67" s="408">
        <v>400</v>
      </c>
      <c r="AG67" s="408">
        <v>400</v>
      </c>
      <c r="AH67" s="408">
        <v>400</v>
      </c>
      <c r="AI67" s="408">
        <v>400</v>
      </c>
      <c r="AJ67" s="408">
        <v>400</v>
      </c>
      <c r="AK67" s="408">
        <v>400</v>
      </c>
      <c r="AL67" s="408"/>
      <c r="AM67" s="408"/>
      <c r="AN67" s="408"/>
      <c r="AO67" s="408"/>
      <c r="AP67" s="408"/>
      <c r="AQ67" s="408"/>
      <c r="AR67" s="408"/>
      <c r="AS67" s="408"/>
      <c r="AT67" s="408"/>
      <c r="AU67" s="408"/>
      <c r="AV67" s="408"/>
      <c r="AW67" s="408"/>
      <c r="AX67" s="408"/>
      <c r="AY67" s="408"/>
      <c r="AZ67" s="409"/>
      <c r="BA67" s="409"/>
      <c r="BB67" s="409"/>
      <c r="BC67" s="409"/>
      <c r="BD67" s="409"/>
      <c r="BE67" s="409"/>
      <c r="BF67" s="409"/>
      <c r="BG67" s="409"/>
      <c r="BH67" s="409"/>
      <c r="BI67" s="409"/>
      <c r="BJ67" s="409"/>
      <c r="BK67" s="409"/>
      <c r="BL67" s="409"/>
      <c r="BM67" s="409"/>
      <c r="BN67" s="409"/>
      <c r="BO67" s="409"/>
      <c r="BP67" s="409"/>
      <c r="BQ67" s="409"/>
      <c r="BR67" s="409"/>
      <c r="BS67" s="409"/>
      <c r="BT67" s="409"/>
      <c r="BU67" s="409"/>
      <c r="BV67" s="409"/>
      <c r="BW67" s="409"/>
      <c r="BX67" s="410"/>
    </row>
    <row r="68" spans="1:76" x14ac:dyDescent="0.2">
      <c r="F68" s="358"/>
      <c r="J68" s="352"/>
      <c r="M68" s="395"/>
      <c r="N68" s="395"/>
      <c r="O68" s="395"/>
      <c r="P68" s="395"/>
      <c r="AD68" s="374" t="s">
        <v>371</v>
      </c>
      <c r="AE68" s="389">
        <v>400</v>
      </c>
      <c r="AF68" s="390">
        <v>400</v>
      </c>
      <c r="AG68" s="390">
        <v>400</v>
      </c>
      <c r="AH68" s="390">
        <v>400</v>
      </c>
      <c r="AI68" s="390">
        <v>400</v>
      </c>
      <c r="AJ68" s="390">
        <v>400</v>
      </c>
      <c r="AK68" s="390">
        <v>400</v>
      </c>
      <c r="AL68" s="390"/>
      <c r="AM68" s="390"/>
      <c r="AN68" s="390"/>
      <c r="AO68" s="390"/>
      <c r="AP68" s="390"/>
      <c r="AQ68" s="390"/>
      <c r="AR68" s="390"/>
      <c r="AS68" s="390"/>
      <c r="AT68" s="390"/>
      <c r="AU68" s="390"/>
      <c r="AV68" s="390"/>
      <c r="AW68" s="390"/>
      <c r="AX68" s="390"/>
      <c r="AY68" s="390"/>
      <c r="AZ68" s="391"/>
      <c r="BA68" s="391"/>
      <c r="BB68" s="391"/>
      <c r="BC68" s="391"/>
      <c r="BD68" s="391"/>
      <c r="BE68" s="391"/>
      <c r="BF68" s="391"/>
      <c r="BG68" s="391"/>
      <c r="BH68" s="391"/>
      <c r="BI68" s="391"/>
      <c r="BJ68" s="391"/>
      <c r="BK68" s="391"/>
      <c r="BL68" s="391"/>
      <c r="BM68" s="391"/>
      <c r="BN68" s="391"/>
      <c r="BO68" s="391"/>
      <c r="BP68" s="391"/>
      <c r="BQ68" s="391"/>
      <c r="BR68" s="391"/>
      <c r="BS68" s="391"/>
      <c r="BT68" s="391"/>
      <c r="BU68" s="391"/>
      <c r="BV68" s="391"/>
      <c r="BW68" s="391"/>
      <c r="BX68" s="392"/>
    </row>
    <row r="69" spans="1:76" x14ac:dyDescent="0.2">
      <c r="F69" s="377"/>
      <c r="G69" s="356"/>
      <c r="H69" s="356"/>
      <c r="I69" s="356"/>
      <c r="J69" s="353"/>
      <c r="M69" s="395"/>
      <c r="N69" s="395"/>
      <c r="O69" s="395"/>
      <c r="P69" s="395"/>
      <c r="AD69" s="375" t="s">
        <v>372</v>
      </c>
      <c r="AE69" s="393">
        <v>873.81399999999996</v>
      </c>
      <c r="AF69" s="394">
        <v>686.96600000000001</v>
      </c>
      <c r="AG69" s="394">
        <v>546.904</v>
      </c>
      <c r="AH69" s="394">
        <v>322.97899999999998</v>
      </c>
      <c r="AI69" s="394">
        <v>189.27</v>
      </c>
      <c r="AJ69" s="394">
        <v>122.746</v>
      </c>
      <c r="AK69" s="394">
        <v>107.69799999999999</v>
      </c>
      <c r="AL69" s="394"/>
      <c r="AM69" s="394"/>
      <c r="AN69" s="394"/>
      <c r="AO69" s="394"/>
      <c r="AP69" s="394"/>
      <c r="AQ69" s="394"/>
      <c r="AR69" s="394"/>
      <c r="AS69" s="394"/>
      <c r="AT69" s="394"/>
      <c r="AU69" s="394"/>
      <c r="AV69" s="394"/>
      <c r="AW69" s="394"/>
      <c r="AX69" s="394"/>
      <c r="AY69" s="394"/>
      <c r="AZ69" s="395"/>
      <c r="BA69" s="395"/>
      <c r="BB69" s="395"/>
      <c r="BC69" s="395"/>
      <c r="BD69" s="395"/>
      <c r="BE69" s="395"/>
      <c r="BF69" s="395"/>
      <c r="BG69" s="395"/>
      <c r="BH69" s="395"/>
      <c r="BI69" s="395"/>
      <c r="BJ69" s="395"/>
      <c r="BK69" s="395"/>
      <c r="BL69" s="395"/>
      <c r="BM69" s="395"/>
      <c r="BN69" s="395"/>
      <c r="BO69" s="395"/>
      <c r="BP69" s="395"/>
      <c r="BQ69" s="395"/>
      <c r="BR69" s="395"/>
      <c r="BS69" s="395"/>
      <c r="BT69" s="395"/>
      <c r="BU69" s="395"/>
      <c r="BV69" s="395"/>
      <c r="BW69" s="395"/>
      <c r="BX69" s="396"/>
    </row>
    <row r="70" spans="1:76" x14ac:dyDescent="0.2">
      <c r="AD70" s="375" t="s">
        <v>373</v>
      </c>
      <c r="AE70" s="393">
        <v>566.52499999999998</v>
      </c>
      <c r="AF70" s="394">
        <v>521.88300000000004</v>
      </c>
      <c r="AG70" s="394">
        <v>489.02699999999999</v>
      </c>
      <c r="AH70" s="394">
        <v>451.34399999999999</v>
      </c>
      <c r="AI70" s="394">
        <v>450.37799999999999</v>
      </c>
      <c r="AJ70" s="394">
        <v>456.14800000000002</v>
      </c>
      <c r="AK70" s="394">
        <v>457.45400000000001</v>
      </c>
      <c r="AL70" s="394"/>
      <c r="AM70" s="394"/>
      <c r="AN70" s="394"/>
      <c r="AO70" s="394"/>
      <c r="AP70" s="394"/>
      <c r="AQ70" s="394"/>
      <c r="AR70" s="394"/>
      <c r="AS70" s="394"/>
      <c r="AT70" s="394"/>
      <c r="AU70" s="394"/>
      <c r="AV70" s="394"/>
      <c r="AW70" s="394"/>
      <c r="AX70" s="394"/>
      <c r="AY70" s="394"/>
      <c r="AZ70" s="395"/>
      <c r="BA70" s="395"/>
      <c r="BB70" s="395"/>
      <c r="BC70" s="395"/>
      <c r="BD70" s="395"/>
      <c r="BE70" s="395"/>
      <c r="BF70" s="395"/>
      <c r="BG70" s="395"/>
      <c r="BH70" s="395"/>
      <c r="BI70" s="395"/>
      <c r="BJ70" s="395"/>
      <c r="BK70" s="395"/>
      <c r="BL70" s="395"/>
      <c r="BM70" s="395"/>
      <c r="BN70" s="395"/>
      <c r="BO70" s="395"/>
      <c r="BP70" s="395"/>
      <c r="BQ70" s="395"/>
      <c r="BR70" s="395"/>
      <c r="BS70" s="395"/>
      <c r="BT70" s="395"/>
      <c r="BU70" s="395"/>
      <c r="BV70" s="395"/>
      <c r="BW70" s="395"/>
      <c r="BX70" s="396"/>
    </row>
    <row r="71" spans="1:76" x14ac:dyDescent="0.2">
      <c r="AD71" s="375" t="s">
        <v>374</v>
      </c>
      <c r="AE71" s="393">
        <v>0</v>
      </c>
      <c r="AF71" s="394">
        <v>337.029</v>
      </c>
      <c r="AG71" s="394">
        <v>600.875</v>
      </c>
      <c r="AH71" s="394">
        <v>931.70399999999995</v>
      </c>
      <c r="AI71" s="394">
        <v>1135.51</v>
      </c>
      <c r="AJ71" s="394">
        <v>1227.94</v>
      </c>
      <c r="AK71" s="394">
        <v>1303.8</v>
      </c>
      <c r="AL71" s="394"/>
      <c r="AM71" s="394"/>
      <c r="AN71" s="394"/>
      <c r="AO71" s="394"/>
      <c r="AP71" s="394"/>
      <c r="AQ71" s="394"/>
      <c r="AR71" s="394"/>
      <c r="AS71" s="394"/>
      <c r="AT71" s="394"/>
      <c r="AU71" s="394"/>
      <c r="AV71" s="394"/>
      <c r="AW71" s="394"/>
      <c r="AX71" s="394"/>
      <c r="AY71" s="394"/>
      <c r="AZ71" s="395"/>
      <c r="BA71" s="395"/>
      <c r="BB71" s="395"/>
      <c r="BC71" s="395"/>
      <c r="BD71" s="395"/>
      <c r="BE71" s="395"/>
      <c r="BF71" s="395"/>
      <c r="BG71" s="395"/>
      <c r="BH71" s="395"/>
      <c r="BI71" s="395"/>
      <c r="BJ71" s="395"/>
      <c r="BK71" s="395"/>
      <c r="BL71" s="395"/>
      <c r="BM71" s="395"/>
      <c r="BN71" s="395"/>
      <c r="BO71" s="395"/>
      <c r="BP71" s="395"/>
      <c r="BQ71" s="395"/>
      <c r="BR71" s="395"/>
      <c r="BS71" s="395"/>
      <c r="BT71" s="395"/>
      <c r="BU71" s="395"/>
      <c r="BV71" s="395"/>
      <c r="BW71" s="395"/>
      <c r="BX71" s="396"/>
    </row>
    <row r="72" spans="1:76" x14ac:dyDescent="0.2">
      <c r="AD72" s="375" t="s">
        <v>375</v>
      </c>
      <c r="AE72" s="393">
        <v>0</v>
      </c>
      <c r="AF72" s="394">
        <v>0</v>
      </c>
      <c r="AG72" s="394">
        <v>0</v>
      </c>
      <c r="AH72" s="394">
        <v>0</v>
      </c>
      <c r="AI72" s="394">
        <v>0</v>
      </c>
      <c r="AJ72" s="394">
        <v>0</v>
      </c>
      <c r="AK72" s="394">
        <v>0</v>
      </c>
      <c r="AL72" s="394"/>
      <c r="AM72" s="394"/>
      <c r="AN72" s="394"/>
      <c r="AO72" s="394"/>
      <c r="AP72" s="394"/>
      <c r="AQ72" s="394"/>
      <c r="AR72" s="394"/>
      <c r="AS72" s="394"/>
      <c r="AT72" s="394"/>
      <c r="AU72" s="394"/>
      <c r="AV72" s="394"/>
      <c r="AW72" s="394"/>
      <c r="AX72" s="394"/>
      <c r="AY72" s="394"/>
      <c r="AZ72" s="395"/>
      <c r="BA72" s="395"/>
      <c r="BB72" s="395"/>
      <c r="BC72" s="395"/>
      <c r="BD72" s="395"/>
      <c r="BE72" s="395"/>
      <c r="BF72" s="395"/>
      <c r="BG72" s="395"/>
      <c r="BH72" s="395"/>
      <c r="BI72" s="395"/>
      <c r="BJ72" s="395"/>
      <c r="BK72" s="395"/>
      <c r="BL72" s="395"/>
      <c r="BM72" s="395"/>
      <c r="BN72" s="395"/>
      <c r="BO72" s="395"/>
      <c r="BP72" s="395"/>
      <c r="BQ72" s="395"/>
      <c r="BR72" s="395"/>
      <c r="BS72" s="395"/>
      <c r="BT72" s="395"/>
      <c r="BU72" s="395"/>
      <c r="BV72" s="395"/>
      <c r="BW72" s="395"/>
      <c r="BX72" s="396"/>
    </row>
    <row r="73" spans="1:76" x14ac:dyDescent="0.2">
      <c r="AD73" s="375" t="s">
        <v>376</v>
      </c>
      <c r="AE73" s="393">
        <v>0</v>
      </c>
      <c r="AF73" s="394">
        <v>0</v>
      </c>
      <c r="AG73" s="394">
        <v>0</v>
      </c>
      <c r="AH73" s="394">
        <v>0</v>
      </c>
      <c r="AI73" s="394">
        <v>0</v>
      </c>
      <c r="AJ73" s="394">
        <v>0</v>
      </c>
      <c r="AK73" s="394">
        <v>0</v>
      </c>
      <c r="AL73" s="394"/>
      <c r="AM73" s="394"/>
      <c r="AN73" s="394"/>
      <c r="AO73" s="394"/>
      <c r="AP73" s="394"/>
      <c r="AQ73" s="394"/>
      <c r="AR73" s="394"/>
      <c r="AS73" s="394"/>
      <c r="AT73" s="394"/>
      <c r="AU73" s="394"/>
      <c r="AV73" s="394"/>
      <c r="AW73" s="394"/>
      <c r="AX73" s="394"/>
      <c r="AY73" s="394"/>
      <c r="AZ73" s="395"/>
      <c r="BA73" s="395"/>
      <c r="BB73" s="395"/>
      <c r="BC73" s="395"/>
      <c r="BD73" s="395"/>
      <c r="BE73" s="395"/>
      <c r="BF73" s="395"/>
      <c r="BG73" s="395"/>
      <c r="BH73" s="395"/>
      <c r="BI73" s="395"/>
      <c r="BJ73" s="395"/>
      <c r="BK73" s="395"/>
      <c r="BL73" s="395"/>
      <c r="BM73" s="395"/>
      <c r="BN73" s="395"/>
      <c r="BO73" s="395"/>
      <c r="BP73" s="395"/>
      <c r="BQ73" s="395"/>
      <c r="BR73" s="395"/>
      <c r="BS73" s="395"/>
      <c r="BT73" s="395"/>
      <c r="BU73" s="395"/>
      <c r="BV73" s="395"/>
      <c r="BW73" s="395"/>
      <c r="BX73" s="396"/>
    </row>
    <row r="74" spans="1:76" x14ac:dyDescent="0.2">
      <c r="AD74" s="375" t="s">
        <v>377</v>
      </c>
      <c r="AE74" s="393">
        <v>0</v>
      </c>
      <c r="AF74" s="394">
        <v>0</v>
      </c>
      <c r="AG74" s="394">
        <v>0</v>
      </c>
      <c r="AH74" s="394">
        <v>0</v>
      </c>
      <c r="AI74" s="394">
        <v>0</v>
      </c>
      <c r="AJ74" s="394">
        <v>0</v>
      </c>
      <c r="AK74" s="394">
        <v>0</v>
      </c>
      <c r="AL74" s="394"/>
      <c r="AM74" s="394"/>
      <c r="AN74" s="394"/>
      <c r="AO74" s="394"/>
      <c r="AP74" s="394"/>
      <c r="AQ74" s="394"/>
      <c r="AR74" s="394"/>
      <c r="AS74" s="394"/>
      <c r="AT74" s="394"/>
      <c r="AU74" s="394"/>
      <c r="AV74" s="394"/>
      <c r="AW74" s="394"/>
      <c r="AX74" s="394"/>
      <c r="AY74" s="394"/>
      <c r="AZ74" s="395"/>
      <c r="BA74" s="395"/>
      <c r="BB74" s="395"/>
      <c r="BC74" s="395"/>
      <c r="BD74" s="395"/>
      <c r="BE74" s="395"/>
      <c r="BF74" s="395"/>
      <c r="BG74" s="395"/>
      <c r="BH74" s="395"/>
      <c r="BI74" s="395"/>
      <c r="BJ74" s="395"/>
      <c r="BK74" s="395"/>
      <c r="BL74" s="395"/>
      <c r="BM74" s="395"/>
      <c r="BN74" s="395"/>
      <c r="BO74" s="395"/>
      <c r="BP74" s="395"/>
      <c r="BQ74" s="395"/>
      <c r="BR74" s="395"/>
      <c r="BS74" s="395"/>
      <c r="BT74" s="395"/>
      <c r="BU74" s="395"/>
      <c r="BV74" s="395"/>
      <c r="BW74" s="395"/>
      <c r="BX74" s="396"/>
    </row>
    <row r="75" spans="1:76" x14ac:dyDescent="0.2">
      <c r="AD75" s="375" t="s">
        <v>378</v>
      </c>
      <c r="AE75" s="393">
        <v>0</v>
      </c>
      <c r="AF75" s="394">
        <v>5</v>
      </c>
      <c r="AG75" s="394">
        <v>10</v>
      </c>
      <c r="AH75" s="394">
        <v>20</v>
      </c>
      <c r="AI75" s="394">
        <v>30</v>
      </c>
      <c r="AJ75" s="394">
        <v>37</v>
      </c>
      <c r="AK75" s="394">
        <v>40</v>
      </c>
      <c r="AL75" s="394"/>
      <c r="AM75" s="394"/>
      <c r="AN75" s="394"/>
      <c r="AO75" s="394"/>
      <c r="AP75" s="394"/>
      <c r="AQ75" s="394"/>
      <c r="AR75" s="394"/>
      <c r="AS75" s="394"/>
      <c r="AT75" s="394"/>
      <c r="AU75" s="394"/>
      <c r="AV75" s="394"/>
      <c r="AW75" s="394"/>
      <c r="AX75" s="394"/>
      <c r="AY75" s="394"/>
      <c r="AZ75" s="395"/>
      <c r="BA75" s="395"/>
      <c r="BB75" s="395"/>
      <c r="BC75" s="395"/>
      <c r="BD75" s="395"/>
      <c r="BE75" s="395"/>
      <c r="BF75" s="395"/>
      <c r="BG75" s="395"/>
      <c r="BH75" s="395"/>
      <c r="BI75" s="395"/>
      <c r="BJ75" s="395"/>
      <c r="BK75" s="395"/>
      <c r="BL75" s="395"/>
      <c r="BM75" s="395"/>
      <c r="BN75" s="395"/>
      <c r="BO75" s="395"/>
      <c r="BP75" s="395"/>
      <c r="BQ75" s="395"/>
      <c r="BR75" s="395"/>
      <c r="BS75" s="395"/>
      <c r="BT75" s="395"/>
      <c r="BU75" s="395"/>
      <c r="BV75" s="395"/>
      <c r="BW75" s="395"/>
      <c r="BX75" s="396"/>
    </row>
    <row r="76" spans="1:76" x14ac:dyDescent="0.2">
      <c r="AD76" s="376" t="s">
        <v>379</v>
      </c>
      <c r="AE76" s="397">
        <v>0</v>
      </c>
      <c r="AF76" s="398">
        <v>5</v>
      </c>
      <c r="AG76" s="398">
        <v>10</v>
      </c>
      <c r="AH76" s="398">
        <v>20</v>
      </c>
      <c r="AI76" s="398">
        <v>30</v>
      </c>
      <c r="AJ76" s="398">
        <v>37</v>
      </c>
      <c r="AK76" s="398">
        <v>40</v>
      </c>
      <c r="AL76" s="398"/>
      <c r="AM76" s="398"/>
      <c r="AN76" s="398"/>
      <c r="AO76" s="398"/>
      <c r="AP76" s="398"/>
      <c r="AQ76" s="398"/>
      <c r="AR76" s="398"/>
      <c r="AS76" s="398"/>
      <c r="AT76" s="398"/>
      <c r="AU76" s="398"/>
      <c r="AV76" s="398"/>
      <c r="AW76" s="398"/>
      <c r="AX76" s="398"/>
      <c r="AY76" s="398"/>
      <c r="AZ76" s="399"/>
      <c r="BA76" s="399"/>
      <c r="BB76" s="399"/>
      <c r="BC76" s="399"/>
      <c r="BD76" s="399"/>
      <c r="BE76" s="399"/>
      <c r="BF76" s="399"/>
      <c r="BG76" s="399"/>
      <c r="BH76" s="399"/>
      <c r="BI76" s="399"/>
      <c r="BJ76" s="399"/>
      <c r="BK76" s="399"/>
      <c r="BL76" s="399"/>
      <c r="BM76" s="399"/>
      <c r="BN76" s="399"/>
      <c r="BO76" s="399"/>
      <c r="BP76" s="399"/>
      <c r="BQ76" s="399"/>
      <c r="BR76" s="399"/>
      <c r="BS76" s="399"/>
      <c r="BT76" s="399"/>
      <c r="BU76" s="399"/>
      <c r="BV76" s="399"/>
      <c r="BW76" s="399"/>
      <c r="BX76" s="400"/>
    </row>
  </sheetData>
  <sortState xmlns:xlrd2="http://schemas.microsoft.com/office/spreadsheetml/2017/richdata2" ref="D22:D41">
    <sortCondition ref="D22"/>
  </sortState>
  <mergeCells count="1">
    <mergeCell ref="A17:D17"/>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78B20B1B-7F0C-4CDE-9811-A191B4B194B0}">
            <x14:iconSet iconSet="3Symbols2" showValue="0" custom="1">
              <x14:cfvo type="percent">
                <xm:f>0</xm:f>
              </x14:cfvo>
              <x14:cfvo type="num">
                <xm:f>0</xm:f>
              </x14:cfvo>
              <x14:cfvo type="num" gte="0">
                <xm:f>0</xm:f>
              </x14:cfvo>
              <x14:cfIcon iconSet="3TrafficLights1" iconId="0"/>
              <x14:cfIcon iconSet="3Symbols2" iconId="0"/>
              <x14:cfIcon iconSet="3Symbols2" iconId="2"/>
            </x14:iconSet>
          </x14:cfRule>
          <xm:sqref>J7:J69</xm:sqref>
        </x14:conditionalFormatting>
        <x14:conditionalFormatting xmlns:xm="http://schemas.microsoft.com/office/excel/2006/main">
          <x14:cfRule type="iconSet" priority="1" id="{243E36BD-7712-4920-B5D9-A2BB7E6BF1DF}">
            <x14:iconSet iconSet="3Symbols2" showValue="0" custom="1">
              <x14:cfvo type="percent">
                <xm:f>0</xm:f>
              </x14:cfvo>
              <x14:cfvo type="num">
                <xm:f>0</xm:f>
              </x14:cfvo>
              <x14:cfvo type="num" gte="0">
                <xm:f>0</xm:f>
              </x14:cfvo>
              <x14:cfIcon iconSet="3Symbols2" iconId="0"/>
              <x14:cfIcon iconSet="3Symbols2" iconId="0"/>
              <x14:cfIcon iconSet="3Symbols2" iconId="2"/>
            </x14:iconSet>
          </x14:cfRule>
          <xm:sqref>H1:H2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Sensitivity_Variables_Hide!$L$8:$L$26</xm:f>
          </x14:formula1>
          <xm:sqref>C9</xm:sqref>
        </x14:dataValidation>
        <x14:dataValidation type="list" allowBlank="1" showInputMessage="1" showErrorMessage="1" xr:uid="{00000000-0002-0000-0500-000001000000}">
          <x14:formula1>
            <xm:f>Sensitivity_Variables_Hide!$V$8:$V$26</xm:f>
          </x14:formula1>
          <xm:sqref>C5</xm:sqref>
        </x14:dataValidation>
        <x14:dataValidation type="list" allowBlank="1" showInputMessage="1" showErrorMessage="1" xr:uid="{00000000-0002-0000-0500-000002000000}">
          <x14:formula1>
            <xm:f>Sensitivity_Variables_Hide!$O$8:$O$10</xm:f>
          </x14:formula1>
          <xm:sqref>C14</xm:sqref>
        </x14:dataValidation>
        <x14:dataValidation type="list" allowBlank="1" showErrorMessage="1" promptTitle="PROSPER Openserver" prompt="Select variable for sensitivity analysis" xr:uid="{00000000-0002-0000-0500-000003000000}">
          <x14:formula1>
            <xm:f>Sensitivity_Variables_Hide!$D$6:$D$30</xm:f>
          </x14:formula1>
          <xm:sqref>D19</xm:sqref>
        </x14:dataValidation>
        <x14:dataValidation type="list" allowBlank="1" showErrorMessage="1" promptTitle="PROSPER Openserver" prompt="Select Variable for Sensitivity Analysis" xr:uid="{00000000-0002-0000-0500-000004000000}">
          <x14:formula1>
            <xm:f>Sensitivity_Variables_Hide!$D$6:$D$30</xm:f>
          </x14:formula1>
          <xm:sqref>B19</xm:sqref>
        </x14:dataValidation>
        <x14:dataValidation type="list" allowBlank="1" showErrorMessage="1" promptTitle="PROSPER Openserver" prompt="Select variable for sensitivity analysis" xr:uid="{00000000-0002-0000-0500-000005000000}">
          <x14:formula1>
            <xm:f>Sensitivity_Variables_Hide!$D$5:$D$30</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4" tint="0.59999389629810485"/>
    <pageSetUpPr autoPageBreaks="0"/>
  </sheetPr>
  <dimension ref="B1:BH1000"/>
  <sheetViews>
    <sheetView showGridLines="0" workbookViewId="0">
      <selection activeCell="N42" sqref="N42"/>
    </sheetView>
  </sheetViews>
  <sheetFormatPr defaultRowHeight="11.25" x14ac:dyDescent="0.2"/>
  <cols>
    <col min="1" max="1" width="1.83203125" style="511" customWidth="1"/>
    <col min="2" max="2" width="9.33203125" style="511"/>
    <col min="3" max="5" width="10.1640625" style="514" customWidth="1"/>
    <col min="6" max="6" width="2.6640625" style="511" customWidth="1"/>
    <col min="7" max="7" width="9.83203125" style="511" customWidth="1"/>
    <col min="8" max="9" width="11.33203125" style="511" customWidth="1"/>
    <col min="10" max="10" width="10.1640625" style="511" customWidth="1"/>
    <col min="11" max="11" width="47.83203125" style="511" customWidth="1"/>
    <col min="12" max="12" width="3.6640625" style="511" customWidth="1"/>
    <col min="13" max="18" width="17.5" style="511" customWidth="1"/>
    <col min="19" max="51" width="9.33203125" style="511"/>
    <col min="52" max="57" width="17.83203125" style="511" customWidth="1"/>
    <col min="58" max="58" width="9.33203125" style="511"/>
    <col min="59" max="60" width="12.5" style="511" customWidth="1"/>
    <col min="61" max="16384" width="9.33203125" style="511"/>
  </cols>
  <sheetData>
    <row r="1" spans="2:60" ht="12" x14ac:dyDescent="0.2">
      <c r="M1"/>
      <c r="N1"/>
      <c r="O1"/>
      <c r="P1"/>
      <c r="Q1"/>
      <c r="R1"/>
    </row>
    <row r="2" spans="2:60" ht="12.75" x14ac:dyDescent="0.2">
      <c r="M2" s="615" t="s">
        <v>430</v>
      </c>
      <c r="N2" s="616"/>
      <c r="O2" s="616"/>
      <c r="P2" s="616"/>
      <c r="Q2" s="616"/>
      <c r="R2" s="617"/>
      <c r="AZ2" s="615" t="s">
        <v>430</v>
      </c>
      <c r="BA2" s="616"/>
      <c r="BB2" s="616"/>
      <c r="BC2" s="616"/>
      <c r="BD2" s="616"/>
      <c r="BE2" s="617"/>
    </row>
    <row r="3" spans="2:60" x14ac:dyDescent="0.2">
      <c r="M3" s="611"/>
      <c r="N3" s="612"/>
      <c r="O3" s="612"/>
      <c r="P3" s="612"/>
      <c r="Q3" s="612"/>
      <c r="R3" s="613"/>
      <c r="AZ3" s="611"/>
      <c r="BA3" s="612"/>
      <c r="BB3" s="612"/>
      <c r="BC3" s="612"/>
      <c r="BD3" s="612"/>
      <c r="BE3" s="613"/>
    </row>
    <row r="4" spans="2:60" ht="12.75" x14ac:dyDescent="0.2">
      <c r="M4" s="618"/>
      <c r="N4" s="614"/>
      <c r="O4" s="614"/>
      <c r="P4" s="640" t="s">
        <v>501</v>
      </c>
      <c r="Q4" s="619" t="s">
        <v>54</v>
      </c>
      <c r="R4" s="620" t="s">
        <v>416</v>
      </c>
      <c r="AZ4" s="618"/>
      <c r="BA4" s="614"/>
      <c r="BB4" s="614"/>
      <c r="BC4" s="640" t="s">
        <v>501</v>
      </c>
      <c r="BD4" s="619" t="s">
        <v>54</v>
      </c>
      <c r="BE4" s="620" t="s">
        <v>416</v>
      </c>
    </row>
    <row r="5" spans="2:60" x14ac:dyDescent="0.2">
      <c r="B5" s="518" t="s">
        <v>424</v>
      </c>
      <c r="G5" s="518" t="s">
        <v>423</v>
      </c>
      <c r="H5" s="518"/>
      <c r="I5" s="518"/>
      <c r="M5" s="621" t="s">
        <v>417</v>
      </c>
      <c r="N5" s="622"/>
      <c r="O5" s="622"/>
      <c r="P5" s="641" t="s">
        <v>421</v>
      </c>
      <c r="Q5" s="623" t="s">
        <v>428</v>
      </c>
      <c r="R5" s="624" t="s">
        <v>429</v>
      </c>
      <c r="AZ5" s="621" t="s">
        <v>417</v>
      </c>
      <c r="BA5" s="622"/>
      <c r="BB5" s="622"/>
      <c r="BC5" s="641" t="s">
        <v>421</v>
      </c>
      <c r="BD5" s="623" t="s">
        <v>428</v>
      </c>
      <c r="BE5" s="624" t="s">
        <v>429</v>
      </c>
    </row>
    <row r="6" spans="2:60" ht="12" x14ac:dyDescent="0.2">
      <c r="B6" s="525" t="s">
        <v>422</v>
      </c>
      <c r="C6" s="526" t="s">
        <v>36</v>
      </c>
      <c r="D6" s="526" t="s">
        <v>170</v>
      </c>
      <c r="E6" s="527" t="s">
        <v>368</v>
      </c>
      <c r="G6" s="565" t="s">
        <v>36</v>
      </c>
      <c r="H6" s="526" t="s">
        <v>170</v>
      </c>
      <c r="I6" s="526" t="s">
        <v>368</v>
      </c>
      <c r="J6" s="572" t="s">
        <v>413</v>
      </c>
      <c r="K6" s="573" t="s">
        <v>415</v>
      </c>
      <c r="M6" s="537" t="s">
        <v>497</v>
      </c>
      <c r="N6" s="538"/>
      <c r="O6" s="538"/>
      <c r="P6" s="543">
        <f>SUM($N$16:$N$19)</f>
        <v>6</v>
      </c>
      <c r="Q6" s="545">
        <f>Q$20</f>
        <v>0.58324999999999994</v>
      </c>
      <c r="R6" s="548">
        <f>R$21</f>
        <v>4.0827499999999999</v>
      </c>
      <c r="BG6" s="513"/>
      <c r="BH6" s="513"/>
    </row>
    <row r="7" spans="2:60" ht="12" x14ac:dyDescent="0.2">
      <c r="B7" s="528" t="s">
        <v>10</v>
      </c>
      <c r="C7" s="529" t="s">
        <v>404</v>
      </c>
      <c r="D7" s="529" t="s">
        <v>125</v>
      </c>
      <c r="E7" s="530" t="s">
        <v>401</v>
      </c>
      <c r="G7" s="566" t="s">
        <v>420</v>
      </c>
      <c r="H7" s="571" t="s">
        <v>125</v>
      </c>
      <c r="I7" s="571" t="s">
        <v>401</v>
      </c>
      <c r="J7" s="574" t="s">
        <v>421</v>
      </c>
      <c r="K7" s="575"/>
      <c r="M7" s="542" t="s">
        <v>498</v>
      </c>
      <c r="N7" s="49"/>
      <c r="O7" s="49"/>
      <c r="P7" s="544">
        <f>SUM($N$27:$N$31)</f>
        <v>24</v>
      </c>
      <c r="Q7" s="546">
        <f>Q$32</f>
        <v>3.3644724999999998</v>
      </c>
      <c r="R7" s="547">
        <f>R$33</f>
        <v>23.551324999999999</v>
      </c>
      <c r="BG7" s="513"/>
      <c r="BH7" s="513"/>
    </row>
    <row r="8" spans="2:60" ht="12" x14ac:dyDescent="0.2">
      <c r="B8" s="515" t="s">
        <v>389</v>
      </c>
      <c r="C8" s="549">
        <v>12</v>
      </c>
      <c r="D8" s="559">
        <v>1.72322</v>
      </c>
      <c r="E8" s="560">
        <v>12.0625</v>
      </c>
      <c r="G8" s="567">
        <v>12</v>
      </c>
      <c r="H8" s="519">
        <f>IF(G8="","",VLOOKUP(G8,$C$8:$D$40,2))</f>
        <v>1.72322</v>
      </c>
      <c r="I8" s="520">
        <f>IF(G8="","",VLOOKUP(G8,$C$8:$E$40,3))</f>
        <v>12.0625</v>
      </c>
      <c r="J8" s="576">
        <v>2</v>
      </c>
      <c r="K8" s="577" t="s">
        <v>497</v>
      </c>
      <c r="M8" s="539"/>
      <c r="N8" s="540"/>
      <c r="O8" s="540"/>
      <c r="P8" s="540"/>
      <c r="Q8" s="540"/>
      <c r="R8" s="541"/>
      <c r="BG8" s="513"/>
      <c r="BH8" s="513"/>
    </row>
    <row r="9" spans="2:60" ht="12" x14ac:dyDescent="0.2">
      <c r="B9" s="516" t="s">
        <v>390</v>
      </c>
      <c r="C9" s="550">
        <v>14</v>
      </c>
      <c r="D9" s="561">
        <v>2.3092299999999999</v>
      </c>
      <c r="E9" s="562">
        <v>16.1646</v>
      </c>
      <c r="G9" s="568">
        <v>14</v>
      </c>
      <c r="H9" s="521">
        <f>IF(G9="","",VLOOKUP(G9,$C$8:$D$40,2))</f>
        <v>2.3092299999999999</v>
      </c>
      <c r="I9" s="522">
        <f>IF(G9="","",VLOOKUP(G9,$C$8:$E$40,3))</f>
        <v>16.1646</v>
      </c>
      <c r="J9" s="578">
        <v>2</v>
      </c>
      <c r="K9" s="579" t="s">
        <v>497</v>
      </c>
      <c r="M9" s="534" t="s">
        <v>418</v>
      </c>
      <c r="N9" s="535"/>
      <c r="O9" s="535"/>
      <c r="P9" s="535"/>
      <c r="Q9" s="535">
        <f>SUM(Q$6:Q8)</f>
        <v>3.9477224999999998</v>
      </c>
      <c r="R9" s="536"/>
      <c r="BG9" s="513"/>
      <c r="BH9" s="513"/>
    </row>
    <row r="10" spans="2:60" ht="12" x14ac:dyDescent="0.2">
      <c r="B10" s="516" t="s">
        <v>391</v>
      </c>
      <c r="C10" s="550">
        <v>16</v>
      </c>
      <c r="D10" s="561">
        <v>2.9665499999999998</v>
      </c>
      <c r="E10" s="562">
        <v>20.765899999999998</v>
      </c>
      <c r="G10" s="568">
        <v>16</v>
      </c>
      <c r="H10" s="521">
        <f t="shared" ref="H10:H40" si="0">IF(G10="","",VLOOKUP(G10,$C$8:$D$40,2))</f>
        <v>2.9665499999999998</v>
      </c>
      <c r="I10" s="522">
        <f t="shared" ref="I10:I40" si="1">IF(G10="","",VLOOKUP(G10,$C$8:$E$40,3))</f>
        <v>20.765899999999998</v>
      </c>
      <c r="J10" s="578">
        <v>2</v>
      </c>
      <c r="K10" s="579" t="s">
        <v>497</v>
      </c>
      <c r="M10" s="531" t="s">
        <v>419</v>
      </c>
      <c r="N10" s="532"/>
      <c r="O10" s="532"/>
      <c r="P10" s="532"/>
      <c r="Q10" s="532"/>
      <c r="R10" s="533">
        <f>SUM(R$6:R8)</f>
        <v>27.634074999999999</v>
      </c>
      <c r="BG10" s="513"/>
      <c r="BH10" s="513"/>
    </row>
    <row r="11" spans="2:60" ht="12" x14ac:dyDescent="0.2">
      <c r="B11" s="516" t="s">
        <v>392</v>
      </c>
      <c r="C11" s="550">
        <v>18</v>
      </c>
      <c r="D11" s="561">
        <v>3.6921599999999999</v>
      </c>
      <c r="E11" s="562">
        <v>25.845099999999999</v>
      </c>
      <c r="G11" s="568">
        <v>14</v>
      </c>
      <c r="H11" s="521">
        <f t="shared" si="0"/>
        <v>2.3092299999999999</v>
      </c>
      <c r="I11" s="522">
        <f t="shared" si="1"/>
        <v>16.1646</v>
      </c>
      <c r="J11" s="578">
        <v>6</v>
      </c>
      <c r="K11" s="579" t="s">
        <v>498</v>
      </c>
      <c r="M11"/>
      <c r="N11"/>
      <c r="O11"/>
      <c r="P11"/>
      <c r="Q11"/>
      <c r="R11"/>
      <c r="BG11" s="513"/>
      <c r="BH11" s="513"/>
    </row>
    <row r="12" spans="2:60" ht="12" x14ac:dyDescent="0.2">
      <c r="B12" s="516" t="s">
        <v>393</v>
      </c>
      <c r="C12" s="550">
        <v>20</v>
      </c>
      <c r="D12" s="561">
        <v>4.4899500000000003</v>
      </c>
      <c r="E12" s="562">
        <v>31.4297</v>
      </c>
      <c r="G12" s="568">
        <v>16</v>
      </c>
      <c r="H12" s="521">
        <f t="shared" si="0"/>
        <v>2.9665499999999998</v>
      </c>
      <c r="I12" s="522">
        <f t="shared" si="1"/>
        <v>20.765899999999998</v>
      </c>
      <c r="J12" s="578">
        <v>6</v>
      </c>
      <c r="K12" s="579" t="s">
        <v>498</v>
      </c>
      <c r="M12"/>
      <c r="N12"/>
      <c r="O12"/>
      <c r="P12"/>
      <c r="Q12"/>
      <c r="R12"/>
      <c r="BG12" s="513"/>
      <c r="BH12" s="513"/>
    </row>
    <row r="13" spans="2:60" x14ac:dyDescent="0.2">
      <c r="B13" s="516"/>
      <c r="C13" s="550"/>
      <c r="D13" s="561"/>
      <c r="E13" s="562"/>
      <c r="G13" s="568">
        <v>18</v>
      </c>
      <c r="H13" s="521">
        <f t="shared" si="0"/>
        <v>3.6921599999999999</v>
      </c>
      <c r="I13" s="522">
        <f t="shared" si="1"/>
        <v>25.845099999999999</v>
      </c>
      <c r="J13" s="578">
        <v>6</v>
      </c>
      <c r="K13" s="579" t="s">
        <v>498</v>
      </c>
      <c r="M13" s="512" t="s">
        <v>499</v>
      </c>
      <c r="BG13" s="513"/>
      <c r="BH13" s="513"/>
    </row>
    <row r="14" spans="2:60" x14ac:dyDescent="0.2">
      <c r="B14" s="516"/>
      <c r="C14" s="550"/>
      <c r="D14" s="561"/>
      <c r="E14" s="562"/>
      <c r="G14" s="568">
        <v>20</v>
      </c>
      <c r="H14" s="521">
        <f t="shared" si="0"/>
        <v>4.4899500000000003</v>
      </c>
      <c r="I14" s="522">
        <f t="shared" si="1"/>
        <v>31.4297</v>
      </c>
      <c r="J14" s="578">
        <v>6</v>
      </c>
      <c r="K14" s="579" t="s">
        <v>498</v>
      </c>
      <c r="M14" s="625" t="s">
        <v>36</v>
      </c>
      <c r="N14" s="626" t="s">
        <v>501</v>
      </c>
      <c r="O14" s="627" t="s">
        <v>54</v>
      </c>
      <c r="P14" s="628" t="s">
        <v>416</v>
      </c>
      <c r="Q14" s="629" t="s">
        <v>414</v>
      </c>
      <c r="R14" s="630" t="s">
        <v>502</v>
      </c>
      <c r="BG14" s="513"/>
      <c r="BH14" s="513"/>
    </row>
    <row r="15" spans="2:60" x14ac:dyDescent="0.2">
      <c r="B15" s="516"/>
      <c r="C15" s="550"/>
      <c r="D15" s="561"/>
      <c r="E15" s="562"/>
      <c r="G15" s="568"/>
      <c r="H15" s="521" t="str">
        <f t="shared" si="0"/>
        <v/>
      </c>
      <c r="I15" s="522" t="str">
        <f t="shared" si="1"/>
        <v/>
      </c>
      <c r="J15" s="578"/>
      <c r="K15" s="579"/>
      <c r="M15" s="631" t="s">
        <v>425</v>
      </c>
      <c r="N15" s="623" t="s">
        <v>421</v>
      </c>
      <c r="O15" s="623" t="s">
        <v>426</v>
      </c>
      <c r="P15" s="623" t="s">
        <v>427</v>
      </c>
      <c r="Q15" s="623" t="s">
        <v>428</v>
      </c>
      <c r="R15" s="624" t="s">
        <v>429</v>
      </c>
      <c r="BG15" s="513"/>
      <c r="BH15" s="513"/>
    </row>
    <row r="16" spans="2:60" ht="12" x14ac:dyDescent="0.2">
      <c r="B16" s="516"/>
      <c r="C16" s="550"/>
      <c r="D16" s="561"/>
      <c r="E16" s="562"/>
      <c r="G16" s="568"/>
      <c r="H16" s="521" t="str">
        <f t="shared" si="0"/>
        <v/>
      </c>
      <c r="I16" s="522" t="str">
        <f t="shared" si="1"/>
        <v/>
      </c>
      <c r="J16" s="578"/>
      <c r="K16" s="579"/>
      <c r="M16" s="605">
        <v>12</v>
      </c>
      <c r="N16" s="606">
        <v>2</v>
      </c>
      <c r="O16" s="606">
        <v>1.72322</v>
      </c>
      <c r="P16" s="606">
        <v>12.0625</v>
      </c>
      <c r="Q16" s="606">
        <f>$O16*$N16/24</f>
        <v>0.14360166666666666</v>
      </c>
      <c r="R16" s="607">
        <f>$P16*$N16/24</f>
        <v>1.0052083333333333</v>
      </c>
      <c r="U16" s="582"/>
      <c r="BG16" s="513"/>
      <c r="BH16" s="513"/>
    </row>
    <row r="17" spans="2:60" ht="12" x14ac:dyDescent="0.2">
      <c r="B17" s="516"/>
      <c r="C17" s="550"/>
      <c r="D17" s="561"/>
      <c r="E17" s="562"/>
      <c r="G17" s="568"/>
      <c r="H17" s="521" t="str">
        <f t="shared" si="0"/>
        <v/>
      </c>
      <c r="I17" s="522" t="str">
        <f t="shared" si="1"/>
        <v/>
      </c>
      <c r="J17" s="578"/>
      <c r="K17" s="579"/>
      <c r="M17" s="608">
        <v>14</v>
      </c>
      <c r="N17" s="609">
        <v>2</v>
      </c>
      <c r="O17" s="609">
        <v>2.3092299999999999</v>
      </c>
      <c r="P17" s="609">
        <v>16.1646</v>
      </c>
      <c r="Q17" s="609">
        <f>$O17*$N17/24</f>
        <v>0.19243583333333333</v>
      </c>
      <c r="R17" s="610">
        <f>$P17*$N17/24</f>
        <v>1.3470500000000001</v>
      </c>
      <c r="AZ17" s="512" t="s">
        <v>412</v>
      </c>
      <c r="BG17" s="513"/>
      <c r="BH17" s="513"/>
    </row>
    <row r="18" spans="2:60" ht="12" x14ac:dyDescent="0.2">
      <c r="B18" s="516"/>
      <c r="C18" s="550"/>
      <c r="D18" s="561"/>
      <c r="E18" s="562"/>
      <c r="G18" s="568"/>
      <c r="H18" s="521" t="str">
        <f t="shared" si="0"/>
        <v/>
      </c>
      <c r="I18" s="522" t="str">
        <f t="shared" si="1"/>
        <v/>
      </c>
      <c r="J18" s="578"/>
      <c r="K18" s="579"/>
      <c r="M18" s="608">
        <v>16</v>
      </c>
      <c r="N18" s="609">
        <v>2</v>
      </c>
      <c r="O18" s="609">
        <v>2.9665499999999998</v>
      </c>
      <c r="P18" s="609">
        <v>20.765899999999998</v>
      </c>
      <c r="Q18" s="609">
        <f>$O18*$N18/24</f>
        <v>0.24721249999999997</v>
      </c>
      <c r="R18" s="610">
        <f>$P18*$N18/24</f>
        <v>1.7304916666666665</v>
      </c>
      <c r="AZ18" s="625" t="s">
        <v>36</v>
      </c>
      <c r="BA18" s="626" t="s">
        <v>501</v>
      </c>
      <c r="BB18" s="627" t="s">
        <v>54</v>
      </c>
      <c r="BC18" s="628" t="s">
        <v>416</v>
      </c>
      <c r="BD18" s="629" t="s">
        <v>414</v>
      </c>
      <c r="BE18" s="630" t="s">
        <v>502</v>
      </c>
      <c r="BG18" s="513"/>
      <c r="BH18" s="513"/>
    </row>
    <row r="19" spans="2:60" ht="12" x14ac:dyDescent="0.2">
      <c r="B19" s="516"/>
      <c r="C19" s="550"/>
      <c r="D19" s="561"/>
      <c r="E19" s="562"/>
      <c r="G19" s="568"/>
      <c r="H19" s="521" t="str">
        <f t="shared" si="0"/>
        <v/>
      </c>
      <c r="I19" s="522" t="str">
        <f t="shared" si="1"/>
        <v/>
      </c>
      <c r="J19" s="578"/>
      <c r="K19" s="579"/>
      <c r="M19" s="602"/>
      <c r="N19" s="603"/>
      <c r="O19" s="603"/>
      <c r="P19" s="603"/>
      <c r="Q19" s="603"/>
      <c r="R19" s="604"/>
      <c r="AZ19" s="631" t="s">
        <v>425</v>
      </c>
      <c r="BA19" s="623" t="s">
        <v>421</v>
      </c>
      <c r="BB19" s="623" t="s">
        <v>426</v>
      </c>
      <c r="BC19" s="623" t="s">
        <v>427</v>
      </c>
      <c r="BD19" s="623" t="s">
        <v>428</v>
      </c>
      <c r="BE19" s="624" t="s">
        <v>429</v>
      </c>
      <c r="BG19" s="513"/>
      <c r="BH19" s="513"/>
    </row>
    <row r="20" spans="2:60" ht="12" x14ac:dyDescent="0.2">
      <c r="B20" s="516"/>
      <c r="C20" s="550"/>
      <c r="D20" s="561"/>
      <c r="E20" s="562"/>
      <c r="G20" s="568"/>
      <c r="H20" s="521" t="str">
        <f t="shared" si="0"/>
        <v/>
      </c>
      <c r="I20" s="522" t="str">
        <f t="shared" si="1"/>
        <v/>
      </c>
      <c r="J20" s="578"/>
      <c r="K20" s="579"/>
      <c r="M20" s="632" t="s">
        <v>418</v>
      </c>
      <c r="N20" s="633"/>
      <c r="O20" s="633"/>
      <c r="P20" s="633"/>
      <c r="Q20" s="634">
        <f>SUM(Q$16:Q19)</f>
        <v>0.58324999999999994</v>
      </c>
      <c r="R20" s="635"/>
      <c r="BG20" s="513"/>
      <c r="BH20" s="513"/>
    </row>
    <row r="21" spans="2:60" ht="12" x14ac:dyDescent="0.2">
      <c r="B21" s="516"/>
      <c r="C21" s="550"/>
      <c r="D21" s="561"/>
      <c r="E21" s="562"/>
      <c r="G21" s="568"/>
      <c r="H21" s="521" t="str">
        <f t="shared" si="0"/>
        <v/>
      </c>
      <c r="I21" s="522" t="str">
        <f t="shared" si="1"/>
        <v/>
      </c>
      <c r="J21" s="578"/>
      <c r="K21" s="579"/>
      <c r="M21" s="636" t="s">
        <v>419</v>
      </c>
      <c r="N21" s="637"/>
      <c r="O21" s="637"/>
      <c r="P21" s="637"/>
      <c r="Q21" s="638"/>
      <c r="R21" s="639">
        <f>SUM(R$16:R19)</f>
        <v>4.0827499999999999</v>
      </c>
      <c r="BG21" s="513"/>
      <c r="BH21" s="513"/>
    </row>
    <row r="22" spans="2:60" ht="12" x14ac:dyDescent="0.2">
      <c r="B22" s="516"/>
      <c r="C22" s="550"/>
      <c r="D22" s="561"/>
      <c r="E22" s="562"/>
      <c r="G22" s="568"/>
      <c r="H22" s="521" t="str">
        <f t="shared" si="0"/>
        <v/>
      </c>
      <c r="I22" s="522" t="str">
        <f t="shared" si="1"/>
        <v/>
      </c>
      <c r="J22" s="578"/>
      <c r="K22" s="579"/>
      <c r="M22"/>
      <c r="N22"/>
      <c r="O22"/>
      <c r="P22"/>
      <c r="Q22"/>
      <c r="R22"/>
      <c r="BG22" s="513"/>
      <c r="BH22" s="513"/>
    </row>
    <row r="23" spans="2:60" ht="12" x14ac:dyDescent="0.2">
      <c r="B23" s="516"/>
      <c r="C23" s="550"/>
      <c r="D23" s="561"/>
      <c r="E23" s="562"/>
      <c r="G23" s="568"/>
      <c r="H23" s="521" t="str">
        <f t="shared" si="0"/>
        <v/>
      </c>
      <c r="I23" s="522" t="str">
        <f t="shared" si="1"/>
        <v/>
      </c>
      <c r="J23" s="578"/>
      <c r="K23" s="579"/>
      <c r="M23"/>
      <c r="N23"/>
      <c r="O23"/>
      <c r="P23"/>
      <c r="Q23"/>
      <c r="R23"/>
      <c r="BG23" s="513"/>
      <c r="BH23" s="513"/>
    </row>
    <row r="24" spans="2:60" x14ac:dyDescent="0.2">
      <c r="B24" s="516"/>
      <c r="C24" s="550"/>
      <c r="D24" s="561"/>
      <c r="E24" s="562"/>
      <c r="G24" s="568"/>
      <c r="H24" s="521" t="str">
        <f t="shared" si="0"/>
        <v/>
      </c>
      <c r="I24" s="522" t="str">
        <f t="shared" si="1"/>
        <v/>
      </c>
      <c r="J24" s="578"/>
      <c r="K24" s="579"/>
      <c r="M24" s="512" t="s">
        <v>500</v>
      </c>
      <c r="BG24" s="513"/>
      <c r="BH24" s="513"/>
    </row>
    <row r="25" spans="2:60" x14ac:dyDescent="0.2">
      <c r="B25" s="516"/>
      <c r="C25" s="550"/>
      <c r="D25" s="561"/>
      <c r="E25" s="562"/>
      <c r="G25" s="568"/>
      <c r="H25" s="521" t="str">
        <f t="shared" si="0"/>
        <v/>
      </c>
      <c r="I25" s="522" t="str">
        <f t="shared" si="1"/>
        <v/>
      </c>
      <c r="J25" s="578"/>
      <c r="K25" s="579"/>
      <c r="M25" s="625" t="s">
        <v>36</v>
      </c>
      <c r="N25" s="626" t="s">
        <v>501</v>
      </c>
      <c r="O25" s="627" t="s">
        <v>54</v>
      </c>
      <c r="P25" s="628" t="s">
        <v>416</v>
      </c>
      <c r="Q25" s="629" t="s">
        <v>414</v>
      </c>
      <c r="R25" s="630" t="s">
        <v>502</v>
      </c>
      <c r="BG25" s="513"/>
      <c r="BH25" s="513"/>
    </row>
    <row r="26" spans="2:60" x14ac:dyDescent="0.2">
      <c r="B26" s="516"/>
      <c r="C26" s="550"/>
      <c r="D26" s="561"/>
      <c r="E26" s="562"/>
      <c r="G26" s="568"/>
      <c r="H26" s="521" t="str">
        <f t="shared" si="0"/>
        <v/>
      </c>
      <c r="I26" s="522" t="str">
        <f t="shared" si="1"/>
        <v/>
      </c>
      <c r="J26" s="578"/>
      <c r="K26" s="579"/>
      <c r="M26" s="631" t="s">
        <v>425</v>
      </c>
      <c r="N26" s="623" t="s">
        <v>421</v>
      </c>
      <c r="O26" s="623" t="s">
        <v>426</v>
      </c>
      <c r="P26" s="623" t="s">
        <v>427</v>
      </c>
      <c r="Q26" s="623" t="s">
        <v>428</v>
      </c>
      <c r="R26" s="624" t="s">
        <v>429</v>
      </c>
      <c r="BG26" s="513"/>
      <c r="BH26" s="513"/>
    </row>
    <row r="27" spans="2:60" ht="12" x14ac:dyDescent="0.2">
      <c r="B27" s="516"/>
      <c r="C27" s="550"/>
      <c r="D27" s="561"/>
      <c r="E27" s="562"/>
      <c r="G27" s="568"/>
      <c r="H27" s="521" t="str">
        <f t="shared" si="0"/>
        <v/>
      </c>
      <c r="I27" s="522" t="str">
        <f t="shared" si="1"/>
        <v/>
      </c>
      <c r="J27" s="578"/>
      <c r="K27" s="579"/>
      <c r="M27" s="605">
        <v>14</v>
      </c>
      <c r="N27" s="606">
        <v>6</v>
      </c>
      <c r="O27" s="606">
        <v>2.3092299999999999</v>
      </c>
      <c r="P27" s="606">
        <v>16.1646</v>
      </c>
      <c r="Q27" s="606">
        <f>$O27*$N27/24</f>
        <v>0.57730749999999997</v>
      </c>
      <c r="R27" s="607">
        <f>$P27*$N27/24</f>
        <v>4.04115</v>
      </c>
      <c r="BG27" s="513"/>
      <c r="BH27" s="513"/>
    </row>
    <row r="28" spans="2:60" ht="12" x14ac:dyDescent="0.2">
      <c r="B28" s="516"/>
      <c r="C28" s="550"/>
      <c r="D28" s="561"/>
      <c r="E28" s="562"/>
      <c r="G28" s="568"/>
      <c r="H28" s="521" t="str">
        <f t="shared" si="0"/>
        <v/>
      </c>
      <c r="I28" s="522" t="str">
        <f t="shared" si="1"/>
        <v/>
      </c>
      <c r="J28" s="578"/>
      <c r="K28" s="579"/>
      <c r="M28" s="608">
        <v>16</v>
      </c>
      <c r="N28" s="609">
        <v>6</v>
      </c>
      <c r="O28" s="609">
        <v>2.9665499999999998</v>
      </c>
      <c r="P28" s="609">
        <v>20.765899999999998</v>
      </c>
      <c r="Q28" s="609">
        <f>$O28*$N28/24</f>
        <v>0.74163749999999995</v>
      </c>
      <c r="R28" s="610">
        <f>$P28*$N28/24</f>
        <v>5.1914749999999996</v>
      </c>
      <c r="BG28" s="513"/>
      <c r="BH28" s="513"/>
    </row>
    <row r="29" spans="2:60" ht="12" x14ac:dyDescent="0.2">
      <c r="B29" s="516"/>
      <c r="C29" s="550"/>
      <c r="D29" s="561"/>
      <c r="E29" s="562"/>
      <c r="G29" s="568"/>
      <c r="H29" s="521" t="str">
        <f t="shared" si="0"/>
        <v/>
      </c>
      <c r="I29" s="522" t="str">
        <f t="shared" si="1"/>
        <v/>
      </c>
      <c r="J29" s="578"/>
      <c r="K29" s="579"/>
      <c r="M29" s="608">
        <v>18</v>
      </c>
      <c r="N29" s="609">
        <v>6</v>
      </c>
      <c r="O29" s="609">
        <v>3.6921599999999999</v>
      </c>
      <c r="P29" s="609">
        <v>25.845099999999999</v>
      </c>
      <c r="Q29" s="609">
        <f>$O29*$N29/24</f>
        <v>0.92303999999999997</v>
      </c>
      <c r="R29" s="610">
        <f>$P29*$N29/24</f>
        <v>6.4612749999999997</v>
      </c>
      <c r="BG29" s="513"/>
      <c r="BH29" s="513"/>
    </row>
    <row r="30" spans="2:60" ht="12" x14ac:dyDescent="0.2">
      <c r="B30" s="516"/>
      <c r="C30" s="550"/>
      <c r="D30" s="561"/>
      <c r="E30" s="562"/>
      <c r="G30" s="568"/>
      <c r="H30" s="521" t="str">
        <f t="shared" si="0"/>
        <v/>
      </c>
      <c r="I30" s="522" t="str">
        <f t="shared" si="1"/>
        <v/>
      </c>
      <c r="J30" s="578"/>
      <c r="K30" s="579"/>
      <c r="M30" s="608">
        <v>20</v>
      </c>
      <c r="N30" s="609">
        <v>6</v>
      </c>
      <c r="O30" s="609">
        <v>4.4899500000000003</v>
      </c>
      <c r="P30" s="609">
        <v>31.4297</v>
      </c>
      <c r="Q30" s="609">
        <f>$O30*$N30/24</f>
        <v>1.1224875000000001</v>
      </c>
      <c r="R30" s="610">
        <f>$P30*$N30/24</f>
        <v>7.8574250000000001</v>
      </c>
      <c r="AZ30" s="632" t="s">
        <v>418</v>
      </c>
      <c r="BA30" s="633"/>
      <c r="BB30" s="633"/>
      <c r="BC30" s="633"/>
      <c r="BD30" s="634"/>
      <c r="BE30" s="635"/>
      <c r="BG30" s="513"/>
      <c r="BH30" s="513"/>
    </row>
    <row r="31" spans="2:60" ht="12" x14ac:dyDescent="0.2">
      <c r="B31" s="516"/>
      <c r="C31" s="550"/>
      <c r="D31" s="561"/>
      <c r="E31" s="562"/>
      <c r="G31" s="568"/>
      <c r="H31" s="521" t="str">
        <f t="shared" si="0"/>
        <v/>
      </c>
      <c r="I31" s="522" t="str">
        <f t="shared" si="1"/>
        <v/>
      </c>
      <c r="J31" s="578"/>
      <c r="K31" s="579"/>
      <c r="M31" s="602"/>
      <c r="N31" s="603"/>
      <c r="O31" s="603"/>
      <c r="P31" s="603"/>
      <c r="Q31" s="603"/>
      <c r="R31" s="604"/>
      <c r="AZ31" s="636" t="s">
        <v>419</v>
      </c>
      <c r="BA31" s="637"/>
      <c r="BB31" s="637"/>
      <c r="BC31" s="637"/>
      <c r="BD31" s="638"/>
      <c r="BE31" s="639"/>
      <c r="BG31" s="513"/>
      <c r="BH31" s="513"/>
    </row>
    <row r="32" spans="2:60" ht="12" x14ac:dyDescent="0.2">
      <c r="B32" s="516"/>
      <c r="C32" s="550"/>
      <c r="D32" s="561"/>
      <c r="E32" s="562"/>
      <c r="G32" s="568"/>
      <c r="H32" s="521" t="str">
        <f t="shared" si="0"/>
        <v/>
      </c>
      <c r="I32" s="522" t="str">
        <f t="shared" si="1"/>
        <v/>
      </c>
      <c r="J32" s="578"/>
      <c r="K32" s="579"/>
      <c r="M32" s="632" t="s">
        <v>418</v>
      </c>
      <c r="N32" s="633"/>
      <c r="O32" s="633"/>
      <c r="P32" s="633"/>
      <c r="Q32" s="634">
        <f>SUM(Q$27:Q31)</f>
        <v>3.3644724999999998</v>
      </c>
      <c r="R32" s="635"/>
      <c r="BG32" s="513"/>
      <c r="BH32" s="513"/>
    </row>
    <row r="33" spans="2:60" ht="12" x14ac:dyDescent="0.2">
      <c r="B33" s="516"/>
      <c r="C33" s="550"/>
      <c r="D33" s="561"/>
      <c r="E33" s="562"/>
      <c r="G33" s="568"/>
      <c r="H33" s="521" t="str">
        <f t="shared" si="0"/>
        <v/>
      </c>
      <c r="I33" s="522" t="str">
        <f t="shared" si="1"/>
        <v/>
      </c>
      <c r="J33" s="578"/>
      <c r="K33" s="579"/>
      <c r="M33" s="636" t="s">
        <v>419</v>
      </c>
      <c r="N33" s="637"/>
      <c r="O33" s="637"/>
      <c r="P33" s="637"/>
      <c r="Q33" s="638"/>
      <c r="R33" s="639">
        <f>SUM(R$27:R31)</f>
        <v>23.551324999999999</v>
      </c>
      <c r="BG33" s="513"/>
      <c r="BH33" s="513"/>
    </row>
    <row r="34" spans="2:60" ht="12" x14ac:dyDescent="0.2">
      <c r="B34" s="516"/>
      <c r="C34" s="550"/>
      <c r="D34" s="561"/>
      <c r="E34" s="562"/>
      <c r="G34" s="568"/>
      <c r="H34" s="521" t="str">
        <f t="shared" si="0"/>
        <v/>
      </c>
      <c r="I34" s="522" t="str">
        <f t="shared" si="1"/>
        <v/>
      </c>
      <c r="J34" s="578"/>
      <c r="K34" s="579"/>
      <c r="M34"/>
      <c r="N34"/>
      <c r="O34"/>
      <c r="P34"/>
      <c r="Q34"/>
      <c r="R34"/>
    </row>
    <row r="35" spans="2:60" ht="12" x14ac:dyDescent="0.2">
      <c r="B35" s="516"/>
      <c r="C35" s="550"/>
      <c r="D35" s="561"/>
      <c r="E35" s="562"/>
      <c r="G35" s="568"/>
      <c r="H35" s="521" t="str">
        <f t="shared" si="0"/>
        <v/>
      </c>
      <c r="I35" s="522" t="str">
        <f t="shared" si="1"/>
        <v/>
      </c>
      <c r="J35" s="578"/>
      <c r="K35" s="579"/>
      <c r="M35"/>
      <c r="N35"/>
      <c r="O35"/>
      <c r="P35"/>
      <c r="Q35"/>
      <c r="R35"/>
    </row>
    <row r="36" spans="2:60" ht="12" x14ac:dyDescent="0.2">
      <c r="B36" s="516"/>
      <c r="C36" s="550"/>
      <c r="D36" s="561"/>
      <c r="E36" s="562"/>
      <c r="G36" s="569"/>
      <c r="H36" s="521" t="str">
        <f t="shared" si="0"/>
        <v/>
      </c>
      <c r="I36" s="522" t="str">
        <f t="shared" si="1"/>
        <v/>
      </c>
      <c r="J36" s="578"/>
      <c r="K36" s="579"/>
      <c r="M36"/>
      <c r="N36"/>
      <c r="O36"/>
      <c r="P36"/>
      <c r="Q36"/>
      <c r="R36"/>
    </row>
    <row r="37" spans="2:60" ht="12" x14ac:dyDescent="0.2">
      <c r="B37" s="516"/>
      <c r="C37" s="550"/>
      <c r="D37" s="561"/>
      <c r="E37" s="562"/>
      <c r="G37" s="569"/>
      <c r="H37" s="521" t="str">
        <f t="shared" si="0"/>
        <v/>
      </c>
      <c r="I37" s="522" t="str">
        <f t="shared" si="1"/>
        <v/>
      </c>
      <c r="J37" s="578"/>
      <c r="K37" s="579"/>
      <c r="M37"/>
      <c r="N37"/>
      <c r="O37"/>
      <c r="P37"/>
      <c r="Q37"/>
      <c r="R37"/>
    </row>
    <row r="38" spans="2:60" ht="12" x14ac:dyDescent="0.2">
      <c r="B38" s="516"/>
      <c r="C38" s="550"/>
      <c r="D38" s="561"/>
      <c r="E38" s="562"/>
      <c r="G38" s="569"/>
      <c r="H38" s="521" t="str">
        <f t="shared" si="0"/>
        <v/>
      </c>
      <c r="I38" s="522" t="str">
        <f t="shared" si="1"/>
        <v/>
      </c>
      <c r="J38" s="578"/>
      <c r="K38" s="579"/>
      <c r="M38"/>
      <c r="N38"/>
      <c r="O38"/>
      <c r="P38"/>
      <c r="Q38"/>
      <c r="R38"/>
    </row>
    <row r="39" spans="2:60" ht="12" x14ac:dyDescent="0.2">
      <c r="B39" s="516"/>
      <c r="C39" s="550"/>
      <c r="D39" s="561"/>
      <c r="E39" s="562"/>
      <c r="G39" s="569"/>
      <c r="H39" s="521" t="str">
        <f t="shared" si="0"/>
        <v/>
      </c>
      <c r="I39" s="522" t="str">
        <f t="shared" si="1"/>
        <v/>
      </c>
      <c r="J39" s="578"/>
      <c r="K39" s="579"/>
      <c r="M39"/>
      <c r="N39"/>
      <c r="O39"/>
      <c r="P39"/>
      <c r="Q39"/>
      <c r="R39"/>
    </row>
    <row r="40" spans="2:60" ht="12" x14ac:dyDescent="0.2">
      <c r="B40" s="517"/>
      <c r="C40" s="551"/>
      <c r="D40" s="563"/>
      <c r="E40" s="564"/>
      <c r="G40" s="570"/>
      <c r="H40" s="523" t="str">
        <f t="shared" si="0"/>
        <v/>
      </c>
      <c r="I40" s="524" t="str">
        <f t="shared" si="1"/>
        <v/>
      </c>
      <c r="J40" s="580"/>
      <c r="K40" s="581"/>
      <c r="M40"/>
      <c r="N40"/>
      <c r="O40"/>
      <c r="P40"/>
      <c r="Q40"/>
      <c r="R40"/>
    </row>
    <row r="41" spans="2:60" ht="12" x14ac:dyDescent="0.2">
      <c r="M41"/>
      <c r="N41"/>
      <c r="O41"/>
      <c r="P41"/>
      <c r="Q41"/>
      <c r="R41"/>
    </row>
    <row r="42" spans="2:60" ht="12" x14ac:dyDescent="0.2">
      <c r="M42"/>
      <c r="N42"/>
      <c r="O42"/>
      <c r="P42"/>
      <c r="Q42"/>
      <c r="R42"/>
    </row>
    <row r="43" spans="2:60" ht="12" x14ac:dyDescent="0.2">
      <c r="M43"/>
      <c r="N43"/>
      <c r="O43"/>
      <c r="P43"/>
      <c r="Q43"/>
      <c r="R43"/>
    </row>
    <row r="44" spans="2:60" ht="12" x14ac:dyDescent="0.2">
      <c r="M44"/>
      <c r="N44"/>
      <c r="O44"/>
      <c r="P44"/>
      <c r="Q44"/>
      <c r="R44"/>
    </row>
    <row r="45" spans="2:60" ht="12" x14ac:dyDescent="0.2">
      <c r="M45"/>
      <c r="N45"/>
      <c r="O45"/>
      <c r="P45"/>
      <c r="Q45"/>
      <c r="R45"/>
    </row>
    <row r="46" spans="2:60" ht="12" x14ac:dyDescent="0.2">
      <c r="M46"/>
      <c r="N46"/>
      <c r="O46"/>
      <c r="P46"/>
      <c r="Q46"/>
      <c r="R46"/>
    </row>
    <row r="47" spans="2:60" ht="12" x14ac:dyDescent="0.2">
      <c r="M47"/>
      <c r="N47"/>
      <c r="O47"/>
      <c r="P47"/>
      <c r="Q47"/>
      <c r="R47"/>
    </row>
    <row r="48" spans="2:60" ht="12" x14ac:dyDescent="0.2">
      <c r="M48"/>
      <c r="N48"/>
      <c r="O48"/>
      <c r="P48"/>
      <c r="Q48"/>
      <c r="R48"/>
    </row>
    <row r="49" spans="13:18" ht="12" x14ac:dyDescent="0.2">
      <c r="M49"/>
      <c r="N49"/>
      <c r="O49"/>
      <c r="P49"/>
      <c r="Q49"/>
      <c r="R49"/>
    </row>
    <row r="50" spans="13:18" ht="12" x14ac:dyDescent="0.2">
      <c r="M50"/>
      <c r="N50"/>
      <c r="O50"/>
      <c r="P50"/>
      <c r="Q50"/>
      <c r="R50"/>
    </row>
    <row r="51" spans="13:18" ht="12" x14ac:dyDescent="0.2">
      <c r="M51"/>
      <c r="N51"/>
      <c r="O51"/>
      <c r="P51"/>
      <c r="Q51"/>
      <c r="R51"/>
    </row>
    <row r="52" spans="13:18" ht="12" x14ac:dyDescent="0.2">
      <c r="M52"/>
      <c r="N52"/>
      <c r="O52"/>
      <c r="P52"/>
      <c r="Q52"/>
      <c r="R52"/>
    </row>
    <row r="53" spans="13:18" ht="12" x14ac:dyDescent="0.2">
      <c r="M53"/>
      <c r="N53"/>
      <c r="O53"/>
      <c r="P53"/>
      <c r="Q53"/>
      <c r="R53"/>
    </row>
    <row r="54" spans="13:18" ht="12" x14ac:dyDescent="0.2">
      <c r="M54"/>
      <c r="N54"/>
      <c r="O54"/>
      <c r="P54"/>
      <c r="Q54"/>
      <c r="R54"/>
    </row>
    <row r="55" spans="13:18" ht="12" x14ac:dyDescent="0.2">
      <c r="M55"/>
      <c r="N55"/>
      <c r="O55"/>
      <c r="P55"/>
      <c r="Q55"/>
      <c r="R55"/>
    </row>
    <row r="56" spans="13:18" ht="12" x14ac:dyDescent="0.2">
      <c r="M56"/>
      <c r="N56"/>
      <c r="O56"/>
      <c r="P56"/>
      <c r="Q56"/>
      <c r="R56"/>
    </row>
    <row r="57" spans="13:18" ht="12" x14ac:dyDescent="0.2">
      <c r="M57"/>
      <c r="N57"/>
      <c r="O57"/>
      <c r="P57"/>
      <c r="Q57"/>
      <c r="R57"/>
    </row>
    <row r="58" spans="13:18" ht="12" x14ac:dyDescent="0.2">
      <c r="M58"/>
      <c r="N58"/>
      <c r="O58"/>
      <c r="P58"/>
      <c r="Q58"/>
      <c r="R58"/>
    </row>
    <row r="59" spans="13:18" ht="12" x14ac:dyDescent="0.2">
      <c r="M59"/>
      <c r="N59"/>
      <c r="O59"/>
      <c r="P59"/>
      <c r="Q59"/>
      <c r="R59"/>
    </row>
    <row r="60" spans="13:18" ht="12" x14ac:dyDescent="0.2">
      <c r="M60"/>
      <c r="N60"/>
      <c r="O60"/>
      <c r="P60"/>
      <c r="Q60"/>
      <c r="R60"/>
    </row>
    <row r="61" spans="13:18" ht="12" x14ac:dyDescent="0.2">
      <c r="M61"/>
      <c r="N61"/>
      <c r="O61"/>
      <c r="P61"/>
      <c r="Q61"/>
      <c r="R61"/>
    </row>
    <row r="62" spans="13:18" ht="12" x14ac:dyDescent="0.2">
      <c r="M62"/>
      <c r="N62"/>
      <c r="O62"/>
      <c r="P62"/>
      <c r="Q62"/>
      <c r="R62"/>
    </row>
    <row r="63" spans="13:18" ht="12" x14ac:dyDescent="0.2">
      <c r="M63"/>
      <c r="N63"/>
      <c r="O63"/>
      <c r="P63"/>
      <c r="Q63"/>
      <c r="R63"/>
    </row>
    <row r="64" spans="13:18" ht="12" x14ac:dyDescent="0.2">
      <c r="M64"/>
      <c r="N64"/>
      <c r="O64"/>
      <c r="P64"/>
      <c r="Q64"/>
      <c r="R64"/>
    </row>
    <row r="65" spans="13:18" ht="12" x14ac:dyDescent="0.2">
      <c r="M65"/>
      <c r="N65"/>
      <c r="O65"/>
      <c r="P65"/>
      <c r="Q65"/>
      <c r="R65"/>
    </row>
    <row r="66" spans="13:18" ht="12" x14ac:dyDescent="0.2">
      <c r="M66"/>
      <c r="N66"/>
      <c r="O66"/>
      <c r="P66"/>
      <c r="Q66"/>
      <c r="R66"/>
    </row>
    <row r="67" spans="13:18" ht="12" x14ac:dyDescent="0.2">
      <c r="M67"/>
      <c r="N67"/>
      <c r="O67"/>
      <c r="P67"/>
      <c r="Q67"/>
      <c r="R67"/>
    </row>
    <row r="68" spans="13:18" ht="12" x14ac:dyDescent="0.2">
      <c r="M68"/>
      <c r="N68"/>
      <c r="O68"/>
      <c r="P68"/>
      <c r="Q68"/>
      <c r="R68"/>
    </row>
    <row r="69" spans="13:18" ht="12" x14ac:dyDescent="0.2">
      <c r="M69"/>
      <c r="N69"/>
      <c r="O69"/>
      <c r="P69"/>
      <c r="Q69"/>
      <c r="R69"/>
    </row>
    <row r="70" spans="13:18" ht="12" x14ac:dyDescent="0.2">
      <c r="M70"/>
      <c r="N70"/>
      <c r="O70"/>
      <c r="P70"/>
      <c r="Q70"/>
      <c r="R70"/>
    </row>
    <row r="71" spans="13:18" ht="12" x14ac:dyDescent="0.2">
      <c r="M71"/>
      <c r="N71"/>
      <c r="O71"/>
      <c r="P71"/>
      <c r="Q71"/>
      <c r="R71"/>
    </row>
    <row r="72" spans="13:18" ht="12" x14ac:dyDescent="0.2">
      <c r="M72"/>
      <c r="N72"/>
      <c r="O72"/>
      <c r="P72"/>
      <c r="Q72"/>
      <c r="R72"/>
    </row>
    <row r="73" spans="13:18" ht="12" x14ac:dyDescent="0.2">
      <c r="M73"/>
      <c r="N73"/>
      <c r="O73"/>
      <c r="P73"/>
      <c r="Q73"/>
      <c r="R73"/>
    </row>
    <row r="74" spans="13:18" ht="12" x14ac:dyDescent="0.2">
      <c r="M74"/>
      <c r="N74"/>
      <c r="O74"/>
      <c r="P74"/>
      <c r="Q74"/>
      <c r="R74"/>
    </row>
    <row r="75" spans="13:18" ht="12" x14ac:dyDescent="0.2">
      <c r="M75"/>
      <c r="N75"/>
      <c r="O75"/>
      <c r="P75"/>
      <c r="Q75"/>
      <c r="R75"/>
    </row>
    <row r="76" spans="13:18" ht="12" x14ac:dyDescent="0.2">
      <c r="M76"/>
      <c r="N76"/>
      <c r="O76"/>
      <c r="P76"/>
      <c r="Q76"/>
      <c r="R76"/>
    </row>
    <row r="77" spans="13:18" ht="12" x14ac:dyDescent="0.2">
      <c r="M77"/>
      <c r="N77"/>
      <c r="O77"/>
      <c r="P77"/>
      <c r="Q77"/>
      <c r="R77"/>
    </row>
    <row r="78" spans="13:18" ht="12" x14ac:dyDescent="0.2">
      <c r="M78"/>
      <c r="N78"/>
      <c r="O78"/>
      <c r="P78"/>
      <c r="Q78"/>
      <c r="R78"/>
    </row>
    <row r="79" spans="13:18" ht="12" x14ac:dyDescent="0.2">
      <c r="M79"/>
      <c r="N79"/>
      <c r="O79"/>
      <c r="P79"/>
      <c r="Q79"/>
      <c r="R79"/>
    </row>
    <row r="80" spans="13:18" ht="12" x14ac:dyDescent="0.2">
      <c r="M80"/>
      <c r="N80"/>
      <c r="O80"/>
      <c r="P80"/>
      <c r="Q80"/>
      <c r="R80"/>
    </row>
    <row r="81" spans="13:18" ht="12" x14ac:dyDescent="0.2">
      <c r="M81"/>
      <c r="N81"/>
      <c r="O81"/>
      <c r="P81"/>
      <c r="Q81"/>
      <c r="R81"/>
    </row>
    <row r="82" spans="13:18" ht="12" x14ac:dyDescent="0.2">
      <c r="M82"/>
      <c r="N82"/>
      <c r="O82"/>
      <c r="P82"/>
      <c r="Q82"/>
      <c r="R82"/>
    </row>
    <row r="83" spans="13:18" ht="12" x14ac:dyDescent="0.2">
      <c r="M83"/>
      <c r="N83"/>
      <c r="O83"/>
      <c r="P83"/>
      <c r="Q83"/>
      <c r="R83"/>
    </row>
    <row r="84" spans="13:18" ht="12" x14ac:dyDescent="0.2">
      <c r="M84"/>
      <c r="N84"/>
      <c r="O84"/>
      <c r="P84"/>
      <c r="Q84"/>
      <c r="R84"/>
    </row>
    <row r="85" spans="13:18" ht="12" x14ac:dyDescent="0.2">
      <c r="M85"/>
      <c r="N85"/>
      <c r="O85"/>
      <c r="P85"/>
      <c r="Q85"/>
      <c r="R85"/>
    </row>
    <row r="86" spans="13:18" ht="12" x14ac:dyDescent="0.2">
      <c r="M86"/>
      <c r="N86"/>
      <c r="O86"/>
      <c r="P86"/>
      <c r="Q86"/>
      <c r="R86"/>
    </row>
    <row r="87" spans="13:18" ht="12" x14ac:dyDescent="0.2">
      <c r="M87"/>
      <c r="N87"/>
      <c r="O87"/>
      <c r="P87"/>
      <c r="Q87"/>
      <c r="R87"/>
    </row>
    <row r="88" spans="13:18" ht="12" x14ac:dyDescent="0.2">
      <c r="M88"/>
      <c r="N88"/>
      <c r="O88"/>
      <c r="P88"/>
      <c r="Q88"/>
      <c r="R88"/>
    </row>
    <row r="89" spans="13:18" ht="12" x14ac:dyDescent="0.2">
      <c r="M89"/>
      <c r="N89"/>
      <c r="O89"/>
      <c r="P89"/>
      <c r="Q89"/>
      <c r="R89"/>
    </row>
    <row r="90" spans="13:18" ht="12" x14ac:dyDescent="0.2">
      <c r="M90"/>
      <c r="N90"/>
      <c r="O90"/>
      <c r="P90"/>
      <c r="Q90"/>
      <c r="R90"/>
    </row>
    <row r="91" spans="13:18" ht="12" x14ac:dyDescent="0.2">
      <c r="M91"/>
      <c r="N91"/>
      <c r="O91"/>
      <c r="P91"/>
      <c r="Q91"/>
      <c r="R91"/>
    </row>
    <row r="92" spans="13:18" ht="12" x14ac:dyDescent="0.2">
      <c r="M92"/>
      <c r="N92"/>
      <c r="O92"/>
      <c r="P92"/>
      <c r="Q92"/>
      <c r="R92"/>
    </row>
    <row r="93" spans="13:18" ht="12" x14ac:dyDescent="0.2">
      <c r="M93"/>
      <c r="N93"/>
      <c r="O93"/>
      <c r="P93"/>
      <c r="Q93"/>
      <c r="R93"/>
    </row>
    <row r="94" spans="13:18" ht="12" x14ac:dyDescent="0.2">
      <c r="M94"/>
      <c r="N94"/>
      <c r="O94"/>
      <c r="P94"/>
      <c r="Q94"/>
      <c r="R94"/>
    </row>
    <row r="95" spans="13:18" ht="12" x14ac:dyDescent="0.2">
      <c r="M95"/>
      <c r="N95"/>
      <c r="O95"/>
      <c r="P95"/>
      <c r="Q95"/>
      <c r="R95"/>
    </row>
    <row r="96" spans="13:18" ht="12" x14ac:dyDescent="0.2">
      <c r="M96"/>
      <c r="N96"/>
      <c r="O96"/>
      <c r="P96"/>
      <c r="Q96"/>
      <c r="R96"/>
    </row>
    <row r="97" spans="13:18" ht="12" x14ac:dyDescent="0.2">
      <c r="M97"/>
      <c r="N97"/>
      <c r="O97"/>
      <c r="P97"/>
      <c r="Q97"/>
      <c r="R97"/>
    </row>
    <row r="98" spans="13:18" ht="12" x14ac:dyDescent="0.2">
      <c r="M98"/>
      <c r="N98"/>
      <c r="O98"/>
      <c r="P98"/>
      <c r="Q98"/>
      <c r="R98"/>
    </row>
    <row r="99" spans="13:18" ht="12" x14ac:dyDescent="0.2">
      <c r="M99"/>
      <c r="N99"/>
      <c r="O99"/>
      <c r="P99"/>
      <c r="Q99"/>
      <c r="R99"/>
    </row>
    <row r="100" spans="13:18" ht="12" x14ac:dyDescent="0.2">
      <c r="M100"/>
      <c r="N100"/>
      <c r="O100"/>
      <c r="P100"/>
      <c r="Q100"/>
      <c r="R100"/>
    </row>
    <row r="101" spans="13:18" ht="12" x14ac:dyDescent="0.2">
      <c r="M101"/>
      <c r="N101"/>
      <c r="O101"/>
      <c r="P101"/>
      <c r="Q101"/>
      <c r="R101"/>
    </row>
    <row r="102" spans="13:18" ht="12" x14ac:dyDescent="0.2">
      <c r="M102"/>
      <c r="N102"/>
      <c r="O102"/>
      <c r="P102"/>
      <c r="Q102"/>
      <c r="R102"/>
    </row>
    <row r="103" spans="13:18" ht="12" x14ac:dyDescent="0.2">
      <c r="M103"/>
      <c r="N103"/>
      <c r="O103"/>
      <c r="P103"/>
      <c r="Q103"/>
      <c r="R103"/>
    </row>
    <row r="104" spans="13:18" ht="12" x14ac:dyDescent="0.2">
      <c r="M104"/>
      <c r="N104"/>
      <c r="O104"/>
      <c r="P104"/>
      <c r="Q104"/>
      <c r="R104"/>
    </row>
    <row r="105" spans="13:18" ht="12" x14ac:dyDescent="0.2">
      <c r="M105"/>
      <c r="N105"/>
      <c r="O105"/>
      <c r="P105"/>
      <c r="Q105"/>
      <c r="R105"/>
    </row>
    <row r="106" spans="13:18" ht="12" x14ac:dyDescent="0.2">
      <c r="M106"/>
      <c r="N106"/>
      <c r="O106"/>
      <c r="P106"/>
      <c r="Q106"/>
      <c r="R106"/>
    </row>
    <row r="107" spans="13:18" ht="12" x14ac:dyDescent="0.2">
      <c r="M107"/>
      <c r="N107"/>
      <c r="O107"/>
      <c r="P107"/>
      <c r="Q107"/>
      <c r="R107"/>
    </row>
    <row r="108" spans="13:18" ht="12" x14ac:dyDescent="0.2">
      <c r="M108"/>
      <c r="N108"/>
      <c r="O108"/>
      <c r="P108"/>
      <c r="Q108"/>
      <c r="R108"/>
    </row>
    <row r="109" spans="13:18" ht="12" x14ac:dyDescent="0.2">
      <c r="M109"/>
      <c r="N109"/>
      <c r="O109"/>
      <c r="P109"/>
      <c r="Q109"/>
      <c r="R109"/>
    </row>
    <row r="110" spans="13:18" ht="12" x14ac:dyDescent="0.2">
      <c r="M110"/>
      <c r="N110"/>
      <c r="O110"/>
      <c r="P110"/>
      <c r="Q110"/>
      <c r="R110"/>
    </row>
    <row r="111" spans="13:18" ht="12" x14ac:dyDescent="0.2">
      <c r="M111"/>
      <c r="N111"/>
      <c r="O111"/>
      <c r="P111"/>
      <c r="Q111"/>
      <c r="R111"/>
    </row>
    <row r="112" spans="13:18" ht="12" x14ac:dyDescent="0.2">
      <c r="M112"/>
      <c r="N112"/>
      <c r="O112"/>
      <c r="P112"/>
      <c r="Q112"/>
      <c r="R112"/>
    </row>
    <row r="113" spans="13:18" ht="12" x14ac:dyDescent="0.2">
      <c r="M113"/>
      <c r="N113"/>
      <c r="O113"/>
      <c r="P113"/>
      <c r="Q113"/>
      <c r="R113"/>
    </row>
    <row r="114" spans="13:18" ht="12" x14ac:dyDescent="0.2">
      <c r="M114"/>
      <c r="N114"/>
      <c r="O114"/>
      <c r="P114"/>
      <c r="Q114"/>
      <c r="R114"/>
    </row>
    <row r="115" spans="13:18" ht="12" x14ac:dyDescent="0.2">
      <c r="M115"/>
      <c r="N115"/>
      <c r="O115"/>
      <c r="P115"/>
      <c r="Q115"/>
      <c r="R115"/>
    </row>
    <row r="116" spans="13:18" ht="12" x14ac:dyDescent="0.2">
      <c r="M116"/>
      <c r="N116"/>
      <c r="O116"/>
      <c r="P116"/>
      <c r="Q116"/>
      <c r="R116"/>
    </row>
    <row r="117" spans="13:18" ht="12" x14ac:dyDescent="0.2">
      <c r="M117"/>
      <c r="N117"/>
      <c r="O117"/>
      <c r="P117"/>
      <c r="Q117"/>
      <c r="R117"/>
    </row>
    <row r="118" spans="13:18" ht="12" x14ac:dyDescent="0.2">
      <c r="M118"/>
      <c r="N118"/>
      <c r="O118"/>
      <c r="P118"/>
      <c r="Q118"/>
      <c r="R118"/>
    </row>
    <row r="119" spans="13:18" ht="12" x14ac:dyDescent="0.2">
      <c r="M119"/>
      <c r="N119"/>
      <c r="O119"/>
      <c r="P119"/>
      <c r="Q119"/>
      <c r="R119"/>
    </row>
    <row r="120" spans="13:18" ht="12" x14ac:dyDescent="0.2">
      <c r="M120"/>
      <c r="N120"/>
      <c r="O120"/>
      <c r="P120"/>
      <c r="Q120"/>
      <c r="R120"/>
    </row>
    <row r="121" spans="13:18" ht="12" x14ac:dyDescent="0.2">
      <c r="M121"/>
      <c r="N121"/>
      <c r="O121"/>
      <c r="P121"/>
      <c r="Q121"/>
      <c r="R121"/>
    </row>
    <row r="122" spans="13:18" ht="12" x14ac:dyDescent="0.2">
      <c r="M122"/>
      <c r="N122"/>
      <c r="O122"/>
      <c r="P122"/>
      <c r="Q122"/>
      <c r="R122"/>
    </row>
    <row r="123" spans="13:18" ht="12" x14ac:dyDescent="0.2">
      <c r="M123"/>
      <c r="N123"/>
      <c r="O123"/>
      <c r="P123"/>
      <c r="Q123"/>
      <c r="R123"/>
    </row>
    <row r="124" spans="13:18" ht="12" x14ac:dyDescent="0.2">
      <c r="M124"/>
      <c r="N124"/>
      <c r="O124"/>
      <c r="P124"/>
      <c r="Q124"/>
      <c r="R124"/>
    </row>
    <row r="125" spans="13:18" ht="12" x14ac:dyDescent="0.2">
      <c r="M125"/>
      <c r="N125"/>
      <c r="O125"/>
      <c r="P125"/>
      <c r="Q125"/>
      <c r="R125"/>
    </row>
    <row r="126" spans="13:18" ht="12" x14ac:dyDescent="0.2">
      <c r="M126"/>
      <c r="N126"/>
      <c r="O126"/>
      <c r="P126"/>
      <c r="Q126"/>
      <c r="R126"/>
    </row>
    <row r="127" spans="13:18" ht="12" x14ac:dyDescent="0.2">
      <c r="M127"/>
      <c r="N127"/>
      <c r="O127"/>
      <c r="P127"/>
      <c r="Q127"/>
      <c r="R127"/>
    </row>
    <row r="128" spans="13:18" ht="12" x14ac:dyDescent="0.2">
      <c r="M128"/>
      <c r="N128"/>
      <c r="O128"/>
      <c r="P128"/>
      <c r="Q128"/>
      <c r="R128"/>
    </row>
    <row r="129" spans="13:18" ht="12" x14ac:dyDescent="0.2">
      <c r="M129"/>
      <c r="N129"/>
      <c r="O129"/>
      <c r="P129"/>
      <c r="Q129"/>
      <c r="R129"/>
    </row>
    <row r="130" spans="13:18" ht="12" x14ac:dyDescent="0.2">
      <c r="M130"/>
      <c r="N130"/>
      <c r="O130"/>
      <c r="P130"/>
      <c r="Q130"/>
      <c r="R130"/>
    </row>
    <row r="131" spans="13:18" ht="12" x14ac:dyDescent="0.2">
      <c r="M131"/>
      <c r="N131"/>
      <c r="O131"/>
      <c r="P131"/>
      <c r="Q131"/>
      <c r="R131"/>
    </row>
    <row r="132" spans="13:18" ht="12" x14ac:dyDescent="0.2">
      <c r="M132"/>
      <c r="N132"/>
      <c r="O132"/>
      <c r="P132"/>
      <c r="Q132"/>
      <c r="R132"/>
    </row>
    <row r="133" spans="13:18" ht="12" x14ac:dyDescent="0.2">
      <c r="M133"/>
      <c r="N133"/>
      <c r="O133"/>
      <c r="P133"/>
      <c r="Q133"/>
      <c r="R133"/>
    </row>
    <row r="134" spans="13:18" ht="12" x14ac:dyDescent="0.2">
      <c r="M134"/>
      <c r="N134"/>
      <c r="O134"/>
      <c r="P134"/>
      <c r="Q134"/>
      <c r="R134"/>
    </row>
    <row r="135" spans="13:18" ht="12" x14ac:dyDescent="0.2">
      <c r="M135"/>
      <c r="N135"/>
      <c r="O135"/>
      <c r="P135"/>
      <c r="Q135"/>
      <c r="R135"/>
    </row>
    <row r="136" spans="13:18" ht="12" x14ac:dyDescent="0.2">
      <c r="M136"/>
      <c r="N136"/>
      <c r="O136"/>
      <c r="P136"/>
      <c r="Q136"/>
      <c r="R136"/>
    </row>
    <row r="137" spans="13:18" ht="12" x14ac:dyDescent="0.2">
      <c r="M137"/>
      <c r="N137"/>
      <c r="O137"/>
      <c r="P137"/>
      <c r="Q137"/>
      <c r="R137"/>
    </row>
    <row r="138" spans="13:18" ht="12" x14ac:dyDescent="0.2">
      <c r="M138"/>
      <c r="N138"/>
      <c r="O138"/>
      <c r="P138"/>
      <c r="Q138"/>
      <c r="R138"/>
    </row>
    <row r="139" spans="13:18" ht="12" x14ac:dyDescent="0.2">
      <c r="M139"/>
      <c r="N139"/>
      <c r="O139"/>
      <c r="P139"/>
      <c r="Q139"/>
      <c r="R139"/>
    </row>
    <row r="140" spans="13:18" ht="12" x14ac:dyDescent="0.2">
      <c r="M140"/>
      <c r="N140"/>
      <c r="O140"/>
      <c r="P140"/>
      <c r="Q140"/>
      <c r="R140"/>
    </row>
    <row r="141" spans="13:18" ht="12" x14ac:dyDescent="0.2">
      <c r="M141"/>
      <c r="N141"/>
      <c r="O141"/>
      <c r="P141"/>
      <c r="Q141"/>
      <c r="R141"/>
    </row>
    <row r="142" spans="13:18" ht="12" x14ac:dyDescent="0.2">
      <c r="M142"/>
      <c r="N142"/>
      <c r="O142"/>
      <c r="P142"/>
      <c r="Q142"/>
      <c r="R142"/>
    </row>
    <row r="143" spans="13:18" ht="12" x14ac:dyDescent="0.2">
      <c r="M143"/>
      <c r="N143"/>
      <c r="O143"/>
      <c r="P143"/>
      <c r="Q143"/>
      <c r="R143"/>
    </row>
    <row r="144" spans="13:18" ht="12" x14ac:dyDescent="0.2">
      <c r="M144"/>
      <c r="N144"/>
      <c r="O144"/>
      <c r="P144"/>
      <c r="Q144"/>
      <c r="R144"/>
    </row>
    <row r="145" spans="13:18" ht="12" x14ac:dyDescent="0.2">
      <c r="M145"/>
      <c r="N145"/>
      <c r="O145"/>
      <c r="P145"/>
      <c r="Q145"/>
      <c r="R145"/>
    </row>
    <row r="146" spans="13:18" ht="12" x14ac:dyDescent="0.2">
      <c r="M146"/>
      <c r="N146"/>
      <c r="O146"/>
      <c r="P146"/>
      <c r="Q146"/>
      <c r="R146"/>
    </row>
    <row r="147" spans="13:18" ht="12" x14ac:dyDescent="0.2">
      <c r="M147"/>
      <c r="N147"/>
      <c r="O147"/>
      <c r="P147"/>
      <c r="Q147"/>
      <c r="R147"/>
    </row>
    <row r="148" spans="13:18" ht="12" x14ac:dyDescent="0.2">
      <c r="M148"/>
      <c r="N148"/>
      <c r="O148"/>
      <c r="P148"/>
      <c r="Q148"/>
      <c r="R148"/>
    </row>
    <row r="149" spans="13:18" ht="12" x14ac:dyDescent="0.2">
      <c r="M149"/>
      <c r="N149"/>
      <c r="O149"/>
      <c r="P149"/>
      <c r="Q149"/>
      <c r="R149"/>
    </row>
    <row r="150" spans="13:18" ht="12" x14ac:dyDescent="0.2">
      <c r="M150"/>
      <c r="N150"/>
      <c r="O150"/>
      <c r="P150"/>
      <c r="Q150"/>
      <c r="R150"/>
    </row>
    <row r="151" spans="13:18" ht="12" x14ac:dyDescent="0.2">
      <c r="M151"/>
      <c r="N151"/>
      <c r="O151"/>
      <c r="P151"/>
      <c r="Q151"/>
      <c r="R151"/>
    </row>
    <row r="152" spans="13:18" ht="12" x14ac:dyDescent="0.2">
      <c r="M152"/>
      <c r="N152"/>
      <c r="O152"/>
      <c r="P152"/>
      <c r="Q152"/>
      <c r="R152"/>
    </row>
    <row r="153" spans="13:18" ht="12" x14ac:dyDescent="0.2">
      <c r="M153"/>
      <c r="N153"/>
      <c r="O153"/>
      <c r="P153"/>
      <c r="Q153"/>
      <c r="R153"/>
    </row>
    <row r="154" spans="13:18" ht="12" x14ac:dyDescent="0.2">
      <c r="M154"/>
      <c r="N154"/>
      <c r="O154"/>
      <c r="P154"/>
      <c r="Q154"/>
      <c r="R154"/>
    </row>
    <row r="155" spans="13:18" ht="12" x14ac:dyDescent="0.2">
      <c r="M155"/>
      <c r="N155"/>
      <c r="O155"/>
      <c r="P155"/>
      <c r="Q155"/>
      <c r="R155"/>
    </row>
    <row r="156" spans="13:18" ht="12" x14ac:dyDescent="0.2">
      <c r="M156"/>
      <c r="N156"/>
      <c r="O156"/>
      <c r="P156"/>
      <c r="Q156"/>
      <c r="R156"/>
    </row>
    <row r="157" spans="13:18" ht="12" x14ac:dyDescent="0.2">
      <c r="M157"/>
      <c r="N157"/>
      <c r="O157"/>
      <c r="P157"/>
      <c r="Q157"/>
      <c r="R157"/>
    </row>
    <row r="158" spans="13:18" ht="12" x14ac:dyDescent="0.2">
      <c r="M158"/>
      <c r="N158"/>
      <c r="O158"/>
      <c r="P158"/>
      <c r="Q158"/>
      <c r="R158"/>
    </row>
    <row r="159" spans="13:18" ht="12" x14ac:dyDescent="0.2">
      <c r="M159"/>
      <c r="N159"/>
      <c r="O159"/>
      <c r="P159"/>
      <c r="Q159"/>
      <c r="R159"/>
    </row>
    <row r="160" spans="13:18" ht="12" x14ac:dyDescent="0.2">
      <c r="M160"/>
      <c r="N160"/>
      <c r="O160"/>
      <c r="P160"/>
      <c r="Q160"/>
      <c r="R160"/>
    </row>
    <row r="161" spans="13:18" ht="12" x14ac:dyDescent="0.2">
      <c r="M161"/>
      <c r="N161"/>
      <c r="O161"/>
      <c r="P161"/>
      <c r="Q161"/>
      <c r="R161"/>
    </row>
    <row r="162" spans="13:18" ht="12" x14ac:dyDescent="0.2">
      <c r="M162"/>
      <c r="N162"/>
      <c r="O162"/>
      <c r="P162"/>
      <c r="Q162"/>
      <c r="R162"/>
    </row>
    <row r="163" spans="13:18" ht="12" x14ac:dyDescent="0.2">
      <c r="M163"/>
      <c r="N163"/>
      <c r="O163"/>
      <c r="P163"/>
      <c r="Q163"/>
      <c r="R163"/>
    </row>
    <row r="164" spans="13:18" ht="12" x14ac:dyDescent="0.2">
      <c r="M164"/>
      <c r="N164"/>
      <c r="O164"/>
      <c r="P164"/>
      <c r="Q164"/>
      <c r="R164"/>
    </row>
    <row r="165" spans="13:18" ht="12" x14ac:dyDescent="0.2">
      <c r="M165"/>
      <c r="N165"/>
      <c r="O165"/>
      <c r="P165"/>
      <c r="Q165"/>
      <c r="R165"/>
    </row>
    <row r="166" spans="13:18" ht="12" x14ac:dyDescent="0.2">
      <c r="M166"/>
      <c r="N166"/>
      <c r="O166"/>
      <c r="P166"/>
      <c r="Q166"/>
      <c r="R166"/>
    </row>
    <row r="167" spans="13:18" ht="12" x14ac:dyDescent="0.2">
      <c r="M167"/>
      <c r="N167"/>
      <c r="O167"/>
      <c r="P167"/>
      <c r="Q167"/>
      <c r="R167"/>
    </row>
    <row r="168" spans="13:18" ht="12" x14ac:dyDescent="0.2">
      <c r="M168"/>
      <c r="N168"/>
      <c r="O168"/>
      <c r="P168"/>
      <c r="Q168"/>
      <c r="R168"/>
    </row>
    <row r="169" spans="13:18" ht="12" x14ac:dyDescent="0.2">
      <c r="M169"/>
      <c r="N169"/>
      <c r="O169"/>
      <c r="P169"/>
      <c r="Q169"/>
      <c r="R169"/>
    </row>
    <row r="170" spans="13:18" ht="12" x14ac:dyDescent="0.2">
      <c r="M170"/>
      <c r="N170"/>
      <c r="O170"/>
      <c r="P170"/>
      <c r="Q170"/>
      <c r="R170"/>
    </row>
    <row r="171" spans="13:18" ht="12" x14ac:dyDescent="0.2">
      <c r="M171"/>
      <c r="N171"/>
      <c r="O171"/>
      <c r="P171"/>
      <c r="Q171"/>
      <c r="R171"/>
    </row>
    <row r="172" spans="13:18" ht="12" x14ac:dyDescent="0.2">
      <c r="M172"/>
      <c r="N172"/>
      <c r="O172"/>
      <c r="P172"/>
      <c r="Q172"/>
      <c r="R172"/>
    </row>
    <row r="173" spans="13:18" ht="12" x14ac:dyDescent="0.2">
      <c r="M173"/>
      <c r="N173"/>
      <c r="O173"/>
      <c r="P173"/>
      <c r="Q173"/>
      <c r="R173"/>
    </row>
    <row r="174" spans="13:18" ht="12" x14ac:dyDescent="0.2">
      <c r="M174"/>
      <c r="N174"/>
      <c r="O174"/>
      <c r="P174"/>
      <c r="Q174"/>
      <c r="R174"/>
    </row>
    <row r="175" spans="13:18" ht="12" x14ac:dyDescent="0.2">
      <c r="M175"/>
      <c r="N175"/>
      <c r="O175"/>
      <c r="P175"/>
      <c r="Q175"/>
      <c r="R175"/>
    </row>
    <row r="176" spans="13:18" ht="12" x14ac:dyDescent="0.2">
      <c r="M176"/>
      <c r="N176"/>
      <c r="O176"/>
      <c r="P176"/>
      <c r="Q176"/>
      <c r="R176"/>
    </row>
    <row r="177" spans="13:18" ht="12" x14ac:dyDescent="0.2">
      <c r="M177"/>
      <c r="N177"/>
      <c r="O177"/>
      <c r="P177"/>
      <c r="Q177"/>
      <c r="R177"/>
    </row>
    <row r="178" spans="13:18" ht="12" x14ac:dyDescent="0.2">
      <c r="M178"/>
      <c r="N178"/>
      <c r="O178"/>
      <c r="P178"/>
      <c r="Q178"/>
      <c r="R178"/>
    </row>
    <row r="179" spans="13:18" ht="12" x14ac:dyDescent="0.2">
      <c r="M179"/>
      <c r="N179"/>
      <c r="O179"/>
      <c r="P179"/>
      <c r="Q179"/>
      <c r="R179"/>
    </row>
    <row r="180" spans="13:18" ht="12" x14ac:dyDescent="0.2">
      <c r="M180"/>
      <c r="N180"/>
      <c r="O180"/>
      <c r="P180"/>
      <c r="Q180"/>
      <c r="R180"/>
    </row>
    <row r="181" spans="13:18" ht="12" x14ac:dyDescent="0.2">
      <c r="M181"/>
      <c r="N181"/>
      <c r="O181"/>
      <c r="P181"/>
      <c r="Q181"/>
      <c r="R181"/>
    </row>
    <row r="182" spans="13:18" ht="12" x14ac:dyDescent="0.2">
      <c r="M182"/>
      <c r="N182"/>
      <c r="O182"/>
      <c r="P182"/>
      <c r="Q182"/>
      <c r="R182"/>
    </row>
    <row r="183" spans="13:18" ht="12" x14ac:dyDescent="0.2">
      <c r="M183"/>
      <c r="N183"/>
      <c r="O183"/>
      <c r="P183"/>
      <c r="Q183"/>
      <c r="R183"/>
    </row>
    <row r="184" spans="13:18" ht="12" x14ac:dyDescent="0.2">
      <c r="M184"/>
      <c r="N184"/>
      <c r="O184"/>
      <c r="P184"/>
      <c r="Q184"/>
      <c r="R184"/>
    </row>
    <row r="185" spans="13:18" ht="12" x14ac:dyDescent="0.2">
      <c r="M185"/>
      <c r="N185"/>
      <c r="O185"/>
      <c r="P185"/>
      <c r="Q185"/>
      <c r="R185"/>
    </row>
    <row r="186" spans="13:18" ht="12" x14ac:dyDescent="0.2">
      <c r="M186"/>
      <c r="N186"/>
      <c r="O186"/>
      <c r="P186"/>
      <c r="Q186"/>
      <c r="R186"/>
    </row>
    <row r="187" spans="13:18" ht="12" x14ac:dyDescent="0.2">
      <c r="M187"/>
      <c r="N187"/>
      <c r="O187"/>
      <c r="P187"/>
      <c r="Q187"/>
      <c r="R187"/>
    </row>
    <row r="188" spans="13:18" ht="12" x14ac:dyDescent="0.2">
      <c r="M188"/>
      <c r="N188"/>
      <c r="O188"/>
      <c r="P188"/>
      <c r="Q188"/>
      <c r="R188"/>
    </row>
    <row r="189" spans="13:18" ht="12" x14ac:dyDescent="0.2">
      <c r="M189"/>
      <c r="N189"/>
      <c r="O189"/>
      <c r="P189"/>
      <c r="Q189"/>
      <c r="R189"/>
    </row>
    <row r="190" spans="13:18" ht="12" x14ac:dyDescent="0.2">
      <c r="M190"/>
      <c r="N190"/>
      <c r="O190"/>
      <c r="P190"/>
      <c r="Q190"/>
      <c r="R190"/>
    </row>
    <row r="191" spans="13:18" ht="12" x14ac:dyDescent="0.2">
      <c r="M191"/>
      <c r="N191"/>
      <c r="O191"/>
      <c r="P191"/>
      <c r="Q191"/>
      <c r="R191"/>
    </row>
    <row r="192" spans="13:18" ht="12" x14ac:dyDescent="0.2">
      <c r="M192"/>
      <c r="N192"/>
      <c r="O192"/>
      <c r="P192"/>
      <c r="Q192"/>
      <c r="R192"/>
    </row>
    <row r="193" spans="13:18" ht="12" x14ac:dyDescent="0.2">
      <c r="M193"/>
      <c r="N193"/>
      <c r="O193"/>
      <c r="P193"/>
      <c r="Q193"/>
      <c r="R193"/>
    </row>
    <row r="194" spans="13:18" ht="12" x14ac:dyDescent="0.2">
      <c r="M194"/>
      <c r="N194"/>
      <c r="O194"/>
      <c r="P194"/>
      <c r="Q194"/>
      <c r="R194"/>
    </row>
    <row r="195" spans="13:18" ht="12" x14ac:dyDescent="0.2">
      <c r="M195"/>
      <c r="N195"/>
      <c r="O195"/>
      <c r="P195"/>
      <c r="Q195"/>
      <c r="R195"/>
    </row>
    <row r="196" spans="13:18" ht="12" x14ac:dyDescent="0.2">
      <c r="M196"/>
      <c r="N196"/>
      <c r="O196"/>
      <c r="P196"/>
      <c r="Q196"/>
      <c r="R196"/>
    </row>
    <row r="197" spans="13:18" ht="12" x14ac:dyDescent="0.2">
      <c r="M197"/>
      <c r="N197"/>
      <c r="O197"/>
      <c r="P197"/>
      <c r="Q197"/>
      <c r="R197"/>
    </row>
    <row r="198" spans="13:18" ht="12" x14ac:dyDescent="0.2">
      <c r="M198"/>
      <c r="N198"/>
      <c r="O198"/>
      <c r="P198"/>
      <c r="Q198"/>
      <c r="R198"/>
    </row>
    <row r="199" spans="13:18" ht="12" x14ac:dyDescent="0.2">
      <c r="M199"/>
      <c r="N199"/>
      <c r="O199"/>
      <c r="P199"/>
      <c r="Q199"/>
      <c r="R199"/>
    </row>
    <row r="200" spans="13:18" ht="12" x14ac:dyDescent="0.2">
      <c r="M200"/>
      <c r="N200"/>
      <c r="O200"/>
      <c r="P200"/>
      <c r="Q200"/>
      <c r="R200"/>
    </row>
    <row r="201" spans="13:18" ht="12" x14ac:dyDescent="0.2">
      <c r="M201"/>
      <c r="N201"/>
      <c r="O201"/>
      <c r="P201"/>
      <c r="Q201"/>
      <c r="R201"/>
    </row>
    <row r="202" spans="13:18" ht="12" x14ac:dyDescent="0.2">
      <c r="M202"/>
      <c r="N202"/>
      <c r="O202"/>
      <c r="P202"/>
      <c r="Q202"/>
      <c r="R202"/>
    </row>
    <row r="203" spans="13:18" ht="12" x14ac:dyDescent="0.2">
      <c r="M203"/>
      <c r="N203"/>
      <c r="O203"/>
      <c r="P203"/>
      <c r="Q203"/>
      <c r="R203"/>
    </row>
    <row r="204" spans="13:18" ht="12" x14ac:dyDescent="0.2">
      <c r="M204"/>
      <c r="N204"/>
      <c r="O204"/>
      <c r="P204"/>
      <c r="Q204"/>
      <c r="R204"/>
    </row>
    <row r="205" spans="13:18" ht="12" x14ac:dyDescent="0.2">
      <c r="M205"/>
      <c r="N205"/>
      <c r="O205"/>
      <c r="P205"/>
      <c r="Q205"/>
      <c r="R205"/>
    </row>
    <row r="206" spans="13:18" ht="12" x14ac:dyDescent="0.2">
      <c r="M206"/>
      <c r="N206"/>
      <c r="O206"/>
      <c r="P206"/>
      <c r="Q206"/>
      <c r="R206"/>
    </row>
    <row r="207" spans="13:18" ht="12" x14ac:dyDescent="0.2">
      <c r="M207"/>
      <c r="N207"/>
      <c r="O207"/>
      <c r="P207"/>
      <c r="Q207"/>
      <c r="R207"/>
    </row>
    <row r="208" spans="13:18" ht="12" x14ac:dyDescent="0.2">
      <c r="M208"/>
      <c r="N208"/>
      <c r="O208"/>
      <c r="P208"/>
      <c r="Q208"/>
      <c r="R208"/>
    </row>
    <row r="209" spans="13:18" ht="12" x14ac:dyDescent="0.2">
      <c r="M209"/>
      <c r="N209"/>
      <c r="O209"/>
      <c r="P209"/>
      <c r="Q209"/>
      <c r="R209"/>
    </row>
    <row r="210" spans="13:18" ht="12" x14ac:dyDescent="0.2">
      <c r="M210"/>
      <c r="N210"/>
      <c r="O210"/>
      <c r="P210"/>
      <c r="Q210"/>
      <c r="R210"/>
    </row>
    <row r="211" spans="13:18" ht="12" x14ac:dyDescent="0.2">
      <c r="M211"/>
      <c r="N211"/>
      <c r="O211"/>
      <c r="P211"/>
      <c r="Q211"/>
      <c r="R211"/>
    </row>
    <row r="212" spans="13:18" ht="12" x14ac:dyDescent="0.2">
      <c r="M212"/>
      <c r="N212"/>
      <c r="O212"/>
      <c r="P212"/>
      <c r="Q212"/>
      <c r="R212"/>
    </row>
    <row r="213" spans="13:18" ht="12" x14ac:dyDescent="0.2">
      <c r="M213"/>
      <c r="N213"/>
      <c r="O213"/>
      <c r="P213"/>
      <c r="Q213"/>
      <c r="R213"/>
    </row>
    <row r="214" spans="13:18" ht="12" x14ac:dyDescent="0.2">
      <c r="M214"/>
      <c r="N214"/>
      <c r="O214"/>
      <c r="P214"/>
      <c r="Q214"/>
      <c r="R214"/>
    </row>
    <row r="215" spans="13:18" ht="12" x14ac:dyDescent="0.2">
      <c r="M215"/>
      <c r="N215"/>
      <c r="O215"/>
      <c r="P215"/>
      <c r="Q215"/>
      <c r="R215"/>
    </row>
    <row r="216" spans="13:18" ht="12" x14ac:dyDescent="0.2">
      <c r="M216"/>
      <c r="N216"/>
      <c r="O216"/>
      <c r="P216"/>
      <c r="Q216"/>
      <c r="R216"/>
    </row>
    <row r="217" spans="13:18" ht="12" x14ac:dyDescent="0.2">
      <c r="M217"/>
      <c r="N217"/>
      <c r="O217"/>
      <c r="P217"/>
      <c r="Q217"/>
      <c r="R217"/>
    </row>
    <row r="218" spans="13:18" ht="12" x14ac:dyDescent="0.2">
      <c r="M218"/>
      <c r="N218"/>
      <c r="O218"/>
      <c r="P218"/>
      <c r="Q218"/>
      <c r="R218"/>
    </row>
    <row r="219" spans="13:18" ht="12" x14ac:dyDescent="0.2">
      <c r="M219"/>
      <c r="N219"/>
      <c r="O219"/>
      <c r="P219"/>
      <c r="Q219"/>
      <c r="R219"/>
    </row>
    <row r="220" spans="13:18" ht="12" x14ac:dyDescent="0.2">
      <c r="M220"/>
      <c r="N220"/>
      <c r="O220"/>
      <c r="P220"/>
      <c r="Q220"/>
      <c r="R220"/>
    </row>
    <row r="221" spans="13:18" ht="12" x14ac:dyDescent="0.2">
      <c r="M221"/>
      <c r="N221"/>
      <c r="O221"/>
      <c r="P221"/>
      <c r="Q221"/>
      <c r="R221"/>
    </row>
    <row r="222" spans="13:18" ht="12" x14ac:dyDescent="0.2">
      <c r="M222"/>
      <c r="N222"/>
      <c r="O222"/>
      <c r="P222"/>
      <c r="Q222"/>
      <c r="R222"/>
    </row>
    <row r="223" spans="13:18" ht="12" x14ac:dyDescent="0.2">
      <c r="M223"/>
      <c r="N223"/>
      <c r="O223"/>
      <c r="P223"/>
      <c r="Q223"/>
      <c r="R223"/>
    </row>
    <row r="224" spans="13:18" ht="12" x14ac:dyDescent="0.2">
      <c r="M224"/>
      <c r="N224"/>
      <c r="O224"/>
      <c r="P224"/>
      <c r="Q224"/>
      <c r="R224"/>
    </row>
    <row r="225" spans="13:18" ht="12" x14ac:dyDescent="0.2">
      <c r="M225"/>
      <c r="N225"/>
      <c r="O225"/>
      <c r="P225"/>
      <c r="Q225"/>
      <c r="R225"/>
    </row>
    <row r="226" spans="13:18" ht="12" x14ac:dyDescent="0.2">
      <c r="M226"/>
      <c r="N226"/>
      <c r="O226"/>
      <c r="P226"/>
      <c r="Q226"/>
      <c r="R226"/>
    </row>
    <row r="227" spans="13:18" ht="12" x14ac:dyDescent="0.2">
      <c r="M227"/>
      <c r="N227"/>
      <c r="O227"/>
      <c r="P227"/>
      <c r="Q227"/>
      <c r="R227"/>
    </row>
    <row r="228" spans="13:18" ht="12" x14ac:dyDescent="0.2">
      <c r="M228"/>
      <c r="N228"/>
      <c r="O228"/>
      <c r="P228"/>
      <c r="Q228"/>
      <c r="R228"/>
    </row>
    <row r="229" spans="13:18" ht="12" x14ac:dyDescent="0.2">
      <c r="M229"/>
      <c r="N229"/>
      <c r="O229"/>
      <c r="P229"/>
      <c r="Q229"/>
      <c r="R229"/>
    </row>
    <row r="230" spans="13:18" ht="12" x14ac:dyDescent="0.2">
      <c r="M230"/>
      <c r="N230"/>
      <c r="O230"/>
      <c r="P230"/>
      <c r="Q230"/>
      <c r="R230"/>
    </row>
    <row r="231" spans="13:18" ht="12" x14ac:dyDescent="0.2">
      <c r="M231"/>
      <c r="N231"/>
      <c r="O231"/>
      <c r="P231"/>
      <c r="Q231"/>
      <c r="R231"/>
    </row>
    <row r="232" spans="13:18" ht="12" x14ac:dyDescent="0.2">
      <c r="M232"/>
      <c r="N232"/>
      <c r="O232"/>
      <c r="P232"/>
      <c r="Q232"/>
      <c r="R232"/>
    </row>
    <row r="233" spans="13:18" ht="12" x14ac:dyDescent="0.2">
      <c r="M233"/>
      <c r="N233"/>
      <c r="O233"/>
      <c r="P233"/>
      <c r="Q233"/>
      <c r="R233"/>
    </row>
    <row r="234" spans="13:18" ht="12" x14ac:dyDescent="0.2">
      <c r="M234"/>
      <c r="N234"/>
      <c r="O234"/>
      <c r="P234"/>
      <c r="Q234"/>
      <c r="R234"/>
    </row>
    <row r="235" spans="13:18" ht="12" x14ac:dyDescent="0.2">
      <c r="M235"/>
      <c r="N235"/>
      <c r="O235"/>
      <c r="P235"/>
      <c r="Q235"/>
      <c r="R235"/>
    </row>
    <row r="236" spans="13:18" ht="12" x14ac:dyDescent="0.2">
      <c r="M236"/>
      <c r="N236"/>
      <c r="O236"/>
      <c r="P236"/>
      <c r="Q236"/>
      <c r="R236"/>
    </row>
    <row r="237" spans="13:18" ht="12" x14ac:dyDescent="0.2">
      <c r="M237"/>
      <c r="N237"/>
      <c r="O237"/>
      <c r="P237"/>
      <c r="Q237"/>
      <c r="R237"/>
    </row>
    <row r="238" spans="13:18" ht="12" x14ac:dyDescent="0.2">
      <c r="M238"/>
      <c r="N238"/>
      <c r="O238"/>
      <c r="P238"/>
      <c r="Q238"/>
      <c r="R238"/>
    </row>
    <row r="239" spans="13:18" ht="12" x14ac:dyDescent="0.2">
      <c r="M239"/>
      <c r="N239"/>
      <c r="O239"/>
      <c r="P239"/>
      <c r="Q239"/>
      <c r="R239"/>
    </row>
    <row r="240" spans="13:18" ht="12" x14ac:dyDescent="0.2">
      <c r="M240"/>
      <c r="N240"/>
      <c r="O240"/>
      <c r="P240"/>
      <c r="Q240"/>
      <c r="R240"/>
    </row>
    <row r="241" spans="13:18" ht="12" x14ac:dyDescent="0.2">
      <c r="M241"/>
      <c r="N241"/>
      <c r="O241"/>
      <c r="P241"/>
      <c r="Q241"/>
      <c r="R241"/>
    </row>
    <row r="242" spans="13:18" ht="12" x14ac:dyDescent="0.2">
      <c r="M242"/>
      <c r="N242"/>
      <c r="O242"/>
      <c r="P242"/>
      <c r="Q242"/>
      <c r="R242"/>
    </row>
    <row r="243" spans="13:18" ht="12" x14ac:dyDescent="0.2">
      <c r="M243"/>
      <c r="N243"/>
      <c r="O243"/>
      <c r="P243"/>
      <c r="Q243"/>
      <c r="R243"/>
    </row>
    <row r="244" spans="13:18" ht="12" x14ac:dyDescent="0.2">
      <c r="M244"/>
      <c r="N244"/>
      <c r="O244"/>
      <c r="P244"/>
      <c r="Q244"/>
      <c r="R244"/>
    </row>
    <row r="245" spans="13:18" ht="12" x14ac:dyDescent="0.2">
      <c r="M245"/>
      <c r="N245"/>
      <c r="O245"/>
      <c r="P245"/>
      <c r="Q245"/>
      <c r="R245"/>
    </row>
    <row r="246" spans="13:18" ht="12" x14ac:dyDescent="0.2">
      <c r="M246"/>
      <c r="N246"/>
      <c r="O246"/>
      <c r="P246"/>
      <c r="Q246"/>
      <c r="R246"/>
    </row>
    <row r="247" spans="13:18" ht="12" x14ac:dyDescent="0.2">
      <c r="M247"/>
      <c r="N247"/>
      <c r="O247"/>
      <c r="P247"/>
      <c r="Q247"/>
      <c r="R247"/>
    </row>
    <row r="248" spans="13:18" ht="12" x14ac:dyDescent="0.2">
      <c r="M248"/>
      <c r="N248"/>
      <c r="O248"/>
      <c r="P248"/>
      <c r="Q248"/>
      <c r="R248"/>
    </row>
    <row r="249" spans="13:18" ht="12" x14ac:dyDescent="0.2">
      <c r="M249"/>
      <c r="N249"/>
      <c r="O249"/>
      <c r="P249"/>
      <c r="Q249"/>
      <c r="R249"/>
    </row>
    <row r="250" spans="13:18" ht="12" x14ac:dyDescent="0.2">
      <c r="M250"/>
      <c r="N250"/>
      <c r="O250"/>
      <c r="P250"/>
      <c r="Q250"/>
      <c r="R250"/>
    </row>
    <row r="251" spans="13:18" ht="12" x14ac:dyDescent="0.2">
      <c r="M251"/>
      <c r="N251"/>
      <c r="O251"/>
      <c r="P251"/>
      <c r="Q251"/>
      <c r="R251"/>
    </row>
    <row r="252" spans="13:18" ht="12" x14ac:dyDescent="0.2">
      <c r="M252"/>
      <c r="N252"/>
      <c r="O252"/>
      <c r="P252"/>
      <c r="Q252"/>
      <c r="R252"/>
    </row>
    <row r="253" spans="13:18" ht="12" x14ac:dyDescent="0.2">
      <c r="M253"/>
      <c r="N253"/>
      <c r="O253"/>
      <c r="P253"/>
      <c r="Q253"/>
      <c r="R253"/>
    </row>
    <row r="254" spans="13:18" ht="12" x14ac:dyDescent="0.2">
      <c r="M254"/>
      <c r="N254"/>
      <c r="O254"/>
      <c r="P254"/>
      <c r="Q254"/>
      <c r="R254"/>
    </row>
    <row r="255" spans="13:18" ht="12" x14ac:dyDescent="0.2">
      <c r="M255"/>
      <c r="N255"/>
      <c r="O255"/>
      <c r="P255"/>
      <c r="Q255"/>
      <c r="R255"/>
    </row>
    <row r="256" spans="13:18" ht="12" x14ac:dyDescent="0.2">
      <c r="M256"/>
      <c r="N256"/>
      <c r="O256"/>
      <c r="P256"/>
      <c r="Q256"/>
      <c r="R256"/>
    </row>
    <row r="257" spans="13:18" ht="12" x14ac:dyDescent="0.2">
      <c r="M257"/>
      <c r="N257"/>
      <c r="O257"/>
      <c r="P257"/>
      <c r="Q257"/>
      <c r="R257"/>
    </row>
    <row r="258" spans="13:18" ht="12" x14ac:dyDescent="0.2">
      <c r="M258"/>
      <c r="N258"/>
      <c r="O258"/>
      <c r="P258"/>
      <c r="Q258"/>
      <c r="R258"/>
    </row>
    <row r="259" spans="13:18" ht="12" x14ac:dyDescent="0.2">
      <c r="M259"/>
      <c r="N259"/>
      <c r="O259"/>
      <c r="P259"/>
      <c r="Q259"/>
      <c r="R259"/>
    </row>
    <row r="260" spans="13:18" ht="12" x14ac:dyDescent="0.2">
      <c r="M260"/>
      <c r="N260"/>
      <c r="O260"/>
      <c r="P260"/>
      <c r="Q260"/>
      <c r="R260"/>
    </row>
    <row r="261" spans="13:18" ht="12" x14ac:dyDescent="0.2">
      <c r="M261"/>
      <c r="N261"/>
      <c r="O261"/>
      <c r="P261"/>
      <c r="Q261"/>
      <c r="R261"/>
    </row>
    <row r="262" spans="13:18" ht="12" x14ac:dyDescent="0.2">
      <c r="M262"/>
      <c r="N262"/>
      <c r="O262"/>
      <c r="P262"/>
      <c r="Q262"/>
      <c r="R262"/>
    </row>
    <row r="263" spans="13:18" ht="12" x14ac:dyDescent="0.2">
      <c r="M263"/>
      <c r="N263"/>
      <c r="O263"/>
      <c r="P263"/>
      <c r="Q263"/>
      <c r="R263"/>
    </row>
    <row r="264" spans="13:18" ht="12" x14ac:dyDescent="0.2">
      <c r="M264"/>
      <c r="N264"/>
      <c r="O264"/>
      <c r="P264"/>
      <c r="Q264"/>
      <c r="R264"/>
    </row>
    <row r="265" spans="13:18" ht="12" x14ac:dyDescent="0.2">
      <c r="M265"/>
      <c r="N265"/>
      <c r="O265"/>
      <c r="P265"/>
      <c r="Q265"/>
      <c r="R265"/>
    </row>
    <row r="266" spans="13:18" ht="12" x14ac:dyDescent="0.2">
      <c r="M266"/>
      <c r="N266"/>
      <c r="O266"/>
      <c r="P266"/>
      <c r="Q266"/>
      <c r="R266"/>
    </row>
    <row r="267" spans="13:18" ht="12" x14ac:dyDescent="0.2">
      <c r="M267"/>
      <c r="N267"/>
      <c r="O267"/>
      <c r="P267"/>
      <c r="Q267"/>
      <c r="R267"/>
    </row>
    <row r="268" spans="13:18" ht="12" x14ac:dyDescent="0.2">
      <c r="M268"/>
      <c r="N268"/>
      <c r="O268"/>
      <c r="P268"/>
      <c r="Q268"/>
      <c r="R268"/>
    </row>
    <row r="269" spans="13:18" ht="12" x14ac:dyDescent="0.2">
      <c r="M269"/>
      <c r="N269"/>
      <c r="O269"/>
      <c r="P269"/>
      <c r="Q269"/>
      <c r="R269"/>
    </row>
    <row r="270" spans="13:18" ht="12" x14ac:dyDescent="0.2">
      <c r="M270"/>
      <c r="N270"/>
      <c r="O270"/>
      <c r="P270"/>
      <c r="Q270"/>
      <c r="R270"/>
    </row>
    <row r="271" spans="13:18" ht="12" x14ac:dyDescent="0.2">
      <c r="M271"/>
      <c r="N271"/>
      <c r="O271"/>
      <c r="P271"/>
      <c r="Q271"/>
      <c r="R271"/>
    </row>
    <row r="272" spans="13:18" ht="12" x14ac:dyDescent="0.2">
      <c r="M272"/>
      <c r="N272"/>
      <c r="O272"/>
      <c r="P272"/>
      <c r="Q272"/>
      <c r="R272"/>
    </row>
    <row r="273" spans="13:18" ht="12" x14ac:dyDescent="0.2">
      <c r="M273"/>
      <c r="N273"/>
      <c r="O273"/>
      <c r="P273"/>
      <c r="Q273"/>
      <c r="R273"/>
    </row>
    <row r="274" spans="13:18" ht="12" x14ac:dyDescent="0.2">
      <c r="M274"/>
      <c r="N274"/>
      <c r="O274"/>
      <c r="P274"/>
      <c r="Q274"/>
      <c r="R274"/>
    </row>
    <row r="275" spans="13:18" ht="12" x14ac:dyDescent="0.2">
      <c r="M275"/>
      <c r="N275"/>
      <c r="O275"/>
      <c r="P275"/>
      <c r="Q275"/>
      <c r="R275"/>
    </row>
    <row r="276" spans="13:18" ht="12" x14ac:dyDescent="0.2">
      <c r="M276"/>
      <c r="N276"/>
      <c r="O276"/>
      <c r="P276"/>
      <c r="Q276"/>
      <c r="R276"/>
    </row>
    <row r="277" spans="13:18" ht="12" x14ac:dyDescent="0.2">
      <c r="M277"/>
      <c r="N277"/>
      <c r="O277"/>
      <c r="P277"/>
      <c r="Q277"/>
      <c r="R277"/>
    </row>
    <row r="278" spans="13:18" ht="12" x14ac:dyDescent="0.2">
      <c r="M278"/>
      <c r="N278"/>
      <c r="O278"/>
      <c r="P278"/>
      <c r="Q278"/>
      <c r="R278"/>
    </row>
    <row r="279" spans="13:18" ht="12" x14ac:dyDescent="0.2">
      <c r="M279"/>
      <c r="N279"/>
      <c r="O279"/>
      <c r="P279"/>
      <c r="Q279"/>
      <c r="R279"/>
    </row>
    <row r="280" spans="13:18" ht="12" x14ac:dyDescent="0.2">
      <c r="M280"/>
      <c r="N280"/>
      <c r="O280"/>
      <c r="P280"/>
      <c r="Q280"/>
      <c r="R280"/>
    </row>
    <row r="281" spans="13:18" ht="12" x14ac:dyDescent="0.2">
      <c r="M281"/>
      <c r="N281"/>
      <c r="O281"/>
      <c r="P281"/>
      <c r="Q281"/>
      <c r="R281"/>
    </row>
    <row r="282" spans="13:18" ht="12" x14ac:dyDescent="0.2">
      <c r="M282"/>
      <c r="N282"/>
      <c r="O282"/>
      <c r="P282"/>
      <c r="Q282"/>
      <c r="R282"/>
    </row>
    <row r="283" spans="13:18" ht="12" x14ac:dyDescent="0.2">
      <c r="M283"/>
      <c r="N283"/>
      <c r="O283"/>
      <c r="P283"/>
      <c r="Q283"/>
      <c r="R283"/>
    </row>
    <row r="284" spans="13:18" ht="12" x14ac:dyDescent="0.2">
      <c r="M284"/>
      <c r="N284"/>
      <c r="O284"/>
      <c r="P284"/>
      <c r="Q284"/>
      <c r="R284"/>
    </row>
    <row r="285" spans="13:18" ht="12" x14ac:dyDescent="0.2">
      <c r="M285"/>
      <c r="N285"/>
      <c r="O285"/>
      <c r="P285"/>
      <c r="Q285"/>
      <c r="R285"/>
    </row>
    <row r="286" spans="13:18" ht="12" x14ac:dyDescent="0.2">
      <c r="M286"/>
      <c r="N286"/>
      <c r="O286"/>
      <c r="P286"/>
      <c r="Q286"/>
      <c r="R286"/>
    </row>
    <row r="287" spans="13:18" ht="12" x14ac:dyDescent="0.2">
      <c r="M287"/>
      <c r="N287"/>
      <c r="O287"/>
      <c r="P287"/>
      <c r="Q287"/>
      <c r="R287"/>
    </row>
    <row r="288" spans="13:18" ht="12" x14ac:dyDescent="0.2">
      <c r="M288"/>
      <c r="N288"/>
      <c r="O288"/>
      <c r="P288"/>
      <c r="Q288"/>
      <c r="R288"/>
    </row>
    <row r="289" spans="13:18" ht="12" x14ac:dyDescent="0.2">
      <c r="M289"/>
      <c r="N289"/>
      <c r="O289"/>
      <c r="P289"/>
      <c r="Q289"/>
      <c r="R289"/>
    </row>
    <row r="290" spans="13:18" ht="12" x14ac:dyDescent="0.2">
      <c r="M290"/>
      <c r="N290"/>
      <c r="O290"/>
      <c r="P290"/>
      <c r="Q290"/>
      <c r="R290"/>
    </row>
    <row r="291" spans="13:18" ht="12" x14ac:dyDescent="0.2">
      <c r="M291"/>
      <c r="N291"/>
      <c r="O291"/>
      <c r="P291"/>
      <c r="Q291"/>
      <c r="R291"/>
    </row>
    <row r="292" spans="13:18" ht="12" x14ac:dyDescent="0.2">
      <c r="M292"/>
      <c r="N292"/>
      <c r="O292"/>
      <c r="P292"/>
      <c r="Q292"/>
      <c r="R292"/>
    </row>
    <row r="293" spans="13:18" ht="12" x14ac:dyDescent="0.2">
      <c r="M293"/>
      <c r="N293"/>
      <c r="O293"/>
      <c r="P293"/>
      <c r="Q293"/>
      <c r="R293"/>
    </row>
    <row r="294" spans="13:18" ht="12" x14ac:dyDescent="0.2">
      <c r="M294"/>
      <c r="N294"/>
      <c r="O294"/>
      <c r="P294"/>
      <c r="Q294"/>
      <c r="R294"/>
    </row>
    <row r="295" spans="13:18" ht="12" x14ac:dyDescent="0.2">
      <c r="M295"/>
      <c r="N295"/>
      <c r="O295"/>
      <c r="P295"/>
      <c r="Q295"/>
      <c r="R295"/>
    </row>
    <row r="296" spans="13:18" ht="12" x14ac:dyDescent="0.2">
      <c r="M296"/>
      <c r="N296"/>
      <c r="O296"/>
      <c r="P296"/>
      <c r="Q296"/>
      <c r="R296"/>
    </row>
    <row r="297" spans="13:18" ht="12" x14ac:dyDescent="0.2">
      <c r="M297"/>
      <c r="N297"/>
      <c r="O297"/>
      <c r="P297"/>
      <c r="Q297"/>
      <c r="R297"/>
    </row>
    <row r="298" spans="13:18" ht="12" x14ac:dyDescent="0.2">
      <c r="M298"/>
      <c r="N298"/>
      <c r="O298"/>
      <c r="P298"/>
      <c r="Q298"/>
      <c r="R298"/>
    </row>
    <row r="299" spans="13:18" ht="12" x14ac:dyDescent="0.2">
      <c r="M299"/>
      <c r="N299"/>
      <c r="O299"/>
      <c r="P299"/>
      <c r="Q299"/>
      <c r="R299"/>
    </row>
    <row r="300" spans="13:18" ht="12" x14ac:dyDescent="0.2">
      <c r="M300"/>
      <c r="N300"/>
      <c r="O300"/>
      <c r="P300"/>
      <c r="Q300"/>
      <c r="R300"/>
    </row>
    <row r="301" spans="13:18" ht="12" x14ac:dyDescent="0.2">
      <c r="M301"/>
      <c r="N301"/>
      <c r="O301"/>
      <c r="P301"/>
      <c r="Q301"/>
      <c r="R301"/>
    </row>
    <row r="302" spans="13:18" ht="12" x14ac:dyDescent="0.2">
      <c r="M302"/>
      <c r="N302"/>
      <c r="O302"/>
      <c r="P302"/>
      <c r="Q302"/>
      <c r="R302"/>
    </row>
    <row r="303" spans="13:18" ht="12" x14ac:dyDescent="0.2">
      <c r="M303"/>
      <c r="N303"/>
      <c r="O303"/>
      <c r="P303"/>
      <c r="Q303"/>
      <c r="R303"/>
    </row>
    <row r="304" spans="13:18" ht="12" x14ac:dyDescent="0.2">
      <c r="M304"/>
      <c r="N304"/>
      <c r="O304"/>
      <c r="P304"/>
      <c r="Q304"/>
      <c r="R304"/>
    </row>
    <row r="305" spans="13:18" ht="12" x14ac:dyDescent="0.2">
      <c r="M305"/>
      <c r="N305"/>
      <c r="O305"/>
      <c r="P305"/>
      <c r="Q305"/>
      <c r="R305"/>
    </row>
    <row r="306" spans="13:18" ht="12" x14ac:dyDescent="0.2">
      <c r="M306"/>
      <c r="N306"/>
      <c r="O306"/>
      <c r="P306"/>
      <c r="Q306"/>
      <c r="R306"/>
    </row>
    <row r="307" spans="13:18" ht="12" x14ac:dyDescent="0.2">
      <c r="M307"/>
      <c r="N307"/>
      <c r="O307"/>
      <c r="P307"/>
      <c r="Q307"/>
      <c r="R307"/>
    </row>
    <row r="308" spans="13:18" ht="12" x14ac:dyDescent="0.2">
      <c r="M308"/>
      <c r="N308"/>
      <c r="O308"/>
      <c r="P308"/>
      <c r="Q308"/>
      <c r="R308"/>
    </row>
    <row r="309" spans="13:18" ht="12" x14ac:dyDescent="0.2">
      <c r="M309"/>
      <c r="N309"/>
      <c r="O309"/>
      <c r="P309"/>
      <c r="Q309"/>
      <c r="R309"/>
    </row>
    <row r="310" spans="13:18" ht="12" x14ac:dyDescent="0.2">
      <c r="M310"/>
      <c r="N310"/>
      <c r="O310"/>
      <c r="P310"/>
      <c r="Q310"/>
      <c r="R310"/>
    </row>
    <row r="311" spans="13:18" ht="12" x14ac:dyDescent="0.2">
      <c r="M311"/>
      <c r="N311"/>
      <c r="O311"/>
      <c r="P311"/>
      <c r="Q311"/>
      <c r="R311"/>
    </row>
    <row r="312" spans="13:18" ht="12" x14ac:dyDescent="0.2">
      <c r="M312"/>
      <c r="N312"/>
      <c r="O312"/>
      <c r="P312"/>
      <c r="Q312"/>
      <c r="R312"/>
    </row>
    <row r="313" spans="13:18" ht="12" x14ac:dyDescent="0.2">
      <c r="M313"/>
      <c r="N313"/>
      <c r="O313"/>
      <c r="P313"/>
      <c r="Q313"/>
      <c r="R313"/>
    </row>
    <row r="314" spans="13:18" ht="12" x14ac:dyDescent="0.2">
      <c r="M314"/>
      <c r="N314"/>
      <c r="O314"/>
      <c r="P314"/>
      <c r="Q314"/>
      <c r="R314"/>
    </row>
    <row r="315" spans="13:18" ht="12" x14ac:dyDescent="0.2">
      <c r="M315"/>
      <c r="N315"/>
      <c r="O315"/>
      <c r="P315"/>
      <c r="Q315"/>
      <c r="R315"/>
    </row>
    <row r="316" spans="13:18" ht="12" x14ac:dyDescent="0.2">
      <c r="M316"/>
      <c r="N316"/>
      <c r="O316"/>
      <c r="P316"/>
      <c r="Q316"/>
      <c r="R316"/>
    </row>
    <row r="317" spans="13:18" ht="12" x14ac:dyDescent="0.2">
      <c r="M317"/>
      <c r="N317"/>
      <c r="O317"/>
      <c r="P317"/>
      <c r="Q317"/>
      <c r="R317"/>
    </row>
    <row r="318" spans="13:18" ht="12" x14ac:dyDescent="0.2">
      <c r="M318"/>
      <c r="N318"/>
      <c r="O318"/>
      <c r="P318"/>
      <c r="Q318"/>
      <c r="R318"/>
    </row>
    <row r="319" spans="13:18" ht="12" x14ac:dyDescent="0.2">
      <c r="M319"/>
      <c r="N319"/>
      <c r="O319"/>
      <c r="P319"/>
      <c r="Q319"/>
      <c r="R319"/>
    </row>
    <row r="320" spans="13:18" ht="12" x14ac:dyDescent="0.2">
      <c r="M320"/>
      <c r="N320"/>
      <c r="O320"/>
      <c r="P320"/>
      <c r="Q320"/>
      <c r="R320"/>
    </row>
    <row r="321" spans="13:18" ht="12" x14ac:dyDescent="0.2">
      <c r="M321"/>
      <c r="N321"/>
      <c r="O321"/>
      <c r="P321"/>
      <c r="Q321"/>
      <c r="R321"/>
    </row>
    <row r="322" spans="13:18" ht="12" x14ac:dyDescent="0.2">
      <c r="M322"/>
      <c r="N322"/>
      <c r="O322"/>
      <c r="P322"/>
      <c r="Q322"/>
      <c r="R322"/>
    </row>
    <row r="323" spans="13:18" ht="12" x14ac:dyDescent="0.2">
      <c r="M323"/>
      <c r="N323"/>
      <c r="O323"/>
      <c r="P323"/>
      <c r="Q323"/>
      <c r="R323"/>
    </row>
    <row r="324" spans="13:18" ht="12" x14ac:dyDescent="0.2">
      <c r="M324"/>
      <c r="N324"/>
      <c r="O324"/>
      <c r="P324"/>
      <c r="Q324"/>
      <c r="R324"/>
    </row>
    <row r="325" spans="13:18" ht="12" x14ac:dyDescent="0.2">
      <c r="M325"/>
      <c r="N325"/>
      <c r="O325"/>
      <c r="P325"/>
      <c r="Q325"/>
      <c r="R325"/>
    </row>
    <row r="326" spans="13:18" ht="12" x14ac:dyDescent="0.2">
      <c r="M326"/>
      <c r="N326"/>
      <c r="O326"/>
      <c r="P326"/>
      <c r="Q326"/>
      <c r="R326"/>
    </row>
    <row r="327" spans="13:18" ht="12" x14ac:dyDescent="0.2">
      <c r="M327"/>
      <c r="N327"/>
      <c r="O327"/>
      <c r="P327"/>
      <c r="Q327"/>
      <c r="R327"/>
    </row>
    <row r="328" spans="13:18" ht="12" x14ac:dyDescent="0.2">
      <c r="M328"/>
      <c r="N328"/>
      <c r="O328"/>
      <c r="P328"/>
      <c r="Q328"/>
      <c r="R328"/>
    </row>
    <row r="329" spans="13:18" ht="12" x14ac:dyDescent="0.2">
      <c r="M329"/>
      <c r="N329"/>
      <c r="O329"/>
      <c r="P329"/>
      <c r="Q329"/>
      <c r="R329"/>
    </row>
    <row r="330" spans="13:18" ht="12" x14ac:dyDescent="0.2">
      <c r="M330"/>
      <c r="N330"/>
      <c r="O330"/>
      <c r="P330"/>
      <c r="Q330"/>
      <c r="R330"/>
    </row>
    <row r="331" spans="13:18" ht="12" x14ac:dyDescent="0.2">
      <c r="M331"/>
      <c r="N331"/>
      <c r="O331"/>
      <c r="P331"/>
      <c r="Q331"/>
      <c r="R331"/>
    </row>
    <row r="332" spans="13:18" ht="12" x14ac:dyDescent="0.2">
      <c r="M332"/>
      <c r="N332"/>
      <c r="O332"/>
      <c r="P332"/>
      <c r="Q332"/>
      <c r="R332"/>
    </row>
    <row r="333" spans="13:18" ht="12" x14ac:dyDescent="0.2">
      <c r="M333"/>
      <c r="N333"/>
      <c r="O333"/>
      <c r="P333"/>
      <c r="Q333"/>
      <c r="R333"/>
    </row>
    <row r="334" spans="13:18" ht="12" x14ac:dyDescent="0.2">
      <c r="M334"/>
      <c r="N334"/>
      <c r="O334"/>
      <c r="P334"/>
      <c r="Q334"/>
      <c r="R334"/>
    </row>
    <row r="335" spans="13:18" ht="12" x14ac:dyDescent="0.2">
      <c r="M335"/>
      <c r="N335"/>
      <c r="O335"/>
      <c r="P335"/>
      <c r="Q335"/>
      <c r="R335"/>
    </row>
    <row r="336" spans="13:18" ht="12" x14ac:dyDescent="0.2">
      <c r="M336"/>
      <c r="N336"/>
      <c r="O336"/>
      <c r="P336"/>
      <c r="Q336"/>
      <c r="R336"/>
    </row>
    <row r="337" spans="13:18" ht="12" x14ac:dyDescent="0.2">
      <c r="M337"/>
      <c r="N337"/>
      <c r="O337"/>
      <c r="P337"/>
      <c r="Q337"/>
      <c r="R337"/>
    </row>
    <row r="338" spans="13:18" ht="12" x14ac:dyDescent="0.2">
      <c r="M338"/>
      <c r="N338"/>
      <c r="O338"/>
      <c r="P338"/>
      <c r="Q338"/>
      <c r="R338"/>
    </row>
    <row r="339" spans="13:18" ht="12" x14ac:dyDescent="0.2">
      <c r="M339"/>
      <c r="N339"/>
      <c r="O339"/>
      <c r="P339"/>
      <c r="Q339"/>
      <c r="R339"/>
    </row>
    <row r="340" spans="13:18" ht="12" x14ac:dyDescent="0.2">
      <c r="M340"/>
      <c r="N340"/>
      <c r="O340"/>
      <c r="P340"/>
      <c r="Q340"/>
      <c r="R340"/>
    </row>
    <row r="341" spans="13:18" ht="12" x14ac:dyDescent="0.2">
      <c r="M341"/>
      <c r="N341"/>
      <c r="O341"/>
      <c r="P341"/>
      <c r="Q341"/>
      <c r="R341"/>
    </row>
    <row r="342" spans="13:18" ht="12" x14ac:dyDescent="0.2">
      <c r="M342"/>
      <c r="N342"/>
      <c r="O342"/>
      <c r="P342"/>
      <c r="Q342"/>
      <c r="R342"/>
    </row>
    <row r="343" spans="13:18" ht="12" x14ac:dyDescent="0.2">
      <c r="M343"/>
      <c r="N343"/>
      <c r="O343"/>
      <c r="P343"/>
      <c r="Q343"/>
      <c r="R343"/>
    </row>
    <row r="344" spans="13:18" ht="12" x14ac:dyDescent="0.2">
      <c r="M344"/>
      <c r="N344"/>
      <c r="O344"/>
      <c r="P344"/>
      <c r="Q344"/>
      <c r="R344"/>
    </row>
    <row r="345" spans="13:18" ht="12" x14ac:dyDescent="0.2">
      <c r="M345"/>
      <c r="N345"/>
      <c r="O345"/>
      <c r="P345"/>
      <c r="Q345"/>
      <c r="R345"/>
    </row>
    <row r="346" spans="13:18" ht="12" x14ac:dyDescent="0.2">
      <c r="M346"/>
      <c r="N346"/>
      <c r="O346"/>
      <c r="P346"/>
      <c r="Q346"/>
      <c r="R346"/>
    </row>
    <row r="347" spans="13:18" ht="12" x14ac:dyDescent="0.2">
      <c r="M347"/>
      <c r="N347"/>
      <c r="O347"/>
      <c r="P347"/>
      <c r="Q347"/>
      <c r="R347"/>
    </row>
    <row r="348" spans="13:18" ht="12" x14ac:dyDescent="0.2">
      <c r="M348"/>
      <c r="N348"/>
      <c r="O348"/>
      <c r="P348"/>
      <c r="Q348"/>
      <c r="R348"/>
    </row>
    <row r="349" spans="13:18" ht="12" x14ac:dyDescent="0.2">
      <c r="M349"/>
      <c r="N349"/>
      <c r="O349"/>
      <c r="P349"/>
      <c r="Q349"/>
      <c r="R349"/>
    </row>
    <row r="350" spans="13:18" ht="12" x14ac:dyDescent="0.2">
      <c r="M350"/>
      <c r="N350"/>
      <c r="O350"/>
      <c r="P350"/>
      <c r="Q350"/>
      <c r="R350"/>
    </row>
    <row r="351" spans="13:18" ht="12" x14ac:dyDescent="0.2">
      <c r="M351"/>
      <c r="N351"/>
      <c r="O351"/>
      <c r="P351"/>
      <c r="Q351"/>
      <c r="R351"/>
    </row>
    <row r="352" spans="13:18" ht="12" x14ac:dyDescent="0.2">
      <c r="M352"/>
      <c r="N352"/>
      <c r="O352"/>
      <c r="P352"/>
      <c r="Q352"/>
      <c r="R352"/>
    </row>
    <row r="353" spans="13:18" ht="12" x14ac:dyDescent="0.2">
      <c r="M353"/>
      <c r="N353"/>
      <c r="O353"/>
      <c r="P353"/>
      <c r="Q353"/>
      <c r="R353"/>
    </row>
    <row r="354" spans="13:18" ht="12" x14ac:dyDescent="0.2">
      <c r="M354"/>
      <c r="N354"/>
      <c r="O354"/>
      <c r="P354"/>
      <c r="Q354"/>
      <c r="R354"/>
    </row>
    <row r="355" spans="13:18" ht="12" x14ac:dyDescent="0.2">
      <c r="M355"/>
      <c r="N355"/>
      <c r="O355"/>
      <c r="P355"/>
      <c r="Q355"/>
      <c r="R355"/>
    </row>
    <row r="356" spans="13:18" ht="12" x14ac:dyDescent="0.2">
      <c r="M356"/>
      <c r="N356"/>
      <c r="O356"/>
      <c r="P356"/>
      <c r="Q356"/>
      <c r="R356"/>
    </row>
    <row r="357" spans="13:18" ht="12" x14ac:dyDescent="0.2">
      <c r="M357"/>
      <c r="N357"/>
      <c r="O357"/>
      <c r="P357"/>
      <c r="Q357"/>
      <c r="R357"/>
    </row>
    <row r="358" spans="13:18" ht="12" x14ac:dyDescent="0.2">
      <c r="M358"/>
      <c r="N358"/>
      <c r="O358"/>
      <c r="P358"/>
      <c r="Q358"/>
      <c r="R358"/>
    </row>
    <row r="359" spans="13:18" ht="12" x14ac:dyDescent="0.2">
      <c r="M359"/>
      <c r="N359"/>
      <c r="O359"/>
      <c r="P359"/>
      <c r="Q359"/>
      <c r="R359"/>
    </row>
    <row r="360" spans="13:18" ht="12" x14ac:dyDescent="0.2">
      <c r="M360"/>
      <c r="N360"/>
      <c r="O360"/>
      <c r="P360"/>
      <c r="Q360"/>
      <c r="R360"/>
    </row>
    <row r="361" spans="13:18" ht="12" x14ac:dyDescent="0.2">
      <c r="M361"/>
      <c r="N361"/>
      <c r="O361"/>
      <c r="P361"/>
      <c r="Q361"/>
      <c r="R361"/>
    </row>
    <row r="362" spans="13:18" ht="12" x14ac:dyDescent="0.2">
      <c r="M362"/>
      <c r="N362"/>
      <c r="O362"/>
      <c r="P362"/>
      <c r="Q362"/>
      <c r="R362"/>
    </row>
    <row r="363" spans="13:18" ht="12" x14ac:dyDescent="0.2">
      <c r="M363"/>
      <c r="N363"/>
      <c r="O363"/>
      <c r="P363"/>
      <c r="Q363"/>
      <c r="R363"/>
    </row>
    <row r="364" spans="13:18" ht="12" x14ac:dyDescent="0.2">
      <c r="M364"/>
      <c r="N364"/>
      <c r="O364"/>
      <c r="P364"/>
      <c r="Q364"/>
      <c r="R364"/>
    </row>
    <row r="365" spans="13:18" ht="12" x14ac:dyDescent="0.2">
      <c r="M365"/>
      <c r="N365"/>
      <c r="O365"/>
      <c r="P365"/>
      <c r="Q365"/>
      <c r="R365"/>
    </row>
    <row r="366" spans="13:18" ht="12" x14ac:dyDescent="0.2">
      <c r="M366"/>
      <c r="N366"/>
      <c r="O366"/>
      <c r="P366"/>
      <c r="Q366"/>
      <c r="R366"/>
    </row>
    <row r="367" spans="13:18" ht="12" x14ac:dyDescent="0.2">
      <c r="M367"/>
      <c r="N367"/>
      <c r="O367"/>
      <c r="P367"/>
      <c r="Q367"/>
      <c r="R367"/>
    </row>
    <row r="368" spans="13:18" ht="12" x14ac:dyDescent="0.2">
      <c r="M368"/>
      <c r="N368"/>
      <c r="O368"/>
      <c r="P368"/>
      <c r="Q368"/>
      <c r="R368"/>
    </row>
    <row r="369" spans="13:18" ht="12" x14ac:dyDescent="0.2">
      <c r="M369"/>
      <c r="N369"/>
      <c r="O369"/>
      <c r="P369"/>
      <c r="Q369"/>
      <c r="R369"/>
    </row>
    <row r="370" spans="13:18" ht="12" x14ac:dyDescent="0.2">
      <c r="M370"/>
      <c r="N370"/>
      <c r="O370"/>
      <c r="P370"/>
      <c r="Q370"/>
      <c r="R370"/>
    </row>
    <row r="371" spans="13:18" ht="12" x14ac:dyDescent="0.2">
      <c r="M371"/>
      <c r="N371"/>
      <c r="O371"/>
      <c r="P371"/>
      <c r="Q371"/>
      <c r="R371"/>
    </row>
    <row r="372" spans="13:18" ht="12" x14ac:dyDescent="0.2">
      <c r="M372"/>
      <c r="N372"/>
      <c r="O372"/>
      <c r="P372"/>
      <c r="Q372"/>
      <c r="R372"/>
    </row>
    <row r="373" spans="13:18" ht="12" x14ac:dyDescent="0.2">
      <c r="M373"/>
      <c r="N373"/>
      <c r="O373"/>
      <c r="P373"/>
      <c r="Q373"/>
      <c r="R373"/>
    </row>
    <row r="374" spans="13:18" ht="12" x14ac:dyDescent="0.2">
      <c r="M374"/>
      <c r="N374"/>
      <c r="O374"/>
      <c r="P374"/>
      <c r="Q374"/>
      <c r="R374"/>
    </row>
    <row r="375" spans="13:18" ht="12" x14ac:dyDescent="0.2">
      <c r="M375"/>
      <c r="N375"/>
      <c r="O375"/>
      <c r="P375"/>
      <c r="Q375"/>
      <c r="R375"/>
    </row>
    <row r="376" spans="13:18" ht="12" x14ac:dyDescent="0.2">
      <c r="M376"/>
      <c r="N376"/>
      <c r="O376"/>
      <c r="P376"/>
      <c r="Q376"/>
      <c r="R376"/>
    </row>
    <row r="377" spans="13:18" ht="12" x14ac:dyDescent="0.2">
      <c r="M377"/>
      <c r="N377"/>
      <c r="O377"/>
      <c r="P377"/>
      <c r="Q377"/>
      <c r="R377"/>
    </row>
    <row r="378" spans="13:18" ht="12" x14ac:dyDescent="0.2">
      <c r="M378"/>
      <c r="N378"/>
      <c r="O378"/>
      <c r="P378"/>
      <c r="Q378"/>
      <c r="R378"/>
    </row>
    <row r="379" spans="13:18" ht="12" x14ac:dyDescent="0.2">
      <c r="M379"/>
      <c r="N379"/>
      <c r="O379"/>
      <c r="P379"/>
      <c r="Q379"/>
      <c r="R379"/>
    </row>
    <row r="380" spans="13:18" ht="12" x14ac:dyDescent="0.2">
      <c r="M380"/>
      <c r="N380"/>
      <c r="O380"/>
      <c r="P380"/>
      <c r="Q380"/>
      <c r="R380"/>
    </row>
    <row r="381" spans="13:18" ht="12" x14ac:dyDescent="0.2">
      <c r="M381"/>
      <c r="N381"/>
      <c r="O381"/>
      <c r="P381"/>
      <c r="Q381"/>
      <c r="R381"/>
    </row>
    <row r="382" spans="13:18" ht="12" x14ac:dyDescent="0.2">
      <c r="M382"/>
      <c r="N382"/>
      <c r="O382"/>
      <c r="P382"/>
      <c r="Q382"/>
      <c r="R382"/>
    </row>
    <row r="383" spans="13:18" ht="12" x14ac:dyDescent="0.2">
      <c r="M383"/>
      <c r="N383"/>
      <c r="O383"/>
      <c r="P383"/>
      <c r="Q383"/>
      <c r="R383"/>
    </row>
    <row r="384" spans="13:18" ht="12" x14ac:dyDescent="0.2">
      <c r="M384"/>
      <c r="N384"/>
      <c r="O384"/>
      <c r="P384"/>
      <c r="Q384"/>
      <c r="R384"/>
    </row>
    <row r="385" spans="13:18" ht="12" x14ac:dyDescent="0.2">
      <c r="M385"/>
      <c r="N385"/>
      <c r="O385"/>
      <c r="P385"/>
      <c r="Q385"/>
      <c r="R385"/>
    </row>
    <row r="386" spans="13:18" ht="12" x14ac:dyDescent="0.2">
      <c r="M386"/>
      <c r="N386"/>
      <c r="O386"/>
      <c r="P386"/>
      <c r="Q386"/>
      <c r="R386"/>
    </row>
    <row r="387" spans="13:18" ht="12" x14ac:dyDescent="0.2">
      <c r="M387"/>
      <c r="N387"/>
      <c r="O387"/>
      <c r="P387"/>
      <c r="Q387"/>
      <c r="R387"/>
    </row>
    <row r="388" spans="13:18" ht="12" x14ac:dyDescent="0.2">
      <c r="M388"/>
      <c r="N388"/>
      <c r="O388"/>
      <c r="P388"/>
      <c r="Q388"/>
      <c r="R388"/>
    </row>
    <row r="389" spans="13:18" ht="12" x14ac:dyDescent="0.2">
      <c r="M389"/>
      <c r="N389"/>
      <c r="O389"/>
      <c r="P389"/>
      <c r="Q389"/>
      <c r="R389"/>
    </row>
    <row r="390" spans="13:18" ht="12" x14ac:dyDescent="0.2">
      <c r="M390"/>
      <c r="N390"/>
      <c r="O390"/>
      <c r="P390"/>
      <c r="Q390"/>
      <c r="R390"/>
    </row>
    <row r="391" spans="13:18" ht="12" x14ac:dyDescent="0.2">
      <c r="M391"/>
      <c r="N391"/>
      <c r="O391"/>
      <c r="P391"/>
      <c r="Q391"/>
      <c r="R391"/>
    </row>
    <row r="392" spans="13:18" ht="12" x14ac:dyDescent="0.2">
      <c r="M392"/>
      <c r="N392"/>
      <c r="O392"/>
      <c r="P392"/>
      <c r="Q392"/>
      <c r="R392"/>
    </row>
    <row r="393" spans="13:18" ht="12" x14ac:dyDescent="0.2">
      <c r="M393"/>
      <c r="N393"/>
      <c r="O393"/>
      <c r="P393"/>
      <c r="Q393"/>
      <c r="R393"/>
    </row>
    <row r="394" spans="13:18" ht="12" x14ac:dyDescent="0.2">
      <c r="M394"/>
      <c r="N394"/>
      <c r="O394"/>
      <c r="P394"/>
      <c r="Q394"/>
      <c r="R394"/>
    </row>
    <row r="395" spans="13:18" ht="12" x14ac:dyDescent="0.2">
      <c r="M395"/>
      <c r="N395"/>
      <c r="O395"/>
      <c r="P395"/>
      <c r="Q395"/>
      <c r="R395"/>
    </row>
    <row r="396" spans="13:18" ht="12" x14ac:dyDescent="0.2">
      <c r="M396"/>
      <c r="N396"/>
      <c r="O396"/>
      <c r="P396"/>
      <c r="Q396"/>
      <c r="R396"/>
    </row>
    <row r="397" spans="13:18" ht="12" x14ac:dyDescent="0.2">
      <c r="M397"/>
      <c r="N397"/>
      <c r="O397"/>
      <c r="P397"/>
      <c r="Q397"/>
      <c r="R397"/>
    </row>
    <row r="398" spans="13:18" ht="12" x14ac:dyDescent="0.2">
      <c r="M398"/>
      <c r="N398"/>
      <c r="O398"/>
      <c r="P398"/>
      <c r="Q398"/>
      <c r="R398"/>
    </row>
    <row r="399" spans="13:18" ht="12" x14ac:dyDescent="0.2">
      <c r="M399"/>
      <c r="N399"/>
      <c r="O399"/>
      <c r="P399"/>
      <c r="Q399"/>
      <c r="R399"/>
    </row>
    <row r="400" spans="13:18" ht="12" x14ac:dyDescent="0.2">
      <c r="M400"/>
      <c r="N400"/>
      <c r="O400"/>
      <c r="P400"/>
      <c r="Q400"/>
      <c r="R400"/>
    </row>
    <row r="401" spans="13:18" ht="12" x14ac:dyDescent="0.2">
      <c r="M401"/>
      <c r="N401"/>
      <c r="O401"/>
      <c r="P401"/>
      <c r="Q401"/>
      <c r="R401"/>
    </row>
    <row r="402" spans="13:18" ht="12" x14ac:dyDescent="0.2">
      <c r="M402"/>
      <c r="N402"/>
      <c r="O402"/>
      <c r="P402"/>
      <c r="Q402"/>
      <c r="R402"/>
    </row>
    <row r="403" spans="13:18" ht="12" x14ac:dyDescent="0.2">
      <c r="M403"/>
      <c r="N403"/>
      <c r="O403"/>
      <c r="P403"/>
      <c r="Q403"/>
      <c r="R403"/>
    </row>
    <row r="404" spans="13:18" ht="12" x14ac:dyDescent="0.2">
      <c r="M404"/>
      <c r="N404"/>
      <c r="O404"/>
      <c r="P404"/>
      <c r="Q404"/>
      <c r="R404"/>
    </row>
    <row r="405" spans="13:18" ht="12" x14ac:dyDescent="0.2">
      <c r="M405"/>
      <c r="N405"/>
      <c r="O405"/>
      <c r="P405"/>
      <c r="Q405"/>
      <c r="R405"/>
    </row>
    <row r="406" spans="13:18" ht="12" x14ac:dyDescent="0.2">
      <c r="M406"/>
      <c r="N406"/>
      <c r="O406"/>
      <c r="P406"/>
      <c r="Q406"/>
      <c r="R406"/>
    </row>
    <row r="407" spans="13:18" ht="12" x14ac:dyDescent="0.2">
      <c r="M407"/>
      <c r="N407"/>
      <c r="O407"/>
      <c r="P407"/>
      <c r="Q407"/>
      <c r="R407"/>
    </row>
    <row r="408" spans="13:18" ht="12" x14ac:dyDescent="0.2">
      <c r="M408"/>
      <c r="N408"/>
      <c r="O408"/>
      <c r="P408"/>
      <c r="Q408"/>
      <c r="R408"/>
    </row>
    <row r="409" spans="13:18" ht="12" x14ac:dyDescent="0.2">
      <c r="M409"/>
      <c r="N409"/>
      <c r="O409"/>
      <c r="P409"/>
      <c r="Q409"/>
      <c r="R409"/>
    </row>
    <row r="410" spans="13:18" ht="12" x14ac:dyDescent="0.2">
      <c r="M410"/>
      <c r="N410"/>
      <c r="O410"/>
      <c r="P410"/>
      <c r="Q410"/>
      <c r="R410"/>
    </row>
    <row r="411" spans="13:18" ht="12" x14ac:dyDescent="0.2">
      <c r="M411"/>
      <c r="N411"/>
      <c r="O411"/>
      <c r="P411"/>
      <c r="Q411"/>
      <c r="R411"/>
    </row>
    <row r="412" spans="13:18" ht="12" x14ac:dyDescent="0.2">
      <c r="M412"/>
      <c r="N412"/>
      <c r="O412"/>
      <c r="P412"/>
      <c r="Q412"/>
      <c r="R412"/>
    </row>
    <row r="413" spans="13:18" ht="12" x14ac:dyDescent="0.2">
      <c r="M413"/>
      <c r="N413"/>
      <c r="O413"/>
      <c r="P413"/>
      <c r="Q413"/>
      <c r="R413"/>
    </row>
    <row r="414" spans="13:18" ht="12" x14ac:dyDescent="0.2">
      <c r="M414"/>
      <c r="N414"/>
      <c r="O414"/>
      <c r="P414"/>
      <c r="Q414"/>
      <c r="R414"/>
    </row>
    <row r="415" spans="13:18" ht="12" x14ac:dyDescent="0.2">
      <c r="M415"/>
      <c r="N415"/>
      <c r="O415"/>
      <c r="P415"/>
      <c r="Q415"/>
      <c r="R415"/>
    </row>
    <row r="416" spans="13:18" ht="12" x14ac:dyDescent="0.2">
      <c r="M416"/>
      <c r="N416"/>
      <c r="O416"/>
      <c r="P416"/>
      <c r="Q416"/>
      <c r="R416"/>
    </row>
    <row r="417" spans="13:18" ht="12" x14ac:dyDescent="0.2">
      <c r="M417"/>
      <c r="N417"/>
      <c r="O417"/>
      <c r="P417"/>
      <c r="Q417"/>
      <c r="R417"/>
    </row>
    <row r="418" spans="13:18" ht="12" x14ac:dyDescent="0.2">
      <c r="M418"/>
      <c r="N418"/>
      <c r="O418"/>
      <c r="P418"/>
      <c r="Q418"/>
      <c r="R418"/>
    </row>
    <row r="419" spans="13:18" ht="12" x14ac:dyDescent="0.2">
      <c r="M419"/>
      <c r="N419"/>
      <c r="O419"/>
      <c r="P419"/>
      <c r="Q419"/>
      <c r="R419"/>
    </row>
    <row r="420" spans="13:18" ht="12" x14ac:dyDescent="0.2">
      <c r="M420"/>
      <c r="N420"/>
      <c r="O420"/>
      <c r="P420"/>
      <c r="Q420"/>
      <c r="R420"/>
    </row>
    <row r="421" spans="13:18" ht="12" x14ac:dyDescent="0.2">
      <c r="M421"/>
      <c r="N421"/>
      <c r="O421"/>
      <c r="P421"/>
      <c r="Q421"/>
      <c r="R421"/>
    </row>
    <row r="422" spans="13:18" ht="12" x14ac:dyDescent="0.2">
      <c r="M422"/>
      <c r="N422"/>
      <c r="O422"/>
      <c r="P422"/>
      <c r="Q422"/>
      <c r="R422"/>
    </row>
    <row r="423" spans="13:18" ht="12" x14ac:dyDescent="0.2">
      <c r="M423"/>
      <c r="N423"/>
      <c r="O423"/>
      <c r="P423"/>
      <c r="Q423"/>
      <c r="R423"/>
    </row>
    <row r="424" spans="13:18" ht="12" x14ac:dyDescent="0.2">
      <c r="M424"/>
      <c r="N424"/>
      <c r="O424"/>
      <c r="P424"/>
      <c r="Q424"/>
      <c r="R424"/>
    </row>
    <row r="425" spans="13:18" ht="12" x14ac:dyDescent="0.2">
      <c r="M425"/>
      <c r="N425"/>
      <c r="O425"/>
      <c r="P425"/>
      <c r="Q425"/>
      <c r="R425"/>
    </row>
    <row r="426" spans="13:18" ht="12" x14ac:dyDescent="0.2">
      <c r="M426"/>
      <c r="N426"/>
      <c r="O426"/>
      <c r="P426"/>
      <c r="Q426"/>
      <c r="R426"/>
    </row>
    <row r="427" spans="13:18" ht="12" x14ac:dyDescent="0.2">
      <c r="M427"/>
      <c r="N427"/>
      <c r="O427"/>
      <c r="P427"/>
      <c r="Q427"/>
      <c r="R427"/>
    </row>
    <row r="428" spans="13:18" ht="12" x14ac:dyDescent="0.2">
      <c r="M428"/>
      <c r="N428"/>
      <c r="O428"/>
      <c r="P428"/>
      <c r="Q428"/>
      <c r="R428"/>
    </row>
    <row r="429" spans="13:18" ht="12" x14ac:dyDescent="0.2">
      <c r="M429"/>
      <c r="N429"/>
      <c r="O429"/>
      <c r="P429"/>
      <c r="Q429"/>
      <c r="R429"/>
    </row>
    <row r="430" spans="13:18" ht="12" x14ac:dyDescent="0.2">
      <c r="M430"/>
      <c r="N430"/>
      <c r="O430"/>
      <c r="P430"/>
      <c r="Q430"/>
      <c r="R430"/>
    </row>
    <row r="431" spans="13:18" ht="12" x14ac:dyDescent="0.2">
      <c r="M431"/>
      <c r="N431"/>
      <c r="O431"/>
      <c r="P431"/>
      <c r="Q431"/>
      <c r="R431"/>
    </row>
    <row r="432" spans="13:18" ht="12" x14ac:dyDescent="0.2">
      <c r="M432"/>
      <c r="N432"/>
      <c r="O432"/>
      <c r="P432"/>
      <c r="Q432"/>
      <c r="R432"/>
    </row>
    <row r="433" spans="13:18" ht="12" x14ac:dyDescent="0.2">
      <c r="M433"/>
      <c r="N433"/>
      <c r="O433"/>
      <c r="P433"/>
      <c r="Q433"/>
      <c r="R433"/>
    </row>
    <row r="434" spans="13:18" ht="12" x14ac:dyDescent="0.2">
      <c r="M434"/>
      <c r="N434"/>
      <c r="O434"/>
      <c r="P434"/>
      <c r="Q434"/>
      <c r="R434"/>
    </row>
    <row r="435" spans="13:18" ht="12" x14ac:dyDescent="0.2">
      <c r="M435"/>
      <c r="N435"/>
      <c r="O435"/>
      <c r="P435"/>
      <c r="Q435"/>
      <c r="R435"/>
    </row>
    <row r="436" spans="13:18" ht="12" x14ac:dyDescent="0.2">
      <c r="M436"/>
      <c r="N436"/>
      <c r="O436"/>
      <c r="P436"/>
      <c r="Q436"/>
      <c r="R436"/>
    </row>
    <row r="437" spans="13:18" ht="12" x14ac:dyDescent="0.2">
      <c r="M437"/>
      <c r="N437"/>
      <c r="O437"/>
      <c r="P437"/>
      <c r="Q437"/>
      <c r="R437"/>
    </row>
    <row r="438" spans="13:18" ht="12" x14ac:dyDescent="0.2">
      <c r="M438"/>
      <c r="N438"/>
      <c r="O438"/>
      <c r="P438"/>
      <c r="Q438"/>
      <c r="R438"/>
    </row>
    <row r="439" spans="13:18" ht="12" x14ac:dyDescent="0.2">
      <c r="M439"/>
      <c r="N439"/>
      <c r="O439"/>
      <c r="P439"/>
      <c r="Q439"/>
      <c r="R439"/>
    </row>
    <row r="440" spans="13:18" ht="12" x14ac:dyDescent="0.2">
      <c r="M440"/>
      <c r="N440"/>
      <c r="O440"/>
      <c r="P440"/>
      <c r="Q440"/>
      <c r="R440"/>
    </row>
    <row r="441" spans="13:18" ht="12" x14ac:dyDescent="0.2">
      <c r="M441"/>
      <c r="N441"/>
      <c r="O441"/>
      <c r="P441"/>
      <c r="Q441"/>
      <c r="R441"/>
    </row>
    <row r="442" spans="13:18" ht="12" x14ac:dyDescent="0.2">
      <c r="M442"/>
      <c r="N442"/>
      <c r="O442"/>
      <c r="P442"/>
      <c r="Q442"/>
      <c r="R442"/>
    </row>
    <row r="443" spans="13:18" ht="12" x14ac:dyDescent="0.2">
      <c r="M443"/>
      <c r="N443"/>
      <c r="O443"/>
      <c r="P443"/>
      <c r="Q443"/>
      <c r="R443"/>
    </row>
    <row r="444" spans="13:18" ht="12" x14ac:dyDescent="0.2">
      <c r="M444"/>
      <c r="N444"/>
      <c r="O444"/>
      <c r="P444"/>
      <c r="Q444"/>
      <c r="R444"/>
    </row>
    <row r="445" spans="13:18" ht="12" x14ac:dyDescent="0.2">
      <c r="M445"/>
      <c r="N445"/>
      <c r="O445"/>
      <c r="P445"/>
      <c r="Q445"/>
      <c r="R445"/>
    </row>
    <row r="446" spans="13:18" ht="12" x14ac:dyDescent="0.2">
      <c r="M446"/>
      <c r="N446"/>
      <c r="O446"/>
      <c r="P446"/>
      <c r="Q446"/>
      <c r="R446"/>
    </row>
    <row r="447" spans="13:18" ht="12" x14ac:dyDescent="0.2">
      <c r="M447"/>
      <c r="N447"/>
      <c r="O447"/>
      <c r="P447"/>
      <c r="Q447"/>
      <c r="R447"/>
    </row>
    <row r="448" spans="13:18" ht="12" x14ac:dyDescent="0.2">
      <c r="M448"/>
      <c r="N448"/>
      <c r="O448"/>
      <c r="P448"/>
      <c r="Q448"/>
      <c r="R448"/>
    </row>
    <row r="449" spans="13:18" ht="12" x14ac:dyDescent="0.2">
      <c r="M449"/>
      <c r="N449"/>
      <c r="O449"/>
      <c r="P449"/>
      <c r="Q449"/>
      <c r="R449"/>
    </row>
    <row r="450" spans="13:18" ht="12" x14ac:dyDescent="0.2">
      <c r="M450"/>
      <c r="N450"/>
      <c r="O450"/>
      <c r="P450"/>
      <c r="Q450"/>
      <c r="R450"/>
    </row>
    <row r="451" spans="13:18" ht="12" x14ac:dyDescent="0.2">
      <c r="M451"/>
      <c r="N451"/>
      <c r="O451"/>
      <c r="P451"/>
      <c r="Q451"/>
      <c r="R451"/>
    </row>
    <row r="452" spans="13:18" ht="12" x14ac:dyDescent="0.2">
      <c r="M452"/>
      <c r="N452"/>
      <c r="O452"/>
      <c r="P452"/>
      <c r="Q452"/>
      <c r="R452"/>
    </row>
    <row r="453" spans="13:18" ht="12" x14ac:dyDescent="0.2">
      <c r="M453"/>
      <c r="N453"/>
      <c r="O453"/>
      <c r="P453"/>
      <c r="Q453"/>
      <c r="R453"/>
    </row>
    <row r="454" spans="13:18" ht="12" x14ac:dyDescent="0.2">
      <c r="M454"/>
      <c r="N454"/>
      <c r="O454"/>
      <c r="P454"/>
      <c r="Q454"/>
      <c r="R454"/>
    </row>
    <row r="455" spans="13:18" ht="12" x14ac:dyDescent="0.2">
      <c r="M455"/>
      <c r="N455"/>
      <c r="O455"/>
      <c r="P455"/>
      <c r="Q455"/>
      <c r="R455"/>
    </row>
    <row r="456" spans="13:18" ht="12" x14ac:dyDescent="0.2">
      <c r="M456"/>
      <c r="N456"/>
      <c r="O456"/>
      <c r="P456"/>
      <c r="Q456"/>
      <c r="R456"/>
    </row>
    <row r="457" spans="13:18" ht="12" x14ac:dyDescent="0.2">
      <c r="M457"/>
      <c r="N457"/>
      <c r="O457"/>
      <c r="P457"/>
      <c r="Q457"/>
      <c r="R457"/>
    </row>
    <row r="458" spans="13:18" ht="12" x14ac:dyDescent="0.2">
      <c r="M458"/>
      <c r="N458"/>
      <c r="O458"/>
      <c r="P458"/>
      <c r="Q458"/>
      <c r="R458"/>
    </row>
    <row r="459" spans="13:18" ht="12" x14ac:dyDescent="0.2">
      <c r="M459"/>
      <c r="N459"/>
      <c r="O459"/>
      <c r="P459"/>
      <c r="Q459"/>
      <c r="R459"/>
    </row>
    <row r="460" spans="13:18" ht="12" x14ac:dyDescent="0.2">
      <c r="M460"/>
      <c r="N460"/>
      <c r="O460"/>
      <c r="P460"/>
      <c r="Q460"/>
      <c r="R460"/>
    </row>
    <row r="461" spans="13:18" ht="12" x14ac:dyDescent="0.2">
      <c r="M461"/>
      <c r="N461"/>
      <c r="O461"/>
      <c r="P461"/>
      <c r="Q461"/>
      <c r="R461"/>
    </row>
    <row r="462" spans="13:18" ht="12" x14ac:dyDescent="0.2">
      <c r="M462"/>
      <c r="N462"/>
      <c r="O462"/>
      <c r="P462"/>
      <c r="Q462"/>
      <c r="R462"/>
    </row>
    <row r="463" spans="13:18" ht="12" x14ac:dyDescent="0.2">
      <c r="M463"/>
      <c r="N463"/>
      <c r="O463"/>
      <c r="P463"/>
      <c r="Q463"/>
      <c r="R463"/>
    </row>
    <row r="464" spans="13:18" ht="12" x14ac:dyDescent="0.2">
      <c r="M464"/>
      <c r="N464"/>
      <c r="O464"/>
      <c r="P464"/>
      <c r="Q464"/>
      <c r="R464"/>
    </row>
    <row r="465" spans="13:18" ht="12" x14ac:dyDescent="0.2">
      <c r="M465"/>
      <c r="N465"/>
      <c r="O465"/>
      <c r="P465"/>
      <c r="Q465"/>
      <c r="R465"/>
    </row>
    <row r="466" spans="13:18" ht="12" x14ac:dyDescent="0.2">
      <c r="M466"/>
      <c r="N466"/>
      <c r="O466"/>
      <c r="P466"/>
      <c r="Q466"/>
      <c r="R466"/>
    </row>
    <row r="467" spans="13:18" ht="12" x14ac:dyDescent="0.2">
      <c r="M467"/>
      <c r="N467"/>
      <c r="O467"/>
      <c r="P467"/>
      <c r="Q467"/>
      <c r="R467"/>
    </row>
    <row r="468" spans="13:18" ht="12" x14ac:dyDescent="0.2">
      <c r="M468"/>
      <c r="N468"/>
      <c r="O468"/>
      <c r="P468"/>
      <c r="Q468"/>
      <c r="R468"/>
    </row>
    <row r="469" spans="13:18" ht="12" x14ac:dyDescent="0.2">
      <c r="M469"/>
      <c r="N469"/>
      <c r="O469"/>
      <c r="P469"/>
      <c r="Q469"/>
      <c r="R469"/>
    </row>
    <row r="470" spans="13:18" ht="12" x14ac:dyDescent="0.2">
      <c r="M470"/>
      <c r="N470"/>
      <c r="O470"/>
      <c r="P470"/>
      <c r="Q470"/>
      <c r="R470"/>
    </row>
    <row r="471" spans="13:18" ht="12" x14ac:dyDescent="0.2">
      <c r="M471"/>
      <c r="N471"/>
      <c r="O471"/>
      <c r="P471"/>
      <c r="Q471"/>
      <c r="R471"/>
    </row>
    <row r="472" spans="13:18" ht="12" x14ac:dyDescent="0.2">
      <c r="M472"/>
      <c r="N472"/>
      <c r="O472"/>
      <c r="P472"/>
      <c r="Q472"/>
      <c r="R472"/>
    </row>
    <row r="473" spans="13:18" ht="12" x14ac:dyDescent="0.2">
      <c r="M473"/>
      <c r="N473"/>
      <c r="O473"/>
      <c r="P473"/>
      <c r="Q473"/>
      <c r="R473"/>
    </row>
    <row r="474" spans="13:18" ht="12" x14ac:dyDescent="0.2">
      <c r="M474"/>
      <c r="N474"/>
      <c r="O474"/>
      <c r="P474"/>
      <c r="Q474"/>
      <c r="R474"/>
    </row>
    <row r="475" spans="13:18" ht="12" x14ac:dyDescent="0.2">
      <c r="M475"/>
      <c r="N475"/>
      <c r="O475"/>
      <c r="P475"/>
      <c r="Q475"/>
      <c r="R475"/>
    </row>
    <row r="476" spans="13:18" ht="12" x14ac:dyDescent="0.2">
      <c r="M476"/>
      <c r="N476"/>
      <c r="O476"/>
      <c r="P476"/>
      <c r="Q476"/>
      <c r="R476"/>
    </row>
    <row r="477" spans="13:18" ht="12" x14ac:dyDescent="0.2">
      <c r="M477"/>
      <c r="N477"/>
      <c r="O477"/>
      <c r="P477"/>
      <c r="Q477"/>
      <c r="R477"/>
    </row>
    <row r="478" spans="13:18" ht="12" x14ac:dyDescent="0.2">
      <c r="M478"/>
      <c r="N478"/>
      <c r="O478"/>
      <c r="P478"/>
      <c r="Q478"/>
      <c r="R478"/>
    </row>
    <row r="479" spans="13:18" ht="12" x14ac:dyDescent="0.2">
      <c r="M479"/>
      <c r="N479"/>
      <c r="O479"/>
      <c r="P479"/>
      <c r="Q479"/>
      <c r="R479"/>
    </row>
    <row r="480" spans="13:18" ht="12" x14ac:dyDescent="0.2">
      <c r="M480"/>
      <c r="N480"/>
      <c r="O480"/>
      <c r="P480"/>
      <c r="Q480"/>
      <c r="R480"/>
    </row>
    <row r="481" spans="13:18" ht="12" x14ac:dyDescent="0.2">
      <c r="M481"/>
      <c r="N481"/>
      <c r="O481"/>
      <c r="P481"/>
      <c r="Q481"/>
      <c r="R481"/>
    </row>
    <row r="482" spans="13:18" ht="12" x14ac:dyDescent="0.2">
      <c r="M482"/>
      <c r="N482"/>
      <c r="O482"/>
      <c r="P482"/>
      <c r="Q482"/>
      <c r="R482"/>
    </row>
    <row r="483" spans="13:18" ht="12" x14ac:dyDescent="0.2">
      <c r="M483"/>
      <c r="N483"/>
      <c r="O483"/>
      <c r="P483"/>
      <c r="Q483"/>
      <c r="R483"/>
    </row>
    <row r="484" spans="13:18" ht="12" x14ac:dyDescent="0.2">
      <c r="M484"/>
      <c r="N484"/>
      <c r="O484"/>
      <c r="P484"/>
      <c r="Q484"/>
      <c r="R484"/>
    </row>
    <row r="485" spans="13:18" ht="12" x14ac:dyDescent="0.2">
      <c r="M485"/>
      <c r="N485"/>
      <c r="O485"/>
      <c r="P485"/>
      <c r="Q485"/>
      <c r="R485"/>
    </row>
    <row r="486" spans="13:18" ht="12" x14ac:dyDescent="0.2">
      <c r="M486"/>
      <c r="N486"/>
      <c r="O486"/>
      <c r="P486"/>
      <c r="Q486"/>
      <c r="R486"/>
    </row>
    <row r="487" spans="13:18" ht="12" x14ac:dyDescent="0.2">
      <c r="M487"/>
      <c r="N487"/>
      <c r="O487"/>
      <c r="P487"/>
      <c r="Q487"/>
      <c r="R487"/>
    </row>
    <row r="488" spans="13:18" ht="12" x14ac:dyDescent="0.2">
      <c r="M488"/>
      <c r="N488"/>
      <c r="O488"/>
      <c r="P488"/>
      <c r="Q488"/>
      <c r="R488"/>
    </row>
    <row r="489" spans="13:18" ht="12" x14ac:dyDescent="0.2">
      <c r="M489"/>
      <c r="N489"/>
      <c r="O489"/>
      <c r="P489"/>
      <c r="Q489"/>
      <c r="R489"/>
    </row>
    <row r="490" spans="13:18" ht="12" x14ac:dyDescent="0.2">
      <c r="M490"/>
      <c r="N490"/>
      <c r="O490"/>
      <c r="P490"/>
      <c r="Q490"/>
      <c r="R490"/>
    </row>
    <row r="491" spans="13:18" ht="12" x14ac:dyDescent="0.2">
      <c r="M491"/>
      <c r="N491"/>
      <c r="O491"/>
      <c r="P491"/>
      <c r="Q491"/>
      <c r="R491"/>
    </row>
    <row r="492" spans="13:18" ht="12" x14ac:dyDescent="0.2">
      <c r="M492"/>
      <c r="N492"/>
      <c r="O492"/>
      <c r="P492"/>
      <c r="Q492"/>
      <c r="R492"/>
    </row>
    <row r="493" spans="13:18" ht="12" x14ac:dyDescent="0.2">
      <c r="M493"/>
      <c r="N493"/>
      <c r="O493"/>
      <c r="P493"/>
      <c r="Q493"/>
      <c r="R493"/>
    </row>
    <row r="494" spans="13:18" ht="12" x14ac:dyDescent="0.2">
      <c r="M494"/>
      <c r="N494"/>
      <c r="O494"/>
      <c r="P494"/>
      <c r="Q494"/>
      <c r="R494"/>
    </row>
    <row r="495" spans="13:18" ht="12" x14ac:dyDescent="0.2">
      <c r="M495"/>
      <c r="N495"/>
      <c r="O495"/>
      <c r="P495"/>
      <c r="Q495"/>
      <c r="R495"/>
    </row>
    <row r="496" spans="13:18" ht="12" x14ac:dyDescent="0.2">
      <c r="M496"/>
      <c r="N496"/>
      <c r="O496"/>
      <c r="P496"/>
      <c r="Q496"/>
      <c r="R496"/>
    </row>
    <row r="497" spans="13:18" ht="12" x14ac:dyDescent="0.2">
      <c r="M497"/>
      <c r="N497"/>
      <c r="O497"/>
      <c r="P497"/>
      <c r="Q497"/>
      <c r="R497"/>
    </row>
    <row r="498" spans="13:18" ht="12" x14ac:dyDescent="0.2">
      <c r="M498"/>
      <c r="N498"/>
      <c r="O498"/>
      <c r="P498"/>
      <c r="Q498"/>
      <c r="R498"/>
    </row>
    <row r="499" spans="13:18" ht="12" x14ac:dyDescent="0.2">
      <c r="M499"/>
      <c r="N499"/>
      <c r="O499"/>
      <c r="P499"/>
      <c r="Q499"/>
      <c r="R499"/>
    </row>
    <row r="500" spans="13:18" ht="12" x14ac:dyDescent="0.2">
      <c r="M500"/>
      <c r="N500"/>
      <c r="O500"/>
      <c r="P500"/>
      <c r="Q500"/>
      <c r="R500"/>
    </row>
    <row r="501" spans="13:18" ht="12" x14ac:dyDescent="0.2">
      <c r="M501"/>
      <c r="N501"/>
      <c r="O501"/>
      <c r="P501"/>
      <c r="Q501"/>
      <c r="R501"/>
    </row>
    <row r="502" spans="13:18" ht="12" x14ac:dyDescent="0.2">
      <c r="M502"/>
      <c r="N502"/>
      <c r="O502"/>
      <c r="P502"/>
      <c r="Q502"/>
      <c r="R502"/>
    </row>
    <row r="503" spans="13:18" ht="12" x14ac:dyDescent="0.2">
      <c r="M503"/>
      <c r="N503"/>
      <c r="O503"/>
      <c r="P503"/>
      <c r="Q503"/>
      <c r="R503"/>
    </row>
    <row r="504" spans="13:18" ht="12" x14ac:dyDescent="0.2">
      <c r="M504"/>
      <c r="N504"/>
      <c r="O504"/>
      <c r="P504"/>
      <c r="Q504"/>
      <c r="R504"/>
    </row>
    <row r="505" spans="13:18" ht="12" x14ac:dyDescent="0.2">
      <c r="M505"/>
      <c r="N505"/>
      <c r="O505"/>
      <c r="P505"/>
      <c r="Q505"/>
      <c r="R505"/>
    </row>
    <row r="506" spans="13:18" ht="12" x14ac:dyDescent="0.2">
      <c r="M506"/>
      <c r="N506"/>
      <c r="O506"/>
      <c r="P506"/>
      <c r="Q506"/>
      <c r="R506"/>
    </row>
    <row r="507" spans="13:18" ht="12" x14ac:dyDescent="0.2">
      <c r="M507"/>
      <c r="N507"/>
      <c r="O507"/>
      <c r="P507"/>
      <c r="Q507"/>
      <c r="R507"/>
    </row>
    <row r="508" spans="13:18" ht="12" x14ac:dyDescent="0.2">
      <c r="M508"/>
      <c r="N508"/>
      <c r="O508"/>
      <c r="P508"/>
      <c r="Q508"/>
      <c r="R508"/>
    </row>
    <row r="509" spans="13:18" ht="12" x14ac:dyDescent="0.2">
      <c r="M509"/>
      <c r="N509"/>
      <c r="O509"/>
      <c r="P509"/>
      <c r="Q509"/>
      <c r="R509"/>
    </row>
    <row r="510" spans="13:18" ht="12" x14ac:dyDescent="0.2">
      <c r="M510"/>
      <c r="N510"/>
      <c r="O510"/>
      <c r="P510"/>
      <c r="Q510"/>
      <c r="R510"/>
    </row>
    <row r="511" spans="13:18" ht="12" x14ac:dyDescent="0.2">
      <c r="M511"/>
      <c r="N511"/>
      <c r="O511"/>
      <c r="P511"/>
      <c r="Q511"/>
      <c r="R511"/>
    </row>
    <row r="512" spans="13:18" ht="12" x14ac:dyDescent="0.2">
      <c r="M512"/>
      <c r="N512"/>
      <c r="O512"/>
      <c r="P512"/>
      <c r="Q512"/>
      <c r="R512"/>
    </row>
    <row r="513" spans="13:18" ht="12" x14ac:dyDescent="0.2">
      <c r="M513"/>
      <c r="N513"/>
      <c r="O513"/>
      <c r="P513"/>
      <c r="Q513"/>
      <c r="R513"/>
    </row>
    <row r="514" spans="13:18" ht="12" x14ac:dyDescent="0.2">
      <c r="M514"/>
      <c r="N514"/>
      <c r="O514"/>
      <c r="P514"/>
      <c r="Q514"/>
      <c r="R514"/>
    </row>
    <row r="515" spans="13:18" ht="12" x14ac:dyDescent="0.2">
      <c r="M515"/>
      <c r="N515"/>
      <c r="O515"/>
      <c r="P515"/>
      <c r="Q515"/>
      <c r="R515"/>
    </row>
    <row r="516" spans="13:18" ht="12" x14ac:dyDescent="0.2">
      <c r="M516"/>
      <c r="N516"/>
      <c r="O516"/>
      <c r="P516"/>
      <c r="Q516"/>
      <c r="R516"/>
    </row>
    <row r="517" spans="13:18" ht="12" x14ac:dyDescent="0.2">
      <c r="M517"/>
      <c r="N517"/>
      <c r="O517"/>
      <c r="P517"/>
      <c r="Q517"/>
      <c r="R517"/>
    </row>
    <row r="518" spans="13:18" ht="12" x14ac:dyDescent="0.2">
      <c r="M518"/>
      <c r="N518"/>
      <c r="O518"/>
      <c r="P518"/>
      <c r="Q518"/>
      <c r="R518"/>
    </row>
    <row r="519" spans="13:18" ht="12" x14ac:dyDescent="0.2">
      <c r="M519"/>
      <c r="N519"/>
      <c r="O519"/>
      <c r="P519"/>
      <c r="Q519"/>
      <c r="R519"/>
    </row>
    <row r="520" spans="13:18" ht="12" x14ac:dyDescent="0.2">
      <c r="M520"/>
      <c r="N520"/>
      <c r="O520"/>
      <c r="P520"/>
      <c r="Q520"/>
      <c r="R520"/>
    </row>
    <row r="521" spans="13:18" ht="12" x14ac:dyDescent="0.2">
      <c r="M521"/>
      <c r="N521"/>
      <c r="O521"/>
      <c r="P521"/>
      <c r="Q521"/>
      <c r="R521"/>
    </row>
    <row r="522" spans="13:18" ht="12" x14ac:dyDescent="0.2">
      <c r="M522"/>
      <c r="N522"/>
      <c r="O522"/>
      <c r="P522"/>
      <c r="Q522"/>
      <c r="R522"/>
    </row>
    <row r="523" spans="13:18" ht="12" x14ac:dyDescent="0.2">
      <c r="M523"/>
      <c r="N523"/>
      <c r="O523"/>
      <c r="P523"/>
      <c r="Q523"/>
      <c r="R523"/>
    </row>
    <row r="524" spans="13:18" ht="12" x14ac:dyDescent="0.2">
      <c r="M524"/>
      <c r="N524"/>
      <c r="O524"/>
      <c r="P524"/>
      <c r="Q524"/>
      <c r="R524"/>
    </row>
    <row r="525" spans="13:18" ht="12" x14ac:dyDescent="0.2">
      <c r="M525"/>
      <c r="N525"/>
      <c r="O525"/>
      <c r="P525"/>
      <c r="Q525"/>
      <c r="R525"/>
    </row>
    <row r="526" spans="13:18" ht="12" x14ac:dyDescent="0.2">
      <c r="M526"/>
      <c r="N526"/>
      <c r="O526"/>
      <c r="P526"/>
      <c r="Q526"/>
      <c r="R526"/>
    </row>
    <row r="527" spans="13:18" ht="12" x14ac:dyDescent="0.2">
      <c r="M527"/>
      <c r="N527"/>
      <c r="O527"/>
      <c r="P527"/>
      <c r="Q527"/>
      <c r="R527"/>
    </row>
    <row r="528" spans="13:18" ht="12" x14ac:dyDescent="0.2">
      <c r="M528"/>
      <c r="N528"/>
      <c r="O528"/>
      <c r="P528"/>
      <c r="Q528"/>
      <c r="R528"/>
    </row>
    <row r="529" spans="13:18" ht="12" x14ac:dyDescent="0.2">
      <c r="M529"/>
      <c r="N529"/>
      <c r="O529"/>
      <c r="P529"/>
      <c r="Q529"/>
      <c r="R529"/>
    </row>
    <row r="530" spans="13:18" ht="12" x14ac:dyDescent="0.2">
      <c r="M530"/>
      <c r="N530"/>
      <c r="O530"/>
      <c r="P530"/>
      <c r="Q530"/>
      <c r="R530"/>
    </row>
    <row r="531" spans="13:18" ht="12" x14ac:dyDescent="0.2">
      <c r="M531"/>
      <c r="N531"/>
      <c r="O531"/>
      <c r="P531"/>
      <c r="Q531"/>
      <c r="R531"/>
    </row>
    <row r="532" spans="13:18" ht="12" x14ac:dyDescent="0.2">
      <c r="M532"/>
      <c r="N532"/>
      <c r="O532"/>
      <c r="P532"/>
      <c r="Q532"/>
      <c r="R532"/>
    </row>
    <row r="533" spans="13:18" ht="12" x14ac:dyDescent="0.2">
      <c r="M533"/>
      <c r="N533"/>
      <c r="O533"/>
      <c r="P533"/>
      <c r="Q533"/>
      <c r="R533"/>
    </row>
    <row r="534" spans="13:18" ht="12" x14ac:dyDescent="0.2">
      <c r="M534"/>
      <c r="N534"/>
      <c r="O534"/>
      <c r="P534"/>
      <c r="Q534"/>
      <c r="R534"/>
    </row>
    <row r="535" spans="13:18" ht="12" x14ac:dyDescent="0.2">
      <c r="M535"/>
      <c r="N535"/>
      <c r="O535"/>
      <c r="P535"/>
      <c r="Q535"/>
      <c r="R535"/>
    </row>
    <row r="536" spans="13:18" ht="12" x14ac:dyDescent="0.2">
      <c r="M536"/>
      <c r="N536"/>
      <c r="O536"/>
      <c r="P536"/>
      <c r="Q536"/>
      <c r="R536"/>
    </row>
    <row r="537" spans="13:18" ht="12" x14ac:dyDescent="0.2">
      <c r="M537"/>
      <c r="N537"/>
      <c r="O537"/>
      <c r="P537"/>
      <c r="Q537"/>
      <c r="R537"/>
    </row>
    <row r="538" spans="13:18" ht="12" x14ac:dyDescent="0.2">
      <c r="M538"/>
      <c r="N538"/>
      <c r="O538"/>
      <c r="P538"/>
      <c r="Q538"/>
      <c r="R538"/>
    </row>
    <row r="539" spans="13:18" ht="12" x14ac:dyDescent="0.2">
      <c r="M539"/>
      <c r="N539"/>
      <c r="O539"/>
      <c r="P539"/>
      <c r="Q539"/>
      <c r="R539"/>
    </row>
    <row r="540" spans="13:18" ht="12" x14ac:dyDescent="0.2">
      <c r="M540"/>
      <c r="N540"/>
      <c r="O540"/>
      <c r="P540"/>
      <c r="Q540"/>
      <c r="R540"/>
    </row>
    <row r="541" spans="13:18" ht="12" x14ac:dyDescent="0.2">
      <c r="M541"/>
      <c r="N541"/>
      <c r="O541"/>
      <c r="P541"/>
      <c r="Q541"/>
      <c r="R541"/>
    </row>
    <row r="542" spans="13:18" ht="12" x14ac:dyDescent="0.2">
      <c r="M542"/>
      <c r="N542"/>
      <c r="O542"/>
      <c r="P542"/>
      <c r="Q542"/>
      <c r="R542"/>
    </row>
    <row r="543" spans="13:18" ht="12" x14ac:dyDescent="0.2">
      <c r="M543"/>
      <c r="N543"/>
      <c r="O543"/>
      <c r="P543"/>
      <c r="Q543"/>
      <c r="R543"/>
    </row>
    <row r="544" spans="13:18" ht="12" x14ac:dyDescent="0.2">
      <c r="M544"/>
      <c r="N544"/>
      <c r="O544"/>
      <c r="P544"/>
      <c r="Q544"/>
      <c r="R544"/>
    </row>
    <row r="545" spans="13:18" ht="12" x14ac:dyDescent="0.2">
      <c r="M545"/>
      <c r="N545"/>
      <c r="O545"/>
      <c r="P545"/>
      <c r="Q545"/>
      <c r="R545"/>
    </row>
    <row r="546" spans="13:18" ht="12" x14ac:dyDescent="0.2">
      <c r="M546"/>
      <c r="N546"/>
      <c r="O546"/>
      <c r="P546"/>
      <c r="Q546"/>
      <c r="R546"/>
    </row>
    <row r="547" spans="13:18" ht="12" x14ac:dyDescent="0.2">
      <c r="M547"/>
      <c r="N547"/>
      <c r="O547"/>
      <c r="P547"/>
      <c r="Q547"/>
      <c r="R547"/>
    </row>
    <row r="548" spans="13:18" ht="12" x14ac:dyDescent="0.2">
      <c r="M548"/>
      <c r="N548"/>
      <c r="O548"/>
      <c r="P548"/>
      <c r="Q548"/>
      <c r="R548"/>
    </row>
    <row r="549" spans="13:18" ht="12" x14ac:dyDescent="0.2">
      <c r="M549"/>
      <c r="N549"/>
      <c r="O549"/>
      <c r="P549"/>
      <c r="Q549"/>
      <c r="R549"/>
    </row>
    <row r="550" spans="13:18" ht="12" x14ac:dyDescent="0.2">
      <c r="M550"/>
      <c r="N550"/>
      <c r="O550"/>
      <c r="P550"/>
      <c r="Q550"/>
      <c r="R550"/>
    </row>
    <row r="551" spans="13:18" ht="12" x14ac:dyDescent="0.2">
      <c r="M551"/>
      <c r="N551"/>
      <c r="O551"/>
      <c r="P551"/>
      <c r="Q551"/>
      <c r="R551"/>
    </row>
    <row r="552" spans="13:18" ht="12" x14ac:dyDescent="0.2">
      <c r="M552"/>
      <c r="N552"/>
      <c r="O552"/>
      <c r="P552"/>
      <c r="Q552"/>
      <c r="R552"/>
    </row>
    <row r="553" spans="13:18" ht="12" x14ac:dyDescent="0.2">
      <c r="M553"/>
      <c r="N553"/>
      <c r="O553"/>
      <c r="P553"/>
      <c r="Q553"/>
      <c r="R553"/>
    </row>
    <row r="554" spans="13:18" ht="12" x14ac:dyDescent="0.2">
      <c r="M554"/>
      <c r="N554"/>
      <c r="O554"/>
      <c r="P554"/>
      <c r="Q554"/>
      <c r="R554"/>
    </row>
    <row r="555" spans="13:18" ht="12" x14ac:dyDescent="0.2">
      <c r="M555"/>
      <c r="N555"/>
      <c r="O555"/>
      <c r="P555"/>
      <c r="Q555"/>
      <c r="R555"/>
    </row>
    <row r="556" spans="13:18" ht="12" x14ac:dyDescent="0.2">
      <c r="M556"/>
      <c r="N556"/>
      <c r="O556"/>
      <c r="P556"/>
      <c r="Q556"/>
      <c r="R556"/>
    </row>
    <row r="557" spans="13:18" ht="12" x14ac:dyDescent="0.2">
      <c r="M557"/>
      <c r="N557"/>
      <c r="O557"/>
      <c r="P557"/>
      <c r="Q557"/>
      <c r="R557"/>
    </row>
    <row r="558" spans="13:18" ht="12" x14ac:dyDescent="0.2">
      <c r="M558"/>
      <c r="N558"/>
      <c r="O558"/>
      <c r="P558"/>
      <c r="Q558"/>
      <c r="R558"/>
    </row>
    <row r="559" spans="13:18" ht="12" x14ac:dyDescent="0.2">
      <c r="M559"/>
      <c r="N559"/>
      <c r="O559"/>
      <c r="P559"/>
      <c r="Q559"/>
      <c r="R559"/>
    </row>
    <row r="560" spans="13:18" ht="12" x14ac:dyDescent="0.2">
      <c r="M560"/>
      <c r="N560"/>
      <c r="O560"/>
      <c r="P560"/>
      <c r="Q560"/>
      <c r="R560"/>
    </row>
    <row r="561" spans="13:18" ht="12" x14ac:dyDescent="0.2">
      <c r="M561"/>
      <c r="N561"/>
      <c r="O561"/>
      <c r="P561"/>
      <c r="Q561"/>
      <c r="R561"/>
    </row>
    <row r="562" spans="13:18" ht="12" x14ac:dyDescent="0.2">
      <c r="M562"/>
      <c r="N562"/>
      <c r="O562"/>
      <c r="P562"/>
      <c r="Q562"/>
      <c r="R562"/>
    </row>
    <row r="563" spans="13:18" ht="12" x14ac:dyDescent="0.2">
      <c r="M563"/>
      <c r="N563"/>
      <c r="O563"/>
      <c r="P563"/>
      <c r="Q563"/>
      <c r="R563"/>
    </row>
    <row r="564" spans="13:18" ht="12" x14ac:dyDescent="0.2">
      <c r="M564"/>
      <c r="N564"/>
      <c r="O564"/>
      <c r="P564"/>
      <c r="Q564"/>
      <c r="R564"/>
    </row>
    <row r="565" spans="13:18" ht="12" x14ac:dyDescent="0.2">
      <c r="M565"/>
      <c r="N565"/>
      <c r="O565"/>
      <c r="P565"/>
      <c r="Q565"/>
      <c r="R565"/>
    </row>
    <row r="566" spans="13:18" ht="12" x14ac:dyDescent="0.2">
      <c r="M566"/>
      <c r="N566"/>
      <c r="O566"/>
      <c r="P566"/>
      <c r="Q566"/>
      <c r="R566"/>
    </row>
    <row r="567" spans="13:18" ht="12" x14ac:dyDescent="0.2">
      <c r="M567"/>
      <c r="N567"/>
      <c r="O567"/>
      <c r="P567"/>
      <c r="Q567"/>
      <c r="R567"/>
    </row>
    <row r="568" spans="13:18" ht="12" x14ac:dyDescent="0.2">
      <c r="M568"/>
      <c r="N568"/>
      <c r="O568"/>
      <c r="P568"/>
      <c r="Q568"/>
      <c r="R568"/>
    </row>
    <row r="569" spans="13:18" ht="12" x14ac:dyDescent="0.2">
      <c r="M569"/>
      <c r="N569"/>
      <c r="O569"/>
      <c r="P569"/>
      <c r="Q569"/>
      <c r="R569"/>
    </row>
    <row r="570" spans="13:18" ht="12" x14ac:dyDescent="0.2">
      <c r="M570"/>
      <c r="N570"/>
      <c r="O570"/>
      <c r="P570"/>
      <c r="Q570"/>
      <c r="R570"/>
    </row>
    <row r="571" spans="13:18" ht="12" x14ac:dyDescent="0.2">
      <c r="M571"/>
      <c r="N571"/>
      <c r="O571"/>
      <c r="P571"/>
      <c r="Q571"/>
      <c r="R571"/>
    </row>
    <row r="572" spans="13:18" ht="12" x14ac:dyDescent="0.2">
      <c r="M572"/>
      <c r="N572"/>
      <c r="O572"/>
      <c r="P572"/>
      <c r="Q572"/>
      <c r="R572"/>
    </row>
    <row r="573" spans="13:18" ht="12" x14ac:dyDescent="0.2">
      <c r="M573"/>
      <c r="N573"/>
      <c r="O573"/>
      <c r="P573"/>
      <c r="Q573"/>
      <c r="R573"/>
    </row>
    <row r="574" spans="13:18" ht="12" x14ac:dyDescent="0.2">
      <c r="M574"/>
      <c r="N574"/>
      <c r="O574"/>
      <c r="P574"/>
      <c r="Q574"/>
      <c r="R574"/>
    </row>
    <row r="575" spans="13:18" ht="12" x14ac:dyDescent="0.2">
      <c r="M575"/>
      <c r="N575"/>
      <c r="O575"/>
      <c r="P575"/>
      <c r="Q575"/>
      <c r="R575"/>
    </row>
    <row r="576" spans="13:18" ht="12" x14ac:dyDescent="0.2">
      <c r="M576"/>
      <c r="N576"/>
      <c r="O576"/>
      <c r="P576"/>
      <c r="Q576"/>
      <c r="R576"/>
    </row>
    <row r="577" spans="13:18" ht="12" x14ac:dyDescent="0.2">
      <c r="M577"/>
      <c r="N577"/>
      <c r="O577"/>
      <c r="P577"/>
      <c r="Q577"/>
      <c r="R577"/>
    </row>
    <row r="578" spans="13:18" ht="12" x14ac:dyDescent="0.2">
      <c r="M578"/>
      <c r="N578"/>
      <c r="O578"/>
      <c r="P578"/>
      <c r="Q578"/>
      <c r="R578"/>
    </row>
    <row r="579" spans="13:18" ht="12" x14ac:dyDescent="0.2">
      <c r="M579"/>
      <c r="N579"/>
      <c r="O579"/>
      <c r="P579"/>
      <c r="Q579"/>
      <c r="R579"/>
    </row>
    <row r="580" spans="13:18" ht="12" x14ac:dyDescent="0.2">
      <c r="M580"/>
      <c r="N580"/>
      <c r="O580"/>
      <c r="P580"/>
      <c r="Q580"/>
      <c r="R580"/>
    </row>
    <row r="581" spans="13:18" ht="12" x14ac:dyDescent="0.2">
      <c r="M581"/>
      <c r="N581"/>
      <c r="O581"/>
      <c r="P581"/>
      <c r="Q581"/>
      <c r="R581"/>
    </row>
    <row r="582" spans="13:18" ht="12" x14ac:dyDescent="0.2">
      <c r="M582"/>
      <c r="N582"/>
      <c r="O582"/>
      <c r="P582"/>
      <c r="Q582"/>
      <c r="R582"/>
    </row>
    <row r="583" spans="13:18" ht="12" x14ac:dyDescent="0.2">
      <c r="M583"/>
      <c r="N583"/>
      <c r="O583"/>
      <c r="P583"/>
      <c r="Q583"/>
      <c r="R583"/>
    </row>
    <row r="584" spans="13:18" ht="12" x14ac:dyDescent="0.2">
      <c r="M584"/>
      <c r="N584"/>
      <c r="O584"/>
      <c r="P584"/>
      <c r="Q584"/>
      <c r="R584"/>
    </row>
    <row r="585" spans="13:18" ht="12" x14ac:dyDescent="0.2">
      <c r="M585"/>
      <c r="N585"/>
      <c r="O585"/>
      <c r="P585"/>
      <c r="Q585"/>
      <c r="R585"/>
    </row>
    <row r="586" spans="13:18" ht="12" x14ac:dyDescent="0.2">
      <c r="M586"/>
      <c r="N586"/>
      <c r="O586"/>
      <c r="P586"/>
      <c r="Q586"/>
      <c r="R586"/>
    </row>
    <row r="587" spans="13:18" ht="12" x14ac:dyDescent="0.2">
      <c r="M587"/>
      <c r="N587"/>
      <c r="O587"/>
      <c r="P587"/>
      <c r="Q587"/>
      <c r="R587"/>
    </row>
    <row r="588" spans="13:18" ht="12" x14ac:dyDescent="0.2">
      <c r="M588"/>
      <c r="N588"/>
      <c r="O588"/>
      <c r="P588"/>
      <c r="Q588"/>
      <c r="R588"/>
    </row>
    <row r="589" spans="13:18" ht="12" x14ac:dyDescent="0.2">
      <c r="M589"/>
      <c r="N589"/>
      <c r="O589"/>
      <c r="P589"/>
      <c r="Q589"/>
      <c r="R589"/>
    </row>
    <row r="590" spans="13:18" ht="12" x14ac:dyDescent="0.2">
      <c r="M590"/>
      <c r="N590"/>
      <c r="O590"/>
      <c r="P590"/>
      <c r="Q590"/>
      <c r="R590"/>
    </row>
    <row r="591" spans="13:18" ht="12" x14ac:dyDescent="0.2">
      <c r="M591"/>
      <c r="N591"/>
      <c r="O591"/>
      <c r="P591"/>
      <c r="Q591"/>
      <c r="R591"/>
    </row>
    <row r="592" spans="13:18" ht="12" x14ac:dyDescent="0.2">
      <c r="M592"/>
      <c r="N592"/>
      <c r="O592"/>
      <c r="P592"/>
      <c r="Q592"/>
      <c r="R592"/>
    </row>
    <row r="593" spans="13:18" ht="12" x14ac:dyDescent="0.2">
      <c r="M593"/>
      <c r="N593"/>
      <c r="O593"/>
      <c r="P593"/>
      <c r="Q593"/>
      <c r="R593"/>
    </row>
    <row r="594" spans="13:18" ht="12" x14ac:dyDescent="0.2">
      <c r="M594"/>
      <c r="N594"/>
      <c r="O594"/>
      <c r="P594"/>
      <c r="Q594"/>
      <c r="R594"/>
    </row>
    <row r="595" spans="13:18" ht="12" x14ac:dyDescent="0.2">
      <c r="M595"/>
      <c r="N595"/>
      <c r="O595"/>
      <c r="P595"/>
      <c r="Q595"/>
      <c r="R595"/>
    </row>
    <row r="596" spans="13:18" ht="12" x14ac:dyDescent="0.2">
      <c r="M596"/>
      <c r="N596"/>
      <c r="O596"/>
      <c r="P596"/>
      <c r="Q596"/>
      <c r="R596"/>
    </row>
    <row r="597" spans="13:18" ht="12" x14ac:dyDescent="0.2">
      <c r="M597"/>
      <c r="N597"/>
      <c r="O597"/>
      <c r="P597"/>
      <c r="Q597"/>
      <c r="R597"/>
    </row>
    <row r="598" spans="13:18" ht="12" x14ac:dyDescent="0.2">
      <c r="M598"/>
      <c r="N598"/>
      <c r="O598"/>
      <c r="P598"/>
      <c r="Q598"/>
      <c r="R598"/>
    </row>
    <row r="599" spans="13:18" ht="12" x14ac:dyDescent="0.2">
      <c r="M599"/>
      <c r="N599"/>
      <c r="O599"/>
      <c r="P599"/>
      <c r="Q599"/>
      <c r="R599"/>
    </row>
    <row r="600" spans="13:18" ht="12" x14ac:dyDescent="0.2">
      <c r="M600"/>
      <c r="N600"/>
      <c r="O600"/>
      <c r="P600"/>
      <c r="Q600"/>
      <c r="R600"/>
    </row>
    <row r="601" spans="13:18" ht="12" x14ac:dyDescent="0.2">
      <c r="M601"/>
      <c r="N601"/>
      <c r="O601"/>
      <c r="P601"/>
      <c r="Q601"/>
      <c r="R601"/>
    </row>
    <row r="602" spans="13:18" ht="12" x14ac:dyDescent="0.2">
      <c r="M602"/>
      <c r="N602"/>
      <c r="O602"/>
      <c r="P602"/>
      <c r="Q602"/>
      <c r="R602"/>
    </row>
    <row r="603" spans="13:18" ht="12" x14ac:dyDescent="0.2">
      <c r="M603"/>
      <c r="N603"/>
      <c r="O603"/>
      <c r="P603"/>
      <c r="Q603"/>
      <c r="R603"/>
    </row>
    <row r="604" spans="13:18" ht="12" x14ac:dyDescent="0.2">
      <c r="M604"/>
      <c r="N604"/>
      <c r="O604"/>
      <c r="P604"/>
      <c r="Q604"/>
      <c r="R604"/>
    </row>
    <row r="605" spans="13:18" ht="12" x14ac:dyDescent="0.2">
      <c r="M605"/>
      <c r="N605"/>
      <c r="O605"/>
      <c r="P605"/>
      <c r="Q605"/>
      <c r="R605"/>
    </row>
    <row r="606" spans="13:18" ht="12" x14ac:dyDescent="0.2">
      <c r="M606"/>
      <c r="N606"/>
      <c r="O606"/>
      <c r="P606"/>
      <c r="Q606"/>
      <c r="R606"/>
    </row>
    <row r="607" spans="13:18" ht="12" x14ac:dyDescent="0.2">
      <c r="M607"/>
      <c r="N607"/>
      <c r="O607"/>
      <c r="P607"/>
      <c r="Q607"/>
      <c r="R607"/>
    </row>
    <row r="608" spans="13:18" ht="12" x14ac:dyDescent="0.2">
      <c r="M608"/>
      <c r="N608"/>
      <c r="O608"/>
      <c r="P608"/>
      <c r="Q608"/>
      <c r="R608"/>
    </row>
    <row r="609" spans="13:18" ht="12" x14ac:dyDescent="0.2">
      <c r="M609"/>
      <c r="N609"/>
      <c r="O609"/>
      <c r="P609"/>
      <c r="Q609"/>
      <c r="R609"/>
    </row>
    <row r="610" spans="13:18" ht="12" x14ac:dyDescent="0.2">
      <c r="M610"/>
      <c r="N610"/>
      <c r="O610"/>
      <c r="P610"/>
      <c r="Q610"/>
      <c r="R610"/>
    </row>
    <row r="611" spans="13:18" ht="12" x14ac:dyDescent="0.2">
      <c r="M611"/>
      <c r="N611"/>
      <c r="O611"/>
      <c r="P611"/>
      <c r="Q611"/>
      <c r="R611"/>
    </row>
    <row r="612" spans="13:18" ht="12" x14ac:dyDescent="0.2">
      <c r="M612"/>
      <c r="N612"/>
      <c r="O612"/>
      <c r="P612"/>
      <c r="Q612"/>
      <c r="R612"/>
    </row>
    <row r="613" spans="13:18" ht="12" x14ac:dyDescent="0.2">
      <c r="M613"/>
      <c r="N613"/>
      <c r="O613"/>
      <c r="P613"/>
      <c r="Q613"/>
      <c r="R613"/>
    </row>
    <row r="614" spans="13:18" ht="12" x14ac:dyDescent="0.2">
      <c r="M614"/>
      <c r="N614"/>
      <c r="O614"/>
      <c r="P614"/>
      <c r="Q614"/>
      <c r="R614"/>
    </row>
    <row r="615" spans="13:18" ht="12" x14ac:dyDescent="0.2">
      <c r="M615"/>
      <c r="N615"/>
      <c r="O615"/>
      <c r="P615"/>
      <c r="Q615"/>
      <c r="R615"/>
    </row>
    <row r="616" spans="13:18" ht="12" x14ac:dyDescent="0.2">
      <c r="M616"/>
      <c r="N616"/>
      <c r="O616"/>
      <c r="P616"/>
      <c r="Q616"/>
      <c r="R616"/>
    </row>
    <row r="617" spans="13:18" ht="12" x14ac:dyDescent="0.2">
      <c r="M617"/>
      <c r="N617"/>
      <c r="O617"/>
      <c r="P617"/>
      <c r="Q617"/>
      <c r="R617"/>
    </row>
    <row r="618" spans="13:18" ht="12" x14ac:dyDescent="0.2">
      <c r="M618"/>
      <c r="N618"/>
      <c r="O618"/>
      <c r="P618"/>
      <c r="Q618"/>
      <c r="R618"/>
    </row>
    <row r="619" spans="13:18" ht="12" x14ac:dyDescent="0.2">
      <c r="M619"/>
      <c r="N619"/>
      <c r="O619"/>
      <c r="P619"/>
      <c r="Q619"/>
      <c r="R619"/>
    </row>
    <row r="620" spans="13:18" ht="12" x14ac:dyDescent="0.2">
      <c r="M620"/>
      <c r="N620"/>
      <c r="O620"/>
      <c r="P620"/>
      <c r="Q620"/>
      <c r="R620"/>
    </row>
    <row r="621" spans="13:18" ht="12" x14ac:dyDescent="0.2">
      <c r="M621"/>
      <c r="N621"/>
      <c r="O621"/>
      <c r="P621"/>
      <c r="Q621"/>
      <c r="R621"/>
    </row>
    <row r="622" spans="13:18" ht="12" x14ac:dyDescent="0.2">
      <c r="M622"/>
      <c r="N622"/>
      <c r="O622"/>
      <c r="P622"/>
      <c r="Q622"/>
      <c r="R622"/>
    </row>
    <row r="623" spans="13:18" ht="12" x14ac:dyDescent="0.2">
      <c r="M623"/>
      <c r="N623"/>
      <c r="O623"/>
      <c r="P623"/>
      <c r="Q623"/>
      <c r="R623"/>
    </row>
    <row r="624" spans="13:18" ht="12" x14ac:dyDescent="0.2">
      <c r="M624"/>
      <c r="N624"/>
      <c r="O624"/>
      <c r="P624"/>
      <c r="Q624"/>
      <c r="R624"/>
    </row>
    <row r="625" spans="13:18" ht="12" x14ac:dyDescent="0.2">
      <c r="M625"/>
      <c r="N625"/>
      <c r="O625"/>
      <c r="P625"/>
      <c r="Q625"/>
      <c r="R625"/>
    </row>
    <row r="626" spans="13:18" ht="12" x14ac:dyDescent="0.2">
      <c r="M626"/>
      <c r="N626"/>
      <c r="O626"/>
      <c r="P626"/>
      <c r="Q626"/>
      <c r="R626"/>
    </row>
    <row r="627" spans="13:18" ht="12" x14ac:dyDescent="0.2">
      <c r="M627"/>
      <c r="N627"/>
      <c r="O627"/>
      <c r="P627"/>
      <c r="Q627"/>
      <c r="R627"/>
    </row>
    <row r="628" spans="13:18" ht="12" x14ac:dyDescent="0.2">
      <c r="M628"/>
      <c r="N628"/>
      <c r="O628"/>
      <c r="P628"/>
      <c r="Q628"/>
      <c r="R628"/>
    </row>
    <row r="629" spans="13:18" ht="12" x14ac:dyDescent="0.2">
      <c r="M629"/>
      <c r="N629"/>
      <c r="O629"/>
      <c r="P629"/>
      <c r="Q629"/>
      <c r="R629"/>
    </row>
    <row r="630" spans="13:18" ht="12" x14ac:dyDescent="0.2">
      <c r="M630"/>
      <c r="N630"/>
      <c r="O630"/>
      <c r="P630"/>
      <c r="Q630"/>
      <c r="R630"/>
    </row>
    <row r="631" spans="13:18" ht="12" x14ac:dyDescent="0.2">
      <c r="M631"/>
      <c r="N631"/>
      <c r="O631"/>
      <c r="P631"/>
      <c r="Q631"/>
      <c r="R631"/>
    </row>
    <row r="632" spans="13:18" ht="12" x14ac:dyDescent="0.2">
      <c r="M632"/>
      <c r="N632"/>
      <c r="O632"/>
      <c r="P632"/>
      <c r="Q632"/>
      <c r="R632"/>
    </row>
    <row r="633" spans="13:18" ht="12" x14ac:dyDescent="0.2">
      <c r="M633"/>
      <c r="N633"/>
      <c r="O633"/>
      <c r="P633"/>
      <c r="Q633"/>
      <c r="R633"/>
    </row>
    <row r="634" spans="13:18" ht="12" x14ac:dyDescent="0.2">
      <c r="M634"/>
      <c r="N634"/>
      <c r="O634"/>
      <c r="P634"/>
      <c r="Q634"/>
      <c r="R634"/>
    </row>
    <row r="635" spans="13:18" ht="12" x14ac:dyDescent="0.2">
      <c r="M635"/>
      <c r="N635"/>
      <c r="O635"/>
      <c r="P635"/>
      <c r="Q635"/>
      <c r="R635"/>
    </row>
    <row r="636" spans="13:18" ht="12" x14ac:dyDescent="0.2">
      <c r="M636"/>
      <c r="N636"/>
      <c r="O636"/>
      <c r="P636"/>
      <c r="Q636"/>
      <c r="R636"/>
    </row>
    <row r="637" spans="13:18" ht="12" x14ac:dyDescent="0.2">
      <c r="M637"/>
      <c r="N637"/>
      <c r="O637"/>
      <c r="P637"/>
      <c r="Q637"/>
      <c r="R637"/>
    </row>
    <row r="638" spans="13:18" ht="12" x14ac:dyDescent="0.2">
      <c r="M638"/>
      <c r="N638"/>
      <c r="O638"/>
      <c r="P638"/>
      <c r="Q638"/>
      <c r="R638"/>
    </row>
    <row r="639" spans="13:18" ht="12" x14ac:dyDescent="0.2">
      <c r="M639"/>
      <c r="N639"/>
      <c r="O639"/>
      <c r="P639"/>
      <c r="Q639"/>
      <c r="R639"/>
    </row>
    <row r="640" spans="13:18" ht="12" x14ac:dyDescent="0.2">
      <c r="M640"/>
      <c r="N640"/>
      <c r="O640"/>
      <c r="P640"/>
      <c r="Q640"/>
      <c r="R640"/>
    </row>
    <row r="641" spans="13:18" ht="12" x14ac:dyDescent="0.2">
      <c r="M641"/>
      <c r="N641"/>
      <c r="O641"/>
      <c r="P641"/>
      <c r="Q641"/>
      <c r="R641"/>
    </row>
    <row r="642" spans="13:18" ht="12" x14ac:dyDescent="0.2">
      <c r="M642"/>
      <c r="N642"/>
      <c r="O642"/>
      <c r="P642"/>
      <c r="Q642"/>
      <c r="R642"/>
    </row>
    <row r="643" spans="13:18" ht="12" x14ac:dyDescent="0.2">
      <c r="M643"/>
      <c r="N643"/>
      <c r="O643"/>
      <c r="P643"/>
      <c r="Q643"/>
      <c r="R643"/>
    </row>
    <row r="644" spans="13:18" ht="12" x14ac:dyDescent="0.2">
      <c r="M644"/>
      <c r="N644"/>
      <c r="O644"/>
      <c r="P644"/>
      <c r="Q644"/>
      <c r="R644"/>
    </row>
    <row r="645" spans="13:18" ht="12" x14ac:dyDescent="0.2">
      <c r="M645"/>
      <c r="N645"/>
      <c r="O645"/>
      <c r="P645"/>
      <c r="Q645"/>
      <c r="R645"/>
    </row>
    <row r="646" spans="13:18" ht="12" x14ac:dyDescent="0.2">
      <c r="M646"/>
      <c r="N646"/>
      <c r="O646"/>
      <c r="P646"/>
      <c r="Q646"/>
      <c r="R646"/>
    </row>
    <row r="647" spans="13:18" ht="12" x14ac:dyDescent="0.2">
      <c r="M647"/>
      <c r="N647"/>
      <c r="O647"/>
      <c r="P647"/>
      <c r="Q647"/>
      <c r="R647"/>
    </row>
    <row r="648" spans="13:18" ht="12" x14ac:dyDescent="0.2">
      <c r="M648"/>
      <c r="N648"/>
      <c r="O648"/>
      <c r="P648"/>
      <c r="Q648"/>
      <c r="R648"/>
    </row>
    <row r="649" spans="13:18" ht="12" x14ac:dyDescent="0.2">
      <c r="M649"/>
      <c r="N649"/>
      <c r="O649"/>
      <c r="P649"/>
      <c r="Q649"/>
      <c r="R649"/>
    </row>
    <row r="650" spans="13:18" ht="12" x14ac:dyDescent="0.2">
      <c r="M650"/>
      <c r="N650"/>
      <c r="O650"/>
      <c r="P650"/>
      <c r="Q650"/>
      <c r="R650"/>
    </row>
    <row r="651" spans="13:18" ht="12" x14ac:dyDescent="0.2">
      <c r="M651"/>
      <c r="N651"/>
      <c r="O651"/>
      <c r="P651"/>
      <c r="Q651"/>
      <c r="R651"/>
    </row>
    <row r="652" spans="13:18" ht="12" x14ac:dyDescent="0.2">
      <c r="M652"/>
      <c r="N652"/>
      <c r="O652"/>
      <c r="P652"/>
      <c r="Q652"/>
      <c r="R652"/>
    </row>
    <row r="653" spans="13:18" ht="12" x14ac:dyDescent="0.2">
      <c r="M653"/>
      <c r="N653"/>
      <c r="O653"/>
      <c r="P653"/>
      <c r="Q653"/>
      <c r="R653"/>
    </row>
    <row r="654" spans="13:18" ht="12" x14ac:dyDescent="0.2">
      <c r="M654"/>
      <c r="N654"/>
      <c r="O654"/>
      <c r="P654"/>
      <c r="Q654"/>
      <c r="R654"/>
    </row>
    <row r="655" spans="13:18" ht="12" x14ac:dyDescent="0.2">
      <c r="M655"/>
      <c r="N655"/>
      <c r="O655"/>
      <c r="P655"/>
      <c r="Q655"/>
      <c r="R655"/>
    </row>
    <row r="656" spans="13:18" ht="12" x14ac:dyDescent="0.2">
      <c r="M656"/>
      <c r="N656"/>
      <c r="O656"/>
      <c r="P656"/>
      <c r="Q656"/>
      <c r="R656"/>
    </row>
    <row r="657" spans="13:18" ht="12" x14ac:dyDescent="0.2">
      <c r="M657"/>
      <c r="N657"/>
      <c r="O657"/>
      <c r="P657"/>
      <c r="Q657"/>
      <c r="R657"/>
    </row>
    <row r="658" spans="13:18" ht="12" x14ac:dyDescent="0.2">
      <c r="M658"/>
      <c r="N658"/>
      <c r="O658"/>
      <c r="P658"/>
      <c r="Q658"/>
      <c r="R658"/>
    </row>
    <row r="659" spans="13:18" ht="12" x14ac:dyDescent="0.2">
      <c r="M659"/>
      <c r="N659"/>
      <c r="O659"/>
      <c r="P659"/>
      <c r="Q659"/>
      <c r="R659"/>
    </row>
    <row r="660" spans="13:18" ht="12" x14ac:dyDescent="0.2">
      <c r="M660"/>
      <c r="N660"/>
      <c r="O660"/>
      <c r="P660"/>
      <c r="Q660"/>
      <c r="R660"/>
    </row>
    <row r="661" spans="13:18" ht="12" x14ac:dyDescent="0.2">
      <c r="M661"/>
      <c r="N661"/>
      <c r="O661"/>
      <c r="P661"/>
      <c r="Q661"/>
      <c r="R661"/>
    </row>
    <row r="662" spans="13:18" ht="12" x14ac:dyDescent="0.2">
      <c r="M662"/>
      <c r="N662"/>
      <c r="O662"/>
      <c r="P662"/>
      <c r="Q662"/>
      <c r="R662"/>
    </row>
    <row r="663" spans="13:18" ht="12" x14ac:dyDescent="0.2">
      <c r="M663"/>
      <c r="N663"/>
      <c r="O663"/>
      <c r="P663"/>
      <c r="Q663"/>
      <c r="R663"/>
    </row>
    <row r="664" spans="13:18" ht="12" x14ac:dyDescent="0.2">
      <c r="M664"/>
      <c r="N664"/>
      <c r="O664"/>
      <c r="P664"/>
      <c r="Q664"/>
      <c r="R664"/>
    </row>
    <row r="665" spans="13:18" ht="12" x14ac:dyDescent="0.2">
      <c r="M665"/>
      <c r="N665"/>
      <c r="O665"/>
      <c r="P665"/>
      <c r="Q665"/>
      <c r="R665"/>
    </row>
    <row r="666" spans="13:18" ht="12" x14ac:dyDescent="0.2">
      <c r="M666"/>
      <c r="N666"/>
      <c r="O666"/>
      <c r="P666"/>
      <c r="Q666"/>
      <c r="R666"/>
    </row>
    <row r="667" spans="13:18" ht="12" x14ac:dyDescent="0.2">
      <c r="M667"/>
      <c r="N667"/>
      <c r="O667"/>
      <c r="P667"/>
      <c r="Q667"/>
      <c r="R667"/>
    </row>
    <row r="668" spans="13:18" ht="12" x14ac:dyDescent="0.2">
      <c r="M668"/>
      <c r="N668"/>
      <c r="O668"/>
      <c r="P668"/>
      <c r="Q668"/>
      <c r="R668"/>
    </row>
    <row r="669" spans="13:18" ht="12" x14ac:dyDescent="0.2">
      <c r="M669"/>
      <c r="N669"/>
      <c r="O669"/>
      <c r="P669"/>
      <c r="Q669"/>
      <c r="R669"/>
    </row>
    <row r="670" spans="13:18" ht="12" x14ac:dyDescent="0.2">
      <c r="M670"/>
      <c r="N670"/>
      <c r="O670"/>
      <c r="P670"/>
      <c r="Q670"/>
      <c r="R670"/>
    </row>
    <row r="671" spans="13:18" ht="12" x14ac:dyDescent="0.2">
      <c r="M671"/>
      <c r="N671"/>
      <c r="O671"/>
      <c r="P671"/>
      <c r="Q671"/>
      <c r="R671"/>
    </row>
    <row r="672" spans="13:18" ht="12" x14ac:dyDescent="0.2">
      <c r="M672"/>
      <c r="N672"/>
      <c r="O672"/>
      <c r="P672"/>
      <c r="Q672"/>
      <c r="R672"/>
    </row>
    <row r="673" spans="13:18" ht="12" x14ac:dyDescent="0.2">
      <c r="M673"/>
      <c r="N673"/>
      <c r="O673"/>
      <c r="P673"/>
      <c r="Q673"/>
      <c r="R673"/>
    </row>
    <row r="674" spans="13:18" ht="12" x14ac:dyDescent="0.2">
      <c r="M674"/>
      <c r="N674"/>
      <c r="O674"/>
      <c r="P674"/>
      <c r="Q674"/>
      <c r="R674"/>
    </row>
    <row r="675" spans="13:18" ht="12" x14ac:dyDescent="0.2">
      <c r="M675"/>
      <c r="N675"/>
      <c r="O675"/>
      <c r="P675"/>
      <c r="Q675"/>
      <c r="R675"/>
    </row>
    <row r="676" spans="13:18" ht="12" x14ac:dyDescent="0.2">
      <c r="M676"/>
      <c r="N676"/>
      <c r="O676"/>
      <c r="P676"/>
      <c r="Q676"/>
      <c r="R676"/>
    </row>
    <row r="677" spans="13:18" ht="12" x14ac:dyDescent="0.2">
      <c r="M677"/>
      <c r="N677"/>
      <c r="O677"/>
      <c r="P677"/>
      <c r="Q677"/>
      <c r="R677"/>
    </row>
    <row r="678" spans="13:18" ht="12" x14ac:dyDescent="0.2">
      <c r="M678"/>
      <c r="N678"/>
      <c r="O678"/>
      <c r="P678"/>
      <c r="Q678"/>
      <c r="R678"/>
    </row>
    <row r="679" spans="13:18" ht="12" x14ac:dyDescent="0.2">
      <c r="M679"/>
      <c r="N679"/>
      <c r="O679"/>
      <c r="P679"/>
      <c r="Q679"/>
      <c r="R679"/>
    </row>
    <row r="680" spans="13:18" ht="12" x14ac:dyDescent="0.2">
      <c r="M680"/>
      <c r="N680"/>
      <c r="O680"/>
      <c r="P680"/>
      <c r="Q680"/>
      <c r="R680"/>
    </row>
    <row r="681" spans="13:18" ht="12" x14ac:dyDescent="0.2">
      <c r="M681"/>
      <c r="N681"/>
      <c r="O681"/>
      <c r="P681"/>
      <c r="Q681"/>
      <c r="R681"/>
    </row>
    <row r="682" spans="13:18" ht="12" x14ac:dyDescent="0.2">
      <c r="M682"/>
      <c r="N682"/>
      <c r="O682"/>
      <c r="P682"/>
      <c r="Q682"/>
      <c r="R682"/>
    </row>
    <row r="683" spans="13:18" ht="12" x14ac:dyDescent="0.2">
      <c r="M683"/>
      <c r="N683"/>
      <c r="O683"/>
      <c r="P683"/>
      <c r="Q683"/>
      <c r="R683"/>
    </row>
    <row r="684" spans="13:18" ht="12" x14ac:dyDescent="0.2">
      <c r="M684"/>
      <c r="N684"/>
      <c r="O684"/>
      <c r="P684"/>
      <c r="Q684"/>
      <c r="R684"/>
    </row>
    <row r="685" spans="13:18" ht="12" x14ac:dyDescent="0.2">
      <c r="M685"/>
      <c r="N685"/>
      <c r="O685"/>
      <c r="P685"/>
      <c r="Q685"/>
      <c r="R685"/>
    </row>
    <row r="686" spans="13:18" ht="12" x14ac:dyDescent="0.2">
      <c r="M686"/>
      <c r="N686"/>
      <c r="O686"/>
      <c r="P686"/>
      <c r="Q686"/>
      <c r="R686"/>
    </row>
    <row r="687" spans="13:18" ht="12" x14ac:dyDescent="0.2">
      <c r="M687"/>
      <c r="N687"/>
      <c r="O687"/>
      <c r="P687"/>
      <c r="Q687"/>
      <c r="R687"/>
    </row>
    <row r="688" spans="13:18" ht="12" x14ac:dyDescent="0.2">
      <c r="M688"/>
      <c r="N688"/>
      <c r="O688"/>
      <c r="P688"/>
      <c r="Q688"/>
      <c r="R688"/>
    </row>
    <row r="689" spans="13:18" ht="12" x14ac:dyDescent="0.2">
      <c r="M689"/>
      <c r="N689"/>
      <c r="O689"/>
      <c r="P689"/>
      <c r="Q689"/>
      <c r="R689"/>
    </row>
    <row r="690" spans="13:18" ht="12" x14ac:dyDescent="0.2">
      <c r="M690"/>
      <c r="N690"/>
      <c r="O690"/>
      <c r="P690"/>
      <c r="Q690"/>
      <c r="R690"/>
    </row>
    <row r="691" spans="13:18" ht="12" x14ac:dyDescent="0.2">
      <c r="M691"/>
      <c r="N691"/>
      <c r="O691"/>
      <c r="P691"/>
      <c r="Q691"/>
      <c r="R691"/>
    </row>
    <row r="692" spans="13:18" ht="12" x14ac:dyDescent="0.2">
      <c r="M692"/>
      <c r="N692"/>
      <c r="O692"/>
      <c r="P692"/>
      <c r="Q692"/>
      <c r="R692"/>
    </row>
    <row r="693" spans="13:18" ht="12" x14ac:dyDescent="0.2">
      <c r="M693"/>
      <c r="N693"/>
      <c r="O693"/>
      <c r="P693"/>
      <c r="Q693"/>
      <c r="R693"/>
    </row>
    <row r="694" spans="13:18" ht="12" x14ac:dyDescent="0.2">
      <c r="M694"/>
      <c r="N694"/>
      <c r="O694"/>
      <c r="P694"/>
      <c r="Q694"/>
      <c r="R694"/>
    </row>
    <row r="695" spans="13:18" ht="12" x14ac:dyDescent="0.2">
      <c r="M695"/>
      <c r="N695"/>
      <c r="O695"/>
      <c r="P695"/>
      <c r="Q695"/>
      <c r="R695"/>
    </row>
    <row r="696" spans="13:18" ht="12" x14ac:dyDescent="0.2">
      <c r="M696"/>
      <c r="N696"/>
      <c r="O696"/>
      <c r="P696"/>
      <c r="Q696"/>
      <c r="R696"/>
    </row>
    <row r="697" spans="13:18" ht="12" x14ac:dyDescent="0.2">
      <c r="M697"/>
      <c r="N697"/>
      <c r="O697"/>
      <c r="P697"/>
      <c r="Q697"/>
      <c r="R697"/>
    </row>
    <row r="698" spans="13:18" ht="12" x14ac:dyDescent="0.2">
      <c r="M698"/>
      <c r="N698"/>
      <c r="O698"/>
      <c r="P698"/>
      <c r="Q698"/>
      <c r="R698"/>
    </row>
    <row r="699" spans="13:18" ht="12" x14ac:dyDescent="0.2">
      <c r="M699"/>
      <c r="N699"/>
      <c r="O699"/>
      <c r="P699"/>
      <c r="Q699"/>
      <c r="R699"/>
    </row>
    <row r="700" spans="13:18" ht="12" x14ac:dyDescent="0.2">
      <c r="M700"/>
      <c r="N700"/>
      <c r="O700"/>
      <c r="P700"/>
      <c r="Q700"/>
      <c r="R700"/>
    </row>
    <row r="701" spans="13:18" ht="12" x14ac:dyDescent="0.2">
      <c r="M701"/>
      <c r="N701"/>
      <c r="O701"/>
      <c r="P701"/>
      <c r="Q701"/>
      <c r="R701"/>
    </row>
    <row r="702" spans="13:18" ht="12" x14ac:dyDescent="0.2">
      <c r="M702"/>
      <c r="N702"/>
      <c r="O702"/>
      <c r="P702"/>
      <c r="Q702"/>
      <c r="R702"/>
    </row>
    <row r="703" spans="13:18" ht="12" x14ac:dyDescent="0.2">
      <c r="M703"/>
      <c r="N703"/>
      <c r="O703"/>
      <c r="P703"/>
      <c r="Q703"/>
      <c r="R703"/>
    </row>
    <row r="704" spans="13:18" ht="12" x14ac:dyDescent="0.2">
      <c r="M704"/>
      <c r="N704"/>
      <c r="O704"/>
      <c r="P704"/>
      <c r="Q704"/>
      <c r="R704"/>
    </row>
    <row r="705" spans="13:18" ht="12" x14ac:dyDescent="0.2">
      <c r="M705"/>
      <c r="N705"/>
      <c r="O705"/>
      <c r="P705"/>
      <c r="Q705"/>
      <c r="R705"/>
    </row>
    <row r="706" spans="13:18" ht="12" x14ac:dyDescent="0.2">
      <c r="M706"/>
      <c r="N706"/>
      <c r="O706"/>
      <c r="P706"/>
      <c r="Q706"/>
      <c r="R706"/>
    </row>
    <row r="707" spans="13:18" ht="12" x14ac:dyDescent="0.2">
      <c r="M707"/>
      <c r="N707"/>
      <c r="O707"/>
      <c r="P707"/>
      <c r="Q707"/>
      <c r="R707"/>
    </row>
    <row r="708" spans="13:18" ht="12" x14ac:dyDescent="0.2">
      <c r="M708"/>
      <c r="N708"/>
      <c r="O708"/>
      <c r="P708"/>
      <c r="Q708"/>
      <c r="R708"/>
    </row>
    <row r="709" spans="13:18" ht="12" x14ac:dyDescent="0.2">
      <c r="M709"/>
      <c r="N709"/>
      <c r="O709"/>
      <c r="P709"/>
      <c r="Q709"/>
      <c r="R709"/>
    </row>
    <row r="710" spans="13:18" ht="12" x14ac:dyDescent="0.2">
      <c r="M710"/>
      <c r="N710"/>
      <c r="O710"/>
      <c r="P710"/>
      <c r="Q710"/>
      <c r="R710"/>
    </row>
    <row r="711" spans="13:18" ht="12" x14ac:dyDescent="0.2">
      <c r="M711"/>
      <c r="N711"/>
      <c r="O711"/>
      <c r="P711"/>
      <c r="Q711"/>
      <c r="R711"/>
    </row>
    <row r="712" spans="13:18" ht="12" x14ac:dyDescent="0.2">
      <c r="M712"/>
      <c r="N712"/>
      <c r="O712"/>
      <c r="P712"/>
      <c r="Q712"/>
      <c r="R712"/>
    </row>
    <row r="713" spans="13:18" ht="12" x14ac:dyDescent="0.2">
      <c r="M713"/>
      <c r="N713"/>
      <c r="O713"/>
      <c r="P713"/>
      <c r="Q713"/>
      <c r="R713"/>
    </row>
    <row r="714" spans="13:18" ht="12" x14ac:dyDescent="0.2">
      <c r="M714"/>
      <c r="N714"/>
      <c r="O714"/>
      <c r="P714"/>
      <c r="Q714"/>
      <c r="R714"/>
    </row>
    <row r="715" spans="13:18" ht="12" x14ac:dyDescent="0.2">
      <c r="M715"/>
      <c r="N715"/>
      <c r="O715"/>
      <c r="P715"/>
      <c r="Q715"/>
      <c r="R715"/>
    </row>
    <row r="716" spans="13:18" ht="12" x14ac:dyDescent="0.2">
      <c r="M716"/>
      <c r="N716"/>
      <c r="O716"/>
      <c r="P716"/>
      <c r="Q716"/>
      <c r="R716"/>
    </row>
    <row r="717" spans="13:18" ht="12" x14ac:dyDescent="0.2">
      <c r="M717"/>
      <c r="N717"/>
      <c r="O717"/>
      <c r="P717"/>
      <c r="Q717"/>
      <c r="R717"/>
    </row>
    <row r="718" spans="13:18" ht="12" x14ac:dyDescent="0.2">
      <c r="M718"/>
      <c r="N718"/>
      <c r="O718"/>
      <c r="P718"/>
      <c r="Q718"/>
      <c r="R718"/>
    </row>
    <row r="719" spans="13:18" ht="12" x14ac:dyDescent="0.2">
      <c r="M719"/>
      <c r="N719"/>
      <c r="O719"/>
      <c r="P719"/>
      <c r="Q719"/>
      <c r="R719"/>
    </row>
    <row r="720" spans="13:18" ht="12" x14ac:dyDescent="0.2">
      <c r="M720"/>
      <c r="N720"/>
      <c r="O720"/>
      <c r="P720"/>
      <c r="Q720"/>
      <c r="R720"/>
    </row>
    <row r="721" spans="13:18" ht="12" x14ac:dyDescent="0.2">
      <c r="M721"/>
      <c r="N721"/>
      <c r="O721"/>
      <c r="P721"/>
      <c r="Q721"/>
      <c r="R721"/>
    </row>
    <row r="722" spans="13:18" ht="12" x14ac:dyDescent="0.2">
      <c r="M722"/>
      <c r="N722"/>
      <c r="O722"/>
      <c r="P722"/>
      <c r="Q722"/>
      <c r="R722"/>
    </row>
    <row r="723" spans="13:18" ht="12" x14ac:dyDescent="0.2">
      <c r="M723"/>
      <c r="N723"/>
      <c r="O723"/>
      <c r="P723"/>
      <c r="Q723"/>
      <c r="R723"/>
    </row>
    <row r="724" spans="13:18" ht="12" x14ac:dyDescent="0.2">
      <c r="M724"/>
      <c r="N724"/>
      <c r="O724"/>
      <c r="P724"/>
      <c r="Q724"/>
      <c r="R724"/>
    </row>
    <row r="725" spans="13:18" ht="12" x14ac:dyDescent="0.2">
      <c r="M725"/>
      <c r="N725"/>
      <c r="O725"/>
      <c r="P725"/>
      <c r="Q725"/>
      <c r="R725"/>
    </row>
    <row r="726" spans="13:18" ht="12" x14ac:dyDescent="0.2">
      <c r="M726"/>
      <c r="N726"/>
      <c r="O726"/>
      <c r="P726"/>
      <c r="Q726"/>
      <c r="R726"/>
    </row>
    <row r="727" spans="13:18" ht="12" x14ac:dyDescent="0.2">
      <c r="M727"/>
      <c r="N727"/>
      <c r="O727"/>
      <c r="P727"/>
      <c r="Q727"/>
      <c r="R727"/>
    </row>
    <row r="728" spans="13:18" ht="12" x14ac:dyDescent="0.2">
      <c r="M728"/>
      <c r="N728"/>
      <c r="O728"/>
      <c r="P728"/>
      <c r="Q728"/>
      <c r="R728"/>
    </row>
    <row r="729" spans="13:18" ht="12" x14ac:dyDescent="0.2">
      <c r="M729"/>
      <c r="N729"/>
      <c r="O729"/>
      <c r="P729"/>
      <c r="Q729"/>
      <c r="R729"/>
    </row>
    <row r="730" spans="13:18" ht="12" x14ac:dyDescent="0.2">
      <c r="M730"/>
      <c r="N730"/>
      <c r="O730"/>
      <c r="P730"/>
      <c r="Q730"/>
      <c r="R730"/>
    </row>
    <row r="731" spans="13:18" ht="12" x14ac:dyDescent="0.2">
      <c r="M731"/>
      <c r="N731"/>
      <c r="O731"/>
      <c r="P731"/>
      <c r="Q731"/>
      <c r="R731"/>
    </row>
    <row r="732" spans="13:18" ht="12" x14ac:dyDescent="0.2">
      <c r="M732"/>
      <c r="N732"/>
      <c r="O732"/>
      <c r="P732"/>
      <c r="Q732"/>
      <c r="R732"/>
    </row>
    <row r="733" spans="13:18" ht="12" x14ac:dyDescent="0.2">
      <c r="M733"/>
      <c r="N733"/>
      <c r="O733"/>
      <c r="P733"/>
      <c r="Q733"/>
      <c r="R733"/>
    </row>
    <row r="734" spans="13:18" ht="12" x14ac:dyDescent="0.2">
      <c r="M734"/>
      <c r="N734"/>
      <c r="O734"/>
      <c r="P734"/>
      <c r="Q734"/>
      <c r="R734"/>
    </row>
    <row r="735" spans="13:18" ht="12" x14ac:dyDescent="0.2">
      <c r="M735"/>
      <c r="N735"/>
      <c r="O735"/>
      <c r="P735"/>
      <c r="Q735"/>
      <c r="R735"/>
    </row>
    <row r="736" spans="13:18" ht="12" x14ac:dyDescent="0.2">
      <c r="M736"/>
      <c r="N736"/>
      <c r="O736"/>
      <c r="P736"/>
      <c r="Q736"/>
      <c r="R736"/>
    </row>
    <row r="737" spans="13:18" ht="12" x14ac:dyDescent="0.2">
      <c r="M737"/>
      <c r="N737"/>
      <c r="O737"/>
      <c r="P737"/>
      <c r="Q737"/>
      <c r="R737"/>
    </row>
    <row r="738" spans="13:18" ht="12" x14ac:dyDescent="0.2">
      <c r="M738"/>
      <c r="N738"/>
      <c r="O738"/>
      <c r="P738"/>
      <c r="Q738"/>
      <c r="R738"/>
    </row>
    <row r="739" spans="13:18" ht="12" x14ac:dyDescent="0.2">
      <c r="M739"/>
      <c r="N739"/>
      <c r="O739"/>
      <c r="P739"/>
      <c r="Q739"/>
      <c r="R739"/>
    </row>
    <row r="740" spans="13:18" ht="12" x14ac:dyDescent="0.2">
      <c r="M740"/>
      <c r="N740"/>
      <c r="O740"/>
      <c r="P740"/>
      <c r="Q740"/>
      <c r="R740"/>
    </row>
    <row r="741" spans="13:18" ht="12" x14ac:dyDescent="0.2">
      <c r="M741"/>
      <c r="N741"/>
      <c r="O741"/>
      <c r="P741"/>
      <c r="Q741"/>
      <c r="R741"/>
    </row>
    <row r="742" spans="13:18" ht="12" x14ac:dyDescent="0.2">
      <c r="M742"/>
      <c r="N742"/>
      <c r="O742"/>
      <c r="P742"/>
      <c r="Q742"/>
      <c r="R742"/>
    </row>
    <row r="743" spans="13:18" ht="12" x14ac:dyDescent="0.2">
      <c r="M743"/>
      <c r="N743"/>
      <c r="O743"/>
      <c r="P743"/>
      <c r="Q743"/>
      <c r="R743"/>
    </row>
    <row r="744" spans="13:18" ht="12" x14ac:dyDescent="0.2">
      <c r="M744"/>
      <c r="N744"/>
      <c r="O744"/>
      <c r="P744"/>
      <c r="Q744"/>
      <c r="R744"/>
    </row>
    <row r="745" spans="13:18" ht="12" x14ac:dyDescent="0.2">
      <c r="M745"/>
      <c r="N745"/>
      <c r="O745"/>
      <c r="P745"/>
      <c r="Q745"/>
      <c r="R745"/>
    </row>
    <row r="746" spans="13:18" ht="12" x14ac:dyDescent="0.2">
      <c r="M746"/>
      <c r="N746"/>
      <c r="O746"/>
      <c r="P746"/>
      <c r="Q746"/>
      <c r="R746"/>
    </row>
    <row r="747" spans="13:18" ht="12" x14ac:dyDescent="0.2">
      <c r="M747"/>
      <c r="N747"/>
      <c r="O747"/>
      <c r="P747"/>
      <c r="Q747"/>
      <c r="R747"/>
    </row>
    <row r="748" spans="13:18" ht="12" x14ac:dyDescent="0.2">
      <c r="M748"/>
      <c r="N748"/>
      <c r="O748"/>
      <c r="P748"/>
      <c r="Q748"/>
      <c r="R748"/>
    </row>
    <row r="749" spans="13:18" ht="12" x14ac:dyDescent="0.2">
      <c r="M749"/>
      <c r="N749"/>
      <c r="O749"/>
      <c r="P749"/>
      <c r="Q749"/>
      <c r="R749"/>
    </row>
    <row r="750" spans="13:18" ht="12" x14ac:dyDescent="0.2">
      <c r="M750"/>
      <c r="N750"/>
      <c r="O750"/>
      <c r="P750"/>
      <c r="Q750"/>
      <c r="R750"/>
    </row>
    <row r="751" spans="13:18" ht="12" x14ac:dyDescent="0.2">
      <c r="M751"/>
      <c r="N751"/>
      <c r="O751"/>
      <c r="P751"/>
      <c r="Q751"/>
      <c r="R751"/>
    </row>
    <row r="752" spans="13:18" ht="12" x14ac:dyDescent="0.2">
      <c r="M752"/>
      <c r="N752"/>
      <c r="O752"/>
      <c r="P752"/>
      <c r="Q752"/>
      <c r="R752"/>
    </row>
    <row r="753" spans="13:18" ht="12" x14ac:dyDescent="0.2">
      <c r="M753"/>
      <c r="N753"/>
      <c r="O753"/>
      <c r="P753"/>
      <c r="Q753"/>
      <c r="R753"/>
    </row>
    <row r="754" spans="13:18" ht="12" x14ac:dyDescent="0.2">
      <c r="M754"/>
      <c r="N754"/>
      <c r="O754"/>
      <c r="P754"/>
      <c r="Q754"/>
      <c r="R754"/>
    </row>
    <row r="755" spans="13:18" ht="12" x14ac:dyDescent="0.2">
      <c r="M755"/>
      <c r="N755"/>
      <c r="O755"/>
      <c r="P755"/>
      <c r="Q755"/>
      <c r="R755"/>
    </row>
    <row r="756" spans="13:18" ht="12" x14ac:dyDescent="0.2">
      <c r="M756"/>
      <c r="N756"/>
      <c r="O756"/>
      <c r="P756"/>
      <c r="Q756"/>
      <c r="R756"/>
    </row>
    <row r="757" spans="13:18" ht="12" x14ac:dyDescent="0.2">
      <c r="M757"/>
      <c r="N757"/>
      <c r="O757"/>
      <c r="P757"/>
      <c r="Q757"/>
      <c r="R757"/>
    </row>
    <row r="758" spans="13:18" ht="12" x14ac:dyDescent="0.2">
      <c r="M758"/>
      <c r="N758"/>
      <c r="O758"/>
      <c r="P758"/>
      <c r="Q758"/>
      <c r="R758"/>
    </row>
    <row r="759" spans="13:18" ht="12" x14ac:dyDescent="0.2">
      <c r="M759"/>
      <c r="N759"/>
      <c r="O759"/>
      <c r="P759"/>
      <c r="Q759"/>
      <c r="R759"/>
    </row>
    <row r="760" spans="13:18" ht="12" x14ac:dyDescent="0.2">
      <c r="M760"/>
      <c r="N760"/>
      <c r="O760"/>
      <c r="P760"/>
      <c r="Q760"/>
      <c r="R760"/>
    </row>
    <row r="761" spans="13:18" ht="12" x14ac:dyDescent="0.2">
      <c r="M761"/>
      <c r="N761"/>
      <c r="O761"/>
      <c r="P761"/>
      <c r="Q761"/>
      <c r="R761"/>
    </row>
    <row r="762" spans="13:18" ht="12" x14ac:dyDescent="0.2">
      <c r="M762"/>
      <c r="N762"/>
      <c r="O762"/>
      <c r="P762"/>
      <c r="Q762"/>
      <c r="R762"/>
    </row>
    <row r="763" spans="13:18" ht="12" x14ac:dyDescent="0.2">
      <c r="M763"/>
      <c r="N763"/>
      <c r="O763"/>
      <c r="P763"/>
      <c r="Q763"/>
      <c r="R763"/>
    </row>
    <row r="764" spans="13:18" ht="12" x14ac:dyDescent="0.2">
      <c r="M764"/>
      <c r="N764"/>
      <c r="O764"/>
      <c r="P764"/>
      <c r="Q764"/>
      <c r="R764"/>
    </row>
    <row r="765" spans="13:18" ht="12" x14ac:dyDescent="0.2">
      <c r="M765"/>
      <c r="N765"/>
      <c r="O765"/>
      <c r="P765"/>
      <c r="Q765"/>
      <c r="R765"/>
    </row>
    <row r="766" spans="13:18" ht="12" x14ac:dyDescent="0.2">
      <c r="M766"/>
      <c r="N766"/>
      <c r="O766"/>
      <c r="P766"/>
      <c r="Q766"/>
      <c r="R766"/>
    </row>
    <row r="767" spans="13:18" ht="12" x14ac:dyDescent="0.2">
      <c r="M767"/>
      <c r="N767"/>
      <c r="O767"/>
      <c r="P767"/>
      <c r="Q767"/>
      <c r="R767"/>
    </row>
    <row r="768" spans="13:18" ht="12" x14ac:dyDescent="0.2">
      <c r="M768"/>
      <c r="N768"/>
      <c r="O768"/>
      <c r="P768"/>
      <c r="Q768"/>
      <c r="R768"/>
    </row>
    <row r="769" spans="13:18" ht="12" x14ac:dyDescent="0.2">
      <c r="M769"/>
      <c r="N769"/>
      <c r="O769"/>
      <c r="P769"/>
      <c r="Q769"/>
      <c r="R769"/>
    </row>
    <row r="770" spans="13:18" ht="12" x14ac:dyDescent="0.2">
      <c r="M770"/>
      <c r="N770"/>
      <c r="O770"/>
      <c r="P770"/>
      <c r="Q770"/>
      <c r="R770"/>
    </row>
    <row r="771" spans="13:18" ht="12" x14ac:dyDescent="0.2">
      <c r="M771"/>
      <c r="N771"/>
      <c r="O771"/>
      <c r="P771"/>
      <c r="Q771"/>
      <c r="R771"/>
    </row>
    <row r="772" spans="13:18" ht="12" x14ac:dyDescent="0.2">
      <c r="M772"/>
      <c r="N772"/>
      <c r="O772"/>
      <c r="P772"/>
      <c r="Q772"/>
      <c r="R772"/>
    </row>
    <row r="773" spans="13:18" ht="12" x14ac:dyDescent="0.2">
      <c r="M773"/>
      <c r="N773"/>
      <c r="O773"/>
      <c r="P773"/>
      <c r="Q773"/>
      <c r="R773"/>
    </row>
    <row r="774" spans="13:18" ht="12" x14ac:dyDescent="0.2">
      <c r="M774"/>
      <c r="N774"/>
      <c r="O774"/>
      <c r="P774"/>
      <c r="Q774"/>
      <c r="R774"/>
    </row>
    <row r="775" spans="13:18" ht="12" x14ac:dyDescent="0.2">
      <c r="M775"/>
      <c r="N775"/>
      <c r="O775"/>
      <c r="P775"/>
      <c r="Q775"/>
      <c r="R775"/>
    </row>
    <row r="776" spans="13:18" ht="12" x14ac:dyDescent="0.2">
      <c r="M776"/>
      <c r="N776"/>
      <c r="O776"/>
      <c r="P776"/>
      <c r="Q776"/>
      <c r="R776"/>
    </row>
    <row r="777" spans="13:18" ht="12" x14ac:dyDescent="0.2">
      <c r="M777"/>
      <c r="N777"/>
      <c r="O777"/>
      <c r="P777"/>
      <c r="Q777"/>
      <c r="R777"/>
    </row>
    <row r="778" spans="13:18" ht="12" x14ac:dyDescent="0.2">
      <c r="M778"/>
      <c r="N778"/>
      <c r="O778"/>
      <c r="P778"/>
      <c r="Q778"/>
      <c r="R778"/>
    </row>
    <row r="779" spans="13:18" ht="12" x14ac:dyDescent="0.2">
      <c r="M779"/>
      <c r="N779"/>
      <c r="O779"/>
      <c r="P779"/>
      <c r="Q779"/>
      <c r="R779"/>
    </row>
    <row r="780" spans="13:18" ht="12" x14ac:dyDescent="0.2">
      <c r="M780"/>
      <c r="N780"/>
      <c r="O780"/>
      <c r="P780"/>
      <c r="Q780"/>
      <c r="R780"/>
    </row>
    <row r="781" spans="13:18" ht="12" x14ac:dyDescent="0.2">
      <c r="M781"/>
      <c r="N781"/>
      <c r="O781"/>
      <c r="P781"/>
      <c r="Q781"/>
      <c r="R781"/>
    </row>
    <row r="782" spans="13:18" ht="12" x14ac:dyDescent="0.2">
      <c r="M782"/>
      <c r="N782"/>
      <c r="O782"/>
      <c r="P782"/>
      <c r="Q782"/>
      <c r="R782"/>
    </row>
    <row r="783" spans="13:18" ht="12" x14ac:dyDescent="0.2">
      <c r="M783"/>
      <c r="N783"/>
      <c r="O783"/>
      <c r="P783"/>
      <c r="Q783"/>
      <c r="R783"/>
    </row>
    <row r="784" spans="13:18" ht="12" x14ac:dyDescent="0.2">
      <c r="M784"/>
      <c r="N784"/>
      <c r="O784"/>
      <c r="P784"/>
      <c r="Q784"/>
      <c r="R784"/>
    </row>
    <row r="785" spans="13:18" ht="12" x14ac:dyDescent="0.2">
      <c r="M785"/>
      <c r="N785"/>
      <c r="O785"/>
      <c r="P785"/>
      <c r="Q785"/>
      <c r="R785"/>
    </row>
    <row r="786" spans="13:18" ht="12" x14ac:dyDescent="0.2">
      <c r="M786"/>
      <c r="N786"/>
      <c r="O786"/>
      <c r="P786"/>
      <c r="Q786"/>
      <c r="R786"/>
    </row>
    <row r="787" spans="13:18" ht="12" x14ac:dyDescent="0.2">
      <c r="M787"/>
      <c r="N787"/>
      <c r="O787"/>
      <c r="P787"/>
      <c r="Q787"/>
      <c r="R787"/>
    </row>
    <row r="788" spans="13:18" ht="12" x14ac:dyDescent="0.2">
      <c r="M788"/>
      <c r="N788"/>
      <c r="O788"/>
      <c r="P788"/>
      <c r="Q788"/>
      <c r="R788"/>
    </row>
    <row r="789" spans="13:18" ht="12" x14ac:dyDescent="0.2">
      <c r="M789"/>
      <c r="N789"/>
      <c r="O789"/>
      <c r="P789"/>
      <c r="Q789"/>
      <c r="R789"/>
    </row>
    <row r="790" spans="13:18" ht="12" x14ac:dyDescent="0.2">
      <c r="M790"/>
      <c r="N790"/>
      <c r="O790"/>
      <c r="P790"/>
      <c r="Q790"/>
      <c r="R790"/>
    </row>
    <row r="791" spans="13:18" ht="12" x14ac:dyDescent="0.2">
      <c r="M791"/>
      <c r="N791"/>
      <c r="O791"/>
      <c r="P791"/>
      <c r="Q791"/>
      <c r="R791"/>
    </row>
    <row r="792" spans="13:18" ht="12" x14ac:dyDescent="0.2">
      <c r="M792"/>
      <c r="N792"/>
      <c r="O792"/>
      <c r="P792"/>
      <c r="Q792"/>
      <c r="R792"/>
    </row>
    <row r="793" spans="13:18" ht="12" x14ac:dyDescent="0.2">
      <c r="M793"/>
      <c r="N793"/>
      <c r="O793"/>
      <c r="P793"/>
      <c r="Q793"/>
      <c r="R793"/>
    </row>
    <row r="794" spans="13:18" ht="12" x14ac:dyDescent="0.2">
      <c r="M794"/>
      <c r="N794"/>
      <c r="O794"/>
      <c r="P794"/>
      <c r="Q794"/>
      <c r="R794"/>
    </row>
    <row r="795" spans="13:18" ht="12" x14ac:dyDescent="0.2">
      <c r="M795"/>
      <c r="N795"/>
      <c r="O795"/>
      <c r="P795"/>
      <c r="Q795"/>
      <c r="R795"/>
    </row>
    <row r="796" spans="13:18" ht="12" x14ac:dyDescent="0.2">
      <c r="M796"/>
      <c r="N796"/>
      <c r="O796"/>
      <c r="P796"/>
      <c r="Q796"/>
      <c r="R796"/>
    </row>
    <row r="797" spans="13:18" ht="12" x14ac:dyDescent="0.2">
      <c r="M797"/>
      <c r="N797"/>
      <c r="O797"/>
      <c r="P797"/>
      <c r="Q797"/>
      <c r="R797"/>
    </row>
    <row r="798" spans="13:18" ht="12" x14ac:dyDescent="0.2">
      <c r="M798"/>
      <c r="N798"/>
      <c r="O798"/>
      <c r="P798"/>
      <c r="Q798"/>
      <c r="R798"/>
    </row>
    <row r="799" spans="13:18" ht="12" x14ac:dyDescent="0.2">
      <c r="M799"/>
      <c r="N799"/>
      <c r="O799"/>
      <c r="P799"/>
      <c r="Q799"/>
      <c r="R799"/>
    </row>
    <row r="800" spans="13:18" ht="12" x14ac:dyDescent="0.2">
      <c r="M800"/>
      <c r="N800"/>
      <c r="O800"/>
      <c r="P800"/>
      <c r="Q800"/>
      <c r="R800"/>
    </row>
    <row r="801" spans="13:18" ht="12" x14ac:dyDescent="0.2">
      <c r="M801"/>
      <c r="N801"/>
      <c r="O801"/>
      <c r="P801"/>
      <c r="Q801"/>
      <c r="R801"/>
    </row>
    <row r="802" spans="13:18" ht="12" x14ac:dyDescent="0.2">
      <c r="M802"/>
      <c r="N802"/>
      <c r="O802"/>
      <c r="P802"/>
      <c r="Q802"/>
      <c r="R802"/>
    </row>
    <row r="803" spans="13:18" ht="12" x14ac:dyDescent="0.2">
      <c r="M803"/>
      <c r="N803"/>
      <c r="O803"/>
      <c r="P803"/>
      <c r="Q803"/>
      <c r="R803"/>
    </row>
    <row r="804" spans="13:18" ht="12" x14ac:dyDescent="0.2">
      <c r="M804"/>
      <c r="N804"/>
      <c r="O804"/>
      <c r="P804"/>
      <c r="Q804"/>
      <c r="R804"/>
    </row>
    <row r="805" spans="13:18" ht="12" x14ac:dyDescent="0.2">
      <c r="M805"/>
      <c r="N805"/>
      <c r="O805"/>
      <c r="P805"/>
      <c r="Q805"/>
      <c r="R805"/>
    </row>
    <row r="806" spans="13:18" ht="12" x14ac:dyDescent="0.2">
      <c r="M806"/>
      <c r="N806"/>
      <c r="O806"/>
      <c r="P806"/>
      <c r="Q806"/>
      <c r="R806"/>
    </row>
    <row r="807" spans="13:18" ht="12" x14ac:dyDescent="0.2">
      <c r="M807"/>
      <c r="N807"/>
      <c r="O807"/>
      <c r="P807"/>
      <c r="Q807"/>
      <c r="R807"/>
    </row>
    <row r="808" spans="13:18" ht="12" x14ac:dyDescent="0.2">
      <c r="M808"/>
      <c r="N808"/>
      <c r="O808"/>
      <c r="P808"/>
      <c r="Q808"/>
      <c r="R808"/>
    </row>
    <row r="809" spans="13:18" ht="12" x14ac:dyDescent="0.2">
      <c r="M809"/>
      <c r="N809"/>
      <c r="O809"/>
      <c r="P809"/>
      <c r="Q809"/>
      <c r="R809"/>
    </row>
    <row r="810" spans="13:18" ht="12" x14ac:dyDescent="0.2">
      <c r="M810"/>
      <c r="N810"/>
      <c r="O810"/>
      <c r="P810"/>
      <c r="Q810"/>
      <c r="R810"/>
    </row>
    <row r="811" spans="13:18" ht="12" x14ac:dyDescent="0.2">
      <c r="M811"/>
      <c r="N811"/>
      <c r="O811"/>
      <c r="P811"/>
      <c r="Q811"/>
      <c r="R811"/>
    </row>
    <row r="812" spans="13:18" ht="12" x14ac:dyDescent="0.2">
      <c r="M812"/>
      <c r="N812"/>
      <c r="O812"/>
      <c r="P812"/>
      <c r="Q812"/>
      <c r="R812"/>
    </row>
    <row r="813" spans="13:18" ht="12" x14ac:dyDescent="0.2">
      <c r="M813"/>
      <c r="N813"/>
      <c r="O813"/>
      <c r="P813"/>
      <c r="Q813"/>
      <c r="R813"/>
    </row>
    <row r="814" spans="13:18" ht="12" x14ac:dyDescent="0.2">
      <c r="M814"/>
      <c r="N814"/>
      <c r="O814"/>
      <c r="P814"/>
      <c r="Q814"/>
      <c r="R814"/>
    </row>
    <row r="815" spans="13:18" ht="12" x14ac:dyDescent="0.2">
      <c r="M815"/>
      <c r="N815"/>
      <c r="O815"/>
      <c r="P815"/>
      <c r="Q815"/>
      <c r="R815"/>
    </row>
    <row r="816" spans="13:18" ht="12" x14ac:dyDescent="0.2">
      <c r="M816"/>
      <c r="N816"/>
      <c r="O816"/>
      <c r="P816"/>
      <c r="Q816"/>
      <c r="R816"/>
    </row>
    <row r="817" spans="13:18" ht="12" x14ac:dyDescent="0.2">
      <c r="M817"/>
      <c r="N817"/>
      <c r="O817"/>
      <c r="P817"/>
      <c r="Q817"/>
      <c r="R817"/>
    </row>
    <row r="818" spans="13:18" ht="12" x14ac:dyDescent="0.2">
      <c r="M818"/>
      <c r="N818"/>
      <c r="O818"/>
      <c r="P818"/>
      <c r="Q818"/>
      <c r="R818"/>
    </row>
    <row r="819" spans="13:18" ht="12" x14ac:dyDescent="0.2">
      <c r="M819"/>
      <c r="N819"/>
      <c r="O819"/>
      <c r="P819"/>
      <c r="Q819"/>
      <c r="R819"/>
    </row>
    <row r="820" spans="13:18" ht="12" x14ac:dyDescent="0.2">
      <c r="M820"/>
      <c r="N820"/>
      <c r="O820"/>
      <c r="P820"/>
      <c r="Q820"/>
      <c r="R820"/>
    </row>
    <row r="821" spans="13:18" ht="12" x14ac:dyDescent="0.2">
      <c r="M821"/>
      <c r="N821"/>
      <c r="O821"/>
      <c r="P821"/>
      <c r="Q821"/>
      <c r="R821"/>
    </row>
    <row r="822" spans="13:18" ht="12" x14ac:dyDescent="0.2">
      <c r="M822"/>
      <c r="N822"/>
      <c r="O822"/>
      <c r="P822"/>
      <c r="Q822"/>
      <c r="R822"/>
    </row>
    <row r="823" spans="13:18" ht="12" x14ac:dyDescent="0.2">
      <c r="M823"/>
      <c r="N823"/>
      <c r="O823"/>
      <c r="P823"/>
      <c r="Q823"/>
      <c r="R823"/>
    </row>
    <row r="824" spans="13:18" ht="12" x14ac:dyDescent="0.2">
      <c r="M824"/>
      <c r="N824"/>
      <c r="O824"/>
      <c r="P824"/>
      <c r="Q824"/>
      <c r="R824"/>
    </row>
    <row r="825" spans="13:18" ht="12" x14ac:dyDescent="0.2">
      <c r="M825"/>
      <c r="N825"/>
      <c r="O825"/>
      <c r="P825"/>
      <c r="Q825"/>
      <c r="R825"/>
    </row>
    <row r="826" spans="13:18" ht="12" x14ac:dyDescent="0.2">
      <c r="M826"/>
      <c r="N826"/>
      <c r="O826"/>
      <c r="P826"/>
      <c r="Q826"/>
      <c r="R826"/>
    </row>
    <row r="827" spans="13:18" ht="12" x14ac:dyDescent="0.2">
      <c r="M827"/>
      <c r="N827"/>
      <c r="O827"/>
      <c r="P827"/>
      <c r="Q827"/>
      <c r="R827"/>
    </row>
    <row r="828" spans="13:18" ht="12" x14ac:dyDescent="0.2">
      <c r="M828"/>
      <c r="N828"/>
      <c r="O828"/>
      <c r="P828"/>
      <c r="Q828"/>
      <c r="R828"/>
    </row>
    <row r="829" spans="13:18" ht="12" x14ac:dyDescent="0.2">
      <c r="M829"/>
      <c r="N829"/>
      <c r="O829"/>
      <c r="P829"/>
      <c r="Q829"/>
      <c r="R829"/>
    </row>
    <row r="830" spans="13:18" ht="12" x14ac:dyDescent="0.2">
      <c r="M830"/>
      <c r="N830"/>
      <c r="O830"/>
      <c r="P830"/>
      <c r="Q830"/>
      <c r="R830"/>
    </row>
    <row r="831" spans="13:18" ht="12" x14ac:dyDescent="0.2">
      <c r="M831"/>
      <c r="N831"/>
      <c r="O831"/>
      <c r="P831"/>
      <c r="Q831"/>
      <c r="R831"/>
    </row>
    <row r="832" spans="13:18" ht="12" x14ac:dyDescent="0.2">
      <c r="M832"/>
      <c r="N832"/>
      <c r="O832"/>
      <c r="P832"/>
      <c r="Q832"/>
      <c r="R832"/>
    </row>
    <row r="833" spans="13:18" ht="12" x14ac:dyDescent="0.2">
      <c r="M833"/>
      <c r="N833"/>
      <c r="O833"/>
      <c r="P833"/>
      <c r="Q833"/>
      <c r="R833"/>
    </row>
    <row r="834" spans="13:18" ht="12" x14ac:dyDescent="0.2">
      <c r="M834"/>
      <c r="N834"/>
      <c r="O834"/>
      <c r="P834"/>
      <c r="Q834"/>
      <c r="R834"/>
    </row>
    <row r="835" spans="13:18" ht="12" x14ac:dyDescent="0.2">
      <c r="M835"/>
      <c r="N835"/>
      <c r="O835"/>
      <c r="P835"/>
      <c r="Q835"/>
      <c r="R835"/>
    </row>
    <row r="836" spans="13:18" ht="12" x14ac:dyDescent="0.2">
      <c r="M836"/>
      <c r="N836"/>
      <c r="O836"/>
      <c r="P836"/>
      <c r="Q836"/>
      <c r="R836"/>
    </row>
    <row r="837" spans="13:18" ht="12" x14ac:dyDescent="0.2">
      <c r="M837"/>
      <c r="N837"/>
      <c r="O837"/>
      <c r="P837"/>
      <c r="Q837"/>
      <c r="R837"/>
    </row>
    <row r="838" spans="13:18" ht="12" x14ac:dyDescent="0.2">
      <c r="M838"/>
      <c r="N838"/>
      <c r="O838"/>
      <c r="P838"/>
      <c r="Q838"/>
      <c r="R838"/>
    </row>
    <row r="839" spans="13:18" ht="12" x14ac:dyDescent="0.2">
      <c r="M839"/>
      <c r="N839"/>
      <c r="O839"/>
      <c r="P839"/>
      <c r="Q839"/>
      <c r="R839"/>
    </row>
    <row r="840" spans="13:18" ht="12" x14ac:dyDescent="0.2">
      <c r="M840"/>
      <c r="N840"/>
      <c r="O840"/>
      <c r="P840"/>
      <c r="Q840"/>
      <c r="R840"/>
    </row>
    <row r="841" spans="13:18" ht="12" x14ac:dyDescent="0.2">
      <c r="M841"/>
      <c r="N841"/>
      <c r="O841"/>
      <c r="P841"/>
      <c r="Q841"/>
      <c r="R841"/>
    </row>
    <row r="842" spans="13:18" ht="12" x14ac:dyDescent="0.2">
      <c r="M842"/>
      <c r="N842"/>
      <c r="O842"/>
      <c r="P842"/>
      <c r="Q842"/>
      <c r="R842"/>
    </row>
    <row r="843" spans="13:18" ht="12" x14ac:dyDescent="0.2">
      <c r="M843"/>
      <c r="N843"/>
      <c r="O843"/>
      <c r="P843"/>
      <c r="Q843"/>
      <c r="R843"/>
    </row>
    <row r="844" spans="13:18" ht="12" x14ac:dyDescent="0.2">
      <c r="M844"/>
      <c r="N844"/>
      <c r="O844"/>
      <c r="P844"/>
      <c r="Q844"/>
      <c r="R844"/>
    </row>
    <row r="845" spans="13:18" ht="12" x14ac:dyDescent="0.2">
      <c r="M845"/>
      <c r="N845"/>
      <c r="O845"/>
      <c r="P845"/>
      <c r="Q845"/>
      <c r="R845"/>
    </row>
    <row r="846" spans="13:18" ht="12" x14ac:dyDescent="0.2">
      <c r="M846"/>
      <c r="N846"/>
      <c r="O846"/>
      <c r="P846"/>
      <c r="Q846"/>
      <c r="R846"/>
    </row>
    <row r="847" spans="13:18" ht="12" x14ac:dyDescent="0.2">
      <c r="M847"/>
      <c r="N847"/>
      <c r="O847"/>
      <c r="P847"/>
      <c r="Q847"/>
      <c r="R847"/>
    </row>
    <row r="848" spans="13:18" ht="12" x14ac:dyDescent="0.2">
      <c r="M848"/>
      <c r="N848"/>
      <c r="O848"/>
      <c r="P848"/>
      <c r="Q848"/>
      <c r="R848"/>
    </row>
    <row r="849" spans="13:18" ht="12" x14ac:dyDescent="0.2">
      <c r="M849"/>
      <c r="N849"/>
      <c r="O849"/>
      <c r="P849"/>
      <c r="Q849"/>
      <c r="R849"/>
    </row>
    <row r="850" spans="13:18" ht="12" x14ac:dyDescent="0.2">
      <c r="M850"/>
      <c r="N850"/>
      <c r="O850"/>
      <c r="P850"/>
      <c r="Q850"/>
      <c r="R850"/>
    </row>
    <row r="851" spans="13:18" ht="12" x14ac:dyDescent="0.2">
      <c r="M851"/>
      <c r="N851"/>
      <c r="O851"/>
      <c r="P851"/>
      <c r="Q851"/>
      <c r="R851"/>
    </row>
    <row r="852" spans="13:18" ht="12" x14ac:dyDescent="0.2">
      <c r="M852"/>
      <c r="N852"/>
      <c r="O852"/>
      <c r="P852"/>
      <c r="Q852"/>
      <c r="R852"/>
    </row>
    <row r="853" spans="13:18" ht="12" x14ac:dyDescent="0.2">
      <c r="M853"/>
      <c r="N853"/>
      <c r="O853"/>
      <c r="P853"/>
      <c r="Q853"/>
      <c r="R853"/>
    </row>
    <row r="854" spans="13:18" ht="12" x14ac:dyDescent="0.2">
      <c r="M854"/>
      <c r="N854"/>
      <c r="O854"/>
      <c r="P854"/>
      <c r="Q854"/>
      <c r="R854"/>
    </row>
    <row r="855" spans="13:18" ht="12" x14ac:dyDescent="0.2">
      <c r="M855"/>
      <c r="N855"/>
      <c r="O855"/>
      <c r="P855"/>
      <c r="Q855"/>
      <c r="R855"/>
    </row>
    <row r="856" spans="13:18" ht="12" x14ac:dyDescent="0.2">
      <c r="M856"/>
      <c r="N856"/>
      <c r="O856"/>
      <c r="P856"/>
      <c r="Q856"/>
      <c r="R856"/>
    </row>
    <row r="857" spans="13:18" ht="12" x14ac:dyDescent="0.2">
      <c r="M857"/>
      <c r="N857"/>
      <c r="O857"/>
      <c r="P857"/>
      <c r="Q857"/>
      <c r="R857"/>
    </row>
    <row r="858" spans="13:18" ht="12" x14ac:dyDescent="0.2">
      <c r="M858"/>
      <c r="N858"/>
      <c r="O858"/>
      <c r="P858"/>
      <c r="Q858"/>
      <c r="R858"/>
    </row>
    <row r="859" spans="13:18" ht="12" x14ac:dyDescent="0.2">
      <c r="M859"/>
      <c r="N859"/>
      <c r="O859"/>
      <c r="P859"/>
      <c r="Q859"/>
      <c r="R859"/>
    </row>
    <row r="860" spans="13:18" ht="12" x14ac:dyDescent="0.2">
      <c r="M860"/>
      <c r="N860"/>
      <c r="O860"/>
      <c r="P860"/>
      <c r="Q860"/>
      <c r="R860"/>
    </row>
    <row r="861" spans="13:18" ht="12" x14ac:dyDescent="0.2">
      <c r="M861"/>
      <c r="N861"/>
      <c r="O861"/>
      <c r="P861"/>
      <c r="Q861"/>
      <c r="R861"/>
    </row>
    <row r="862" spans="13:18" ht="12" x14ac:dyDescent="0.2">
      <c r="M862"/>
      <c r="N862"/>
      <c r="O862"/>
      <c r="P862"/>
      <c r="Q862"/>
      <c r="R862"/>
    </row>
    <row r="863" spans="13:18" ht="12" x14ac:dyDescent="0.2">
      <c r="M863"/>
      <c r="N863"/>
      <c r="O863"/>
      <c r="P863"/>
      <c r="Q863"/>
      <c r="R863"/>
    </row>
    <row r="864" spans="13:18" ht="12" x14ac:dyDescent="0.2">
      <c r="M864"/>
      <c r="N864"/>
      <c r="O864"/>
      <c r="P864"/>
      <c r="Q864"/>
      <c r="R864"/>
    </row>
    <row r="865" spans="13:18" ht="12" x14ac:dyDescent="0.2">
      <c r="M865"/>
      <c r="N865"/>
      <c r="O865"/>
      <c r="P865"/>
      <c r="Q865"/>
      <c r="R865"/>
    </row>
    <row r="866" spans="13:18" ht="12" x14ac:dyDescent="0.2">
      <c r="M866"/>
      <c r="N866"/>
      <c r="O866"/>
      <c r="P866"/>
      <c r="Q866"/>
      <c r="R866"/>
    </row>
    <row r="867" spans="13:18" ht="12" x14ac:dyDescent="0.2">
      <c r="M867"/>
      <c r="N867"/>
      <c r="O867"/>
      <c r="P867"/>
      <c r="Q867"/>
      <c r="R867"/>
    </row>
    <row r="868" spans="13:18" ht="12" x14ac:dyDescent="0.2">
      <c r="M868"/>
      <c r="N868"/>
      <c r="O868"/>
      <c r="P868"/>
      <c r="Q868"/>
      <c r="R868"/>
    </row>
    <row r="869" spans="13:18" ht="12" x14ac:dyDescent="0.2">
      <c r="M869"/>
      <c r="N869"/>
      <c r="O869"/>
      <c r="P869"/>
      <c r="Q869"/>
      <c r="R869"/>
    </row>
    <row r="870" spans="13:18" ht="12" x14ac:dyDescent="0.2">
      <c r="M870"/>
      <c r="N870"/>
      <c r="O870"/>
      <c r="P870"/>
      <c r="Q870"/>
      <c r="R870"/>
    </row>
    <row r="871" spans="13:18" ht="12" x14ac:dyDescent="0.2">
      <c r="M871"/>
      <c r="N871"/>
      <c r="O871"/>
      <c r="P871"/>
      <c r="Q871"/>
      <c r="R871"/>
    </row>
    <row r="872" spans="13:18" ht="12" x14ac:dyDescent="0.2">
      <c r="M872"/>
      <c r="N872"/>
      <c r="O872"/>
      <c r="P872"/>
      <c r="Q872"/>
      <c r="R872"/>
    </row>
    <row r="873" spans="13:18" ht="12" x14ac:dyDescent="0.2">
      <c r="M873"/>
      <c r="N873"/>
      <c r="O873"/>
      <c r="P873"/>
      <c r="Q873"/>
      <c r="R873"/>
    </row>
    <row r="874" spans="13:18" ht="12" x14ac:dyDescent="0.2">
      <c r="M874"/>
      <c r="N874"/>
      <c r="O874"/>
      <c r="P874"/>
      <c r="Q874"/>
      <c r="R874"/>
    </row>
    <row r="875" spans="13:18" ht="12" x14ac:dyDescent="0.2">
      <c r="M875"/>
      <c r="N875"/>
      <c r="O875"/>
      <c r="P875"/>
      <c r="Q875"/>
      <c r="R875"/>
    </row>
    <row r="876" spans="13:18" ht="12" x14ac:dyDescent="0.2">
      <c r="M876"/>
      <c r="N876"/>
      <c r="O876"/>
      <c r="P876"/>
      <c r="Q876"/>
      <c r="R876"/>
    </row>
    <row r="877" spans="13:18" ht="12" x14ac:dyDescent="0.2">
      <c r="M877"/>
      <c r="N877"/>
      <c r="O877"/>
      <c r="P877"/>
      <c r="Q877"/>
      <c r="R877"/>
    </row>
    <row r="878" spans="13:18" ht="12" x14ac:dyDescent="0.2">
      <c r="M878"/>
      <c r="N878"/>
      <c r="O878"/>
      <c r="P878"/>
      <c r="Q878"/>
      <c r="R878"/>
    </row>
    <row r="879" spans="13:18" ht="12" x14ac:dyDescent="0.2">
      <c r="M879"/>
      <c r="N879"/>
      <c r="O879"/>
      <c r="P879"/>
      <c r="Q879"/>
      <c r="R879"/>
    </row>
    <row r="880" spans="13:18" ht="12" x14ac:dyDescent="0.2">
      <c r="M880"/>
      <c r="N880"/>
      <c r="O880"/>
      <c r="P880"/>
      <c r="Q880"/>
      <c r="R880"/>
    </row>
    <row r="881" spans="13:18" ht="12" x14ac:dyDescent="0.2">
      <c r="M881"/>
      <c r="N881"/>
      <c r="O881"/>
      <c r="P881"/>
      <c r="Q881"/>
      <c r="R881"/>
    </row>
    <row r="882" spans="13:18" ht="12" x14ac:dyDescent="0.2">
      <c r="M882"/>
      <c r="N882"/>
      <c r="O882"/>
      <c r="P882"/>
      <c r="Q882"/>
      <c r="R882"/>
    </row>
    <row r="883" spans="13:18" ht="12" x14ac:dyDescent="0.2">
      <c r="M883"/>
      <c r="N883"/>
      <c r="O883"/>
      <c r="P883"/>
      <c r="Q883"/>
      <c r="R883"/>
    </row>
    <row r="884" spans="13:18" ht="12" x14ac:dyDescent="0.2">
      <c r="M884"/>
      <c r="N884"/>
      <c r="O884"/>
      <c r="P884"/>
      <c r="Q884"/>
      <c r="R884"/>
    </row>
    <row r="885" spans="13:18" ht="12" x14ac:dyDescent="0.2">
      <c r="M885"/>
      <c r="N885"/>
      <c r="O885"/>
      <c r="P885"/>
      <c r="Q885"/>
      <c r="R885"/>
    </row>
    <row r="886" spans="13:18" ht="12" x14ac:dyDescent="0.2">
      <c r="M886"/>
      <c r="N886"/>
      <c r="O886"/>
      <c r="P886"/>
      <c r="Q886"/>
      <c r="R886"/>
    </row>
    <row r="887" spans="13:18" ht="12" x14ac:dyDescent="0.2">
      <c r="M887"/>
      <c r="N887"/>
      <c r="O887"/>
      <c r="P887"/>
      <c r="Q887"/>
      <c r="R887"/>
    </row>
    <row r="888" spans="13:18" ht="12" x14ac:dyDescent="0.2">
      <c r="M888"/>
      <c r="N888"/>
      <c r="O888"/>
      <c r="P888"/>
      <c r="Q888"/>
      <c r="R888"/>
    </row>
    <row r="889" spans="13:18" ht="12" x14ac:dyDescent="0.2">
      <c r="M889"/>
      <c r="N889"/>
      <c r="O889"/>
      <c r="P889"/>
      <c r="Q889"/>
      <c r="R889"/>
    </row>
    <row r="890" spans="13:18" ht="12" x14ac:dyDescent="0.2">
      <c r="M890"/>
      <c r="N890"/>
      <c r="O890"/>
      <c r="P890"/>
      <c r="Q890"/>
      <c r="R890"/>
    </row>
    <row r="891" spans="13:18" ht="12" x14ac:dyDescent="0.2">
      <c r="M891"/>
      <c r="N891"/>
      <c r="O891"/>
      <c r="P891"/>
      <c r="Q891"/>
      <c r="R891"/>
    </row>
    <row r="892" spans="13:18" ht="12" x14ac:dyDescent="0.2">
      <c r="M892"/>
      <c r="N892"/>
      <c r="O892"/>
      <c r="P892"/>
      <c r="Q892"/>
      <c r="R892"/>
    </row>
    <row r="893" spans="13:18" ht="12" x14ac:dyDescent="0.2">
      <c r="M893"/>
      <c r="N893"/>
      <c r="O893"/>
      <c r="P893"/>
      <c r="Q893"/>
      <c r="R893"/>
    </row>
    <row r="894" spans="13:18" ht="12" x14ac:dyDescent="0.2">
      <c r="M894"/>
      <c r="N894"/>
      <c r="O894"/>
      <c r="P894"/>
      <c r="Q894"/>
      <c r="R894"/>
    </row>
    <row r="895" spans="13:18" ht="12" x14ac:dyDescent="0.2">
      <c r="M895"/>
      <c r="N895"/>
      <c r="O895"/>
      <c r="P895"/>
      <c r="Q895"/>
      <c r="R895"/>
    </row>
    <row r="896" spans="13:18" ht="12" x14ac:dyDescent="0.2">
      <c r="M896"/>
      <c r="N896"/>
      <c r="O896"/>
      <c r="P896"/>
      <c r="Q896"/>
      <c r="R896"/>
    </row>
    <row r="897" spans="13:18" ht="12" x14ac:dyDescent="0.2">
      <c r="M897"/>
      <c r="N897"/>
      <c r="O897"/>
      <c r="P897"/>
      <c r="Q897"/>
      <c r="R897"/>
    </row>
    <row r="898" spans="13:18" ht="12" x14ac:dyDescent="0.2">
      <c r="M898"/>
      <c r="N898"/>
      <c r="O898"/>
      <c r="P898"/>
      <c r="Q898"/>
      <c r="R898"/>
    </row>
    <row r="899" spans="13:18" ht="12" x14ac:dyDescent="0.2">
      <c r="M899"/>
      <c r="N899"/>
      <c r="O899"/>
      <c r="P899"/>
      <c r="Q899"/>
      <c r="R899"/>
    </row>
    <row r="900" spans="13:18" ht="12" x14ac:dyDescent="0.2">
      <c r="M900"/>
      <c r="N900"/>
      <c r="O900"/>
      <c r="P900"/>
      <c r="Q900"/>
      <c r="R900"/>
    </row>
    <row r="901" spans="13:18" ht="12" x14ac:dyDescent="0.2">
      <c r="M901"/>
      <c r="N901"/>
      <c r="O901"/>
      <c r="P901"/>
      <c r="Q901"/>
      <c r="R901"/>
    </row>
    <row r="902" spans="13:18" ht="12" x14ac:dyDescent="0.2">
      <c r="M902"/>
      <c r="N902"/>
      <c r="O902"/>
      <c r="P902"/>
      <c r="Q902"/>
      <c r="R902"/>
    </row>
    <row r="903" spans="13:18" ht="12" x14ac:dyDescent="0.2">
      <c r="M903"/>
      <c r="N903"/>
      <c r="O903"/>
      <c r="P903"/>
      <c r="Q903"/>
      <c r="R903"/>
    </row>
    <row r="904" spans="13:18" ht="12" x14ac:dyDescent="0.2">
      <c r="M904"/>
      <c r="N904"/>
      <c r="O904"/>
      <c r="P904"/>
      <c r="Q904"/>
      <c r="R904"/>
    </row>
    <row r="905" spans="13:18" ht="12" x14ac:dyDescent="0.2">
      <c r="M905"/>
      <c r="N905"/>
      <c r="O905"/>
      <c r="P905"/>
      <c r="Q905"/>
      <c r="R905"/>
    </row>
    <row r="906" spans="13:18" ht="12" x14ac:dyDescent="0.2">
      <c r="M906"/>
      <c r="N906"/>
      <c r="O906"/>
      <c r="P906"/>
      <c r="Q906"/>
      <c r="R906"/>
    </row>
    <row r="907" spans="13:18" ht="12" x14ac:dyDescent="0.2">
      <c r="M907"/>
      <c r="N907"/>
      <c r="O907"/>
      <c r="P907"/>
      <c r="Q907"/>
      <c r="R907"/>
    </row>
    <row r="908" spans="13:18" ht="12" x14ac:dyDescent="0.2">
      <c r="M908"/>
      <c r="N908"/>
      <c r="O908"/>
      <c r="P908"/>
      <c r="Q908"/>
      <c r="R908"/>
    </row>
    <row r="909" spans="13:18" ht="12" x14ac:dyDescent="0.2">
      <c r="M909"/>
      <c r="N909"/>
      <c r="O909"/>
      <c r="P909"/>
      <c r="Q909"/>
      <c r="R909"/>
    </row>
    <row r="910" spans="13:18" ht="12" x14ac:dyDescent="0.2">
      <c r="M910"/>
      <c r="N910"/>
      <c r="O910"/>
      <c r="P910"/>
      <c r="Q910"/>
      <c r="R910"/>
    </row>
    <row r="911" spans="13:18" ht="12" x14ac:dyDescent="0.2">
      <c r="M911"/>
      <c r="N911"/>
      <c r="O911"/>
      <c r="P911"/>
      <c r="Q911"/>
      <c r="R911"/>
    </row>
    <row r="912" spans="13:18" ht="12" x14ac:dyDescent="0.2">
      <c r="M912"/>
      <c r="N912"/>
      <c r="O912"/>
      <c r="P912"/>
      <c r="Q912"/>
      <c r="R912"/>
    </row>
    <row r="913" spans="13:18" ht="12" x14ac:dyDescent="0.2">
      <c r="M913"/>
      <c r="N913"/>
      <c r="O913"/>
      <c r="P913"/>
      <c r="Q913"/>
      <c r="R913"/>
    </row>
    <row r="914" spans="13:18" ht="12" x14ac:dyDescent="0.2">
      <c r="M914"/>
      <c r="N914"/>
      <c r="O914"/>
      <c r="P914"/>
      <c r="Q914"/>
      <c r="R914"/>
    </row>
    <row r="915" spans="13:18" ht="12" x14ac:dyDescent="0.2">
      <c r="M915"/>
      <c r="N915"/>
      <c r="O915"/>
      <c r="P915"/>
      <c r="Q915"/>
      <c r="R915"/>
    </row>
    <row r="916" spans="13:18" ht="12" x14ac:dyDescent="0.2">
      <c r="M916"/>
      <c r="N916"/>
      <c r="O916"/>
      <c r="P916"/>
      <c r="Q916"/>
      <c r="R916"/>
    </row>
    <row r="917" spans="13:18" ht="12" x14ac:dyDescent="0.2">
      <c r="M917"/>
      <c r="N917"/>
      <c r="O917"/>
      <c r="P917"/>
      <c r="Q917"/>
      <c r="R917"/>
    </row>
    <row r="918" spans="13:18" ht="12" x14ac:dyDescent="0.2">
      <c r="M918"/>
      <c r="N918"/>
      <c r="O918"/>
      <c r="P918"/>
      <c r="Q918"/>
      <c r="R918"/>
    </row>
    <row r="919" spans="13:18" ht="12" x14ac:dyDescent="0.2">
      <c r="M919"/>
      <c r="N919"/>
      <c r="O919"/>
      <c r="P919"/>
      <c r="Q919"/>
      <c r="R919"/>
    </row>
    <row r="920" spans="13:18" ht="12" x14ac:dyDescent="0.2">
      <c r="M920"/>
      <c r="N920"/>
      <c r="O920"/>
      <c r="P920"/>
      <c r="Q920"/>
      <c r="R920"/>
    </row>
    <row r="921" spans="13:18" ht="12" x14ac:dyDescent="0.2">
      <c r="M921"/>
      <c r="N921"/>
      <c r="O921"/>
      <c r="P921"/>
      <c r="Q921"/>
      <c r="R921"/>
    </row>
    <row r="922" spans="13:18" ht="12" x14ac:dyDescent="0.2">
      <c r="M922"/>
      <c r="N922"/>
      <c r="O922"/>
      <c r="P922"/>
      <c r="Q922"/>
      <c r="R922"/>
    </row>
    <row r="923" spans="13:18" ht="12" x14ac:dyDescent="0.2">
      <c r="M923"/>
      <c r="N923"/>
      <c r="O923"/>
      <c r="P923"/>
      <c r="Q923"/>
      <c r="R923"/>
    </row>
    <row r="924" spans="13:18" ht="12" x14ac:dyDescent="0.2">
      <c r="M924"/>
      <c r="N924"/>
      <c r="O924"/>
      <c r="P924"/>
      <c r="Q924"/>
      <c r="R924"/>
    </row>
    <row r="925" spans="13:18" ht="12" x14ac:dyDescent="0.2">
      <c r="M925"/>
      <c r="N925"/>
      <c r="O925"/>
      <c r="P925"/>
      <c r="Q925"/>
      <c r="R925"/>
    </row>
    <row r="926" spans="13:18" ht="12" x14ac:dyDescent="0.2">
      <c r="M926"/>
      <c r="N926"/>
      <c r="O926"/>
      <c r="P926"/>
      <c r="Q926"/>
      <c r="R926"/>
    </row>
    <row r="927" spans="13:18" ht="12" x14ac:dyDescent="0.2">
      <c r="M927"/>
      <c r="N927"/>
      <c r="O927"/>
      <c r="P927"/>
      <c r="Q927"/>
      <c r="R927"/>
    </row>
    <row r="928" spans="13:18" ht="12" x14ac:dyDescent="0.2">
      <c r="M928"/>
      <c r="N928"/>
      <c r="O928"/>
      <c r="P928"/>
      <c r="Q928"/>
      <c r="R928"/>
    </row>
    <row r="929" spans="13:18" ht="12" x14ac:dyDescent="0.2">
      <c r="M929"/>
      <c r="N929"/>
      <c r="O929"/>
      <c r="P929"/>
      <c r="Q929"/>
      <c r="R929"/>
    </row>
    <row r="930" spans="13:18" ht="12" x14ac:dyDescent="0.2">
      <c r="M930"/>
      <c r="N930"/>
      <c r="O930"/>
      <c r="P930"/>
      <c r="Q930"/>
      <c r="R930"/>
    </row>
    <row r="931" spans="13:18" ht="12" x14ac:dyDescent="0.2">
      <c r="M931"/>
      <c r="N931"/>
      <c r="O931"/>
      <c r="P931"/>
      <c r="Q931"/>
      <c r="R931"/>
    </row>
    <row r="932" spans="13:18" ht="12" x14ac:dyDescent="0.2">
      <c r="M932"/>
      <c r="N932"/>
      <c r="O932"/>
      <c r="P932"/>
      <c r="Q932"/>
      <c r="R932"/>
    </row>
    <row r="933" spans="13:18" ht="12" x14ac:dyDescent="0.2">
      <c r="M933"/>
      <c r="N933"/>
      <c r="O933"/>
      <c r="P933"/>
      <c r="Q933"/>
      <c r="R933"/>
    </row>
    <row r="934" spans="13:18" ht="12" x14ac:dyDescent="0.2">
      <c r="M934"/>
      <c r="N934"/>
      <c r="O934"/>
      <c r="P934"/>
      <c r="Q934"/>
      <c r="R934"/>
    </row>
    <row r="935" spans="13:18" ht="12" x14ac:dyDescent="0.2">
      <c r="M935"/>
      <c r="N935"/>
      <c r="O935"/>
      <c r="P935"/>
      <c r="Q935"/>
      <c r="R935"/>
    </row>
    <row r="936" spans="13:18" ht="12" x14ac:dyDescent="0.2">
      <c r="M936"/>
      <c r="N936"/>
      <c r="O936"/>
      <c r="P936"/>
      <c r="Q936"/>
      <c r="R936"/>
    </row>
    <row r="937" spans="13:18" ht="12" x14ac:dyDescent="0.2">
      <c r="M937"/>
      <c r="N937"/>
      <c r="O937"/>
      <c r="P937"/>
      <c r="Q937"/>
      <c r="R937"/>
    </row>
    <row r="938" spans="13:18" ht="12" x14ac:dyDescent="0.2">
      <c r="M938"/>
      <c r="N938"/>
      <c r="O938"/>
      <c r="P938"/>
      <c r="Q938"/>
      <c r="R938"/>
    </row>
    <row r="939" spans="13:18" ht="12" x14ac:dyDescent="0.2">
      <c r="M939"/>
      <c r="N939"/>
      <c r="O939"/>
      <c r="P939"/>
      <c r="Q939"/>
      <c r="R939"/>
    </row>
    <row r="940" spans="13:18" ht="12" x14ac:dyDescent="0.2">
      <c r="M940"/>
      <c r="N940"/>
      <c r="O940"/>
      <c r="P940"/>
      <c r="Q940"/>
      <c r="R940"/>
    </row>
    <row r="941" spans="13:18" ht="12" x14ac:dyDescent="0.2">
      <c r="M941"/>
      <c r="N941"/>
      <c r="O941"/>
      <c r="P941"/>
      <c r="Q941"/>
      <c r="R941"/>
    </row>
    <row r="942" spans="13:18" ht="12" x14ac:dyDescent="0.2">
      <c r="M942"/>
      <c r="N942"/>
      <c r="O942"/>
      <c r="P942"/>
      <c r="Q942"/>
      <c r="R942"/>
    </row>
    <row r="943" spans="13:18" ht="12" x14ac:dyDescent="0.2">
      <c r="M943"/>
      <c r="N943"/>
      <c r="O943"/>
      <c r="P943"/>
      <c r="Q943"/>
      <c r="R943"/>
    </row>
    <row r="944" spans="13:18" ht="12" x14ac:dyDescent="0.2">
      <c r="M944"/>
      <c r="N944"/>
      <c r="O944"/>
      <c r="P944"/>
      <c r="Q944"/>
      <c r="R944"/>
    </row>
    <row r="945" spans="13:18" ht="12" x14ac:dyDescent="0.2">
      <c r="M945"/>
      <c r="N945"/>
      <c r="O945"/>
      <c r="P945"/>
      <c r="Q945"/>
      <c r="R945"/>
    </row>
    <row r="946" spans="13:18" ht="12" x14ac:dyDescent="0.2">
      <c r="M946"/>
      <c r="N946"/>
      <c r="O946"/>
      <c r="P946"/>
      <c r="Q946"/>
      <c r="R946"/>
    </row>
    <row r="947" spans="13:18" ht="12" x14ac:dyDescent="0.2">
      <c r="M947"/>
      <c r="N947"/>
      <c r="O947"/>
      <c r="P947"/>
      <c r="Q947"/>
      <c r="R947"/>
    </row>
    <row r="948" spans="13:18" ht="12" x14ac:dyDescent="0.2">
      <c r="M948"/>
      <c r="N948"/>
      <c r="O948"/>
      <c r="P948"/>
      <c r="Q948"/>
      <c r="R948"/>
    </row>
    <row r="949" spans="13:18" ht="12" x14ac:dyDescent="0.2">
      <c r="M949"/>
      <c r="N949"/>
      <c r="O949"/>
      <c r="P949"/>
      <c r="Q949"/>
      <c r="R949"/>
    </row>
    <row r="950" spans="13:18" ht="12" x14ac:dyDescent="0.2">
      <c r="M950"/>
      <c r="N950"/>
      <c r="O950"/>
      <c r="P950"/>
      <c r="Q950"/>
      <c r="R950"/>
    </row>
    <row r="951" spans="13:18" ht="12" x14ac:dyDescent="0.2">
      <c r="M951"/>
      <c r="N951"/>
      <c r="O951"/>
      <c r="P951"/>
      <c r="Q951"/>
      <c r="R951"/>
    </row>
    <row r="952" spans="13:18" ht="12" x14ac:dyDescent="0.2">
      <c r="M952"/>
      <c r="N952"/>
      <c r="O952"/>
      <c r="P952"/>
      <c r="Q952"/>
      <c r="R952"/>
    </row>
    <row r="953" spans="13:18" ht="12" x14ac:dyDescent="0.2">
      <c r="M953"/>
      <c r="N953"/>
      <c r="O953"/>
      <c r="P953"/>
      <c r="Q953"/>
      <c r="R953"/>
    </row>
    <row r="954" spans="13:18" ht="12" x14ac:dyDescent="0.2">
      <c r="M954"/>
      <c r="N954"/>
      <c r="O954"/>
      <c r="P954"/>
      <c r="Q954"/>
      <c r="R954"/>
    </row>
    <row r="955" spans="13:18" ht="12" x14ac:dyDescent="0.2">
      <c r="M955"/>
      <c r="N955"/>
      <c r="O955"/>
      <c r="P955"/>
      <c r="Q955"/>
      <c r="R955"/>
    </row>
    <row r="956" spans="13:18" ht="12" x14ac:dyDescent="0.2">
      <c r="M956"/>
      <c r="N956"/>
      <c r="O956"/>
      <c r="P956"/>
      <c r="Q956"/>
      <c r="R956"/>
    </row>
    <row r="957" spans="13:18" ht="12" x14ac:dyDescent="0.2">
      <c r="M957"/>
      <c r="N957"/>
      <c r="O957"/>
      <c r="P957"/>
      <c r="Q957"/>
      <c r="R957"/>
    </row>
    <row r="958" spans="13:18" ht="12" x14ac:dyDescent="0.2">
      <c r="M958"/>
      <c r="N958"/>
      <c r="O958"/>
      <c r="P958"/>
      <c r="Q958"/>
      <c r="R958"/>
    </row>
    <row r="959" spans="13:18" ht="12" x14ac:dyDescent="0.2">
      <c r="M959"/>
      <c r="N959"/>
      <c r="O959"/>
      <c r="P959"/>
      <c r="Q959"/>
      <c r="R959"/>
    </row>
    <row r="960" spans="13:18" ht="12" x14ac:dyDescent="0.2">
      <c r="M960"/>
      <c r="N960"/>
      <c r="O960"/>
      <c r="P960"/>
      <c r="Q960"/>
      <c r="R960"/>
    </row>
    <row r="961" spans="13:18" ht="12" x14ac:dyDescent="0.2">
      <c r="M961"/>
      <c r="N961"/>
      <c r="O961"/>
      <c r="P961"/>
      <c r="Q961"/>
      <c r="R961"/>
    </row>
    <row r="962" spans="13:18" ht="12" x14ac:dyDescent="0.2">
      <c r="M962"/>
      <c r="N962"/>
      <c r="O962"/>
      <c r="P962"/>
      <c r="Q962"/>
      <c r="R962"/>
    </row>
    <row r="963" spans="13:18" ht="12" x14ac:dyDescent="0.2">
      <c r="M963"/>
      <c r="N963"/>
      <c r="O963"/>
      <c r="P963"/>
      <c r="Q963"/>
      <c r="R963"/>
    </row>
    <row r="964" spans="13:18" ht="12" x14ac:dyDescent="0.2">
      <c r="M964"/>
      <c r="N964"/>
      <c r="O964"/>
      <c r="P964"/>
      <c r="Q964"/>
      <c r="R964"/>
    </row>
    <row r="965" spans="13:18" ht="12" x14ac:dyDescent="0.2">
      <c r="M965"/>
      <c r="N965"/>
      <c r="O965"/>
      <c r="P965"/>
      <c r="Q965"/>
      <c r="R965"/>
    </row>
    <row r="966" spans="13:18" ht="12" x14ac:dyDescent="0.2">
      <c r="M966"/>
      <c r="N966"/>
      <c r="O966"/>
      <c r="P966"/>
      <c r="Q966"/>
      <c r="R966"/>
    </row>
    <row r="967" spans="13:18" ht="12" x14ac:dyDescent="0.2">
      <c r="M967"/>
      <c r="N967"/>
      <c r="O967"/>
      <c r="P967"/>
      <c r="Q967"/>
      <c r="R967"/>
    </row>
    <row r="968" spans="13:18" ht="12" x14ac:dyDescent="0.2">
      <c r="M968"/>
      <c r="N968"/>
      <c r="O968"/>
      <c r="P968"/>
      <c r="Q968"/>
      <c r="R968"/>
    </row>
    <row r="969" spans="13:18" ht="12" x14ac:dyDescent="0.2">
      <c r="M969"/>
      <c r="N969"/>
      <c r="O969"/>
      <c r="P969"/>
      <c r="Q969"/>
      <c r="R969"/>
    </row>
    <row r="970" spans="13:18" ht="12" x14ac:dyDescent="0.2">
      <c r="M970"/>
      <c r="N970"/>
      <c r="O970"/>
      <c r="P970"/>
      <c r="Q970"/>
      <c r="R970"/>
    </row>
    <row r="971" spans="13:18" ht="12" x14ac:dyDescent="0.2">
      <c r="M971"/>
      <c r="N971"/>
      <c r="O971"/>
      <c r="P971"/>
      <c r="Q971"/>
      <c r="R971"/>
    </row>
    <row r="972" spans="13:18" ht="12" x14ac:dyDescent="0.2">
      <c r="M972"/>
      <c r="N972"/>
      <c r="O972"/>
      <c r="P972"/>
      <c r="Q972"/>
      <c r="R972"/>
    </row>
    <row r="973" spans="13:18" ht="12" x14ac:dyDescent="0.2">
      <c r="M973"/>
      <c r="N973"/>
      <c r="O973"/>
      <c r="P973"/>
      <c r="Q973"/>
      <c r="R973"/>
    </row>
    <row r="974" spans="13:18" ht="12" x14ac:dyDescent="0.2">
      <c r="M974"/>
      <c r="N974"/>
      <c r="O974"/>
      <c r="P974"/>
      <c r="Q974"/>
      <c r="R974"/>
    </row>
    <row r="975" spans="13:18" ht="12" x14ac:dyDescent="0.2">
      <c r="M975"/>
      <c r="N975"/>
      <c r="O975"/>
      <c r="P975"/>
      <c r="Q975"/>
      <c r="R975"/>
    </row>
    <row r="976" spans="13:18" ht="12" x14ac:dyDescent="0.2">
      <c r="M976"/>
      <c r="N976"/>
      <c r="O976"/>
      <c r="P976"/>
      <c r="Q976"/>
      <c r="R976"/>
    </row>
    <row r="977" spans="13:18" ht="12" x14ac:dyDescent="0.2">
      <c r="M977"/>
      <c r="N977"/>
      <c r="O977"/>
      <c r="P977"/>
      <c r="Q977"/>
      <c r="R977"/>
    </row>
    <row r="978" spans="13:18" ht="12" x14ac:dyDescent="0.2">
      <c r="M978"/>
      <c r="N978"/>
      <c r="O978"/>
      <c r="P978"/>
      <c r="Q978"/>
      <c r="R978"/>
    </row>
    <row r="979" spans="13:18" ht="12" x14ac:dyDescent="0.2">
      <c r="M979"/>
      <c r="N979"/>
      <c r="O979"/>
      <c r="P979"/>
      <c r="Q979"/>
      <c r="R979"/>
    </row>
    <row r="980" spans="13:18" ht="12" x14ac:dyDescent="0.2">
      <c r="M980"/>
      <c r="N980"/>
      <c r="O980"/>
      <c r="P980"/>
      <c r="Q980"/>
      <c r="R980"/>
    </row>
    <row r="981" spans="13:18" ht="12" x14ac:dyDescent="0.2">
      <c r="M981"/>
      <c r="N981"/>
      <c r="O981"/>
      <c r="P981"/>
      <c r="Q981"/>
      <c r="R981"/>
    </row>
    <row r="982" spans="13:18" ht="12" x14ac:dyDescent="0.2">
      <c r="M982"/>
      <c r="N982"/>
      <c r="O982"/>
      <c r="P982"/>
      <c r="Q982"/>
      <c r="R982"/>
    </row>
    <row r="983" spans="13:18" ht="12" x14ac:dyDescent="0.2">
      <c r="M983"/>
      <c r="N983"/>
      <c r="O983"/>
      <c r="P983"/>
      <c r="Q983"/>
      <c r="R983"/>
    </row>
    <row r="984" spans="13:18" ht="12" x14ac:dyDescent="0.2">
      <c r="M984"/>
      <c r="N984"/>
      <c r="O984"/>
      <c r="P984"/>
      <c r="Q984"/>
      <c r="R984"/>
    </row>
    <row r="985" spans="13:18" ht="12" x14ac:dyDescent="0.2">
      <c r="M985"/>
      <c r="N985"/>
      <c r="O985"/>
      <c r="P985"/>
      <c r="Q985"/>
      <c r="R985"/>
    </row>
    <row r="986" spans="13:18" ht="12" x14ac:dyDescent="0.2">
      <c r="M986"/>
      <c r="N986"/>
      <c r="O986"/>
      <c r="P986"/>
      <c r="Q986"/>
      <c r="R986"/>
    </row>
    <row r="987" spans="13:18" ht="12" x14ac:dyDescent="0.2">
      <c r="M987"/>
      <c r="N987"/>
      <c r="O987"/>
      <c r="P987"/>
      <c r="Q987"/>
      <c r="R987"/>
    </row>
    <row r="988" spans="13:18" ht="12" x14ac:dyDescent="0.2">
      <c r="M988"/>
      <c r="N988"/>
      <c r="O988"/>
      <c r="P988"/>
      <c r="Q988"/>
      <c r="R988"/>
    </row>
    <row r="989" spans="13:18" ht="12" x14ac:dyDescent="0.2">
      <c r="M989"/>
      <c r="N989"/>
      <c r="O989"/>
      <c r="P989"/>
      <c r="Q989"/>
      <c r="R989"/>
    </row>
    <row r="990" spans="13:18" ht="12" x14ac:dyDescent="0.2">
      <c r="M990"/>
      <c r="N990"/>
      <c r="O990"/>
      <c r="P990"/>
      <c r="Q990"/>
      <c r="R990"/>
    </row>
    <row r="991" spans="13:18" ht="12" x14ac:dyDescent="0.2">
      <c r="M991"/>
      <c r="N991"/>
      <c r="O991"/>
      <c r="P991"/>
      <c r="Q991"/>
      <c r="R991"/>
    </row>
    <row r="992" spans="13:18" ht="12" x14ac:dyDescent="0.2">
      <c r="M992"/>
      <c r="N992"/>
      <c r="O992"/>
      <c r="P992"/>
      <c r="Q992"/>
      <c r="R992"/>
    </row>
    <row r="993" spans="13:18" ht="12" x14ac:dyDescent="0.2">
      <c r="M993"/>
      <c r="N993"/>
      <c r="O993"/>
      <c r="P993"/>
      <c r="Q993"/>
      <c r="R993"/>
    </row>
    <row r="994" spans="13:18" ht="12" x14ac:dyDescent="0.2">
      <c r="M994"/>
      <c r="N994"/>
      <c r="O994"/>
      <c r="P994"/>
      <c r="Q994"/>
      <c r="R994"/>
    </row>
    <row r="995" spans="13:18" ht="12" x14ac:dyDescent="0.2">
      <c r="M995"/>
      <c r="N995"/>
      <c r="O995"/>
      <c r="P995"/>
      <c r="Q995"/>
      <c r="R995"/>
    </row>
    <row r="996" spans="13:18" ht="12" x14ac:dyDescent="0.2">
      <c r="M996"/>
      <c r="N996"/>
      <c r="O996"/>
      <c r="P996"/>
      <c r="Q996"/>
      <c r="R996"/>
    </row>
    <row r="997" spans="13:18" ht="12" x14ac:dyDescent="0.2">
      <c r="M997"/>
      <c r="N997"/>
      <c r="O997"/>
      <c r="P997"/>
      <c r="Q997"/>
      <c r="R997"/>
    </row>
    <row r="998" spans="13:18" ht="12" x14ac:dyDescent="0.2">
      <c r="M998"/>
      <c r="N998"/>
      <c r="O998"/>
      <c r="P998"/>
      <c r="Q998"/>
      <c r="R998"/>
    </row>
    <row r="999" spans="13:18" ht="12" x14ac:dyDescent="0.2">
      <c r="M999"/>
      <c r="N999"/>
      <c r="O999"/>
      <c r="P999"/>
      <c r="Q999"/>
      <c r="R999"/>
    </row>
    <row r="1000" spans="13:18" ht="12" x14ac:dyDescent="0.2">
      <c r="M1000"/>
      <c r="N1000"/>
      <c r="O1000"/>
      <c r="P1000"/>
      <c r="Q1000"/>
      <c r="R1000"/>
    </row>
  </sheetData>
  <pageMargins left="0.7" right="0.7" top="0.75" bottom="0.75" header="0.3" footer="0.3"/>
  <pageSetup orientation="portrait" verticalDpi="2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2060"/>
  </sheetPr>
  <dimension ref="A1:EO1032"/>
  <sheetViews>
    <sheetView showGridLines="0" topLeftCell="BD1" workbookViewId="0">
      <selection activeCell="AD8" sqref="AD8:BX29"/>
    </sheetView>
  </sheetViews>
  <sheetFormatPr defaultRowHeight="12" x14ac:dyDescent="0.2"/>
  <cols>
    <col min="1" max="1" width="5.83203125" customWidth="1"/>
    <col min="2" max="2" width="26.83203125" style="1" customWidth="1"/>
    <col min="3" max="3" width="9.83203125" style="493" customWidth="1"/>
    <col min="4" max="10" width="10.33203125" style="1" customWidth="1"/>
    <col min="11" max="13" width="10.33203125" customWidth="1"/>
    <col min="14" max="14" width="1.6640625" customWidth="1"/>
    <col min="15" max="28" width="11.5" customWidth="1"/>
    <col min="29" max="29" width="3" customWidth="1"/>
    <col min="30" max="53" width="12.5" customWidth="1"/>
  </cols>
  <sheetData>
    <row r="1" spans="1:76" x14ac:dyDescent="0.2">
      <c r="A1" s="460" t="s">
        <v>403</v>
      </c>
      <c r="B1" s="592" t="s">
        <v>478</v>
      </c>
      <c r="C1" s="590">
        <v>60</v>
      </c>
    </row>
    <row r="2" spans="1:76" x14ac:dyDescent="0.2">
      <c r="B2" s="593" t="s">
        <v>479</v>
      </c>
      <c r="C2" s="591">
        <v>10000</v>
      </c>
    </row>
    <row r="4" spans="1:76" x14ac:dyDescent="0.2">
      <c r="A4" s="438" t="s">
        <v>84</v>
      </c>
      <c r="B4" s="439" t="s">
        <v>81</v>
      </c>
      <c r="C4" s="494" t="s">
        <v>83</v>
      </c>
      <c r="D4" s="440" t="s">
        <v>389</v>
      </c>
      <c r="E4" s="440" t="s">
        <v>390</v>
      </c>
      <c r="F4" s="440" t="s">
        <v>391</v>
      </c>
      <c r="G4" s="440" t="s">
        <v>392</v>
      </c>
      <c r="H4" s="440" t="s">
        <v>393</v>
      </c>
      <c r="I4" s="440" t="s">
        <v>394</v>
      </c>
      <c r="J4" s="440" t="s">
        <v>395</v>
      </c>
      <c r="K4" s="440" t="s">
        <v>396</v>
      </c>
      <c r="L4" s="440" t="s">
        <v>397</v>
      </c>
      <c r="M4" s="441" t="s">
        <v>398</v>
      </c>
    </row>
    <row r="5" spans="1:76" x14ac:dyDescent="0.2">
      <c r="A5" s="430" t="s">
        <v>268</v>
      </c>
      <c r="B5" s="293" t="s">
        <v>263</v>
      </c>
      <c r="C5" s="495"/>
      <c r="D5" s="472">
        <v>500</v>
      </c>
      <c r="E5" s="473">
        <v>500</v>
      </c>
      <c r="F5" s="473">
        <v>500</v>
      </c>
      <c r="G5" s="473">
        <v>500</v>
      </c>
      <c r="H5" s="473"/>
      <c r="I5" s="473"/>
      <c r="J5" s="473"/>
      <c r="K5" s="474"/>
      <c r="L5" s="474"/>
      <c r="M5" s="475"/>
    </row>
    <row r="6" spans="1:76" x14ac:dyDescent="0.2">
      <c r="A6" s="433" t="s">
        <v>51</v>
      </c>
      <c r="B6" s="49" t="s">
        <v>51</v>
      </c>
      <c r="C6" s="496"/>
      <c r="D6" s="476">
        <v>10</v>
      </c>
      <c r="E6" s="477">
        <v>10</v>
      </c>
      <c r="F6" s="477">
        <v>20</v>
      </c>
      <c r="G6" s="477">
        <v>100</v>
      </c>
      <c r="H6" s="477"/>
      <c r="I6" s="477"/>
      <c r="J6" s="477"/>
      <c r="K6" s="478"/>
      <c r="L6" s="478"/>
      <c r="M6" s="479"/>
    </row>
    <row r="7" spans="1:76" x14ac:dyDescent="0.2">
      <c r="A7" s="433" t="s">
        <v>53</v>
      </c>
      <c r="B7" s="49" t="s">
        <v>53</v>
      </c>
      <c r="C7" s="496"/>
      <c r="D7" s="476">
        <v>25</v>
      </c>
      <c r="E7" s="477">
        <v>25</v>
      </c>
      <c r="F7" s="477">
        <v>10</v>
      </c>
      <c r="G7" s="477">
        <v>25</v>
      </c>
      <c r="H7" s="477"/>
      <c r="I7" s="477"/>
      <c r="J7" s="477"/>
      <c r="K7" s="478"/>
      <c r="L7" s="478"/>
      <c r="M7" s="479"/>
    </row>
    <row r="8" spans="1:76" x14ac:dyDescent="0.2">
      <c r="A8" s="437"/>
      <c r="B8" s="426" t="s">
        <v>387</v>
      </c>
      <c r="C8" s="497" t="s">
        <v>0</v>
      </c>
      <c r="D8" s="480">
        <v>1220</v>
      </c>
      <c r="E8" s="480">
        <v>2500</v>
      </c>
      <c r="F8" s="480">
        <v>3500</v>
      </c>
      <c r="G8" s="480">
        <v>3700</v>
      </c>
      <c r="H8" s="480"/>
      <c r="I8" s="480"/>
      <c r="J8" s="480"/>
      <c r="K8" s="481"/>
      <c r="L8" s="481"/>
      <c r="M8" s="482"/>
      <c r="AD8" s="2" t="s">
        <v>399</v>
      </c>
      <c r="AE8" s="3" t="s">
        <v>352</v>
      </c>
      <c r="AF8" s="3" t="s">
        <v>353</v>
      </c>
      <c r="AG8" s="2" t="s">
        <v>400</v>
      </c>
      <c r="AH8" s="3" t="s">
        <v>354</v>
      </c>
      <c r="AI8" s="4" t="s">
        <v>355</v>
      </c>
      <c r="AJ8" s="2" t="s">
        <v>402</v>
      </c>
      <c r="AK8" s="3" t="s">
        <v>356</v>
      </c>
      <c r="AL8" s="4" t="s">
        <v>357</v>
      </c>
      <c r="AM8" s="2" t="s">
        <v>477</v>
      </c>
      <c r="AN8" s="3" t="s">
        <v>358</v>
      </c>
      <c r="AO8" s="4" t="s">
        <v>359</v>
      </c>
      <c r="AP8" s="2"/>
      <c r="AQ8" s="3"/>
      <c r="AR8" s="4"/>
      <c r="AS8" s="2"/>
      <c r="AT8" s="3"/>
      <c r="AU8" s="4"/>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4"/>
    </row>
    <row r="9" spans="1:76" x14ac:dyDescent="0.2">
      <c r="A9" s="437"/>
      <c r="B9" s="426" t="s">
        <v>388</v>
      </c>
      <c r="C9" s="497" t="s">
        <v>26</v>
      </c>
      <c r="D9" s="483">
        <v>0.1</v>
      </c>
      <c r="E9" s="483">
        <v>0.1</v>
      </c>
      <c r="F9" s="483">
        <v>0.2</v>
      </c>
      <c r="G9" s="483">
        <v>0.1</v>
      </c>
      <c r="H9" s="483"/>
      <c r="I9" s="483"/>
      <c r="J9" s="483"/>
      <c r="K9" s="484"/>
      <c r="L9" s="484"/>
      <c r="M9" s="485"/>
      <c r="AD9" s="318" t="s">
        <v>125</v>
      </c>
      <c r="AE9" s="319" t="s">
        <v>67</v>
      </c>
      <c r="AF9" s="319" t="s">
        <v>67</v>
      </c>
      <c r="AG9" s="318" t="s">
        <v>125</v>
      </c>
      <c r="AH9" s="319" t="s">
        <v>67</v>
      </c>
      <c r="AI9" s="445" t="s">
        <v>67</v>
      </c>
      <c r="AJ9" s="318" t="s">
        <v>125</v>
      </c>
      <c r="AK9" s="319" t="s">
        <v>67</v>
      </c>
      <c r="AL9" s="445" t="s">
        <v>67</v>
      </c>
      <c r="AM9" s="318" t="s">
        <v>125</v>
      </c>
      <c r="AN9" s="319" t="s">
        <v>67</v>
      </c>
      <c r="AO9" s="445" t="s">
        <v>67</v>
      </c>
      <c r="AP9" s="318"/>
      <c r="AQ9" s="319"/>
      <c r="AR9" s="445"/>
      <c r="AS9" s="318"/>
      <c r="AT9" s="319"/>
      <c r="AU9" s="445"/>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W9" s="319"/>
      <c r="BX9" s="445"/>
    </row>
    <row r="10" spans="1:76" x14ac:dyDescent="0.2">
      <c r="A10" s="434"/>
      <c r="B10" s="49" t="s">
        <v>315</v>
      </c>
      <c r="C10" s="498" t="s">
        <v>404</v>
      </c>
      <c r="D10" s="477">
        <v>14</v>
      </c>
      <c r="E10" s="477">
        <v>14</v>
      </c>
      <c r="F10" s="477">
        <v>26</v>
      </c>
      <c r="G10" s="477">
        <v>26</v>
      </c>
      <c r="H10" s="477"/>
      <c r="I10" s="477"/>
      <c r="J10" s="477"/>
      <c r="K10" s="478"/>
      <c r="L10" s="478"/>
      <c r="M10" s="479"/>
      <c r="AD10" s="446">
        <v>3.9689799999999997E-2</v>
      </c>
      <c r="AE10" s="431">
        <v>734.86500000000001</v>
      </c>
      <c r="AF10" s="461">
        <v>5996.94</v>
      </c>
      <c r="AG10" s="464">
        <v>3.9689799999999997E-2</v>
      </c>
      <c r="AH10" s="431">
        <v>732.77499999999998</v>
      </c>
      <c r="AI10" s="461">
        <v>5996.94</v>
      </c>
      <c r="AJ10" s="464">
        <v>3.3398900000000002E-2</v>
      </c>
      <c r="AK10" s="431">
        <v>716.96100000000001</v>
      </c>
      <c r="AL10" s="461">
        <v>4997.57</v>
      </c>
      <c r="AM10" s="431">
        <v>3.9689799999999997E-2</v>
      </c>
      <c r="AN10" s="431">
        <v>5445.23</v>
      </c>
      <c r="AO10" s="431">
        <v>5996.94</v>
      </c>
      <c r="AP10" s="431"/>
      <c r="AQ10" s="431"/>
      <c r="AR10" s="431"/>
      <c r="AS10" s="431"/>
      <c r="AT10" s="431"/>
      <c r="AU10" s="431"/>
      <c r="AV10" s="431"/>
      <c r="AW10" s="431"/>
      <c r="AX10" s="431"/>
      <c r="AY10" s="431"/>
      <c r="AZ10" s="432"/>
      <c r="BA10" s="432"/>
      <c r="BB10" s="432"/>
      <c r="BC10" s="432"/>
      <c r="BD10" s="432"/>
      <c r="BE10" s="432"/>
      <c r="BF10" s="432"/>
      <c r="BG10" s="432"/>
      <c r="BH10" s="432"/>
      <c r="BI10" s="432"/>
      <c r="BJ10" s="432"/>
      <c r="BK10" s="432"/>
      <c r="BL10" s="432"/>
      <c r="BM10" s="432"/>
      <c r="BN10" s="432"/>
      <c r="BO10" s="432"/>
      <c r="BP10" s="432"/>
      <c r="BQ10" s="432"/>
      <c r="BR10" s="432"/>
      <c r="BS10" s="432"/>
      <c r="BT10" s="432"/>
      <c r="BU10" s="432"/>
      <c r="BV10" s="432"/>
      <c r="BW10" s="432"/>
      <c r="BX10" s="449"/>
    </row>
    <row r="11" spans="1:76" x14ac:dyDescent="0.2">
      <c r="A11" s="435"/>
      <c r="B11" s="436" t="s">
        <v>73</v>
      </c>
      <c r="C11" s="499"/>
      <c r="D11" s="486">
        <v>6000</v>
      </c>
      <c r="E11" s="486">
        <v>6000</v>
      </c>
      <c r="F11" s="486">
        <v>5000</v>
      </c>
      <c r="G11" s="486">
        <v>6000</v>
      </c>
      <c r="H11" s="486"/>
      <c r="I11" s="486"/>
      <c r="J11" s="486"/>
      <c r="K11" s="487"/>
      <c r="L11" s="487"/>
      <c r="M11" s="488"/>
      <c r="AD11" s="447">
        <v>5.7089399999999998E-2</v>
      </c>
      <c r="AE11" s="429">
        <v>753.12300000000005</v>
      </c>
      <c r="AF11" s="462">
        <v>5995.6</v>
      </c>
      <c r="AG11" s="465">
        <v>5.7089399999999998E-2</v>
      </c>
      <c r="AH11" s="429">
        <v>748.75099999999998</v>
      </c>
      <c r="AI11" s="462">
        <v>5995.6</v>
      </c>
      <c r="AJ11" s="465">
        <v>4.8040600000000003E-2</v>
      </c>
      <c r="AK11" s="429">
        <v>717.66399999999999</v>
      </c>
      <c r="AL11" s="462">
        <v>4996.51</v>
      </c>
      <c r="AM11" s="429">
        <v>5.7089399999999998E-2</v>
      </c>
      <c r="AN11" s="429">
        <v>5328.53</v>
      </c>
      <c r="AO11" s="429">
        <v>5995.6</v>
      </c>
      <c r="AP11" s="429"/>
      <c r="AQ11" s="429"/>
      <c r="AR11" s="429"/>
      <c r="AS11" s="429"/>
      <c r="AT11" s="429"/>
      <c r="AU11" s="429"/>
      <c r="AV11" s="429"/>
      <c r="AW11" s="429"/>
      <c r="AX11" s="429"/>
      <c r="AY11" s="429"/>
      <c r="AZ11" s="394"/>
      <c r="BA11" s="394"/>
      <c r="BB11" s="394"/>
      <c r="BC11" s="394"/>
      <c r="BD11" s="394"/>
      <c r="BE11" s="394"/>
      <c r="BF11" s="394"/>
      <c r="BG11" s="394"/>
      <c r="BH11" s="394"/>
      <c r="BI11" s="394"/>
      <c r="BJ11" s="394"/>
      <c r="BK11" s="394"/>
      <c r="BL11" s="394"/>
      <c r="BM11" s="394"/>
      <c r="BN11" s="394"/>
      <c r="BO11" s="394"/>
      <c r="BP11" s="394"/>
      <c r="BQ11" s="394"/>
      <c r="BR11" s="394"/>
      <c r="BS11" s="394"/>
      <c r="BT11" s="394"/>
      <c r="BU11" s="394"/>
      <c r="BV11" s="394"/>
      <c r="BW11" s="394"/>
      <c r="BX11" s="450"/>
    </row>
    <row r="12" spans="1:76" x14ac:dyDescent="0.2">
      <c r="B12"/>
      <c r="C12" s="442"/>
      <c r="AD12" s="447">
        <v>8.2116700000000001E-2</v>
      </c>
      <c r="AE12" s="429">
        <v>791.61099999999999</v>
      </c>
      <c r="AF12" s="462">
        <v>5993.66</v>
      </c>
      <c r="AG12" s="465">
        <v>8.2116700000000001E-2</v>
      </c>
      <c r="AH12" s="429">
        <v>782.36400000000003</v>
      </c>
      <c r="AI12" s="462">
        <v>5993.66</v>
      </c>
      <c r="AJ12" s="465">
        <v>6.9101099999999999E-2</v>
      </c>
      <c r="AK12" s="429">
        <v>719.13499999999999</v>
      </c>
      <c r="AL12" s="462">
        <v>4994.97</v>
      </c>
      <c r="AM12" s="429">
        <v>8.2116700000000001E-2</v>
      </c>
      <c r="AN12" s="429">
        <v>5176.1499999999996</v>
      </c>
      <c r="AO12" s="429">
        <v>5993.66</v>
      </c>
      <c r="AP12" s="429"/>
      <c r="AQ12" s="429"/>
      <c r="AR12" s="429"/>
      <c r="AS12" s="429"/>
      <c r="AT12" s="429"/>
      <c r="AU12" s="429"/>
      <c r="AV12" s="429"/>
      <c r="AW12" s="429"/>
      <c r="AX12" s="429"/>
      <c r="AY12" s="429"/>
      <c r="AZ12" s="394"/>
      <c r="BA12" s="394"/>
      <c r="BB12" s="394"/>
      <c r="BC12" s="394"/>
      <c r="BD12" s="394"/>
      <c r="BE12" s="394"/>
      <c r="BF12" s="394"/>
      <c r="BG12" s="394"/>
      <c r="BH12" s="394"/>
      <c r="BI12" s="394"/>
      <c r="BJ12" s="394"/>
      <c r="BK12" s="394"/>
      <c r="BL12" s="394"/>
      <c r="BM12" s="394"/>
      <c r="BN12" s="394"/>
      <c r="BO12" s="394"/>
      <c r="BP12" s="394"/>
      <c r="BQ12" s="394"/>
      <c r="BR12" s="394"/>
      <c r="BS12" s="394"/>
      <c r="BT12" s="394"/>
      <c r="BU12" s="394"/>
      <c r="BV12" s="394"/>
      <c r="BW12" s="394"/>
      <c r="BX12" s="450"/>
    </row>
    <row r="13" spans="1:76" x14ac:dyDescent="0.2">
      <c r="B13"/>
      <c r="C13" s="442"/>
      <c r="AD13" s="447">
        <v>0.118116</v>
      </c>
      <c r="AE13" s="429">
        <v>873.88099999999997</v>
      </c>
      <c r="AF13" s="462">
        <v>5990.88</v>
      </c>
      <c r="AG13" s="465">
        <v>0.118116</v>
      </c>
      <c r="AH13" s="429">
        <v>854.024</v>
      </c>
      <c r="AI13" s="462">
        <v>5990.88</v>
      </c>
      <c r="AJ13" s="465">
        <v>9.9394300000000005E-2</v>
      </c>
      <c r="AK13" s="429">
        <v>722.20500000000004</v>
      </c>
      <c r="AL13" s="462">
        <v>4992.7700000000004</v>
      </c>
      <c r="AM13" s="429">
        <v>0.118116</v>
      </c>
      <c r="AN13" s="429">
        <v>4980.37</v>
      </c>
      <c r="AO13" s="429">
        <v>5990.88</v>
      </c>
      <c r="AP13" s="429"/>
      <c r="AQ13" s="429"/>
      <c r="AR13" s="429"/>
      <c r="AS13" s="429"/>
      <c r="AT13" s="429"/>
      <c r="AU13" s="429"/>
      <c r="AV13" s="429"/>
      <c r="AW13" s="429"/>
      <c r="AX13" s="429"/>
      <c r="AY13" s="429"/>
      <c r="AZ13" s="394"/>
      <c r="BA13" s="394"/>
      <c r="BB13" s="394"/>
      <c r="BC13" s="394"/>
      <c r="BD13" s="394"/>
      <c r="BE13" s="394"/>
      <c r="BF13" s="394"/>
      <c r="BG13" s="394"/>
      <c r="BH13" s="394"/>
      <c r="BI13" s="394"/>
      <c r="BJ13" s="394"/>
      <c r="BK13" s="394"/>
      <c r="BL13" s="394"/>
      <c r="BM13" s="394"/>
      <c r="BN13" s="394"/>
      <c r="BO13" s="394"/>
      <c r="BP13" s="394"/>
      <c r="BQ13" s="394"/>
      <c r="BR13" s="394"/>
      <c r="BS13" s="394"/>
      <c r="BT13" s="394"/>
      <c r="BU13" s="394"/>
      <c r="BV13" s="394"/>
      <c r="BW13" s="394"/>
      <c r="BX13" s="450"/>
    </row>
    <row r="14" spans="1:76" x14ac:dyDescent="0.2">
      <c r="B14"/>
      <c r="C14" s="442"/>
      <c r="AD14" s="447">
        <v>0.16989699999999999</v>
      </c>
      <c r="AE14" s="429">
        <v>1052.68</v>
      </c>
      <c r="AF14" s="462">
        <v>5986.88</v>
      </c>
      <c r="AG14" s="465">
        <v>0.16989699999999999</v>
      </c>
      <c r="AH14" s="429">
        <v>1009.5</v>
      </c>
      <c r="AI14" s="462">
        <v>5986.88</v>
      </c>
      <c r="AJ14" s="465">
        <v>0.14296800000000001</v>
      </c>
      <c r="AK14" s="429">
        <v>728.61099999999999</v>
      </c>
      <c r="AL14" s="462">
        <v>4989.59</v>
      </c>
      <c r="AM14" s="429">
        <v>0.16989699999999999</v>
      </c>
      <c r="AN14" s="429">
        <v>4782.3</v>
      </c>
      <c r="AO14" s="429">
        <v>5986.88</v>
      </c>
      <c r="AP14" s="429"/>
      <c r="AQ14" s="429"/>
      <c r="AR14" s="429"/>
      <c r="AS14" s="429"/>
      <c r="AT14" s="429"/>
      <c r="AU14" s="429"/>
      <c r="AV14" s="429"/>
      <c r="AW14" s="429"/>
      <c r="AX14" s="429"/>
      <c r="AY14" s="429"/>
      <c r="AZ14" s="394"/>
      <c r="BA14" s="394"/>
      <c r="BB14" s="394"/>
      <c r="BC14" s="394"/>
      <c r="BD14" s="394"/>
      <c r="BE14" s="394"/>
      <c r="BF14" s="394"/>
      <c r="BG14" s="394"/>
      <c r="BH14" s="394"/>
      <c r="BI14" s="394"/>
      <c r="BJ14" s="394"/>
      <c r="BK14" s="394"/>
      <c r="BL14" s="394"/>
      <c r="BM14" s="394"/>
      <c r="BN14" s="394"/>
      <c r="BO14" s="394"/>
      <c r="BP14" s="394"/>
      <c r="BQ14" s="394"/>
      <c r="BR14" s="394"/>
      <c r="BS14" s="394"/>
      <c r="BT14" s="394"/>
      <c r="BU14" s="394"/>
      <c r="BV14" s="394"/>
      <c r="BW14" s="394"/>
      <c r="BX14" s="450"/>
    </row>
    <row r="15" spans="1:76" x14ac:dyDescent="0.2">
      <c r="B15" s="489" t="s">
        <v>405</v>
      </c>
      <c r="C15" s="500" t="s">
        <v>83</v>
      </c>
      <c r="D15" s="490" t="s">
        <v>382</v>
      </c>
      <c r="E15" s="490" t="s">
        <v>383</v>
      </c>
      <c r="F15" s="490" t="s">
        <v>384</v>
      </c>
      <c r="G15" s="490" t="s">
        <v>385</v>
      </c>
      <c r="H15" s="490"/>
      <c r="I15" s="490"/>
      <c r="J15" s="490"/>
      <c r="K15" s="491"/>
      <c r="L15" s="491"/>
      <c r="M15" s="492"/>
      <c r="AD15" s="447">
        <v>0.24437700000000001</v>
      </c>
      <c r="AE15" s="429">
        <v>1437.13</v>
      </c>
      <c r="AF15" s="462">
        <v>5981.11</v>
      </c>
      <c r="AG15" s="465">
        <v>0.24437700000000001</v>
      </c>
      <c r="AH15" s="429">
        <v>1350.71</v>
      </c>
      <c r="AI15" s="462">
        <v>5981.11</v>
      </c>
      <c r="AJ15" s="465">
        <v>0.20564299999999999</v>
      </c>
      <c r="AK15" s="429">
        <v>742.00900000000001</v>
      </c>
      <c r="AL15" s="462">
        <v>4985.0200000000004</v>
      </c>
      <c r="AM15" s="429">
        <v>0.24437700000000001</v>
      </c>
      <c r="AN15" s="429">
        <v>4635.3999999999996</v>
      </c>
      <c r="AO15" s="429">
        <v>5981.11</v>
      </c>
      <c r="AP15" s="429"/>
      <c r="AQ15" s="429"/>
      <c r="AR15" s="429"/>
      <c r="AS15" s="429"/>
      <c r="AT15" s="429"/>
      <c r="AU15" s="429"/>
      <c r="AV15" s="429"/>
      <c r="AW15" s="429"/>
      <c r="AX15" s="429"/>
      <c r="AY15" s="429"/>
      <c r="AZ15" s="394"/>
      <c r="BA15" s="394"/>
      <c r="BB15" s="394"/>
      <c r="BC15" s="394"/>
      <c r="BD15" s="394"/>
      <c r="BE15" s="394"/>
      <c r="BF15" s="394"/>
      <c r="BG15" s="394"/>
      <c r="BH15" s="394"/>
      <c r="BI15" s="394"/>
      <c r="BJ15" s="394"/>
      <c r="BK15" s="394"/>
      <c r="BL15" s="394"/>
      <c r="BM15" s="394"/>
      <c r="BN15" s="394"/>
      <c r="BO15" s="394"/>
      <c r="BP15" s="394"/>
      <c r="BQ15" s="394"/>
      <c r="BR15" s="394"/>
      <c r="BS15" s="394"/>
      <c r="BT15" s="394"/>
      <c r="BU15" s="394"/>
      <c r="BV15" s="394"/>
      <c r="BW15" s="394"/>
      <c r="BX15" s="450"/>
    </row>
    <row r="16" spans="1:76" x14ac:dyDescent="0.2">
      <c r="A16" s="1"/>
      <c r="B16" s="52" t="s">
        <v>262</v>
      </c>
      <c r="C16" s="501" t="s">
        <v>67</v>
      </c>
      <c r="D16" s="468">
        <v>5936.380859375</v>
      </c>
      <c r="E16" s="468">
        <v>5927.3178710940001</v>
      </c>
      <c r="F16" s="468">
        <v>4765.7333984380002</v>
      </c>
      <c r="G16" s="468">
        <v>5942.76171875</v>
      </c>
      <c r="H16" s="468"/>
      <c r="I16" s="468"/>
      <c r="J16" s="468"/>
      <c r="K16" s="468"/>
      <c r="L16" s="468"/>
      <c r="M16" s="469"/>
      <c r="AD16" s="447">
        <v>0.35150999999999999</v>
      </c>
      <c r="AE16" s="429">
        <v>2041.3</v>
      </c>
      <c r="AF16" s="462">
        <v>5972.82</v>
      </c>
      <c r="AG16" s="465">
        <v>0.35150999999999999</v>
      </c>
      <c r="AH16" s="429">
        <v>1926.47</v>
      </c>
      <c r="AI16" s="462">
        <v>5972.82</v>
      </c>
      <c r="AJ16" s="465">
        <v>0.29579499999999997</v>
      </c>
      <c r="AK16" s="429">
        <v>770.18200000000002</v>
      </c>
      <c r="AL16" s="462">
        <v>4978.4399999999996</v>
      </c>
      <c r="AM16" s="429">
        <v>0.35150999999999999</v>
      </c>
      <c r="AN16" s="429">
        <v>4605.34</v>
      </c>
      <c r="AO16" s="429">
        <v>5972.82</v>
      </c>
      <c r="AP16" s="429"/>
      <c r="AQ16" s="429"/>
      <c r="AR16" s="429"/>
      <c r="AS16" s="429"/>
      <c r="AT16" s="429"/>
      <c r="AU16" s="429"/>
      <c r="AV16" s="429"/>
      <c r="AW16" s="429"/>
      <c r="AX16" s="429"/>
      <c r="AY16" s="429"/>
      <c r="AZ16" s="394"/>
      <c r="BA16" s="394"/>
      <c r="BB16" s="394"/>
      <c r="BC16" s="394"/>
      <c r="BD16" s="394"/>
      <c r="BE16" s="394"/>
      <c r="BF16" s="394"/>
      <c r="BG16" s="394"/>
      <c r="BH16" s="394"/>
      <c r="BI16" s="394"/>
      <c r="BJ16" s="394"/>
      <c r="BK16" s="394"/>
      <c r="BL16" s="394"/>
      <c r="BM16" s="394"/>
      <c r="BN16" s="394"/>
      <c r="BO16" s="394"/>
      <c r="BP16" s="394"/>
      <c r="BQ16" s="394"/>
      <c r="BR16" s="394"/>
      <c r="BS16" s="394"/>
      <c r="BT16" s="394"/>
      <c r="BU16" s="394"/>
      <c r="BV16" s="394"/>
      <c r="BW16" s="394"/>
      <c r="BX16" s="450"/>
    </row>
    <row r="17" spans="1:76" x14ac:dyDescent="0.2">
      <c r="B17" s="32" t="s">
        <v>170</v>
      </c>
      <c r="C17" s="502" t="s">
        <v>125</v>
      </c>
      <c r="D17" s="470">
        <v>0.82004821299999997</v>
      </c>
      <c r="E17" s="470">
        <v>0.93611574200000003</v>
      </c>
      <c r="F17" s="470">
        <v>3.1249055860000001</v>
      </c>
      <c r="G17" s="470">
        <v>0.73833221199999999</v>
      </c>
      <c r="H17" s="470"/>
      <c r="I17" s="470"/>
      <c r="J17" s="470"/>
      <c r="K17" s="470"/>
      <c r="L17" s="470"/>
      <c r="M17" s="471"/>
      <c r="AD17" s="447">
        <v>0.50560799999999995</v>
      </c>
      <c r="AE17" s="429">
        <v>2908.1</v>
      </c>
      <c r="AF17" s="462">
        <v>5960.87</v>
      </c>
      <c r="AG17" s="465">
        <v>0.50560799999999995</v>
      </c>
      <c r="AH17" s="429">
        <v>2763.24</v>
      </c>
      <c r="AI17" s="462">
        <v>5960.87</v>
      </c>
      <c r="AJ17" s="465">
        <v>0.42546800000000001</v>
      </c>
      <c r="AK17" s="429">
        <v>830.09900000000005</v>
      </c>
      <c r="AL17" s="462">
        <v>4968.9399999999996</v>
      </c>
      <c r="AM17" s="429">
        <v>0.50560799999999995</v>
      </c>
      <c r="AN17" s="429">
        <v>4835.66</v>
      </c>
      <c r="AO17" s="429">
        <v>5960.87</v>
      </c>
      <c r="AP17" s="429"/>
      <c r="AQ17" s="429"/>
      <c r="AR17" s="429"/>
      <c r="AS17" s="429"/>
      <c r="AT17" s="429"/>
      <c r="AU17" s="429"/>
      <c r="AV17" s="429"/>
      <c r="AW17" s="429"/>
      <c r="AX17" s="429"/>
      <c r="AY17" s="429"/>
      <c r="AZ17" s="394"/>
      <c r="BA17" s="394"/>
      <c r="BB17" s="394"/>
      <c r="BC17" s="394"/>
      <c r="BD17" s="394"/>
      <c r="BE17" s="394"/>
      <c r="BF17" s="394"/>
      <c r="BG17" s="394"/>
      <c r="BH17" s="394"/>
      <c r="BI17" s="394"/>
      <c r="BJ17" s="394"/>
      <c r="BK17" s="394"/>
      <c r="BL17" s="394"/>
      <c r="BM17" s="394"/>
      <c r="BN17" s="394"/>
      <c r="BO17" s="394"/>
      <c r="BP17" s="394"/>
      <c r="BQ17" s="394"/>
      <c r="BR17" s="394"/>
      <c r="BS17" s="394"/>
      <c r="BT17" s="394"/>
      <c r="BU17" s="394"/>
      <c r="BV17" s="394"/>
      <c r="BW17" s="394"/>
      <c r="BX17" s="450"/>
    </row>
    <row r="18" spans="1:76" x14ac:dyDescent="0.2">
      <c r="B18" s="32" t="s">
        <v>368</v>
      </c>
      <c r="C18" s="502" t="s">
        <v>401</v>
      </c>
      <c r="D18" s="403">
        <v>20.501205444</v>
      </c>
      <c r="E18" s="403">
        <v>23.402893066000001</v>
      </c>
      <c r="F18" s="403">
        <v>31.249055861999999</v>
      </c>
      <c r="G18" s="403">
        <v>18.458305359000001</v>
      </c>
      <c r="H18" s="403"/>
      <c r="I18" s="403"/>
      <c r="J18" s="403"/>
      <c r="K18" s="403"/>
      <c r="L18" s="403"/>
      <c r="M18" s="456"/>
      <c r="AD18" s="447">
        <v>0.72726100000000005</v>
      </c>
      <c r="AE18" s="429">
        <v>5291.22</v>
      </c>
      <c r="AF18" s="462">
        <v>5943.63</v>
      </c>
      <c r="AG18" s="465">
        <v>0.72726100000000005</v>
      </c>
      <c r="AH18" s="429">
        <v>4504.62</v>
      </c>
      <c r="AI18" s="462">
        <v>5943.63</v>
      </c>
      <c r="AJ18" s="465">
        <v>0.61198900000000001</v>
      </c>
      <c r="AK18" s="429">
        <v>959.69500000000005</v>
      </c>
      <c r="AL18" s="462">
        <v>4955.25</v>
      </c>
      <c r="AM18" s="429">
        <v>0.72726100000000005</v>
      </c>
      <c r="AN18" s="429">
        <v>5830.09</v>
      </c>
      <c r="AO18" s="429">
        <v>5943.63</v>
      </c>
      <c r="AP18" s="429"/>
      <c r="AQ18" s="429"/>
      <c r="AR18" s="429"/>
      <c r="AS18" s="429"/>
      <c r="AT18" s="429"/>
      <c r="AU18" s="429"/>
      <c r="AV18" s="429"/>
      <c r="AW18" s="429"/>
      <c r="AX18" s="429"/>
      <c r="AY18" s="429"/>
      <c r="AZ18" s="394"/>
      <c r="BA18" s="394"/>
      <c r="BB18" s="394"/>
      <c r="BC18" s="394"/>
      <c r="BD18" s="394"/>
      <c r="BE18" s="394"/>
      <c r="BF18" s="394"/>
      <c r="BG18" s="394"/>
      <c r="BH18" s="394"/>
      <c r="BI18" s="394"/>
      <c r="BJ18" s="394"/>
      <c r="BK18" s="394"/>
      <c r="BL18" s="394"/>
      <c r="BM18" s="394"/>
      <c r="BN18" s="394"/>
      <c r="BO18" s="394"/>
      <c r="BP18" s="394"/>
      <c r="BQ18" s="394"/>
      <c r="BR18" s="394"/>
      <c r="BS18" s="394"/>
      <c r="BT18" s="394"/>
      <c r="BU18" s="394"/>
      <c r="BV18" s="394"/>
      <c r="BW18" s="394"/>
      <c r="BX18" s="450"/>
    </row>
    <row r="19" spans="1:76" x14ac:dyDescent="0.2">
      <c r="B19" s="32" t="s">
        <v>369</v>
      </c>
      <c r="C19" s="502" t="s">
        <v>401</v>
      </c>
      <c r="D19" s="403">
        <v>8.2004823679999994</v>
      </c>
      <c r="E19" s="403">
        <v>9.3611574169999994</v>
      </c>
      <c r="F19" s="403">
        <v>62.498111725000001</v>
      </c>
      <c r="G19" s="403">
        <v>73.833221436000002</v>
      </c>
      <c r="H19" s="403"/>
      <c r="I19" s="403"/>
      <c r="J19" s="403"/>
      <c r="K19" s="403"/>
      <c r="L19" s="403"/>
      <c r="M19" s="456"/>
      <c r="AD19" s="447">
        <v>1.0460799999999999</v>
      </c>
      <c r="AE19" s="429">
        <v>7508.04</v>
      </c>
      <c r="AF19" s="462">
        <v>5918.73</v>
      </c>
      <c r="AG19" s="465">
        <v>1.0460799999999999</v>
      </c>
      <c r="AH19" s="429">
        <v>6676.41</v>
      </c>
      <c r="AI19" s="462">
        <v>5918.73</v>
      </c>
      <c r="AJ19" s="465">
        <v>0.880278</v>
      </c>
      <c r="AK19" s="429">
        <v>1244.52</v>
      </c>
      <c r="AL19" s="462">
        <v>4935.47</v>
      </c>
      <c r="AM19" s="429">
        <v>1.0460799999999999</v>
      </c>
      <c r="AN19" s="429">
        <v>9074.75</v>
      </c>
      <c r="AO19" s="429">
        <v>5918.73</v>
      </c>
      <c r="AP19" s="429"/>
      <c r="AQ19" s="429"/>
      <c r="AR19" s="429"/>
      <c r="AS19" s="429"/>
      <c r="AT19" s="429"/>
      <c r="AU19" s="429"/>
      <c r="AV19" s="429"/>
      <c r="AW19" s="429"/>
      <c r="AX19" s="429"/>
      <c r="AY19" s="429"/>
      <c r="AZ19" s="394"/>
      <c r="BA19" s="394"/>
      <c r="BB19" s="394"/>
      <c r="BC19" s="394"/>
      <c r="BD19" s="394"/>
      <c r="BE19" s="394"/>
      <c r="BF19" s="394"/>
      <c r="BG19" s="394"/>
      <c r="BH19" s="394"/>
      <c r="BI19" s="394"/>
      <c r="BJ19" s="394"/>
      <c r="BK19" s="394"/>
      <c r="BL19" s="394"/>
      <c r="BM19" s="394"/>
      <c r="BN19" s="394"/>
      <c r="BO19" s="394"/>
      <c r="BP19" s="394"/>
      <c r="BQ19" s="394"/>
      <c r="BR19" s="394"/>
      <c r="BS19" s="394"/>
      <c r="BT19" s="394"/>
      <c r="BU19" s="394"/>
      <c r="BV19" s="394"/>
      <c r="BW19" s="394"/>
      <c r="BX19" s="450"/>
    </row>
    <row r="20" spans="1:76" x14ac:dyDescent="0.2">
      <c r="A20" s="15"/>
      <c r="B20" s="467" t="s">
        <v>47</v>
      </c>
      <c r="C20" s="503" t="s">
        <v>67</v>
      </c>
      <c r="D20" s="408">
        <v>776.57574462900004</v>
      </c>
      <c r="E20" s="408">
        <v>865.07366943399995</v>
      </c>
      <c r="F20" s="408">
        <v>893.93975830099998</v>
      </c>
      <c r="G20" s="408">
        <v>526.78436279300001</v>
      </c>
      <c r="H20" s="408"/>
      <c r="I20" s="408"/>
      <c r="J20" s="408"/>
      <c r="K20" s="408"/>
      <c r="L20" s="408"/>
      <c r="M20" s="457"/>
      <c r="AD20" s="447">
        <v>1.50468</v>
      </c>
      <c r="AE20" s="429">
        <v>11374.7</v>
      </c>
      <c r="AF20" s="462">
        <v>5882.72</v>
      </c>
      <c r="AG20" s="465">
        <v>1.50468</v>
      </c>
      <c r="AH20" s="429">
        <v>10498.9</v>
      </c>
      <c r="AI20" s="462">
        <v>5882.72</v>
      </c>
      <c r="AJ20" s="465">
        <v>1.2661800000000001</v>
      </c>
      <c r="AK20" s="429">
        <v>1883.27</v>
      </c>
      <c r="AL20" s="462">
        <v>4906.84</v>
      </c>
      <c r="AM20" s="429">
        <v>1.50468</v>
      </c>
      <c r="AN20" s="429"/>
      <c r="AO20" s="429">
        <v>5882.72</v>
      </c>
      <c r="AP20" s="429"/>
      <c r="AQ20" s="429"/>
      <c r="AR20" s="429"/>
      <c r="AS20" s="429"/>
      <c r="AT20" s="429"/>
      <c r="AU20" s="429"/>
      <c r="AV20" s="429"/>
      <c r="AW20" s="429"/>
      <c r="AX20" s="429"/>
      <c r="AY20" s="429"/>
      <c r="AZ20" s="394"/>
      <c r="BA20" s="394"/>
      <c r="BB20" s="394"/>
      <c r="BC20" s="394"/>
      <c r="BD20" s="394"/>
      <c r="BE20" s="394"/>
      <c r="BF20" s="394"/>
      <c r="BG20" s="394"/>
      <c r="BH20" s="394"/>
      <c r="BI20" s="394"/>
      <c r="BJ20" s="394"/>
      <c r="BK20" s="394"/>
      <c r="BL20" s="394"/>
      <c r="BM20" s="394"/>
      <c r="BN20" s="394"/>
      <c r="BO20" s="394"/>
      <c r="BP20" s="394"/>
      <c r="BQ20" s="394"/>
      <c r="BR20" s="394"/>
      <c r="BS20" s="394"/>
      <c r="BT20" s="394"/>
      <c r="BU20" s="394"/>
      <c r="BV20" s="394"/>
      <c r="BW20" s="394"/>
      <c r="BX20" s="450"/>
    </row>
    <row r="21" spans="1:76" x14ac:dyDescent="0.2">
      <c r="A21" s="15"/>
      <c r="B21" s="454" t="s">
        <v>371</v>
      </c>
      <c r="C21" s="504" t="s">
        <v>67</v>
      </c>
      <c r="D21" s="394">
        <v>500</v>
      </c>
      <c r="E21" s="394">
        <v>500</v>
      </c>
      <c r="F21" s="394">
        <v>500</v>
      </c>
      <c r="G21" s="394">
        <v>500</v>
      </c>
      <c r="H21" s="394"/>
      <c r="I21" s="394"/>
      <c r="J21" s="394"/>
      <c r="K21" s="394"/>
      <c r="L21" s="394"/>
      <c r="M21" s="458"/>
      <c r="AD21" s="447">
        <v>2.16431</v>
      </c>
      <c r="AE21" s="429"/>
      <c r="AF21" s="462">
        <v>5830.52</v>
      </c>
      <c r="AG21" s="465">
        <v>2.16431</v>
      </c>
      <c r="AH21" s="429"/>
      <c r="AI21" s="462">
        <v>5830.52</v>
      </c>
      <c r="AJ21" s="465">
        <v>1.8212600000000001</v>
      </c>
      <c r="AK21" s="429">
        <v>2687.99</v>
      </c>
      <c r="AL21" s="462">
        <v>4865.3</v>
      </c>
      <c r="AM21" s="429">
        <v>2.16431</v>
      </c>
      <c r="AN21" s="429"/>
      <c r="AO21" s="429">
        <v>5830.52</v>
      </c>
      <c r="AP21" s="429"/>
      <c r="AQ21" s="429"/>
      <c r="AR21" s="429"/>
      <c r="AS21" s="429"/>
      <c r="AT21" s="429"/>
      <c r="AU21" s="429"/>
      <c r="AV21" s="429"/>
      <c r="AW21" s="429"/>
      <c r="AX21" s="429"/>
      <c r="AY21" s="429"/>
      <c r="AZ21" s="394"/>
      <c r="BA21" s="394"/>
      <c r="BB21" s="394"/>
      <c r="BC21" s="394"/>
      <c r="BD21" s="394"/>
      <c r="BE21" s="394"/>
      <c r="BF21" s="394"/>
      <c r="BG21" s="394"/>
      <c r="BH21" s="394"/>
      <c r="BI21" s="394"/>
      <c r="BJ21" s="394"/>
      <c r="BK21" s="394"/>
      <c r="BL21" s="394"/>
      <c r="BM21" s="394"/>
      <c r="BN21" s="394"/>
      <c r="BO21" s="394"/>
      <c r="BP21" s="394"/>
      <c r="BQ21" s="394"/>
      <c r="BR21" s="394"/>
      <c r="BS21" s="394"/>
      <c r="BT21" s="394"/>
      <c r="BU21" s="394"/>
      <c r="BV21" s="394"/>
      <c r="BW21" s="394"/>
      <c r="BX21" s="450"/>
    </row>
    <row r="22" spans="1:76" x14ac:dyDescent="0.2">
      <c r="A22" s="15"/>
      <c r="B22" s="454" t="s">
        <v>372</v>
      </c>
      <c r="C22" s="504" t="s">
        <v>45</v>
      </c>
      <c r="D22" s="394">
        <v>1.634150505</v>
      </c>
      <c r="E22" s="394">
        <v>2.2368853089999998</v>
      </c>
      <c r="F22" s="394">
        <v>29.675470352000001</v>
      </c>
      <c r="G22" s="394">
        <v>3.0171263220000002</v>
      </c>
      <c r="H22" s="394"/>
      <c r="I22" s="394"/>
      <c r="J22" s="394"/>
      <c r="K22" s="394"/>
      <c r="L22" s="394"/>
      <c r="M22" s="458"/>
      <c r="AD22" s="447">
        <v>3.1131199999999999</v>
      </c>
      <c r="AE22" s="429"/>
      <c r="AF22" s="462">
        <v>5754.56</v>
      </c>
      <c r="AG22" s="465">
        <v>3.1131199999999999</v>
      </c>
      <c r="AH22" s="429"/>
      <c r="AI22" s="462">
        <v>5754.56</v>
      </c>
      <c r="AJ22" s="465">
        <v>2.6196899999999999</v>
      </c>
      <c r="AK22" s="429">
        <v>3910.19</v>
      </c>
      <c r="AL22" s="462">
        <v>4804.76</v>
      </c>
      <c r="AM22" s="429">
        <v>3.1131199999999999</v>
      </c>
      <c r="AN22" s="429"/>
      <c r="AO22" s="429">
        <v>5754.56</v>
      </c>
      <c r="AP22" s="429"/>
      <c r="AQ22" s="429"/>
      <c r="AR22" s="429"/>
      <c r="AS22" s="429"/>
      <c r="AT22" s="429"/>
      <c r="AU22" s="429"/>
      <c r="AV22" s="429"/>
      <c r="AW22" s="429"/>
      <c r="AX22" s="429"/>
      <c r="AY22" s="429"/>
      <c r="AZ22" s="394"/>
      <c r="BA22" s="394"/>
      <c r="BB22" s="394"/>
      <c r="BC22" s="394"/>
      <c r="BD22" s="394"/>
      <c r="BE22" s="394"/>
      <c r="BF22" s="394"/>
      <c r="BG22" s="394"/>
      <c r="BH22" s="394"/>
      <c r="BI22" s="394"/>
      <c r="BJ22" s="394"/>
      <c r="BK22" s="394"/>
      <c r="BL22" s="394"/>
      <c r="BM22" s="394"/>
      <c r="BN22" s="394"/>
      <c r="BO22" s="394"/>
      <c r="BP22" s="394"/>
      <c r="BQ22" s="394"/>
      <c r="BR22" s="394"/>
      <c r="BS22" s="394"/>
      <c r="BT22" s="394"/>
      <c r="BU22" s="394"/>
      <c r="BV22" s="394"/>
      <c r="BW22" s="394"/>
      <c r="BX22" s="450"/>
    </row>
    <row r="23" spans="1:76" x14ac:dyDescent="0.2">
      <c r="A23" s="15"/>
      <c r="B23" s="454" t="s">
        <v>373</v>
      </c>
      <c r="C23" s="504" t="s">
        <v>45</v>
      </c>
      <c r="D23" s="394">
        <v>2138.26953125</v>
      </c>
      <c r="E23" s="394">
        <v>1282.1489257809999</v>
      </c>
      <c r="F23" s="394">
        <v>618.927246094</v>
      </c>
      <c r="G23" s="394">
        <v>3373.080078125</v>
      </c>
      <c r="H23" s="394"/>
      <c r="I23" s="394"/>
      <c r="J23" s="394"/>
      <c r="K23" s="394"/>
      <c r="L23" s="394"/>
      <c r="M23" s="458"/>
      <c r="AD23" s="447">
        <v>4.4778799999999999</v>
      </c>
      <c r="AE23" s="429"/>
      <c r="AF23" s="462">
        <v>5643.48</v>
      </c>
      <c r="AG23" s="465">
        <v>4.4778799999999999</v>
      </c>
      <c r="AH23" s="429"/>
      <c r="AI23" s="462">
        <v>5643.48</v>
      </c>
      <c r="AJ23" s="465">
        <v>3.7681300000000002</v>
      </c>
      <c r="AK23" s="429">
        <v>5854.98</v>
      </c>
      <c r="AL23" s="462">
        <v>4716.04</v>
      </c>
      <c r="AM23" s="429">
        <v>4.4778799999999999</v>
      </c>
      <c r="AN23" s="429"/>
      <c r="AO23" s="429">
        <v>5643.48</v>
      </c>
      <c r="AP23" s="429"/>
      <c r="AQ23" s="429"/>
      <c r="AR23" s="429"/>
      <c r="AS23" s="429"/>
      <c r="AT23" s="429"/>
      <c r="AU23" s="429"/>
      <c r="AV23" s="429"/>
      <c r="AW23" s="429"/>
      <c r="AX23" s="429"/>
      <c r="AY23" s="429"/>
      <c r="AZ23" s="394"/>
      <c r="BA23" s="394"/>
      <c r="BB23" s="394"/>
      <c r="BC23" s="394"/>
      <c r="BD23" s="394"/>
      <c r="BE23" s="394"/>
      <c r="BF23" s="394"/>
      <c r="BG23" s="394"/>
      <c r="BH23" s="394"/>
      <c r="BI23" s="394"/>
      <c r="BJ23" s="394"/>
      <c r="BK23" s="394"/>
      <c r="BL23" s="394"/>
      <c r="BM23" s="394"/>
      <c r="BN23" s="394"/>
      <c r="BO23" s="394"/>
      <c r="BP23" s="394"/>
      <c r="BQ23" s="394"/>
      <c r="BR23" s="394"/>
      <c r="BS23" s="394"/>
      <c r="BT23" s="394"/>
      <c r="BU23" s="394"/>
      <c r="BV23" s="394"/>
      <c r="BW23" s="394"/>
      <c r="BX23" s="450"/>
    </row>
    <row r="24" spans="1:76" x14ac:dyDescent="0.2">
      <c r="A24" s="15"/>
      <c r="B24" s="454" t="s">
        <v>374</v>
      </c>
      <c r="C24" s="504" t="s">
        <v>45</v>
      </c>
      <c r="D24" s="394">
        <v>13.993652343999999</v>
      </c>
      <c r="E24" s="394">
        <v>15.973144531000001</v>
      </c>
      <c r="F24" s="394">
        <v>50.5859375</v>
      </c>
      <c r="G24" s="394">
        <v>12.600097656000001</v>
      </c>
      <c r="H24" s="394"/>
      <c r="I24" s="394"/>
      <c r="J24" s="394"/>
      <c r="K24" s="394"/>
      <c r="L24" s="394"/>
      <c r="M24" s="458"/>
      <c r="AD24" s="447">
        <v>6.4409299999999998</v>
      </c>
      <c r="AE24" s="429"/>
      <c r="AF24" s="462">
        <v>5479.48</v>
      </c>
      <c r="AG24" s="465">
        <v>6.4409299999999998</v>
      </c>
      <c r="AH24" s="429"/>
      <c r="AI24" s="462">
        <v>5479.48</v>
      </c>
      <c r="AJ24" s="465">
        <v>5.4200400000000002</v>
      </c>
      <c r="AK24" s="429">
        <v>9251.6299999999992</v>
      </c>
      <c r="AL24" s="462">
        <v>4584.87</v>
      </c>
      <c r="AM24" s="429">
        <v>6.4409299999999998</v>
      </c>
      <c r="AN24" s="429"/>
      <c r="AO24" s="429">
        <v>5479.48</v>
      </c>
      <c r="AP24" s="429"/>
      <c r="AQ24" s="429"/>
      <c r="AR24" s="429"/>
      <c r="AS24" s="429"/>
      <c r="AT24" s="429"/>
      <c r="AU24" s="429"/>
      <c r="AV24" s="429"/>
      <c r="AW24" s="429"/>
      <c r="AX24" s="429"/>
      <c r="AY24" s="429"/>
      <c r="AZ24" s="394"/>
      <c r="BA24" s="394"/>
      <c r="BB24" s="394"/>
      <c r="BC24" s="394"/>
      <c r="BD24" s="394"/>
      <c r="BE24" s="394"/>
      <c r="BF24" s="394"/>
      <c r="BG24" s="394"/>
      <c r="BH24" s="394"/>
      <c r="BI24" s="394"/>
      <c r="BJ24" s="394"/>
      <c r="BK24" s="394"/>
      <c r="BL24" s="394"/>
      <c r="BM24" s="394"/>
      <c r="BN24" s="394"/>
      <c r="BO24" s="394"/>
      <c r="BP24" s="394"/>
      <c r="BQ24" s="394"/>
      <c r="BR24" s="394"/>
      <c r="BS24" s="394"/>
      <c r="BT24" s="394"/>
      <c r="BU24" s="394"/>
      <c r="BV24" s="394"/>
      <c r="BW24" s="394"/>
      <c r="BX24" s="450"/>
    </row>
    <row r="25" spans="1:76" x14ac:dyDescent="0.2">
      <c r="A25" s="15"/>
      <c r="B25" s="454" t="s">
        <v>375</v>
      </c>
      <c r="C25" s="504" t="s">
        <v>45</v>
      </c>
      <c r="D25" s="394">
        <v>0</v>
      </c>
      <c r="E25" s="394">
        <v>0</v>
      </c>
      <c r="F25" s="394">
        <v>0</v>
      </c>
      <c r="G25" s="394">
        <v>0</v>
      </c>
      <c r="H25" s="394"/>
      <c r="I25" s="394"/>
      <c r="J25" s="394"/>
      <c r="K25" s="394"/>
      <c r="L25" s="394"/>
      <c r="M25" s="458"/>
      <c r="AD25" s="447">
        <v>9.2645700000000009</v>
      </c>
      <c r="AE25" s="429"/>
      <c r="AF25" s="462">
        <v>5234.75</v>
      </c>
      <c r="AG25" s="465">
        <v>9.2645700000000009</v>
      </c>
      <c r="AH25" s="429"/>
      <c r="AI25" s="462">
        <v>5234.75</v>
      </c>
      <c r="AJ25" s="465">
        <v>7.7961200000000002</v>
      </c>
      <c r="AK25" s="429"/>
      <c r="AL25" s="462">
        <v>4387.96</v>
      </c>
      <c r="AM25" s="429">
        <v>9.2645700000000009</v>
      </c>
      <c r="AN25" s="429"/>
      <c r="AO25" s="429">
        <v>5234.75</v>
      </c>
      <c r="AP25" s="429"/>
      <c r="AQ25" s="429"/>
      <c r="AR25" s="429"/>
      <c r="AS25" s="429"/>
      <c r="AT25" s="429"/>
      <c r="AU25" s="429"/>
      <c r="AV25" s="429"/>
      <c r="AW25" s="429"/>
      <c r="AX25" s="429"/>
      <c r="AY25" s="429"/>
      <c r="AZ25" s="394"/>
      <c r="BA25" s="394"/>
      <c r="BB25" s="394"/>
      <c r="BC25" s="394"/>
      <c r="BD25" s="394"/>
      <c r="BE25" s="394"/>
      <c r="BF25" s="394"/>
      <c r="BG25" s="394"/>
      <c r="BH25" s="394"/>
      <c r="BI25" s="394"/>
      <c r="BJ25" s="394"/>
      <c r="BK25" s="394"/>
      <c r="BL25" s="394"/>
      <c r="BM25" s="394"/>
      <c r="BN25" s="394"/>
      <c r="BO25" s="394"/>
      <c r="BP25" s="394"/>
      <c r="BQ25" s="394"/>
      <c r="BR25" s="394"/>
      <c r="BS25" s="394"/>
      <c r="BT25" s="394"/>
      <c r="BU25" s="394"/>
      <c r="BV25" s="394"/>
      <c r="BW25" s="394"/>
      <c r="BX25" s="450"/>
    </row>
    <row r="26" spans="1:76" x14ac:dyDescent="0.2">
      <c r="A26" s="15"/>
      <c r="B26" s="454" t="s">
        <v>376</v>
      </c>
      <c r="C26" s="504" t="s">
        <v>45</v>
      </c>
      <c r="D26" s="394">
        <v>0</v>
      </c>
      <c r="E26" s="394">
        <v>0</v>
      </c>
      <c r="F26" s="394">
        <v>0</v>
      </c>
      <c r="G26" s="394">
        <v>0</v>
      </c>
      <c r="H26" s="394"/>
      <c r="I26" s="394"/>
      <c r="J26" s="394"/>
      <c r="K26" s="394"/>
      <c r="L26" s="394"/>
      <c r="M26" s="458"/>
      <c r="AD26" s="447">
        <v>13.3261</v>
      </c>
      <c r="AE26" s="429"/>
      <c r="AF26" s="462">
        <v>4861.84</v>
      </c>
      <c r="AG26" s="465">
        <v>13.3261</v>
      </c>
      <c r="AH26" s="429"/>
      <c r="AI26" s="462">
        <v>4861.84</v>
      </c>
      <c r="AJ26" s="465">
        <v>11.213900000000001</v>
      </c>
      <c r="AK26" s="429"/>
      <c r="AL26" s="462">
        <v>4086.31</v>
      </c>
      <c r="AM26" s="429">
        <v>13.3261</v>
      </c>
      <c r="AN26" s="429"/>
      <c r="AO26" s="429">
        <v>4861.84</v>
      </c>
      <c r="AP26" s="429"/>
      <c r="AQ26" s="429"/>
      <c r="AR26" s="429"/>
      <c r="AS26" s="429"/>
      <c r="AT26" s="429"/>
      <c r="AU26" s="429"/>
      <c r="AV26" s="429"/>
      <c r="AW26" s="429"/>
      <c r="AX26" s="429"/>
      <c r="AY26" s="429"/>
      <c r="AZ26" s="394"/>
      <c r="BA26" s="394"/>
      <c r="BB26" s="394"/>
      <c r="BC26" s="394"/>
      <c r="BD26" s="394"/>
      <c r="BE26" s="394"/>
      <c r="BF26" s="394"/>
      <c r="BG26" s="394"/>
      <c r="BH26" s="394"/>
      <c r="BI26" s="394"/>
      <c r="BJ26" s="394"/>
      <c r="BK26" s="394"/>
      <c r="BL26" s="394"/>
      <c r="BM26" s="394"/>
      <c r="BN26" s="394"/>
      <c r="BO26" s="394"/>
      <c r="BP26" s="394"/>
      <c r="BQ26" s="394"/>
      <c r="BR26" s="394"/>
      <c r="BS26" s="394"/>
      <c r="BT26" s="394"/>
      <c r="BU26" s="394"/>
      <c r="BV26" s="394"/>
      <c r="BW26" s="394"/>
      <c r="BX26" s="450"/>
    </row>
    <row r="27" spans="1:76" x14ac:dyDescent="0.2">
      <c r="A27" s="15"/>
      <c r="B27" s="454" t="s">
        <v>377</v>
      </c>
      <c r="C27" s="504" t="s">
        <v>45</v>
      </c>
      <c r="D27" s="394">
        <v>13.993652343999999</v>
      </c>
      <c r="E27" s="394">
        <v>15.973144531000001</v>
      </c>
      <c r="F27" s="394">
        <v>50.5859375</v>
      </c>
      <c r="G27" s="394">
        <v>12.600097656000001</v>
      </c>
      <c r="H27" s="394"/>
      <c r="I27" s="394"/>
      <c r="J27" s="394"/>
      <c r="K27" s="394"/>
      <c r="L27" s="394"/>
      <c r="M27" s="458"/>
      <c r="AD27" s="447">
        <v>19.168099999999999</v>
      </c>
      <c r="AE27" s="429"/>
      <c r="AF27" s="462">
        <v>4273.33</v>
      </c>
      <c r="AG27" s="465">
        <v>19.168099999999999</v>
      </c>
      <c r="AH27" s="429"/>
      <c r="AI27" s="462">
        <v>4273.33</v>
      </c>
      <c r="AJ27" s="465">
        <v>16.129899999999999</v>
      </c>
      <c r="AK27" s="429"/>
      <c r="AL27" s="462">
        <v>3605.18</v>
      </c>
      <c r="AM27" s="429">
        <v>19.168099999999999</v>
      </c>
      <c r="AN27" s="429"/>
      <c r="AO27" s="429">
        <v>4273.33</v>
      </c>
      <c r="AP27" s="429"/>
      <c r="AQ27" s="429"/>
      <c r="AR27" s="429"/>
      <c r="AS27" s="429"/>
      <c r="AT27" s="429"/>
      <c r="AU27" s="429"/>
      <c r="AV27" s="429"/>
      <c r="AW27" s="429"/>
      <c r="AX27" s="429"/>
      <c r="AY27" s="429"/>
      <c r="AZ27" s="394"/>
      <c r="BA27" s="394"/>
      <c r="BB27" s="394"/>
      <c r="BC27" s="394"/>
      <c r="BD27" s="394"/>
      <c r="BE27" s="394"/>
      <c r="BF27" s="394"/>
      <c r="BG27" s="394"/>
      <c r="BH27" s="394"/>
      <c r="BI27" s="394"/>
      <c r="BJ27" s="394"/>
      <c r="BK27" s="394"/>
      <c r="BL27" s="394"/>
      <c r="BM27" s="394"/>
      <c r="BN27" s="394"/>
      <c r="BO27" s="394"/>
      <c r="BP27" s="394"/>
      <c r="BQ27" s="394"/>
      <c r="BR27" s="394"/>
      <c r="BS27" s="394"/>
      <c r="BT27" s="394"/>
      <c r="BU27" s="394"/>
      <c r="BV27" s="394"/>
      <c r="BW27" s="394"/>
      <c r="BX27" s="450"/>
    </row>
    <row r="28" spans="1:76" x14ac:dyDescent="0.2">
      <c r="A28" s="15"/>
      <c r="B28" s="454" t="s">
        <v>378</v>
      </c>
      <c r="C28" s="504"/>
      <c r="D28" s="394">
        <v>2</v>
      </c>
      <c r="E28" s="394">
        <v>2</v>
      </c>
      <c r="F28" s="394">
        <v>2</v>
      </c>
      <c r="G28" s="394">
        <v>2</v>
      </c>
      <c r="H28" s="394"/>
      <c r="I28" s="394"/>
      <c r="J28" s="394"/>
      <c r="K28" s="394"/>
      <c r="L28" s="394"/>
      <c r="M28" s="458"/>
      <c r="AD28" s="447">
        <v>27.571100000000001</v>
      </c>
      <c r="AE28" s="429"/>
      <c r="AF28" s="462">
        <v>3261.49</v>
      </c>
      <c r="AG28" s="465">
        <v>27.571100000000001</v>
      </c>
      <c r="AH28" s="429"/>
      <c r="AI28" s="462">
        <v>3261.49</v>
      </c>
      <c r="AJ28" s="465">
        <v>23.2011</v>
      </c>
      <c r="AK28" s="429"/>
      <c r="AL28" s="462">
        <v>2768.25</v>
      </c>
      <c r="AM28" s="429">
        <v>27.571100000000001</v>
      </c>
      <c r="AN28" s="429"/>
      <c r="AO28" s="429">
        <v>3261.49</v>
      </c>
      <c r="AP28" s="429"/>
      <c r="AQ28" s="429"/>
      <c r="AR28" s="429"/>
      <c r="AS28" s="429"/>
      <c r="AT28" s="429"/>
      <c r="AU28" s="429"/>
      <c r="AV28" s="429"/>
      <c r="AW28" s="429"/>
      <c r="AX28" s="429"/>
      <c r="AY28" s="429"/>
      <c r="AZ28" s="394"/>
      <c r="BA28" s="394"/>
      <c r="BB28" s="394"/>
      <c r="BC28" s="394"/>
      <c r="BD28" s="394"/>
      <c r="BE28" s="394"/>
      <c r="BF28" s="394"/>
      <c r="BG28" s="394"/>
      <c r="BH28" s="394"/>
      <c r="BI28" s="394"/>
      <c r="BJ28" s="394"/>
      <c r="BK28" s="394"/>
      <c r="BL28" s="394"/>
      <c r="BM28" s="394"/>
      <c r="BN28" s="394"/>
      <c r="BO28" s="394"/>
      <c r="BP28" s="394"/>
      <c r="BQ28" s="394"/>
      <c r="BR28" s="394"/>
      <c r="BS28" s="394"/>
      <c r="BT28" s="394"/>
      <c r="BU28" s="394"/>
      <c r="BV28" s="394"/>
      <c r="BW28" s="394"/>
      <c r="BX28" s="450"/>
    </row>
    <row r="29" spans="1:76" x14ac:dyDescent="0.2">
      <c r="A29" s="15"/>
      <c r="B29" s="455" t="s">
        <v>379</v>
      </c>
      <c r="C29" s="505"/>
      <c r="D29" s="453">
        <v>2</v>
      </c>
      <c r="E29" s="453">
        <v>2</v>
      </c>
      <c r="F29" s="453">
        <v>2</v>
      </c>
      <c r="G29" s="453">
        <v>2</v>
      </c>
      <c r="H29" s="453"/>
      <c r="I29" s="453"/>
      <c r="J29" s="453"/>
      <c r="K29" s="453"/>
      <c r="L29" s="453"/>
      <c r="M29" s="459"/>
      <c r="AD29" s="448">
        <v>39.658000000000001</v>
      </c>
      <c r="AE29" s="451"/>
      <c r="AF29" s="463">
        <v>163.40700000000001</v>
      </c>
      <c r="AG29" s="466">
        <v>39.658000000000001</v>
      </c>
      <c r="AH29" s="451"/>
      <c r="AI29" s="463">
        <v>163.40700000000001</v>
      </c>
      <c r="AJ29" s="466">
        <v>33.372199999999999</v>
      </c>
      <c r="AK29" s="451"/>
      <c r="AL29" s="463">
        <v>140.25</v>
      </c>
      <c r="AM29" s="451">
        <v>39.658000000000001</v>
      </c>
      <c r="AN29" s="451"/>
      <c r="AO29" s="451">
        <v>163.40700000000001</v>
      </c>
      <c r="AP29" s="451"/>
      <c r="AQ29" s="451"/>
      <c r="AR29" s="451"/>
      <c r="AS29" s="451"/>
      <c r="AT29" s="451"/>
      <c r="AU29" s="451"/>
      <c r="AV29" s="451"/>
      <c r="AW29" s="451"/>
      <c r="AX29" s="451"/>
      <c r="AY29" s="451"/>
      <c r="AZ29" s="398"/>
      <c r="BA29" s="398"/>
      <c r="BB29" s="398"/>
      <c r="BC29" s="398"/>
      <c r="BD29" s="398"/>
      <c r="BE29" s="398"/>
      <c r="BF29" s="398"/>
      <c r="BG29" s="398"/>
      <c r="BH29" s="398"/>
      <c r="BI29" s="398"/>
      <c r="BJ29" s="398"/>
      <c r="BK29" s="398"/>
      <c r="BL29" s="398"/>
      <c r="BM29" s="398"/>
      <c r="BN29" s="398"/>
      <c r="BO29" s="398"/>
      <c r="BP29" s="398"/>
      <c r="BQ29" s="398"/>
      <c r="BR29" s="398"/>
      <c r="BS29" s="398"/>
      <c r="BT29" s="398"/>
      <c r="BU29" s="398"/>
      <c r="BV29" s="398"/>
      <c r="BW29" s="398"/>
      <c r="BX29" s="452"/>
    </row>
    <row r="30" spans="1:76" x14ac:dyDescent="0.2">
      <c r="A30" s="15"/>
      <c r="B30" s="28"/>
      <c r="C30" s="506"/>
      <c r="D30" s="428"/>
      <c r="G30" s="8"/>
      <c r="K30" s="1"/>
      <c r="L30" s="1"/>
      <c r="M30" s="1"/>
    </row>
    <row r="31" spans="1:76" x14ac:dyDescent="0.2">
      <c r="A31" s="15"/>
      <c r="B31" s="28"/>
      <c r="C31" s="506"/>
      <c r="D31" s="428"/>
      <c r="G31" s="8"/>
      <c r="H31" s="8"/>
      <c r="K31" s="1"/>
      <c r="L31" s="1"/>
      <c r="M31" s="1"/>
    </row>
    <row r="32" spans="1:76" x14ac:dyDescent="0.2">
      <c r="A32" s="15"/>
      <c r="B32" s="28"/>
      <c r="C32" s="506"/>
      <c r="D32" s="428"/>
      <c r="G32" s="8"/>
      <c r="K32" s="1"/>
      <c r="L32" s="1"/>
      <c r="M32" s="1"/>
    </row>
    <row r="33" spans="1:145" x14ac:dyDescent="0.2">
      <c r="A33" s="15"/>
      <c r="B33" s="28"/>
      <c r="C33" s="506"/>
      <c r="D33" s="428"/>
      <c r="G33" s="8"/>
      <c r="K33" s="1"/>
      <c r="L33" s="1"/>
      <c r="M33" s="1"/>
    </row>
    <row r="34" spans="1:145" x14ac:dyDescent="0.2">
      <c r="A34" s="15"/>
      <c r="B34" s="28"/>
      <c r="C34" s="506"/>
      <c r="G34" s="8"/>
      <c r="K34" s="1"/>
      <c r="L34" s="1"/>
      <c r="M34" s="1"/>
    </row>
    <row r="35" spans="1:145" x14ac:dyDescent="0.2">
      <c r="A35" s="15"/>
      <c r="B35" s="28"/>
      <c r="C35" s="506"/>
      <c r="D35" s="428"/>
      <c r="G35" s="8"/>
      <c r="K35" s="1"/>
      <c r="L35" s="1"/>
      <c r="M35" s="1"/>
    </row>
    <row r="36" spans="1:145" x14ac:dyDescent="0.2">
      <c r="A36" s="15"/>
      <c r="B36" s="28"/>
      <c r="C36" s="506"/>
      <c r="D36" s="428"/>
      <c r="G36" s="8"/>
      <c r="K36" s="1"/>
      <c r="L36" s="1"/>
      <c r="M36" s="1"/>
      <c r="AD36" s="370"/>
      <c r="AE36" s="594" t="s">
        <v>155</v>
      </c>
      <c r="AF36" s="595" t="s">
        <v>440</v>
      </c>
      <c r="AG36" s="594"/>
      <c r="AH36" s="594"/>
      <c r="AI36" s="594"/>
      <c r="AJ36" s="594"/>
      <c r="AK36" s="594" t="s">
        <v>434</v>
      </c>
      <c r="AL36" s="594" t="s">
        <v>436</v>
      </c>
      <c r="AM36" s="594" t="s">
        <v>437</v>
      </c>
      <c r="AN36" s="594" t="s">
        <v>437</v>
      </c>
      <c r="AO36" s="594" t="s">
        <v>441</v>
      </c>
      <c r="AP36" s="594" t="s">
        <v>441</v>
      </c>
      <c r="AQ36" s="594" t="s">
        <v>441</v>
      </c>
      <c r="AR36" s="594"/>
      <c r="AS36" s="594"/>
      <c r="AT36" s="594"/>
      <c r="AU36" s="594"/>
      <c r="AV36" s="594"/>
      <c r="AW36" s="594"/>
      <c r="AX36" s="594"/>
      <c r="AY36" s="594" t="s">
        <v>449</v>
      </c>
      <c r="AZ36" s="594" t="s">
        <v>452</v>
      </c>
      <c r="BA36" s="594" t="s">
        <v>453</v>
      </c>
      <c r="BB36" s="594" t="s">
        <v>454</v>
      </c>
      <c r="BC36" s="596" t="s">
        <v>6</v>
      </c>
      <c r="BH36" s="370"/>
      <c r="BI36" s="594" t="s">
        <v>155</v>
      </c>
      <c r="BJ36" s="595" t="s">
        <v>440</v>
      </c>
      <c r="BK36" s="594"/>
      <c r="BL36" s="594"/>
      <c r="BM36" s="594"/>
      <c r="BN36" s="594"/>
      <c r="BO36" s="594" t="s">
        <v>434</v>
      </c>
      <c r="BP36" s="594" t="s">
        <v>436</v>
      </c>
      <c r="BQ36" s="594" t="s">
        <v>437</v>
      </c>
      <c r="BR36" s="594" t="s">
        <v>437</v>
      </c>
      <c r="BS36" s="594" t="s">
        <v>441</v>
      </c>
      <c r="BT36" s="594" t="s">
        <v>441</v>
      </c>
      <c r="BU36" s="594" t="s">
        <v>441</v>
      </c>
      <c r="BV36" s="594"/>
      <c r="BW36" s="594"/>
      <c r="BX36" s="594"/>
      <c r="BY36" s="594"/>
      <c r="BZ36" s="594"/>
      <c r="CA36" s="594"/>
      <c r="CB36" s="594"/>
      <c r="CC36" s="594" t="s">
        <v>449</v>
      </c>
      <c r="CD36" s="594" t="s">
        <v>452</v>
      </c>
      <c r="CE36" s="594" t="s">
        <v>453</v>
      </c>
      <c r="CF36" s="594" t="s">
        <v>454</v>
      </c>
      <c r="CG36" s="596" t="s">
        <v>6</v>
      </c>
      <c r="CL36" s="370"/>
      <c r="CM36" s="594" t="s">
        <v>155</v>
      </c>
      <c r="CN36" s="595" t="s">
        <v>440</v>
      </c>
      <c r="CO36" s="594"/>
      <c r="CP36" s="594"/>
      <c r="CQ36" s="594"/>
      <c r="CR36" s="594"/>
      <c r="CS36" s="594" t="s">
        <v>434</v>
      </c>
      <c r="CT36" s="594" t="s">
        <v>436</v>
      </c>
      <c r="CU36" s="594" t="s">
        <v>437</v>
      </c>
      <c r="CV36" s="594" t="s">
        <v>437</v>
      </c>
      <c r="CW36" s="594" t="s">
        <v>441</v>
      </c>
      <c r="CX36" s="594" t="s">
        <v>441</v>
      </c>
      <c r="CY36" s="594" t="s">
        <v>441</v>
      </c>
      <c r="CZ36" s="594"/>
      <c r="DA36" s="594"/>
      <c r="DB36" s="594"/>
      <c r="DC36" s="594"/>
      <c r="DD36" s="594"/>
      <c r="DE36" s="594"/>
      <c r="DF36" s="594"/>
      <c r="DG36" s="594" t="s">
        <v>449</v>
      </c>
      <c r="DH36" s="594" t="s">
        <v>452</v>
      </c>
      <c r="DI36" s="594" t="s">
        <v>453</v>
      </c>
      <c r="DJ36" s="594" t="s">
        <v>454</v>
      </c>
      <c r="DK36" s="596" t="s">
        <v>6</v>
      </c>
      <c r="DP36" s="370"/>
      <c r="DQ36" s="594" t="s">
        <v>155</v>
      </c>
      <c r="DR36" s="595" t="s">
        <v>440</v>
      </c>
      <c r="DS36" s="594"/>
      <c r="DT36" s="594"/>
      <c r="DU36" s="594"/>
      <c r="DV36" s="594"/>
      <c r="DW36" s="594" t="s">
        <v>434</v>
      </c>
      <c r="DX36" s="594" t="s">
        <v>436</v>
      </c>
      <c r="DY36" s="594" t="s">
        <v>437</v>
      </c>
      <c r="DZ36" s="594" t="s">
        <v>437</v>
      </c>
      <c r="EA36" s="594" t="s">
        <v>441</v>
      </c>
      <c r="EB36" s="594" t="s">
        <v>441</v>
      </c>
      <c r="EC36" s="594" t="s">
        <v>441</v>
      </c>
      <c r="ED36" s="594"/>
      <c r="EE36" s="594"/>
      <c r="EF36" s="594"/>
      <c r="EG36" s="594"/>
      <c r="EH36" s="594"/>
      <c r="EI36" s="594"/>
      <c r="EJ36" s="594"/>
      <c r="EK36" s="594" t="s">
        <v>449</v>
      </c>
      <c r="EL36" s="594" t="s">
        <v>452</v>
      </c>
      <c r="EM36" s="594" t="s">
        <v>453</v>
      </c>
      <c r="EN36" s="594" t="s">
        <v>454</v>
      </c>
      <c r="EO36" s="596" t="s">
        <v>6</v>
      </c>
    </row>
    <row r="37" spans="1:145" x14ac:dyDescent="0.2">
      <c r="A37" s="15"/>
      <c r="B37" s="28"/>
      <c r="C37" s="506"/>
      <c r="D37" s="428"/>
      <c r="G37" s="8"/>
      <c r="K37" s="1"/>
      <c r="L37" s="1"/>
      <c r="M37" s="1"/>
      <c r="AD37" s="588"/>
      <c r="AE37" s="597" t="s">
        <v>19</v>
      </c>
      <c r="AF37" s="597" t="s">
        <v>439</v>
      </c>
      <c r="AG37" s="597"/>
      <c r="AH37" s="597"/>
      <c r="AI37" s="597"/>
      <c r="AJ37" s="597"/>
      <c r="AK37" s="597" t="s">
        <v>58</v>
      </c>
      <c r="AL37" s="597" t="s">
        <v>58</v>
      </c>
      <c r="AM37" s="597" t="s">
        <v>438</v>
      </c>
      <c r="AN37" s="597" t="s">
        <v>54</v>
      </c>
      <c r="AO37" s="597" t="s">
        <v>438</v>
      </c>
      <c r="AP37" s="597" t="s">
        <v>54</v>
      </c>
      <c r="AQ37" s="597" t="s">
        <v>442</v>
      </c>
      <c r="AR37" s="597" t="s">
        <v>443</v>
      </c>
      <c r="AS37" s="597" t="s">
        <v>444</v>
      </c>
      <c r="AT37" s="597"/>
      <c r="AU37" s="597" t="s">
        <v>446</v>
      </c>
      <c r="AV37" s="597" t="s">
        <v>54</v>
      </c>
      <c r="AW37" s="597" t="s">
        <v>442</v>
      </c>
      <c r="AX37" s="597" t="s">
        <v>448</v>
      </c>
      <c r="AY37" s="597" t="s">
        <v>450</v>
      </c>
      <c r="AZ37" s="597" t="s">
        <v>450</v>
      </c>
      <c r="BA37" s="597" t="s">
        <v>450</v>
      </c>
      <c r="BB37" s="597" t="s">
        <v>450</v>
      </c>
      <c r="BC37" s="598" t="s">
        <v>438</v>
      </c>
      <c r="BD37" s="583"/>
      <c r="BH37" s="588"/>
      <c r="BI37" s="597" t="s">
        <v>19</v>
      </c>
      <c r="BJ37" s="597" t="s">
        <v>439</v>
      </c>
      <c r="BK37" s="597"/>
      <c r="BL37" s="597"/>
      <c r="BM37" s="597"/>
      <c r="BN37" s="597"/>
      <c r="BO37" s="597" t="s">
        <v>58</v>
      </c>
      <c r="BP37" s="597" t="s">
        <v>58</v>
      </c>
      <c r="BQ37" s="597" t="s">
        <v>438</v>
      </c>
      <c r="BR37" s="597" t="s">
        <v>54</v>
      </c>
      <c r="BS37" s="597" t="s">
        <v>438</v>
      </c>
      <c r="BT37" s="597" t="s">
        <v>54</v>
      </c>
      <c r="BU37" s="597" t="s">
        <v>442</v>
      </c>
      <c r="BV37" s="597" t="s">
        <v>443</v>
      </c>
      <c r="BW37" s="597" t="s">
        <v>444</v>
      </c>
      <c r="BX37" s="597"/>
      <c r="BY37" s="597" t="s">
        <v>446</v>
      </c>
      <c r="BZ37" s="597" t="s">
        <v>54</v>
      </c>
      <c r="CA37" s="597" t="s">
        <v>442</v>
      </c>
      <c r="CB37" s="597" t="s">
        <v>448</v>
      </c>
      <c r="CC37" s="597" t="s">
        <v>450</v>
      </c>
      <c r="CD37" s="597" t="s">
        <v>450</v>
      </c>
      <c r="CE37" s="597" t="s">
        <v>450</v>
      </c>
      <c r="CF37" s="597" t="s">
        <v>450</v>
      </c>
      <c r="CG37" s="598" t="s">
        <v>438</v>
      </c>
      <c r="CL37" s="588"/>
      <c r="CM37" s="597" t="s">
        <v>19</v>
      </c>
      <c r="CN37" s="597" t="s">
        <v>439</v>
      </c>
      <c r="CO37" s="597"/>
      <c r="CP37" s="597"/>
      <c r="CQ37" s="597"/>
      <c r="CR37" s="597"/>
      <c r="CS37" s="597" t="s">
        <v>58</v>
      </c>
      <c r="CT37" s="597" t="s">
        <v>58</v>
      </c>
      <c r="CU37" s="597" t="s">
        <v>438</v>
      </c>
      <c r="CV37" s="597" t="s">
        <v>54</v>
      </c>
      <c r="CW37" s="597" t="s">
        <v>438</v>
      </c>
      <c r="CX37" s="597" t="s">
        <v>54</v>
      </c>
      <c r="CY37" s="597" t="s">
        <v>442</v>
      </c>
      <c r="CZ37" s="597" t="s">
        <v>443</v>
      </c>
      <c r="DA37" s="597" t="s">
        <v>444</v>
      </c>
      <c r="DB37" s="597"/>
      <c r="DC37" s="597" t="s">
        <v>446</v>
      </c>
      <c r="DD37" s="597" t="s">
        <v>54</v>
      </c>
      <c r="DE37" s="597" t="s">
        <v>442</v>
      </c>
      <c r="DF37" s="597" t="s">
        <v>448</v>
      </c>
      <c r="DG37" s="597" t="s">
        <v>450</v>
      </c>
      <c r="DH37" s="597" t="s">
        <v>450</v>
      </c>
      <c r="DI37" s="597" t="s">
        <v>450</v>
      </c>
      <c r="DJ37" s="597" t="s">
        <v>450</v>
      </c>
      <c r="DK37" s="598" t="s">
        <v>438</v>
      </c>
      <c r="DP37" s="588"/>
      <c r="DQ37" s="597" t="s">
        <v>19</v>
      </c>
      <c r="DR37" s="597" t="s">
        <v>439</v>
      </c>
      <c r="DS37" s="597"/>
      <c r="DT37" s="597"/>
      <c r="DU37" s="597"/>
      <c r="DV37" s="597"/>
      <c r="DW37" s="597" t="s">
        <v>58</v>
      </c>
      <c r="DX37" s="597" t="s">
        <v>58</v>
      </c>
      <c r="DY37" s="597" t="s">
        <v>438</v>
      </c>
      <c r="DZ37" s="597" t="s">
        <v>54</v>
      </c>
      <c r="EA37" s="597" t="s">
        <v>438</v>
      </c>
      <c r="EB37" s="597" t="s">
        <v>54</v>
      </c>
      <c r="EC37" s="597" t="s">
        <v>442</v>
      </c>
      <c r="ED37" s="597" t="s">
        <v>443</v>
      </c>
      <c r="EE37" s="597" t="s">
        <v>444</v>
      </c>
      <c r="EF37" s="597"/>
      <c r="EG37" s="597" t="s">
        <v>446</v>
      </c>
      <c r="EH37" s="597" t="s">
        <v>54</v>
      </c>
      <c r="EI37" s="597" t="s">
        <v>442</v>
      </c>
      <c r="EJ37" s="597" t="s">
        <v>448</v>
      </c>
      <c r="EK37" s="597" t="s">
        <v>450</v>
      </c>
      <c r="EL37" s="597" t="s">
        <v>450</v>
      </c>
      <c r="EM37" s="597" t="s">
        <v>450</v>
      </c>
      <c r="EN37" s="597" t="s">
        <v>450</v>
      </c>
      <c r="EO37" s="598" t="s">
        <v>438</v>
      </c>
    </row>
    <row r="38" spans="1:145" x14ac:dyDescent="0.2">
      <c r="A38" s="15"/>
      <c r="B38" s="28"/>
      <c r="C38" s="506"/>
      <c r="D38" s="428"/>
      <c r="G38" s="8"/>
      <c r="K38" s="1"/>
      <c r="L38" s="1"/>
      <c r="M38" s="1"/>
      <c r="AD38" s="588" t="s">
        <v>11</v>
      </c>
      <c r="AE38" s="597" t="s">
        <v>20</v>
      </c>
      <c r="AF38" s="597" t="s">
        <v>20</v>
      </c>
      <c r="AG38" s="597" t="s">
        <v>58</v>
      </c>
      <c r="AH38" s="597" t="s">
        <v>196</v>
      </c>
      <c r="AI38" s="597" t="s">
        <v>198</v>
      </c>
      <c r="AJ38" s="597" t="s">
        <v>199</v>
      </c>
      <c r="AK38" s="597" t="s">
        <v>435</v>
      </c>
      <c r="AL38" s="597" t="s">
        <v>435</v>
      </c>
      <c r="AM38" s="597" t="s">
        <v>140</v>
      </c>
      <c r="AN38" s="597" t="s">
        <v>140</v>
      </c>
      <c r="AO38" s="597" t="s">
        <v>140</v>
      </c>
      <c r="AP38" s="597" t="s">
        <v>140</v>
      </c>
      <c r="AQ38" s="597" t="s">
        <v>140</v>
      </c>
      <c r="AR38" s="597" t="s">
        <v>140</v>
      </c>
      <c r="AS38" s="597" t="s">
        <v>140</v>
      </c>
      <c r="AT38" s="597" t="s">
        <v>445</v>
      </c>
      <c r="AU38" s="597" t="s">
        <v>447</v>
      </c>
      <c r="AV38" s="597" t="s">
        <v>447</v>
      </c>
      <c r="AW38" s="597" t="s">
        <v>447</v>
      </c>
      <c r="AX38" s="597" t="s">
        <v>447</v>
      </c>
      <c r="AY38" s="597" t="s">
        <v>451</v>
      </c>
      <c r="AZ38" s="597" t="s">
        <v>451</v>
      </c>
      <c r="BA38" s="597" t="s">
        <v>451</v>
      </c>
      <c r="BB38" s="597" t="s">
        <v>451</v>
      </c>
      <c r="BC38" s="598" t="s">
        <v>198</v>
      </c>
      <c r="BH38" s="588" t="s">
        <v>11</v>
      </c>
      <c r="BI38" s="597" t="s">
        <v>20</v>
      </c>
      <c r="BJ38" s="597" t="s">
        <v>20</v>
      </c>
      <c r="BK38" s="597" t="s">
        <v>58</v>
      </c>
      <c r="BL38" s="597" t="s">
        <v>196</v>
      </c>
      <c r="BM38" s="597" t="s">
        <v>198</v>
      </c>
      <c r="BN38" s="597" t="s">
        <v>199</v>
      </c>
      <c r="BO38" s="597" t="s">
        <v>435</v>
      </c>
      <c r="BP38" s="597" t="s">
        <v>435</v>
      </c>
      <c r="BQ38" s="597" t="s">
        <v>140</v>
      </c>
      <c r="BR38" s="597" t="s">
        <v>140</v>
      </c>
      <c r="BS38" s="597" t="s">
        <v>140</v>
      </c>
      <c r="BT38" s="597" t="s">
        <v>140</v>
      </c>
      <c r="BU38" s="597" t="s">
        <v>140</v>
      </c>
      <c r="BV38" s="597" t="s">
        <v>140</v>
      </c>
      <c r="BW38" s="597" t="s">
        <v>140</v>
      </c>
      <c r="BX38" s="597" t="s">
        <v>445</v>
      </c>
      <c r="BY38" s="597" t="s">
        <v>447</v>
      </c>
      <c r="BZ38" s="597" t="s">
        <v>447</v>
      </c>
      <c r="CA38" s="597" t="s">
        <v>447</v>
      </c>
      <c r="CB38" s="597" t="s">
        <v>447</v>
      </c>
      <c r="CC38" s="597" t="s">
        <v>451</v>
      </c>
      <c r="CD38" s="597" t="s">
        <v>451</v>
      </c>
      <c r="CE38" s="597" t="s">
        <v>451</v>
      </c>
      <c r="CF38" s="597" t="s">
        <v>451</v>
      </c>
      <c r="CG38" s="598" t="s">
        <v>198</v>
      </c>
      <c r="CL38" s="588" t="s">
        <v>11</v>
      </c>
      <c r="CM38" s="597" t="s">
        <v>20</v>
      </c>
      <c r="CN38" s="597" t="s">
        <v>20</v>
      </c>
      <c r="CO38" s="597" t="s">
        <v>58</v>
      </c>
      <c r="CP38" s="597" t="s">
        <v>196</v>
      </c>
      <c r="CQ38" s="597" t="s">
        <v>198</v>
      </c>
      <c r="CR38" s="597" t="s">
        <v>199</v>
      </c>
      <c r="CS38" s="597" t="s">
        <v>435</v>
      </c>
      <c r="CT38" s="597" t="s">
        <v>435</v>
      </c>
      <c r="CU38" s="597" t="s">
        <v>140</v>
      </c>
      <c r="CV38" s="597" t="s">
        <v>140</v>
      </c>
      <c r="CW38" s="597" t="s">
        <v>140</v>
      </c>
      <c r="CX38" s="597" t="s">
        <v>140</v>
      </c>
      <c r="CY38" s="597" t="s">
        <v>140</v>
      </c>
      <c r="CZ38" s="597" t="s">
        <v>140</v>
      </c>
      <c r="DA38" s="597" t="s">
        <v>140</v>
      </c>
      <c r="DB38" s="597" t="s">
        <v>445</v>
      </c>
      <c r="DC38" s="597" t="s">
        <v>447</v>
      </c>
      <c r="DD38" s="597" t="s">
        <v>447</v>
      </c>
      <c r="DE38" s="597" t="s">
        <v>447</v>
      </c>
      <c r="DF38" s="597" t="s">
        <v>447</v>
      </c>
      <c r="DG38" s="597" t="s">
        <v>451</v>
      </c>
      <c r="DH38" s="597" t="s">
        <v>451</v>
      </c>
      <c r="DI38" s="597" t="s">
        <v>451</v>
      </c>
      <c r="DJ38" s="597" t="s">
        <v>451</v>
      </c>
      <c r="DK38" s="598" t="s">
        <v>198</v>
      </c>
      <c r="DP38" s="588" t="s">
        <v>11</v>
      </c>
      <c r="DQ38" s="597" t="s">
        <v>20</v>
      </c>
      <c r="DR38" s="597" t="s">
        <v>20</v>
      </c>
      <c r="DS38" s="597" t="s">
        <v>58</v>
      </c>
      <c r="DT38" s="597" t="s">
        <v>196</v>
      </c>
      <c r="DU38" s="597" t="s">
        <v>198</v>
      </c>
      <c r="DV38" s="597" t="s">
        <v>199</v>
      </c>
      <c r="DW38" s="597" t="s">
        <v>435</v>
      </c>
      <c r="DX38" s="597" t="s">
        <v>435</v>
      </c>
      <c r="DY38" s="597" t="s">
        <v>140</v>
      </c>
      <c r="DZ38" s="597" t="s">
        <v>140</v>
      </c>
      <c r="EA38" s="597" t="s">
        <v>140</v>
      </c>
      <c r="EB38" s="597" t="s">
        <v>140</v>
      </c>
      <c r="EC38" s="597" t="s">
        <v>140</v>
      </c>
      <c r="ED38" s="597" t="s">
        <v>140</v>
      </c>
      <c r="EE38" s="597" t="s">
        <v>140</v>
      </c>
      <c r="EF38" s="597" t="s">
        <v>445</v>
      </c>
      <c r="EG38" s="597" t="s">
        <v>447</v>
      </c>
      <c r="EH38" s="597" t="s">
        <v>447</v>
      </c>
      <c r="EI38" s="597" t="s">
        <v>447</v>
      </c>
      <c r="EJ38" s="597" t="s">
        <v>447</v>
      </c>
      <c r="EK38" s="597" t="s">
        <v>451</v>
      </c>
      <c r="EL38" s="597" t="s">
        <v>451</v>
      </c>
      <c r="EM38" s="597" t="s">
        <v>451</v>
      </c>
      <c r="EN38" s="597" t="s">
        <v>451</v>
      </c>
      <c r="EO38" s="598" t="s">
        <v>198</v>
      </c>
    </row>
    <row r="39" spans="1:145" x14ac:dyDescent="0.2">
      <c r="A39" s="15"/>
      <c r="B39" s="28"/>
      <c r="C39" s="506"/>
      <c r="D39" s="428"/>
      <c r="G39" s="8"/>
      <c r="K39" s="1"/>
      <c r="L39" s="1"/>
      <c r="M39" s="1"/>
      <c r="AD39" s="589"/>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599"/>
      <c r="BH39" s="589"/>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c r="CG39" s="599"/>
      <c r="CL39" s="589"/>
      <c r="CM39" s="330"/>
      <c r="CN39" s="330"/>
      <c r="CO39" s="330"/>
      <c r="CP39" s="330"/>
      <c r="CQ39" s="330"/>
      <c r="CR39" s="330"/>
      <c r="CS39" s="330"/>
      <c r="CT39" s="330"/>
      <c r="CU39" s="330"/>
      <c r="CV39" s="330"/>
      <c r="CW39" s="330"/>
      <c r="CX39" s="330"/>
      <c r="CY39" s="330"/>
      <c r="CZ39" s="330"/>
      <c r="DA39" s="330"/>
      <c r="DB39" s="330"/>
      <c r="DC39" s="330"/>
      <c r="DD39" s="330"/>
      <c r="DE39" s="330"/>
      <c r="DF39" s="330"/>
      <c r="DG39" s="330"/>
      <c r="DH39" s="330"/>
      <c r="DI39" s="330"/>
      <c r="DJ39" s="330"/>
      <c r="DK39" s="599"/>
      <c r="DP39" s="589"/>
      <c r="DQ39" s="330"/>
      <c r="DR39" s="330"/>
      <c r="DS39" s="330"/>
      <c r="DT39" s="330"/>
      <c r="DU39" s="330"/>
      <c r="DV39" s="330"/>
      <c r="DW39" s="330"/>
      <c r="DX39" s="330"/>
      <c r="DY39" s="330"/>
      <c r="DZ39" s="330"/>
      <c r="EA39" s="330"/>
      <c r="EB39" s="330"/>
      <c r="EC39" s="330"/>
      <c r="ED39" s="330"/>
      <c r="EE39" s="330"/>
      <c r="EF39" s="330"/>
      <c r="EG39" s="330"/>
      <c r="EH39" s="330"/>
      <c r="EI39" s="330"/>
      <c r="EJ39" s="330"/>
      <c r="EK39" s="330"/>
      <c r="EL39" s="330"/>
      <c r="EM39" s="330"/>
      <c r="EN39" s="330"/>
      <c r="EO39" s="599"/>
    </row>
    <row r="40" spans="1:145" x14ac:dyDescent="0.2">
      <c r="A40" s="15"/>
      <c r="B40" s="28"/>
      <c r="C40" s="506"/>
      <c r="D40" s="428"/>
      <c r="G40" s="8"/>
      <c r="K40" s="1"/>
      <c r="L40" s="1"/>
      <c r="M40" s="1"/>
      <c r="AE40">
        <v>-4.6451500000000001</v>
      </c>
      <c r="AF40">
        <v>0</v>
      </c>
      <c r="AG40">
        <v>500</v>
      </c>
      <c r="AH40">
        <v>0</v>
      </c>
      <c r="AI40">
        <v>0</v>
      </c>
      <c r="AJ40">
        <v>-5</v>
      </c>
      <c r="AK40">
        <v>0</v>
      </c>
      <c r="AL40">
        <v>0</v>
      </c>
      <c r="AM40">
        <v>0</v>
      </c>
      <c r="AN40">
        <v>0</v>
      </c>
      <c r="AO40">
        <v>0</v>
      </c>
      <c r="AP40">
        <v>0</v>
      </c>
      <c r="AQ40">
        <v>0</v>
      </c>
      <c r="AR40">
        <v>0</v>
      </c>
      <c r="AS40">
        <v>0</v>
      </c>
      <c r="AT40">
        <v>0</v>
      </c>
      <c r="AU40">
        <v>47.321300000000001</v>
      </c>
      <c r="AV40">
        <v>2.1862699999999999</v>
      </c>
      <c r="AW40">
        <v>62.574399999999997</v>
      </c>
      <c r="AX40">
        <v>0</v>
      </c>
      <c r="AY40">
        <v>59.770499999999998</v>
      </c>
      <c r="AZ40">
        <v>59.770499999999998</v>
      </c>
      <c r="BA40">
        <v>10.809799999999999</v>
      </c>
      <c r="BB40">
        <v>18.766200000000001</v>
      </c>
      <c r="BC40">
        <v>0</v>
      </c>
      <c r="BI40">
        <v>-4.6451500000000001</v>
      </c>
      <c r="BJ40">
        <v>0</v>
      </c>
      <c r="BK40">
        <v>500</v>
      </c>
      <c r="BL40">
        <v>0</v>
      </c>
      <c r="BM40">
        <v>0</v>
      </c>
      <c r="BN40">
        <v>-5</v>
      </c>
      <c r="BO40">
        <v>0</v>
      </c>
      <c r="BP40">
        <v>0</v>
      </c>
      <c r="BQ40">
        <v>0</v>
      </c>
      <c r="BR40">
        <v>0</v>
      </c>
      <c r="BS40">
        <v>0</v>
      </c>
      <c r="BT40">
        <v>0</v>
      </c>
      <c r="BU40">
        <v>0</v>
      </c>
      <c r="BV40">
        <v>0</v>
      </c>
      <c r="BW40">
        <v>0</v>
      </c>
      <c r="BX40">
        <v>0</v>
      </c>
      <c r="BY40">
        <v>47.317900000000002</v>
      </c>
      <c r="BZ40">
        <v>2.1849500000000002</v>
      </c>
      <c r="CA40">
        <v>62.572699999999998</v>
      </c>
      <c r="CB40">
        <v>0</v>
      </c>
      <c r="CC40">
        <v>59.771900000000002</v>
      </c>
      <c r="CD40">
        <v>59.771900000000002</v>
      </c>
      <c r="CE40">
        <v>10.8089</v>
      </c>
      <c r="CF40">
        <v>18.767199999999999</v>
      </c>
      <c r="CG40">
        <v>0</v>
      </c>
      <c r="CM40">
        <v>-4.6451500000000001</v>
      </c>
      <c r="CN40">
        <v>0</v>
      </c>
      <c r="CO40">
        <v>500</v>
      </c>
      <c r="CP40">
        <v>0</v>
      </c>
      <c r="CQ40">
        <v>0</v>
      </c>
      <c r="CR40">
        <v>-5</v>
      </c>
      <c r="CS40">
        <v>0</v>
      </c>
      <c r="CT40">
        <v>0</v>
      </c>
      <c r="CU40">
        <v>0</v>
      </c>
      <c r="CV40">
        <v>0</v>
      </c>
      <c r="CW40">
        <v>0</v>
      </c>
      <c r="CX40">
        <v>0</v>
      </c>
      <c r="CY40">
        <v>0</v>
      </c>
      <c r="CZ40">
        <v>0</v>
      </c>
      <c r="DA40">
        <v>0</v>
      </c>
      <c r="DB40">
        <v>0</v>
      </c>
      <c r="DC40">
        <v>47.2498</v>
      </c>
      <c r="DD40">
        <v>2.0068700000000002</v>
      </c>
      <c r="DE40">
        <v>62.524900000000002</v>
      </c>
      <c r="DF40">
        <v>0</v>
      </c>
      <c r="DG40">
        <v>60.614899999999999</v>
      </c>
      <c r="DH40">
        <v>60.614899999999999</v>
      </c>
      <c r="DI40">
        <v>11.041399999999999</v>
      </c>
      <c r="DJ40">
        <v>18.7761</v>
      </c>
      <c r="DK40">
        <v>0</v>
      </c>
      <c r="DQ40">
        <v>-4.6451500000000001</v>
      </c>
      <c r="DR40">
        <v>0</v>
      </c>
      <c r="DS40">
        <v>500</v>
      </c>
      <c r="DT40">
        <v>0</v>
      </c>
      <c r="DU40">
        <v>0</v>
      </c>
      <c r="DV40">
        <v>-5</v>
      </c>
      <c r="DW40">
        <v>0</v>
      </c>
      <c r="DX40">
        <v>0</v>
      </c>
      <c r="DY40">
        <v>0</v>
      </c>
      <c r="DZ40">
        <v>0</v>
      </c>
      <c r="EA40">
        <v>0</v>
      </c>
      <c r="EB40">
        <v>0</v>
      </c>
      <c r="EC40">
        <v>0</v>
      </c>
      <c r="ED40">
        <v>0</v>
      </c>
      <c r="EE40">
        <v>0</v>
      </c>
      <c r="EF40">
        <v>0</v>
      </c>
      <c r="EG40">
        <v>47.3018</v>
      </c>
      <c r="EH40">
        <v>2.1781899999999998</v>
      </c>
      <c r="EI40">
        <v>62.564100000000003</v>
      </c>
      <c r="EJ40">
        <v>0</v>
      </c>
      <c r="EK40">
        <v>59.778399999999998</v>
      </c>
      <c r="EL40">
        <v>59.778399999999998</v>
      </c>
      <c r="EM40">
        <v>10.805400000000001</v>
      </c>
      <c r="EN40">
        <v>18.7715</v>
      </c>
      <c r="EO40">
        <v>0</v>
      </c>
    </row>
    <row r="41" spans="1:145" x14ac:dyDescent="0.2">
      <c r="A41" s="15"/>
      <c r="B41" s="28"/>
      <c r="C41" s="506"/>
      <c r="D41" s="428"/>
      <c r="G41" s="8"/>
      <c r="K41" s="1"/>
      <c r="L41" s="1"/>
      <c r="M41" s="1"/>
      <c r="AD41" s="112"/>
      <c r="AE41" s="112">
        <v>-2.3225799999999999</v>
      </c>
      <c r="AF41" s="112"/>
      <c r="AG41" s="112">
        <v>500.00400000000002</v>
      </c>
      <c r="AH41" s="112">
        <v>5.1574499999999996E-4</v>
      </c>
      <c r="AI41" s="112">
        <v>1.80885E-2</v>
      </c>
      <c r="AJ41" s="112">
        <v>2</v>
      </c>
      <c r="AK41" s="112">
        <v>3.9299799999999996E-3</v>
      </c>
      <c r="AL41" s="112"/>
      <c r="AM41" s="112">
        <v>0.641262</v>
      </c>
      <c r="AN41" s="112">
        <v>5.6743100000000002</v>
      </c>
      <c r="AO41" s="112">
        <v>1.15995E-2</v>
      </c>
      <c r="AP41" s="112">
        <v>5.5716700000000001</v>
      </c>
      <c r="AQ41" s="112">
        <v>1.1605300000000001E-2</v>
      </c>
      <c r="AR41" s="112">
        <v>10.6906</v>
      </c>
      <c r="AS41" s="112">
        <v>263.00700000000001</v>
      </c>
      <c r="AT41" s="112">
        <v>8.4932800000000004</v>
      </c>
      <c r="AU41" s="112">
        <v>47.327100000000002</v>
      </c>
      <c r="AV41" s="112">
        <v>2.18859</v>
      </c>
      <c r="AW41" s="112">
        <v>62.577199999999998</v>
      </c>
      <c r="AX41" s="112">
        <v>2.3140499999999999</v>
      </c>
      <c r="AY41" s="112">
        <v>59.767899999999997</v>
      </c>
      <c r="AZ41" s="112">
        <v>59.767899999999997</v>
      </c>
      <c r="BA41" s="112">
        <v>10.811299999999999</v>
      </c>
      <c r="BB41" s="112">
        <v>18.764399999999998</v>
      </c>
      <c r="BC41" s="112">
        <v>1.80885E-2</v>
      </c>
      <c r="BD41" s="112"/>
      <c r="BE41" s="112"/>
      <c r="BF41" s="112"/>
      <c r="BG41" s="112"/>
      <c r="BH41" s="112"/>
      <c r="BI41" s="112">
        <v>-2.3225799999999999</v>
      </c>
      <c r="BJ41" s="112"/>
      <c r="BK41" s="112">
        <v>500.005</v>
      </c>
      <c r="BL41" s="112">
        <v>6.6604399999999997E-4</v>
      </c>
      <c r="BM41" s="112">
        <v>1.75634E-2</v>
      </c>
      <c r="BN41" s="112">
        <v>2</v>
      </c>
      <c r="BO41" s="112">
        <v>5.0752599999999998E-3</v>
      </c>
      <c r="BP41" s="112"/>
      <c r="BQ41" s="112">
        <v>0.75393399999999999</v>
      </c>
      <c r="BR41" s="112">
        <v>6.4783600000000003</v>
      </c>
      <c r="BS41" s="112">
        <v>1.3241599999999999E-2</v>
      </c>
      <c r="BT41" s="112">
        <v>6.3645800000000001</v>
      </c>
      <c r="BU41" s="112">
        <v>1.3248299999999999E-2</v>
      </c>
      <c r="BV41" s="112">
        <v>10.6943</v>
      </c>
      <c r="BW41" s="112">
        <v>263.09500000000003</v>
      </c>
      <c r="BX41" s="112">
        <v>9.6983599999999992</v>
      </c>
      <c r="BY41" s="112">
        <v>47.322899999999997</v>
      </c>
      <c r="BZ41" s="112">
        <v>2.18696</v>
      </c>
      <c r="CA41">
        <v>62.575200000000002</v>
      </c>
      <c r="CB41">
        <v>2.3123399999999998</v>
      </c>
      <c r="CC41">
        <v>59.7697</v>
      </c>
      <c r="CD41">
        <v>59.7697</v>
      </c>
      <c r="CE41">
        <v>10.8102</v>
      </c>
      <c r="CF41">
        <v>18.765699999999999</v>
      </c>
      <c r="CG41">
        <v>1.75634E-2</v>
      </c>
      <c r="CM41">
        <v>-2.3225799999999999</v>
      </c>
      <c r="CN41">
        <v>0</v>
      </c>
      <c r="CO41">
        <v>500.05200000000002</v>
      </c>
      <c r="CP41">
        <v>6.8190400000000002E-3</v>
      </c>
      <c r="CQ41">
        <v>2.6985700000000001E-2</v>
      </c>
      <c r="CR41">
        <v>2</v>
      </c>
      <c r="CS41">
        <v>5.1961E-2</v>
      </c>
      <c r="CT41">
        <v>0</v>
      </c>
      <c r="CU41">
        <v>3.2785600000000001</v>
      </c>
      <c r="CV41">
        <v>21.998999999999999</v>
      </c>
      <c r="CW41">
        <v>8.8474200000000003E-2</v>
      </c>
      <c r="CX41">
        <v>21.4053</v>
      </c>
      <c r="CY41">
        <v>8.8519100000000003E-2</v>
      </c>
      <c r="CZ41">
        <v>11.2059</v>
      </c>
      <c r="DA41">
        <v>266.29300000000001</v>
      </c>
      <c r="DB41">
        <v>32.287799999999997</v>
      </c>
      <c r="DC41">
        <v>47.250599999999999</v>
      </c>
      <c r="DD41">
        <v>2.0074700000000001</v>
      </c>
      <c r="DE41">
        <v>62.525500000000001</v>
      </c>
      <c r="DF41">
        <v>2.25658</v>
      </c>
      <c r="DG41">
        <v>60.613900000000001</v>
      </c>
      <c r="DH41">
        <v>60.613900000000001</v>
      </c>
      <c r="DI41">
        <v>11.0411</v>
      </c>
      <c r="DJ41">
        <v>18.776</v>
      </c>
      <c r="DK41">
        <v>2.6985700000000001E-2</v>
      </c>
      <c r="DQ41">
        <v>-2.3225799999999999</v>
      </c>
      <c r="DR41">
        <v>0</v>
      </c>
      <c r="DS41">
        <v>500.00400000000002</v>
      </c>
      <c r="DT41">
        <v>5.6733499999999997E-4</v>
      </c>
      <c r="DU41">
        <v>0.12033000000000001</v>
      </c>
      <c r="DV41">
        <v>2</v>
      </c>
      <c r="DW41">
        <v>4.3230899999999999E-3</v>
      </c>
      <c r="DX41">
        <v>0</v>
      </c>
      <c r="DY41">
        <v>0.86806799999999995</v>
      </c>
      <c r="DZ41">
        <v>5.7252099999999997</v>
      </c>
      <c r="EA41">
        <v>0.10445400000000001</v>
      </c>
      <c r="EB41">
        <v>5.0362999999999998</v>
      </c>
      <c r="EC41">
        <v>0.104507</v>
      </c>
      <c r="ED41">
        <v>10.712</v>
      </c>
      <c r="EE41">
        <v>216.74100000000001</v>
      </c>
      <c r="EF41">
        <v>9.4880300000000002</v>
      </c>
      <c r="EG41">
        <v>47.304099999999998</v>
      </c>
      <c r="EH41">
        <v>2.1794500000000001</v>
      </c>
      <c r="EI41">
        <v>62.5657</v>
      </c>
      <c r="EJ41">
        <v>3.4064299999999998</v>
      </c>
      <c r="EK41">
        <v>59.777200000000001</v>
      </c>
      <c r="EL41">
        <v>59.777200000000001</v>
      </c>
      <c r="EM41">
        <v>10.805300000000001</v>
      </c>
      <c r="EN41">
        <v>18.7713</v>
      </c>
      <c r="EO41">
        <v>0.12033000000000001</v>
      </c>
    </row>
    <row r="42" spans="1:145" x14ac:dyDescent="0.2">
      <c r="A42" s="15"/>
      <c r="B42" s="28"/>
      <c r="C42" s="506"/>
      <c r="D42" s="428"/>
      <c r="G42" s="8"/>
      <c r="K42" s="1"/>
      <c r="L42" s="1"/>
      <c r="M42" s="1"/>
      <c r="AD42" s="112"/>
      <c r="AE42" s="112"/>
      <c r="AF42" s="112"/>
      <c r="AG42" s="112">
        <v>500.00799999999998</v>
      </c>
      <c r="AH42" s="112">
        <v>5.1515299999999997E-4</v>
      </c>
      <c r="AI42" s="112">
        <v>1.8122900000000001E-2</v>
      </c>
      <c r="AJ42" s="112">
        <v>2</v>
      </c>
      <c r="AK42" s="112">
        <v>7.85544E-3</v>
      </c>
      <c r="AL42" s="112"/>
      <c r="AM42" s="112">
        <v>0.64001600000000003</v>
      </c>
      <c r="AN42" s="112">
        <v>5.6684400000000004</v>
      </c>
      <c r="AO42" s="112">
        <v>1.1598900000000001E-2</v>
      </c>
      <c r="AP42" s="112">
        <v>5.5657100000000002</v>
      </c>
      <c r="AQ42" s="112">
        <v>1.16048E-2</v>
      </c>
      <c r="AR42" s="112">
        <v>10.684799999999999</v>
      </c>
      <c r="AS42" s="112">
        <v>262.86599999999999</v>
      </c>
      <c r="AT42" s="112">
        <v>8.4887800000000002</v>
      </c>
      <c r="AU42" s="112">
        <v>47.332999999999998</v>
      </c>
      <c r="AV42" s="112">
        <v>2.19096</v>
      </c>
      <c r="AW42" s="112">
        <v>62.580100000000002</v>
      </c>
      <c r="AX42" s="112">
        <v>2.3165499999999999</v>
      </c>
      <c r="AY42" s="112">
        <v>59.765099999999997</v>
      </c>
      <c r="AZ42" s="112">
        <v>59.765099999999997</v>
      </c>
      <c r="BA42" s="112">
        <v>10.812900000000001</v>
      </c>
      <c r="BB42" s="112">
        <v>18.762499999999999</v>
      </c>
      <c r="BC42" s="112">
        <v>1.8105699999999999E-2</v>
      </c>
      <c r="BD42" s="112"/>
      <c r="BE42" s="112"/>
      <c r="BF42" s="112"/>
      <c r="BG42" s="112"/>
      <c r="BH42" s="112"/>
      <c r="BI42" s="112"/>
      <c r="BJ42" s="112"/>
      <c r="BK42" s="112">
        <v>500.01</v>
      </c>
      <c r="BL42" s="112">
        <v>6.6547000000000004E-4</v>
      </c>
      <c r="BM42" s="112">
        <v>1.7583700000000001E-2</v>
      </c>
      <c r="BN42" s="112">
        <v>2</v>
      </c>
      <c r="BO42" s="112">
        <v>1.01461E-2</v>
      </c>
      <c r="BP42" s="112"/>
      <c r="BQ42" s="112">
        <v>0.75303299999999995</v>
      </c>
      <c r="BR42" s="112">
        <v>6.4724700000000004</v>
      </c>
      <c r="BS42" s="112">
        <v>1.32411E-2</v>
      </c>
      <c r="BT42" s="112">
        <v>6.3586600000000004</v>
      </c>
      <c r="BU42" s="112">
        <v>1.3247800000000001E-2</v>
      </c>
      <c r="BV42" s="112">
        <v>10.6892</v>
      </c>
      <c r="BW42" s="112">
        <v>262.97300000000001</v>
      </c>
      <c r="BX42" s="112">
        <v>9.6938899999999997</v>
      </c>
      <c r="BY42" s="112">
        <v>47.328099999999999</v>
      </c>
      <c r="BZ42" s="112">
        <v>2.1890100000000001</v>
      </c>
      <c r="CA42">
        <v>62.5777</v>
      </c>
      <c r="CB42">
        <v>2.3144999999999998</v>
      </c>
      <c r="CC42">
        <v>59.767299999999999</v>
      </c>
      <c r="CD42">
        <v>59.767299999999999</v>
      </c>
      <c r="CE42">
        <v>10.811500000000001</v>
      </c>
      <c r="CF42">
        <v>18.763999999999999</v>
      </c>
      <c r="CG42">
        <v>1.7573499999999999E-2</v>
      </c>
      <c r="CM42">
        <v>0</v>
      </c>
      <c r="CN42">
        <v>0</v>
      </c>
      <c r="CO42">
        <v>500.10399999999998</v>
      </c>
      <c r="CP42">
        <v>6.8171400000000002E-3</v>
      </c>
      <c r="CQ42">
        <v>2.6992200000000001E-2</v>
      </c>
      <c r="CR42">
        <v>2</v>
      </c>
      <c r="CS42">
        <v>0.103908</v>
      </c>
      <c r="CT42">
        <v>0</v>
      </c>
      <c r="CU42">
        <v>3.2777400000000001</v>
      </c>
      <c r="CV42">
        <v>21.9925</v>
      </c>
      <c r="CW42">
        <v>8.8473300000000005E-2</v>
      </c>
      <c r="CX42">
        <v>21.398900000000001</v>
      </c>
      <c r="CY42">
        <v>8.8518200000000005E-2</v>
      </c>
      <c r="CZ42">
        <v>11.2042</v>
      </c>
      <c r="DA42">
        <v>266.25299999999999</v>
      </c>
      <c r="DB42">
        <v>32.283000000000001</v>
      </c>
      <c r="DC42">
        <v>47.2515</v>
      </c>
      <c r="DD42">
        <v>2.00807</v>
      </c>
      <c r="DE42">
        <v>62.526200000000003</v>
      </c>
      <c r="DF42">
        <v>2.25725</v>
      </c>
      <c r="DG42">
        <v>60.6128</v>
      </c>
      <c r="DH42">
        <v>60.6128</v>
      </c>
      <c r="DI42">
        <v>11.040900000000001</v>
      </c>
      <c r="DJ42">
        <v>18.776</v>
      </c>
      <c r="DK42">
        <v>2.6988999999999999E-2</v>
      </c>
      <c r="DQ42">
        <v>0</v>
      </c>
      <c r="DR42">
        <v>0</v>
      </c>
      <c r="DS42">
        <v>500.00900000000001</v>
      </c>
      <c r="DT42">
        <v>5.6708799999999999E-4</v>
      </c>
      <c r="DU42">
        <v>0.12041200000000001</v>
      </c>
      <c r="DV42">
        <v>2</v>
      </c>
      <c r="DW42">
        <v>8.6443000000000006E-3</v>
      </c>
      <c r="DX42">
        <v>0</v>
      </c>
      <c r="DY42">
        <v>0.86745499999999998</v>
      </c>
      <c r="DZ42">
        <v>5.7224399999999997</v>
      </c>
      <c r="EA42">
        <v>0.104452</v>
      </c>
      <c r="EB42">
        <v>5.0333899999999998</v>
      </c>
      <c r="EC42">
        <v>0.104505</v>
      </c>
      <c r="ED42">
        <v>10.7089</v>
      </c>
      <c r="EE42">
        <v>216.679</v>
      </c>
      <c r="EF42">
        <v>9.48536</v>
      </c>
      <c r="EG42">
        <v>47.306899999999999</v>
      </c>
      <c r="EH42">
        <v>2.1807099999999999</v>
      </c>
      <c r="EI42">
        <v>62.567300000000003</v>
      </c>
      <c r="EJ42">
        <v>3.4083600000000001</v>
      </c>
      <c r="EK42">
        <v>59.7759</v>
      </c>
      <c r="EL42">
        <v>59.7759</v>
      </c>
      <c r="EM42">
        <v>10.805899999999999</v>
      </c>
      <c r="EN42">
        <v>18.770600000000002</v>
      </c>
      <c r="EO42">
        <v>0.12037100000000001</v>
      </c>
    </row>
    <row r="43" spans="1:145" x14ac:dyDescent="0.2">
      <c r="AD43" s="112"/>
      <c r="AE43" s="112"/>
      <c r="AF43" s="112"/>
      <c r="AG43" s="112">
        <v>766.61199999999997</v>
      </c>
      <c r="AH43" s="112">
        <v>5.1515299999999997E-4</v>
      </c>
      <c r="AI43" s="112"/>
      <c r="AJ43" s="112">
        <v>-10</v>
      </c>
      <c r="AK43" s="112">
        <v>7.85544E-3</v>
      </c>
      <c r="AL43" s="112"/>
      <c r="AM43" s="112"/>
      <c r="AN43" s="112"/>
      <c r="AO43" s="112">
        <v>2.0366900000000001</v>
      </c>
      <c r="AP43" s="112">
        <v>611.31299999999999</v>
      </c>
      <c r="AQ43" s="112">
        <v>1.16048E-2</v>
      </c>
      <c r="AR43" s="112"/>
      <c r="AS43" s="112"/>
      <c r="AT43" s="112">
        <v>1179.8900000000001</v>
      </c>
      <c r="AU43" s="112">
        <v>47.345599999999997</v>
      </c>
      <c r="AV43" s="112">
        <v>3.50421</v>
      </c>
      <c r="AW43" s="112">
        <v>62.630800000000001</v>
      </c>
      <c r="AX43" s="112">
        <v>3.7005499999999998</v>
      </c>
      <c r="AY43" s="112">
        <v>52.781399999999998</v>
      </c>
      <c r="AZ43" s="112">
        <v>52.781399999999998</v>
      </c>
      <c r="BA43" s="112">
        <v>8.8149599999999992</v>
      </c>
      <c r="BB43" s="112">
        <v>18.796399999999998</v>
      </c>
      <c r="BC43" s="112">
        <v>1.8105699999999999E-2</v>
      </c>
      <c r="BD43" s="112"/>
      <c r="BE43" s="112"/>
      <c r="BF43" s="112"/>
      <c r="BG43" s="112"/>
      <c r="BH43" s="112"/>
      <c r="BI43" s="112"/>
      <c r="BJ43" s="112"/>
      <c r="BK43" s="112">
        <v>855.31700000000001</v>
      </c>
      <c r="BL43" s="112">
        <v>6.6547000000000004E-4</v>
      </c>
      <c r="BM43" s="112"/>
      <c r="BN43" s="112">
        <v>-10</v>
      </c>
      <c r="BO43" s="112">
        <v>1.01461E-2</v>
      </c>
      <c r="BP43" s="112"/>
      <c r="BQ43" s="112"/>
      <c r="BR43" s="112"/>
      <c r="BS43" s="112">
        <v>2.3244199999999999</v>
      </c>
      <c r="BT43" s="112">
        <v>616.57500000000005</v>
      </c>
      <c r="BU43" s="112">
        <v>1.3247800000000001E-2</v>
      </c>
      <c r="BV43" s="112"/>
      <c r="BW43" s="112"/>
      <c r="BX43" s="112">
        <v>1266.32</v>
      </c>
      <c r="BY43" s="112">
        <v>47.344900000000003</v>
      </c>
      <c r="BZ43" s="112">
        <v>3.9660500000000001</v>
      </c>
      <c r="CA43">
        <v>62.645200000000003</v>
      </c>
      <c r="CB43">
        <v>4.1864400000000002</v>
      </c>
      <c r="CC43">
        <v>50.4619</v>
      </c>
      <c r="CD43">
        <v>50.4619</v>
      </c>
      <c r="CE43">
        <v>8.1771399999999996</v>
      </c>
      <c r="CF43">
        <v>18.809200000000001</v>
      </c>
      <c r="CG43">
        <v>1.7573499999999999E-2</v>
      </c>
      <c r="CM43">
        <v>0</v>
      </c>
      <c r="CN43">
        <v>0</v>
      </c>
      <c r="CO43">
        <v>887.70299999999997</v>
      </c>
      <c r="CP43">
        <v>6.8171400000000002E-3</v>
      </c>
      <c r="CQ43">
        <v>0</v>
      </c>
      <c r="CR43">
        <v>-10</v>
      </c>
      <c r="CS43">
        <v>0.103908</v>
      </c>
      <c r="CT43">
        <v>0</v>
      </c>
      <c r="CU43">
        <v>0</v>
      </c>
      <c r="CV43">
        <v>0</v>
      </c>
      <c r="CW43">
        <v>4.5027900000000001</v>
      </c>
      <c r="CX43">
        <v>584.42899999999997</v>
      </c>
      <c r="CY43">
        <v>8.8518200000000005E-2</v>
      </c>
      <c r="CZ43">
        <v>0</v>
      </c>
      <c r="DA43">
        <v>0</v>
      </c>
      <c r="DB43">
        <v>1206.4000000000001</v>
      </c>
      <c r="DC43">
        <v>47.265000000000001</v>
      </c>
      <c r="DD43">
        <v>3.7462300000000002</v>
      </c>
      <c r="DE43">
        <v>62.5991</v>
      </c>
      <c r="DF43">
        <v>4.1962000000000002</v>
      </c>
      <c r="DG43">
        <v>51.425800000000002</v>
      </c>
      <c r="DH43">
        <v>51.425800000000002</v>
      </c>
      <c r="DI43">
        <v>8.4150899999999993</v>
      </c>
      <c r="DJ43">
        <v>18.828099999999999</v>
      </c>
      <c r="DK43">
        <v>2.6988999999999999E-2</v>
      </c>
      <c r="DQ43">
        <v>0</v>
      </c>
      <c r="DR43">
        <v>0</v>
      </c>
      <c r="DS43">
        <v>526.58699999999999</v>
      </c>
      <c r="DT43">
        <v>5.6708799999999999E-4</v>
      </c>
      <c r="DU43">
        <v>0</v>
      </c>
      <c r="DV43">
        <v>-10</v>
      </c>
      <c r="DW43">
        <v>8.6443000000000006E-3</v>
      </c>
      <c r="DX43">
        <v>0</v>
      </c>
      <c r="DY43">
        <v>0</v>
      </c>
      <c r="DZ43">
        <v>0</v>
      </c>
      <c r="EA43">
        <v>5.32172</v>
      </c>
      <c r="EB43">
        <v>242.60499999999999</v>
      </c>
      <c r="EC43">
        <v>0.104505</v>
      </c>
      <c r="ED43">
        <v>0</v>
      </c>
      <c r="EE43">
        <v>0</v>
      </c>
      <c r="EF43">
        <v>470.32</v>
      </c>
      <c r="EG43">
        <v>47.308199999999999</v>
      </c>
      <c r="EH43">
        <v>2.3050299999999999</v>
      </c>
      <c r="EI43">
        <v>62.572299999999998</v>
      </c>
      <c r="EJ43">
        <v>3.5986600000000002</v>
      </c>
      <c r="EK43">
        <v>59.0884</v>
      </c>
      <c r="EL43">
        <v>59.0884</v>
      </c>
      <c r="EM43">
        <v>10.603999999999999</v>
      </c>
      <c r="EN43">
        <v>18.773900000000001</v>
      </c>
      <c r="EO43">
        <v>0.12037100000000001</v>
      </c>
    </row>
    <row r="44" spans="1:145" x14ac:dyDescent="0.2">
      <c r="AD44" s="112"/>
      <c r="AE44" s="112"/>
      <c r="AF44" s="112"/>
      <c r="AG44" s="112">
        <v>766.61199999999997</v>
      </c>
      <c r="AH44" s="112">
        <v>5.1515299999999997E-4</v>
      </c>
      <c r="AI44" s="112"/>
      <c r="AJ44" s="112">
        <v>-6</v>
      </c>
      <c r="AK44" s="112">
        <v>7.85544E-3</v>
      </c>
      <c r="AL44" s="112"/>
      <c r="AM44" s="112"/>
      <c r="AN44" s="112"/>
      <c r="AO44" s="112">
        <v>2.0366900000000001</v>
      </c>
      <c r="AP44" s="112">
        <v>611.31299999999999</v>
      </c>
      <c r="AQ44" s="112">
        <v>1.16048E-2</v>
      </c>
      <c r="AR44" s="112">
        <v>8.1451799999999999</v>
      </c>
      <c r="AS44" s="112">
        <v>207.935</v>
      </c>
      <c r="AT44" s="112">
        <v>1179.8900000000001</v>
      </c>
      <c r="AU44" s="112">
        <v>47.345599999999997</v>
      </c>
      <c r="AV44" s="112">
        <v>3.50421</v>
      </c>
      <c r="AW44" s="112">
        <v>62.630800000000001</v>
      </c>
      <c r="AX44" s="112">
        <v>3.7005499999999998</v>
      </c>
      <c r="AY44" s="112">
        <v>52.781399999999998</v>
      </c>
      <c r="AZ44" s="112">
        <v>52.781399999999998</v>
      </c>
      <c r="BA44" s="112">
        <v>8.8149599999999992</v>
      </c>
      <c r="BB44" s="112">
        <v>18.796399999999998</v>
      </c>
      <c r="BC44" s="112">
        <v>1.8105699999999999E-2</v>
      </c>
      <c r="BD44" s="112"/>
      <c r="BE44" s="112"/>
      <c r="BF44" s="112"/>
      <c r="BG44" s="112"/>
      <c r="BH44" s="112"/>
      <c r="BI44" s="112"/>
      <c r="BJ44" s="112"/>
      <c r="BK44" s="112">
        <v>855.31700000000001</v>
      </c>
      <c r="BL44" s="112">
        <v>6.6547000000000004E-4</v>
      </c>
      <c r="BM44" s="112"/>
      <c r="BN44" s="112">
        <v>-6</v>
      </c>
      <c r="BO44" s="112">
        <v>1.01461E-2</v>
      </c>
      <c r="BP44" s="112"/>
      <c r="BQ44" s="112"/>
      <c r="BR44" s="112"/>
      <c r="BS44" s="112">
        <v>2.3244199999999999</v>
      </c>
      <c r="BT44" s="112">
        <v>616.57500000000005</v>
      </c>
      <c r="BU44" s="112">
        <v>1.3247800000000001E-2</v>
      </c>
      <c r="BV44" s="112">
        <v>7.5563599999999997</v>
      </c>
      <c r="BW44" s="112">
        <v>195.49600000000001</v>
      </c>
      <c r="BX44" s="112">
        <v>1266.32</v>
      </c>
      <c r="BY44" s="112">
        <v>47.344900000000003</v>
      </c>
      <c r="BZ44" s="112">
        <v>3.9660500000000001</v>
      </c>
      <c r="CA44">
        <v>62.645200000000003</v>
      </c>
      <c r="CB44">
        <v>4.1864400000000002</v>
      </c>
      <c r="CC44">
        <v>50.4619</v>
      </c>
      <c r="CD44">
        <v>50.4619</v>
      </c>
      <c r="CE44">
        <v>8.1771399999999996</v>
      </c>
      <c r="CF44">
        <v>18.809200000000001</v>
      </c>
      <c r="CG44">
        <v>1.7573499999999999E-2</v>
      </c>
      <c r="CM44">
        <v>0</v>
      </c>
      <c r="CN44">
        <v>0</v>
      </c>
      <c r="CO44">
        <v>887.70299999999997</v>
      </c>
      <c r="CP44">
        <v>6.8171400000000002E-3</v>
      </c>
      <c r="CQ44">
        <v>0</v>
      </c>
      <c r="CR44">
        <v>-6</v>
      </c>
      <c r="CS44">
        <v>0.103908</v>
      </c>
      <c r="CT44">
        <v>0</v>
      </c>
      <c r="CU44">
        <v>0</v>
      </c>
      <c r="CV44">
        <v>0</v>
      </c>
      <c r="CW44">
        <v>4.5027900000000001</v>
      </c>
      <c r="CX44">
        <v>584.42899999999997</v>
      </c>
      <c r="CY44">
        <v>8.8518200000000005E-2</v>
      </c>
      <c r="CZ44">
        <v>7.8175400000000002</v>
      </c>
      <c r="DA44">
        <v>195.268</v>
      </c>
      <c r="DB44">
        <v>1206.4000000000001</v>
      </c>
      <c r="DC44">
        <v>47.265000000000001</v>
      </c>
      <c r="DD44">
        <v>3.7462300000000002</v>
      </c>
      <c r="DE44">
        <v>62.5991</v>
      </c>
      <c r="DF44">
        <v>4.1962000000000002</v>
      </c>
      <c r="DG44">
        <v>51.425800000000002</v>
      </c>
      <c r="DH44">
        <v>51.425800000000002</v>
      </c>
      <c r="DI44">
        <v>8.4150899999999993</v>
      </c>
      <c r="DJ44">
        <v>18.828099999999999</v>
      </c>
      <c r="DK44">
        <v>2.6988999999999999E-2</v>
      </c>
      <c r="DQ44">
        <v>0</v>
      </c>
      <c r="DR44">
        <v>0</v>
      </c>
      <c r="DS44">
        <v>526.58699999999999</v>
      </c>
      <c r="DT44">
        <v>5.6708799999999999E-4</v>
      </c>
      <c r="DU44">
        <v>0</v>
      </c>
      <c r="DV44">
        <v>-6</v>
      </c>
      <c r="DW44">
        <v>8.6443000000000006E-3</v>
      </c>
      <c r="DX44">
        <v>0</v>
      </c>
      <c r="DY44">
        <v>0</v>
      </c>
      <c r="DZ44">
        <v>0</v>
      </c>
      <c r="EA44">
        <v>5.32172</v>
      </c>
      <c r="EB44">
        <v>242.60499999999999</v>
      </c>
      <c r="EC44">
        <v>0.104505</v>
      </c>
      <c r="ED44">
        <v>10.379799999999999</v>
      </c>
      <c r="EE44">
        <v>210.858</v>
      </c>
      <c r="EF44">
        <v>470.32</v>
      </c>
      <c r="EG44">
        <v>47.308199999999999</v>
      </c>
      <c r="EH44">
        <v>2.3050299999999999</v>
      </c>
      <c r="EI44">
        <v>62.572299999999998</v>
      </c>
      <c r="EJ44">
        <v>3.5986600000000002</v>
      </c>
      <c r="EK44">
        <v>59.0884</v>
      </c>
      <c r="EL44">
        <v>59.0884</v>
      </c>
      <c r="EM44">
        <v>10.603999999999999</v>
      </c>
      <c r="EN44">
        <v>18.773900000000001</v>
      </c>
      <c r="EO44">
        <v>0.12037100000000001</v>
      </c>
    </row>
    <row r="45" spans="1:145" x14ac:dyDescent="0.2">
      <c r="AD45" s="112"/>
      <c r="AE45" s="112">
        <v>74.757300000000001</v>
      </c>
      <c r="AF45" s="112">
        <v>74.748699999999999</v>
      </c>
      <c r="AG45" s="112">
        <v>772.93200000000002</v>
      </c>
      <c r="AH45" s="112">
        <v>2.5769899999999998E-2</v>
      </c>
      <c r="AI45" s="112">
        <v>3.323E-3</v>
      </c>
      <c r="AJ45" s="112">
        <v>102</v>
      </c>
      <c r="AK45" s="112">
        <v>2.2918600000000001E-2</v>
      </c>
      <c r="AL45" s="112">
        <v>6.3046899999999999</v>
      </c>
      <c r="AM45" s="112">
        <v>1.8334299999999999</v>
      </c>
      <c r="AN45" s="112">
        <v>1.8334299999999999</v>
      </c>
      <c r="AO45" s="112">
        <v>6.0924999999999998E-3</v>
      </c>
      <c r="AP45" s="112">
        <v>1.82734</v>
      </c>
      <c r="AQ45" s="112"/>
      <c r="AR45" s="112">
        <v>8.1412099999999992</v>
      </c>
      <c r="AS45" s="112">
        <v>207.88200000000001</v>
      </c>
      <c r="AT45" s="112">
        <v>3.5287000000000002</v>
      </c>
      <c r="AU45" s="112">
        <v>47.306800000000003</v>
      </c>
      <c r="AV45" s="112">
        <v>3.5078499999999999</v>
      </c>
      <c r="AW45" s="112">
        <v>62.612299999999998</v>
      </c>
      <c r="AX45" s="112">
        <v>3.70425</v>
      </c>
      <c r="AY45" s="112">
        <v>52.7</v>
      </c>
      <c r="AZ45" s="112">
        <v>52.7</v>
      </c>
      <c r="BA45" s="112">
        <v>8.7792600000000007</v>
      </c>
      <c r="BB45" s="112">
        <v>18.809000000000001</v>
      </c>
      <c r="BC45" s="112">
        <v>3.7905399999999998E-3</v>
      </c>
      <c r="BD45" s="112"/>
      <c r="BE45" s="112"/>
      <c r="BF45" s="112"/>
      <c r="BG45" s="112"/>
      <c r="BH45" s="112"/>
      <c r="BI45" s="112">
        <v>74.757300000000001</v>
      </c>
      <c r="BJ45" s="112">
        <v>74.748699999999999</v>
      </c>
      <c r="BK45" s="112">
        <v>862.46699999999998</v>
      </c>
      <c r="BL45" s="112">
        <v>2.91515E-2</v>
      </c>
      <c r="BM45" s="112">
        <v>3.75815E-3</v>
      </c>
      <c r="BN45" s="112">
        <v>102</v>
      </c>
      <c r="BO45" s="112">
        <v>2.7262700000000001E-2</v>
      </c>
      <c r="BP45" s="112">
        <v>7.1319400000000002</v>
      </c>
      <c r="BQ45" s="112">
        <v>1.8501700000000001</v>
      </c>
      <c r="BR45" s="112">
        <v>1.8501700000000001</v>
      </c>
      <c r="BS45" s="112">
        <v>6.9532200000000004E-3</v>
      </c>
      <c r="BT45" s="112">
        <v>1.84321</v>
      </c>
      <c r="BU45" s="112"/>
      <c r="BV45" s="112">
        <v>7.5529599999999997</v>
      </c>
      <c r="BW45" s="112">
        <v>195.45400000000001</v>
      </c>
      <c r="BX45" s="112">
        <v>3.7871999999999999</v>
      </c>
      <c r="BY45" s="112">
        <v>47.306100000000001</v>
      </c>
      <c r="BZ45" s="112">
        <v>3.9695499999999999</v>
      </c>
      <c r="CA45">
        <v>62.6267</v>
      </c>
      <c r="CB45">
        <v>4.1899899999999999</v>
      </c>
      <c r="CC45">
        <v>50.383600000000001</v>
      </c>
      <c r="CD45">
        <v>50.383600000000001</v>
      </c>
      <c r="CE45">
        <v>8.1435200000000005</v>
      </c>
      <c r="CF45">
        <v>18.8217</v>
      </c>
      <c r="CG45">
        <v>4.1951000000000002E-3</v>
      </c>
      <c r="CM45">
        <v>74.757300000000001</v>
      </c>
      <c r="CN45">
        <v>74.748699999999999</v>
      </c>
      <c r="CO45">
        <v>895.00900000000001</v>
      </c>
      <c r="CP45">
        <v>2.9789400000000001E-2</v>
      </c>
      <c r="CQ45">
        <v>7.6516800000000001E-3</v>
      </c>
      <c r="CR45">
        <v>102</v>
      </c>
      <c r="CS45">
        <v>0.25973299999999999</v>
      </c>
      <c r="CT45">
        <v>7.1494299999999997</v>
      </c>
      <c r="CU45">
        <v>6.07151</v>
      </c>
      <c r="CV45">
        <v>6.0715199999999996</v>
      </c>
      <c r="CW45">
        <v>4.64573E-2</v>
      </c>
      <c r="CX45">
        <v>6.0250599999999999</v>
      </c>
      <c r="CY45">
        <v>0</v>
      </c>
      <c r="CZ45">
        <v>7.81325</v>
      </c>
      <c r="DA45">
        <v>195.215</v>
      </c>
      <c r="DB45">
        <v>12.4437</v>
      </c>
      <c r="DC45">
        <v>47.241300000000003</v>
      </c>
      <c r="DD45">
        <v>3.7504</v>
      </c>
      <c r="DE45">
        <v>62.577500000000001</v>
      </c>
      <c r="DF45">
        <v>4.2005299999999997</v>
      </c>
      <c r="DG45">
        <v>51.333100000000002</v>
      </c>
      <c r="DH45">
        <v>51.333100000000002</v>
      </c>
      <c r="DI45">
        <v>8.3913499999999992</v>
      </c>
      <c r="DJ45">
        <v>18.827100000000002</v>
      </c>
      <c r="DK45">
        <v>8.2632699999999996E-3</v>
      </c>
      <c r="DQ45">
        <v>74.757300000000001</v>
      </c>
      <c r="DR45">
        <v>74.748699999999999</v>
      </c>
      <c r="DS45">
        <v>562.40300000000002</v>
      </c>
      <c r="DT45">
        <v>0.14602699999999999</v>
      </c>
      <c r="DU45">
        <v>0.30945299999999998</v>
      </c>
      <c r="DV45">
        <v>105</v>
      </c>
      <c r="DW45">
        <v>4.9576000000000002E-2</v>
      </c>
      <c r="DX45">
        <v>35.768900000000002</v>
      </c>
      <c r="DY45">
        <v>0.17741999999999999</v>
      </c>
      <c r="DZ45">
        <v>3.5083700000000002</v>
      </c>
      <c r="EA45">
        <v>5.4903100000000003E-2</v>
      </c>
      <c r="EB45">
        <v>2.4226899999999998</v>
      </c>
      <c r="EC45">
        <v>0</v>
      </c>
      <c r="ED45">
        <v>10.1899</v>
      </c>
      <c r="EE45">
        <v>207.541</v>
      </c>
      <c r="EF45">
        <v>4.8224499999999999</v>
      </c>
      <c r="EG45">
        <v>47.280999999999999</v>
      </c>
      <c r="EH45">
        <v>2.4567100000000002</v>
      </c>
      <c r="EI45">
        <v>62.558799999999998</v>
      </c>
      <c r="EJ45">
        <v>3.7885599999999999</v>
      </c>
      <c r="EK45">
        <v>58.1858</v>
      </c>
      <c r="EL45">
        <v>58.1858</v>
      </c>
      <c r="EM45">
        <v>10.3361</v>
      </c>
      <c r="EN45">
        <v>18.7822</v>
      </c>
      <c r="EO45">
        <v>0.30347299999999999</v>
      </c>
    </row>
    <row r="46" spans="1:145" x14ac:dyDescent="0.2">
      <c r="A46" s="15"/>
      <c r="B46" s="28"/>
      <c r="C46" s="506"/>
      <c r="D46" s="428"/>
      <c r="G46" s="8"/>
      <c r="K46" s="1"/>
      <c r="L46" s="1"/>
      <c r="M46" s="1"/>
      <c r="AD46" s="112"/>
      <c r="AE46" s="112">
        <v>149.51499999999999</v>
      </c>
      <c r="AF46" s="112">
        <v>149.49700000000001</v>
      </c>
      <c r="AG46" s="112">
        <v>779.25900000000001</v>
      </c>
      <c r="AH46" s="112">
        <v>2.5796400000000001E-2</v>
      </c>
      <c r="AI46" s="112">
        <v>3.3274400000000001E-3</v>
      </c>
      <c r="AJ46" s="112">
        <v>102</v>
      </c>
      <c r="AK46" s="112">
        <v>3.7975299999999997E-2</v>
      </c>
      <c r="AL46" s="112">
        <v>12.6159</v>
      </c>
      <c r="AM46" s="112">
        <v>1.8315399999999999</v>
      </c>
      <c r="AN46" s="112">
        <v>1.8315399999999999</v>
      </c>
      <c r="AO46" s="112">
        <v>6.0943600000000001E-3</v>
      </c>
      <c r="AP46" s="112">
        <v>1.82545</v>
      </c>
      <c r="AQ46" s="112"/>
      <c r="AR46" s="112">
        <v>8.1329899999999995</v>
      </c>
      <c r="AS46" s="112">
        <v>207.77500000000001</v>
      </c>
      <c r="AT46" s="112">
        <v>3.5268799999999998</v>
      </c>
      <c r="AU46" s="112">
        <v>47.278100000000002</v>
      </c>
      <c r="AV46" s="112">
        <v>3.5114700000000001</v>
      </c>
      <c r="AW46" s="112">
        <v>62.592599999999997</v>
      </c>
      <c r="AX46" s="112">
        <v>3.7080600000000001</v>
      </c>
      <c r="AY46" s="112">
        <v>52.614600000000003</v>
      </c>
      <c r="AZ46" s="112">
        <v>52.614600000000003</v>
      </c>
      <c r="BA46" s="112">
        <v>8.7516499999999997</v>
      </c>
      <c r="BB46" s="112">
        <v>18.813099999999999</v>
      </c>
      <c r="BC46" s="112">
        <v>3.5627100000000002E-3</v>
      </c>
      <c r="BD46" s="112"/>
      <c r="BE46" s="112"/>
      <c r="BF46" s="112"/>
      <c r="BG46" s="112"/>
      <c r="BH46" s="112"/>
      <c r="BI46" s="112">
        <v>149.51499999999999</v>
      </c>
      <c r="BJ46" s="112">
        <v>149.49700000000001</v>
      </c>
      <c r="BK46" s="112">
        <v>869.62300000000005</v>
      </c>
      <c r="BL46" s="112">
        <v>2.9177000000000002E-2</v>
      </c>
      <c r="BM46" s="112">
        <v>3.7626000000000001E-3</v>
      </c>
      <c r="BN46" s="112">
        <v>102</v>
      </c>
      <c r="BO46" s="112">
        <v>4.4373900000000001E-2</v>
      </c>
      <c r="BP46" s="112">
        <v>14.270099999999999</v>
      </c>
      <c r="BQ46" s="112">
        <v>1.8485499999999999</v>
      </c>
      <c r="BR46" s="112">
        <v>1.8485499999999999</v>
      </c>
      <c r="BS46" s="112">
        <v>6.95534E-3</v>
      </c>
      <c r="BT46" s="112">
        <v>1.8415900000000001</v>
      </c>
      <c r="BU46" s="112"/>
      <c r="BV46" s="112">
        <v>7.5459100000000001</v>
      </c>
      <c r="BW46" s="112">
        <v>195.36799999999999</v>
      </c>
      <c r="BX46" s="112">
        <v>3.7855300000000001</v>
      </c>
      <c r="BY46" s="112">
        <v>47.276800000000001</v>
      </c>
      <c r="BZ46" s="112">
        <v>3.9730400000000001</v>
      </c>
      <c r="CA46">
        <v>62.606900000000003</v>
      </c>
      <c r="CB46">
        <v>4.1936600000000004</v>
      </c>
      <c r="CC46">
        <v>50.301400000000001</v>
      </c>
      <c r="CD46">
        <v>50.301400000000001</v>
      </c>
      <c r="CE46">
        <v>8.1171000000000006</v>
      </c>
      <c r="CF46">
        <v>18.8262</v>
      </c>
      <c r="CG46">
        <v>3.9823300000000001E-3</v>
      </c>
      <c r="CM46">
        <v>149.51499999999999</v>
      </c>
      <c r="CN46">
        <v>149.49700000000001</v>
      </c>
      <c r="CO46">
        <v>902.32299999999998</v>
      </c>
      <c r="CP46">
        <v>2.9820900000000001E-2</v>
      </c>
      <c r="CQ46">
        <v>7.6628099999999999E-3</v>
      </c>
      <c r="CR46">
        <v>102</v>
      </c>
      <c r="CS46">
        <v>0.415439</v>
      </c>
      <c r="CT46">
        <v>14.306699999999999</v>
      </c>
      <c r="CU46">
        <v>6.0648400000000002</v>
      </c>
      <c r="CV46">
        <v>6.0648400000000002</v>
      </c>
      <c r="CW46">
        <v>4.64737E-2</v>
      </c>
      <c r="CX46">
        <v>6.01837</v>
      </c>
      <c r="CY46">
        <v>0</v>
      </c>
      <c r="CZ46">
        <v>7.8044399999999996</v>
      </c>
      <c r="DA46">
        <v>195.108</v>
      </c>
      <c r="DB46">
        <v>12.4368</v>
      </c>
      <c r="DC46">
        <v>47.217300000000002</v>
      </c>
      <c r="DD46">
        <v>3.7545700000000002</v>
      </c>
      <c r="DE46">
        <v>62.5548</v>
      </c>
      <c r="DF46">
        <v>4.2051400000000001</v>
      </c>
      <c r="DG46">
        <v>51.236600000000003</v>
      </c>
      <c r="DH46">
        <v>51.236600000000003</v>
      </c>
      <c r="DI46">
        <v>8.3674300000000006</v>
      </c>
      <c r="DJ46">
        <v>18.825199999999999</v>
      </c>
      <c r="DK46">
        <v>7.9678700000000002E-3</v>
      </c>
      <c r="DQ46">
        <v>149.51499999999999</v>
      </c>
      <c r="DR46">
        <v>149.49700000000001</v>
      </c>
      <c r="DS46">
        <v>599.57100000000003</v>
      </c>
      <c r="DT46">
        <v>0.15154100000000001</v>
      </c>
      <c r="DU46">
        <v>0.32100299999999998</v>
      </c>
      <c r="DV46">
        <v>105</v>
      </c>
      <c r="DW46">
        <v>8.8195700000000002E-2</v>
      </c>
      <c r="DX46">
        <v>72.892399999999995</v>
      </c>
      <c r="DY46">
        <v>0.171075</v>
      </c>
      <c r="DZ46">
        <v>3.35053</v>
      </c>
      <c r="EA46">
        <v>5.4915400000000003E-2</v>
      </c>
      <c r="EB46">
        <v>2.2749999999999999</v>
      </c>
      <c r="EC46">
        <v>0</v>
      </c>
      <c r="ED46">
        <v>9.8287899999999997</v>
      </c>
      <c r="EE46">
        <v>201.261</v>
      </c>
      <c r="EF46">
        <v>4.6753499999999999</v>
      </c>
      <c r="EG46">
        <v>47.255800000000001</v>
      </c>
      <c r="EH46">
        <v>2.61415</v>
      </c>
      <c r="EI46">
        <v>62.544199999999996</v>
      </c>
      <c r="EJ46">
        <v>4.0266799999999998</v>
      </c>
      <c r="EK46">
        <v>57.257800000000003</v>
      </c>
      <c r="EL46">
        <v>57.257800000000003</v>
      </c>
      <c r="EM46">
        <v>10.065799999999999</v>
      </c>
      <c r="EN46">
        <v>18.7882</v>
      </c>
      <c r="EO46">
        <v>0.31209700000000001</v>
      </c>
    </row>
    <row r="47" spans="1:145" x14ac:dyDescent="0.2">
      <c r="A47" s="443"/>
      <c r="B47" s="30"/>
      <c r="C47" s="507" t="s">
        <v>10</v>
      </c>
      <c r="D47" s="363" t="s">
        <v>406</v>
      </c>
      <c r="E47" s="3" t="s">
        <v>19</v>
      </c>
      <c r="F47" s="3" t="s">
        <v>17</v>
      </c>
      <c r="G47" s="3" t="s">
        <v>13</v>
      </c>
      <c r="H47" s="3" t="s">
        <v>17</v>
      </c>
      <c r="I47" s="3" t="s">
        <v>14</v>
      </c>
      <c r="J47" s="3" t="s">
        <v>23</v>
      </c>
      <c r="K47" s="3" t="s">
        <v>15</v>
      </c>
      <c r="L47" s="4" t="s">
        <v>16</v>
      </c>
      <c r="AD47" s="112"/>
      <c r="AE47" s="112">
        <v>224.27199999999999</v>
      </c>
      <c r="AF47" s="112">
        <v>224.24600000000001</v>
      </c>
      <c r="AG47" s="112">
        <v>785.59299999999996</v>
      </c>
      <c r="AH47" s="112">
        <v>2.58228E-2</v>
      </c>
      <c r="AI47" s="112">
        <v>3.3319399999999998E-3</v>
      </c>
      <c r="AJ47" s="112">
        <v>102</v>
      </c>
      <c r="AK47" s="112">
        <v>5.3025700000000002E-2</v>
      </c>
      <c r="AL47" s="112">
        <v>18.933599999999998</v>
      </c>
      <c r="AM47" s="112">
        <v>1.8296600000000001</v>
      </c>
      <c r="AN47" s="112">
        <v>1.8296600000000001</v>
      </c>
      <c r="AO47" s="112">
        <v>6.0963399999999996E-3</v>
      </c>
      <c r="AP47" s="112">
        <v>1.8235699999999999</v>
      </c>
      <c r="AQ47" s="112"/>
      <c r="AR47" s="112">
        <v>8.1245999999999992</v>
      </c>
      <c r="AS47" s="112">
        <v>207.66800000000001</v>
      </c>
      <c r="AT47" s="112">
        <v>3.5250599999999999</v>
      </c>
      <c r="AU47" s="112">
        <v>47.253799999999998</v>
      </c>
      <c r="AV47" s="112">
        <v>3.5150899999999998</v>
      </c>
      <c r="AW47" s="112">
        <v>62.5717</v>
      </c>
      <c r="AX47" s="112">
        <v>3.7118600000000002</v>
      </c>
      <c r="AY47" s="112">
        <v>52.525399999999998</v>
      </c>
      <c r="AZ47" s="112">
        <v>52.525399999999998</v>
      </c>
      <c r="BA47" s="112">
        <v>8.7275299999999998</v>
      </c>
      <c r="BB47" s="112">
        <v>18.812999999999999</v>
      </c>
      <c r="BC47" s="112">
        <v>3.4866200000000002E-3</v>
      </c>
      <c r="BD47" s="112"/>
      <c r="BE47" s="112"/>
      <c r="BF47" s="112"/>
      <c r="BG47" s="112"/>
      <c r="BH47" s="112"/>
      <c r="BI47" s="112">
        <v>224.27199999999999</v>
      </c>
      <c r="BJ47" s="112">
        <v>224.24600000000001</v>
      </c>
      <c r="BK47" s="112">
        <v>876.78499999999997</v>
      </c>
      <c r="BL47" s="112">
        <v>2.92024E-2</v>
      </c>
      <c r="BM47" s="112">
        <v>3.7671200000000001E-3</v>
      </c>
      <c r="BN47" s="112">
        <v>102</v>
      </c>
      <c r="BO47" s="112">
        <v>6.1479699999999998E-2</v>
      </c>
      <c r="BP47" s="112">
        <v>21.4146</v>
      </c>
      <c r="BQ47" s="112">
        <v>1.84693</v>
      </c>
      <c r="BR47" s="112">
        <v>1.84693</v>
      </c>
      <c r="BS47" s="112">
        <v>6.9576100000000004E-3</v>
      </c>
      <c r="BT47" s="112">
        <v>1.8399700000000001</v>
      </c>
      <c r="BU47" s="112"/>
      <c r="BV47" s="112">
        <v>7.5386699999999998</v>
      </c>
      <c r="BW47" s="112">
        <v>195.28299999999999</v>
      </c>
      <c r="BX47" s="112">
        <v>3.7838699999999998</v>
      </c>
      <c r="BY47" s="112">
        <v>47.253100000000003</v>
      </c>
      <c r="BZ47" s="112">
        <v>3.9765299999999999</v>
      </c>
      <c r="CA47">
        <v>62.585999999999999</v>
      </c>
      <c r="CB47">
        <v>4.1973200000000004</v>
      </c>
      <c r="CC47">
        <v>50.215499999999999</v>
      </c>
      <c r="CD47">
        <v>50.215499999999999</v>
      </c>
      <c r="CE47">
        <v>8.0949100000000005</v>
      </c>
      <c r="CF47">
        <v>18.825600000000001</v>
      </c>
      <c r="CG47">
        <v>3.91136E-3</v>
      </c>
      <c r="CM47">
        <v>224.27199999999999</v>
      </c>
      <c r="CN47">
        <v>224.24600000000001</v>
      </c>
      <c r="CO47">
        <v>909.64499999999998</v>
      </c>
      <c r="CP47">
        <v>2.9852500000000001E-2</v>
      </c>
      <c r="CQ47">
        <v>7.6740799999999998E-3</v>
      </c>
      <c r="CR47">
        <v>102</v>
      </c>
      <c r="CS47">
        <v>0.57102399999999998</v>
      </c>
      <c r="CT47">
        <v>21.471900000000002</v>
      </c>
      <c r="CU47">
        <v>6.0581899999999997</v>
      </c>
      <c r="CV47">
        <v>6.0581899999999997</v>
      </c>
      <c r="CW47">
        <v>4.6490999999999998E-2</v>
      </c>
      <c r="CX47">
        <v>6.0117000000000003</v>
      </c>
      <c r="CY47">
        <v>0</v>
      </c>
      <c r="CZ47">
        <v>7.7954600000000003</v>
      </c>
      <c r="DA47">
        <v>195</v>
      </c>
      <c r="DB47">
        <v>12.43</v>
      </c>
      <c r="DC47">
        <v>47.192900000000002</v>
      </c>
      <c r="DD47">
        <v>3.7587299999999999</v>
      </c>
      <c r="DE47">
        <v>62.530900000000003</v>
      </c>
      <c r="DF47">
        <v>4.2097499999999997</v>
      </c>
      <c r="DG47">
        <v>51.136499999999998</v>
      </c>
      <c r="DH47">
        <v>51.136499999999998</v>
      </c>
      <c r="DI47">
        <v>8.3433299999999999</v>
      </c>
      <c r="DJ47">
        <v>18.822600000000001</v>
      </c>
      <c r="DK47">
        <v>7.8709899999999996E-3</v>
      </c>
      <c r="DQ47">
        <v>224.27199999999999</v>
      </c>
      <c r="DR47">
        <v>224.24600000000001</v>
      </c>
      <c r="DS47">
        <v>638.10599999999999</v>
      </c>
      <c r="DT47">
        <v>0.157115</v>
      </c>
      <c r="DU47">
        <v>0.3327</v>
      </c>
      <c r="DV47">
        <v>105</v>
      </c>
      <c r="DW47">
        <v>0.124691</v>
      </c>
      <c r="DX47">
        <v>111.38500000000001</v>
      </c>
      <c r="DY47">
        <v>0.165099</v>
      </c>
      <c r="DZ47">
        <v>3.2065000000000001</v>
      </c>
      <c r="EA47">
        <v>5.4928600000000001E-2</v>
      </c>
      <c r="EB47">
        <v>2.1396899999999999</v>
      </c>
      <c r="EC47">
        <v>0</v>
      </c>
      <c r="ED47">
        <v>9.4860199999999999</v>
      </c>
      <c r="EE47">
        <v>195.33</v>
      </c>
      <c r="EF47">
        <v>4.5364899999999997</v>
      </c>
      <c r="EG47">
        <v>47.231000000000002</v>
      </c>
      <c r="EH47">
        <v>2.7773699999999999</v>
      </c>
      <c r="EI47">
        <v>62.528700000000001</v>
      </c>
      <c r="EJ47">
        <v>4.2728700000000002</v>
      </c>
      <c r="EK47">
        <v>56.305500000000002</v>
      </c>
      <c r="EL47">
        <v>56.305500000000002</v>
      </c>
      <c r="EM47">
        <v>9.7922200000000004</v>
      </c>
      <c r="EN47">
        <v>18.792999999999999</v>
      </c>
      <c r="EO47">
        <v>0.31889099999999998</v>
      </c>
    </row>
    <row r="48" spans="1:145" x14ac:dyDescent="0.2">
      <c r="A48" s="416" t="s">
        <v>10</v>
      </c>
      <c r="B48" s="33" t="s">
        <v>11</v>
      </c>
      <c r="C48" s="508" t="s">
        <v>12</v>
      </c>
      <c r="D48" s="427" t="s">
        <v>407</v>
      </c>
      <c r="E48" s="6" t="s">
        <v>20</v>
      </c>
      <c r="F48" s="6" t="s">
        <v>18</v>
      </c>
      <c r="G48" s="6" t="s">
        <v>21</v>
      </c>
      <c r="H48" s="6" t="s">
        <v>22</v>
      </c>
      <c r="I48" s="6" t="s">
        <v>21</v>
      </c>
      <c r="J48" s="6" t="s">
        <v>18</v>
      </c>
      <c r="K48" s="6" t="s">
        <v>21</v>
      </c>
      <c r="L48" s="7" t="s">
        <v>24</v>
      </c>
      <c r="AD48" s="112"/>
      <c r="AE48" s="112">
        <v>299.029</v>
      </c>
      <c r="AF48" s="112">
        <v>298.995</v>
      </c>
      <c r="AG48" s="112">
        <v>791.93299999999999</v>
      </c>
      <c r="AH48" s="112">
        <v>2.5849199999999999E-2</v>
      </c>
      <c r="AI48" s="112">
        <v>3.3365000000000001E-3</v>
      </c>
      <c r="AJ48" s="112">
        <v>102</v>
      </c>
      <c r="AK48" s="112">
        <v>6.8069699999999997E-2</v>
      </c>
      <c r="AL48" s="112">
        <v>25.2577</v>
      </c>
      <c r="AM48" s="112">
        <v>1.82779</v>
      </c>
      <c r="AN48" s="112">
        <v>1.82779</v>
      </c>
      <c r="AO48" s="112">
        <v>6.0984300000000002E-3</v>
      </c>
      <c r="AP48" s="112">
        <v>1.82169</v>
      </c>
      <c r="AQ48" s="112"/>
      <c r="AR48" s="112">
        <v>8.1160399999999999</v>
      </c>
      <c r="AS48" s="112">
        <v>207.56200000000001</v>
      </c>
      <c r="AT48" s="112">
        <v>3.5232600000000001</v>
      </c>
      <c r="AU48" s="112">
        <v>47.229199999999999</v>
      </c>
      <c r="AV48" s="112">
        <v>3.5186999999999999</v>
      </c>
      <c r="AW48" s="112">
        <v>62.549599999999998</v>
      </c>
      <c r="AX48" s="112">
        <v>3.7156600000000002</v>
      </c>
      <c r="AY48" s="112">
        <v>52.432200000000002</v>
      </c>
      <c r="AZ48" s="112">
        <v>52.432200000000002</v>
      </c>
      <c r="BA48" s="112">
        <v>8.7032100000000003</v>
      </c>
      <c r="BB48" s="112">
        <v>18.812100000000001</v>
      </c>
      <c r="BC48" s="112">
        <v>3.4493900000000001E-3</v>
      </c>
      <c r="BD48" s="112"/>
      <c r="BE48" s="112"/>
      <c r="BF48" s="112"/>
      <c r="BG48" s="112"/>
      <c r="BH48" s="112"/>
      <c r="BI48" s="112">
        <v>299.029</v>
      </c>
      <c r="BJ48" s="112">
        <v>298.995</v>
      </c>
      <c r="BK48" s="112">
        <v>883.95399999999995</v>
      </c>
      <c r="BL48" s="112">
        <v>2.9227800000000002E-2</v>
      </c>
      <c r="BM48" s="112">
        <v>3.7717100000000002E-3</v>
      </c>
      <c r="BN48" s="112">
        <v>102</v>
      </c>
      <c r="BO48" s="112">
        <v>7.8580200000000003E-2</v>
      </c>
      <c r="BP48" s="112">
        <v>28.565200000000001</v>
      </c>
      <c r="BQ48" s="112">
        <v>1.8453200000000001</v>
      </c>
      <c r="BR48" s="112">
        <v>1.8453200000000001</v>
      </c>
      <c r="BS48" s="112">
        <v>6.96001E-3</v>
      </c>
      <c r="BT48" s="112">
        <v>1.83836</v>
      </c>
      <c r="BU48" s="112"/>
      <c r="BV48" s="112">
        <v>7.5312599999999996</v>
      </c>
      <c r="BW48" s="112">
        <v>195.19800000000001</v>
      </c>
      <c r="BX48" s="112">
        <v>3.7822200000000001</v>
      </c>
      <c r="BY48" s="112">
        <v>47.229100000000003</v>
      </c>
      <c r="BZ48" s="112">
        <v>3.9800200000000001</v>
      </c>
      <c r="CA48">
        <v>62.563800000000001</v>
      </c>
      <c r="CB48">
        <v>4.2009800000000004</v>
      </c>
      <c r="CC48">
        <v>50.125700000000002</v>
      </c>
      <c r="CD48">
        <v>50.125700000000002</v>
      </c>
      <c r="CE48">
        <v>8.07254</v>
      </c>
      <c r="CF48">
        <v>18.824200000000001</v>
      </c>
      <c r="CG48">
        <v>3.8767300000000001E-3</v>
      </c>
      <c r="CM48">
        <v>299.029</v>
      </c>
      <c r="CN48">
        <v>298.995</v>
      </c>
      <c r="CO48">
        <v>916.97500000000002</v>
      </c>
      <c r="CP48">
        <v>2.9884000000000001E-2</v>
      </c>
      <c r="CQ48">
        <v>7.6854999999999996E-3</v>
      </c>
      <c r="CR48">
        <v>102</v>
      </c>
      <c r="CS48">
        <v>0.726491</v>
      </c>
      <c r="CT48">
        <v>28.6449</v>
      </c>
      <c r="CU48">
        <v>6.0515600000000003</v>
      </c>
      <c r="CV48">
        <v>6.0515600000000003</v>
      </c>
      <c r="CW48">
        <v>4.6509200000000001E-2</v>
      </c>
      <c r="CX48">
        <v>6.0050499999999998</v>
      </c>
      <c r="CY48">
        <v>0</v>
      </c>
      <c r="CZ48">
        <v>7.7863300000000004</v>
      </c>
      <c r="DA48">
        <v>194.89400000000001</v>
      </c>
      <c r="DB48">
        <v>12.4232</v>
      </c>
      <c r="DC48">
        <v>47.168300000000002</v>
      </c>
      <c r="DD48">
        <v>3.7628900000000001</v>
      </c>
      <c r="DE48">
        <v>62.506</v>
      </c>
      <c r="DF48">
        <v>4.2143600000000001</v>
      </c>
      <c r="DG48">
        <v>51.032899999999998</v>
      </c>
      <c r="DH48">
        <v>51.032899999999998</v>
      </c>
      <c r="DI48">
        <v>8.3190799999999996</v>
      </c>
      <c r="DJ48">
        <v>18.819299999999998</v>
      </c>
      <c r="DK48">
        <v>7.8250000000000004E-3</v>
      </c>
      <c r="DQ48">
        <v>299.029</v>
      </c>
      <c r="DR48">
        <v>298.995</v>
      </c>
      <c r="DS48">
        <v>678.02200000000005</v>
      </c>
      <c r="DT48">
        <v>0.162745</v>
      </c>
      <c r="DU48">
        <v>0.34454400000000002</v>
      </c>
      <c r="DV48">
        <v>105</v>
      </c>
      <c r="DW48">
        <v>0.15922900000000001</v>
      </c>
      <c r="DX48">
        <v>151.261</v>
      </c>
      <c r="DY48">
        <v>0.159465</v>
      </c>
      <c r="DZ48">
        <v>3.0749399999999998</v>
      </c>
      <c r="EA48">
        <v>5.4942699999999997E-2</v>
      </c>
      <c r="EB48">
        <v>2.0154899999999998</v>
      </c>
      <c r="EC48">
        <v>0</v>
      </c>
      <c r="ED48">
        <v>9.1602599999999992</v>
      </c>
      <c r="EE48">
        <v>189.72300000000001</v>
      </c>
      <c r="EF48">
        <v>4.40524</v>
      </c>
      <c r="EG48">
        <v>47.206699999999998</v>
      </c>
      <c r="EH48">
        <v>2.9464000000000001</v>
      </c>
      <c r="EI48">
        <v>62.512099999999997</v>
      </c>
      <c r="EJ48">
        <v>4.5270900000000003</v>
      </c>
      <c r="EK48">
        <v>55.330100000000002</v>
      </c>
      <c r="EL48">
        <v>55.330100000000002</v>
      </c>
      <c r="EM48">
        <v>9.5157600000000002</v>
      </c>
      <c r="EN48">
        <v>18.796600000000002</v>
      </c>
      <c r="EO48">
        <v>0.32525199999999999</v>
      </c>
    </row>
    <row r="49" spans="1:145" x14ac:dyDescent="0.2">
      <c r="A49" s="444"/>
      <c r="B49" s="36"/>
      <c r="C49" s="509"/>
      <c r="D49" s="367"/>
      <c r="E49" s="37" t="s">
        <v>0</v>
      </c>
      <c r="F49" s="37" t="s">
        <v>26</v>
      </c>
      <c r="G49" s="37" t="s">
        <v>26</v>
      </c>
      <c r="H49" s="37" t="s">
        <v>26</v>
      </c>
      <c r="I49" s="37" t="s">
        <v>26</v>
      </c>
      <c r="J49" s="37" t="s">
        <v>26</v>
      </c>
      <c r="K49" s="37" t="s">
        <v>26</v>
      </c>
      <c r="L49" s="38"/>
      <c r="AD49" s="112"/>
      <c r="AE49" s="112">
        <v>373.786</v>
      </c>
      <c r="AF49" s="112">
        <v>373.74400000000003</v>
      </c>
      <c r="AG49" s="112">
        <v>798.279</v>
      </c>
      <c r="AH49" s="112">
        <v>2.58754E-2</v>
      </c>
      <c r="AI49" s="112">
        <v>3.3411199999999999E-3</v>
      </c>
      <c r="AJ49" s="112">
        <v>102</v>
      </c>
      <c r="AK49" s="112">
        <v>8.3107299999999995E-2</v>
      </c>
      <c r="AL49" s="112">
        <v>31.5883</v>
      </c>
      <c r="AM49" s="112">
        <v>1.8259300000000001</v>
      </c>
      <c r="AN49" s="112">
        <v>1.8259300000000001</v>
      </c>
      <c r="AO49" s="112">
        <v>6.1006400000000001E-3</v>
      </c>
      <c r="AP49" s="112">
        <v>1.8198300000000001</v>
      </c>
      <c r="AQ49" s="112"/>
      <c r="AR49" s="112">
        <v>8.1073000000000004</v>
      </c>
      <c r="AS49" s="112">
        <v>207.45599999999999</v>
      </c>
      <c r="AT49" s="112">
        <v>3.5214599999999998</v>
      </c>
      <c r="AU49" s="112">
        <v>47.2042</v>
      </c>
      <c r="AV49" s="112">
        <v>3.5223</v>
      </c>
      <c r="AW49" s="112">
        <v>62.526299999999999</v>
      </c>
      <c r="AX49" s="112">
        <v>3.7194400000000001</v>
      </c>
      <c r="AY49" s="112">
        <v>52.3352</v>
      </c>
      <c r="AZ49" s="112">
        <v>52.3352</v>
      </c>
      <c r="BA49" s="112">
        <v>8.6786999999999992</v>
      </c>
      <c r="BB49" s="112">
        <v>18.810500000000001</v>
      </c>
      <c r="BC49" s="112">
        <v>3.4278799999999999E-3</v>
      </c>
      <c r="BD49" s="112"/>
      <c r="BE49" s="112"/>
      <c r="BF49" s="112"/>
      <c r="BG49" s="112"/>
      <c r="BH49" s="112"/>
      <c r="BI49" s="112">
        <v>373.786</v>
      </c>
      <c r="BJ49" s="112">
        <v>373.74400000000003</v>
      </c>
      <c r="BK49" s="112">
        <v>891.12900000000002</v>
      </c>
      <c r="BL49" s="112">
        <v>2.92532E-2</v>
      </c>
      <c r="BM49" s="112">
        <v>3.7763599999999999E-3</v>
      </c>
      <c r="BN49" s="112">
        <v>102</v>
      </c>
      <c r="BO49" s="112">
        <v>9.5675399999999994E-2</v>
      </c>
      <c r="BP49" s="112">
        <v>35.722099999999998</v>
      </c>
      <c r="BQ49" s="112">
        <v>1.84372</v>
      </c>
      <c r="BR49" s="112">
        <v>1.84372</v>
      </c>
      <c r="BS49" s="112">
        <v>6.9625399999999997E-3</v>
      </c>
      <c r="BT49" s="112">
        <v>1.8367500000000001</v>
      </c>
      <c r="BU49" s="112"/>
      <c r="BV49" s="112">
        <v>7.5236900000000002</v>
      </c>
      <c r="BW49" s="112">
        <v>195.113</v>
      </c>
      <c r="BX49" s="112">
        <v>3.78057</v>
      </c>
      <c r="BY49" s="112">
        <v>47.204799999999999</v>
      </c>
      <c r="BZ49" s="112">
        <v>3.9834900000000002</v>
      </c>
      <c r="CA49">
        <v>62.540500000000002</v>
      </c>
      <c r="CB49">
        <v>4.2046299999999999</v>
      </c>
      <c r="CC49">
        <v>50.032299999999999</v>
      </c>
      <c r="CD49">
        <v>50.032299999999999</v>
      </c>
      <c r="CE49">
        <v>8.0499799999999997</v>
      </c>
      <c r="CF49">
        <v>18.822099999999999</v>
      </c>
      <c r="CG49">
        <v>3.8567900000000001E-3</v>
      </c>
      <c r="CM49">
        <v>373.786</v>
      </c>
      <c r="CN49">
        <v>373.74400000000003</v>
      </c>
      <c r="CO49">
        <v>924.31200000000001</v>
      </c>
      <c r="CP49">
        <v>2.9915600000000001E-2</v>
      </c>
      <c r="CQ49">
        <v>7.6970600000000004E-3</v>
      </c>
      <c r="CR49">
        <v>102</v>
      </c>
      <c r="CS49">
        <v>0.88183800000000001</v>
      </c>
      <c r="CT49">
        <v>35.825699999999998</v>
      </c>
      <c r="CU49">
        <v>6.0449299999999999</v>
      </c>
      <c r="CV49">
        <v>6.0449299999999999</v>
      </c>
      <c r="CW49">
        <v>4.6528199999999999E-2</v>
      </c>
      <c r="CX49">
        <v>5.9984000000000002</v>
      </c>
      <c r="CY49">
        <v>0</v>
      </c>
      <c r="CZ49">
        <v>7.7770200000000003</v>
      </c>
      <c r="DA49">
        <v>194.78700000000001</v>
      </c>
      <c r="DB49">
        <v>12.416399999999999</v>
      </c>
      <c r="DC49">
        <v>47.143500000000003</v>
      </c>
      <c r="DD49">
        <v>3.7670499999999998</v>
      </c>
      <c r="DE49">
        <v>62.479900000000001</v>
      </c>
      <c r="DF49">
        <v>4.2189699999999997</v>
      </c>
      <c r="DG49">
        <v>50.925800000000002</v>
      </c>
      <c r="DH49">
        <v>50.925800000000002</v>
      </c>
      <c r="DI49">
        <v>8.2946799999999996</v>
      </c>
      <c r="DJ49">
        <v>18.815200000000001</v>
      </c>
      <c r="DK49">
        <v>7.7995699999999996E-3</v>
      </c>
      <c r="DQ49">
        <v>373.786</v>
      </c>
      <c r="DR49">
        <v>373.74400000000003</v>
      </c>
      <c r="DS49">
        <v>719.33199999999999</v>
      </c>
      <c r="DT49">
        <v>0.16843</v>
      </c>
      <c r="DU49">
        <v>0.35653200000000002</v>
      </c>
      <c r="DV49">
        <v>105</v>
      </c>
      <c r="DW49">
        <v>0.19196299999999999</v>
      </c>
      <c r="DX49">
        <v>192.53200000000001</v>
      </c>
      <c r="DY49">
        <v>0.154145</v>
      </c>
      <c r="DZ49">
        <v>2.9547099999999999</v>
      </c>
      <c r="EA49">
        <v>5.4957600000000002E-2</v>
      </c>
      <c r="EB49">
        <v>1.90126</v>
      </c>
      <c r="EC49">
        <v>0</v>
      </c>
      <c r="ED49">
        <v>8.8503100000000003</v>
      </c>
      <c r="EE49">
        <v>184.416</v>
      </c>
      <c r="EF49">
        <v>4.2810600000000001</v>
      </c>
      <c r="EG49">
        <v>47.1828</v>
      </c>
      <c r="EH49">
        <v>3.1212300000000002</v>
      </c>
      <c r="EI49">
        <v>62.494700000000002</v>
      </c>
      <c r="EJ49">
        <v>4.7892599999999996</v>
      </c>
      <c r="EK49">
        <v>54.332900000000002</v>
      </c>
      <c r="EL49">
        <v>54.332900000000002</v>
      </c>
      <c r="EM49">
        <v>9.2367699999999999</v>
      </c>
      <c r="EN49">
        <v>18.799199999999999</v>
      </c>
      <c r="EO49">
        <v>0.33146799999999998</v>
      </c>
    </row>
    <row r="50" spans="1:145" x14ac:dyDescent="0.2">
      <c r="A50" s="86">
        <v>0</v>
      </c>
      <c r="B50" s="442" t="s">
        <v>25</v>
      </c>
      <c r="C50" s="510">
        <v>0</v>
      </c>
      <c r="D50" s="1" t="s">
        <v>154</v>
      </c>
      <c r="E50" s="394">
        <v>0</v>
      </c>
      <c r="F50" s="8"/>
      <c r="K50" s="1"/>
      <c r="L50" s="1"/>
      <c r="AD50" s="112"/>
      <c r="AE50" s="112">
        <v>448.54399999999998</v>
      </c>
      <c r="AF50" s="112">
        <v>448.49200000000002</v>
      </c>
      <c r="AG50" s="112">
        <v>804.63199999999995</v>
      </c>
      <c r="AH50" s="112">
        <v>2.59017E-2</v>
      </c>
      <c r="AI50" s="112">
        <v>3.3457999999999999E-3</v>
      </c>
      <c r="AJ50" s="112">
        <v>102</v>
      </c>
      <c r="AK50" s="112">
        <v>9.8138699999999995E-2</v>
      </c>
      <c r="AL50" s="112">
        <v>37.9253</v>
      </c>
      <c r="AM50" s="112">
        <v>1.8240700000000001</v>
      </c>
      <c r="AN50" s="112">
        <v>1.8240700000000001</v>
      </c>
      <c r="AO50" s="112">
        <v>6.1029700000000001E-3</v>
      </c>
      <c r="AP50" s="112">
        <v>1.8179700000000001</v>
      </c>
      <c r="AQ50" s="112"/>
      <c r="AR50" s="112">
        <v>8.0983999999999998</v>
      </c>
      <c r="AS50" s="112">
        <v>207.351</v>
      </c>
      <c r="AT50" s="112">
        <v>3.51966</v>
      </c>
      <c r="AU50" s="112">
        <v>47.179000000000002</v>
      </c>
      <c r="AV50" s="112">
        <v>3.52589</v>
      </c>
      <c r="AW50" s="112">
        <v>62.501899999999999</v>
      </c>
      <c r="AX50" s="112">
        <v>3.7232099999999999</v>
      </c>
      <c r="AY50" s="112">
        <v>52.2346</v>
      </c>
      <c r="AZ50" s="112">
        <v>52.2346</v>
      </c>
      <c r="BA50" s="112">
        <v>8.6540300000000006</v>
      </c>
      <c r="BB50" s="112">
        <v>18.8081</v>
      </c>
      <c r="BC50" s="112">
        <v>3.4142700000000001E-3</v>
      </c>
      <c r="BD50" s="112"/>
      <c r="BE50" s="112"/>
      <c r="BF50" s="112"/>
      <c r="BG50" s="112"/>
      <c r="BH50" s="112"/>
      <c r="BI50" s="112">
        <v>448.54399999999998</v>
      </c>
      <c r="BJ50" s="112">
        <v>448.49200000000002</v>
      </c>
      <c r="BK50" s="112">
        <v>898.31</v>
      </c>
      <c r="BL50" s="112">
        <v>2.9278499999999999E-2</v>
      </c>
      <c r="BM50" s="112">
        <v>3.78109E-3</v>
      </c>
      <c r="BN50" s="112">
        <v>102</v>
      </c>
      <c r="BO50" s="112">
        <v>0.112765</v>
      </c>
      <c r="BP50" s="112">
        <v>42.885199999999998</v>
      </c>
      <c r="BQ50" s="112">
        <v>1.84212</v>
      </c>
      <c r="BR50" s="112">
        <v>1.84212</v>
      </c>
      <c r="BS50" s="112">
        <v>6.9652000000000004E-3</v>
      </c>
      <c r="BT50" s="112">
        <v>1.8351500000000001</v>
      </c>
      <c r="BU50" s="112"/>
      <c r="BV50" s="112">
        <v>7.5159500000000001</v>
      </c>
      <c r="BW50" s="112">
        <v>195.02799999999999</v>
      </c>
      <c r="BX50" s="112">
        <v>3.7789299999999999</v>
      </c>
      <c r="BY50" s="112">
        <v>47.180199999999999</v>
      </c>
      <c r="BZ50" s="112">
        <v>3.9869699999999999</v>
      </c>
      <c r="CA50">
        <v>62.515999999999998</v>
      </c>
      <c r="CB50">
        <v>4.2082699999999997</v>
      </c>
      <c r="CC50">
        <v>49.935400000000001</v>
      </c>
      <c r="CD50">
        <v>49.935400000000001</v>
      </c>
      <c r="CE50">
        <v>8.0272600000000001</v>
      </c>
      <c r="CF50">
        <v>18.819199999999999</v>
      </c>
      <c r="CG50">
        <v>3.8442400000000001E-3</v>
      </c>
      <c r="CM50">
        <v>448.54399999999998</v>
      </c>
      <c r="CN50">
        <v>448.49200000000002</v>
      </c>
      <c r="CO50">
        <v>931.65700000000004</v>
      </c>
      <c r="CP50">
        <v>2.99472E-2</v>
      </c>
      <c r="CQ50">
        <v>7.7087800000000001E-3</v>
      </c>
      <c r="CR50">
        <v>102</v>
      </c>
      <c r="CS50">
        <v>1.0370699999999999</v>
      </c>
      <c r="CT50">
        <v>43.014499999999998</v>
      </c>
      <c r="CU50">
        <v>6.0383100000000001</v>
      </c>
      <c r="CV50">
        <v>6.0383100000000001</v>
      </c>
      <c r="CW50">
        <v>4.6547999999999999E-2</v>
      </c>
      <c r="CX50">
        <v>5.9917600000000002</v>
      </c>
      <c r="CY50">
        <v>0</v>
      </c>
      <c r="CZ50">
        <v>7.7675400000000003</v>
      </c>
      <c r="DA50">
        <v>194.68</v>
      </c>
      <c r="DB50">
        <v>12.409599999999999</v>
      </c>
      <c r="DC50">
        <v>47.118400000000001</v>
      </c>
      <c r="DD50">
        <v>3.7712300000000001</v>
      </c>
      <c r="DE50">
        <v>62.452800000000003</v>
      </c>
      <c r="DF50">
        <v>4.2236000000000002</v>
      </c>
      <c r="DG50">
        <v>50.815300000000001</v>
      </c>
      <c r="DH50">
        <v>50.815300000000001</v>
      </c>
      <c r="DI50">
        <v>8.2701200000000004</v>
      </c>
      <c r="DJ50">
        <v>18.810400000000001</v>
      </c>
      <c r="DK50">
        <v>7.7845199999999996E-3</v>
      </c>
      <c r="DQ50">
        <v>448.54399999999998</v>
      </c>
      <c r="DR50">
        <v>448.49200000000002</v>
      </c>
      <c r="DS50">
        <v>762.04899999999998</v>
      </c>
      <c r="DT50">
        <v>0.17416499999999999</v>
      </c>
      <c r="DU50">
        <v>0.36866199999999999</v>
      </c>
      <c r="DV50">
        <v>105</v>
      </c>
      <c r="DW50">
        <v>0.22303000000000001</v>
      </c>
      <c r="DX50">
        <v>235.21199999999999</v>
      </c>
      <c r="DY50">
        <v>0.149116</v>
      </c>
      <c r="DZ50">
        <v>2.8448199999999999</v>
      </c>
      <c r="EA50">
        <v>5.4973399999999999E-2</v>
      </c>
      <c r="EB50">
        <v>1.7960400000000001</v>
      </c>
      <c r="EC50">
        <v>0</v>
      </c>
      <c r="ED50">
        <v>8.5550800000000002</v>
      </c>
      <c r="EE50">
        <v>179.38800000000001</v>
      </c>
      <c r="EF50">
        <v>4.1634599999999997</v>
      </c>
      <c r="EG50">
        <v>47.159100000000002</v>
      </c>
      <c r="EH50">
        <v>3.30185</v>
      </c>
      <c r="EI50">
        <v>62.476300000000002</v>
      </c>
      <c r="EJ50">
        <v>5.0592699999999997</v>
      </c>
      <c r="EK50">
        <v>53.315300000000001</v>
      </c>
      <c r="EL50">
        <v>53.315300000000001</v>
      </c>
      <c r="EM50">
        <v>8.9557199999999995</v>
      </c>
      <c r="EN50">
        <v>18.800799999999999</v>
      </c>
      <c r="EO50">
        <v>0.33763300000000002</v>
      </c>
    </row>
    <row r="51" spans="1:145" x14ac:dyDescent="0.2">
      <c r="A51" s="86">
        <v>1</v>
      </c>
      <c r="B51" s="442" t="s">
        <v>408</v>
      </c>
      <c r="C51" s="510">
        <v>1</v>
      </c>
      <c r="D51" s="1" t="s">
        <v>17</v>
      </c>
      <c r="E51" s="394">
        <v>2500</v>
      </c>
      <c r="F51" s="8">
        <v>4</v>
      </c>
      <c r="G51" s="1">
        <v>5.9999999999999995E-4</v>
      </c>
      <c r="K51" s="1"/>
      <c r="L51" s="1">
        <v>1</v>
      </c>
      <c r="AD51" s="112"/>
      <c r="AE51" s="112">
        <v>523.30100000000004</v>
      </c>
      <c r="AF51" s="112">
        <v>523.24099999999999</v>
      </c>
      <c r="AG51" s="112">
        <v>810.99099999999999</v>
      </c>
      <c r="AH51" s="112">
        <v>2.5927800000000001E-2</v>
      </c>
      <c r="AI51" s="112">
        <v>3.3505200000000001E-3</v>
      </c>
      <c r="AJ51" s="112">
        <v>102</v>
      </c>
      <c r="AK51" s="112">
        <v>0.113164</v>
      </c>
      <c r="AL51" s="112">
        <v>44.268799999999999</v>
      </c>
      <c r="AM51" s="112">
        <v>1.82223</v>
      </c>
      <c r="AN51" s="112">
        <v>1.82223</v>
      </c>
      <c r="AO51" s="112">
        <v>6.1054100000000004E-3</v>
      </c>
      <c r="AP51" s="112">
        <v>1.81612</v>
      </c>
      <c r="AQ51" s="112"/>
      <c r="AR51" s="112">
        <v>8.0893300000000004</v>
      </c>
      <c r="AS51" s="112">
        <v>207.24600000000001</v>
      </c>
      <c r="AT51" s="112">
        <v>3.5178799999999999</v>
      </c>
      <c r="AU51" s="112">
        <v>47.153399999999998</v>
      </c>
      <c r="AV51" s="112">
        <v>3.5294699999999999</v>
      </c>
      <c r="AW51" s="112">
        <v>62.476399999999998</v>
      </c>
      <c r="AX51" s="112">
        <v>3.7269700000000001</v>
      </c>
      <c r="AY51" s="112">
        <v>52.130499999999998</v>
      </c>
      <c r="AZ51" s="112">
        <v>52.130499999999998</v>
      </c>
      <c r="BA51" s="112">
        <v>8.6291899999999995</v>
      </c>
      <c r="BB51" s="112">
        <v>18.805</v>
      </c>
      <c r="BC51" s="112">
        <v>3.4052100000000001E-3</v>
      </c>
      <c r="BD51" s="112"/>
      <c r="BE51" s="112"/>
      <c r="BF51" s="112"/>
      <c r="BG51" s="112"/>
      <c r="BH51" s="112"/>
      <c r="BI51" s="112">
        <v>523.30100000000004</v>
      </c>
      <c r="BJ51" s="112">
        <v>523.24099999999999</v>
      </c>
      <c r="BK51" s="112">
        <v>905.49699999999996</v>
      </c>
      <c r="BL51" s="112">
        <v>2.9303800000000001E-2</v>
      </c>
      <c r="BM51" s="112">
        <v>3.7858800000000001E-3</v>
      </c>
      <c r="BN51" s="112">
        <v>102</v>
      </c>
      <c r="BO51" s="112">
        <v>0.12984999999999999</v>
      </c>
      <c r="BP51" s="112">
        <v>50.054600000000001</v>
      </c>
      <c r="BQ51" s="112">
        <v>1.8405199999999999</v>
      </c>
      <c r="BR51" s="112">
        <v>1.8405199999999999</v>
      </c>
      <c r="BS51" s="112">
        <v>6.9679900000000003E-3</v>
      </c>
      <c r="BT51" s="112">
        <v>1.8335600000000001</v>
      </c>
      <c r="BU51" s="112"/>
      <c r="BV51" s="112">
        <v>7.5080600000000004</v>
      </c>
      <c r="BW51" s="112">
        <v>194.94399999999999</v>
      </c>
      <c r="BX51" s="112">
        <v>3.7772899999999998</v>
      </c>
      <c r="BY51" s="112">
        <v>47.155299999999997</v>
      </c>
      <c r="BZ51" s="112">
        <v>3.9904299999999999</v>
      </c>
      <c r="CA51">
        <v>62.490400000000001</v>
      </c>
      <c r="CB51">
        <v>4.2119</v>
      </c>
      <c r="CC51">
        <v>49.835000000000001</v>
      </c>
      <c r="CD51">
        <v>49.835000000000001</v>
      </c>
      <c r="CE51">
        <v>8.0043799999999994</v>
      </c>
      <c r="CF51">
        <v>18.8155</v>
      </c>
      <c r="CG51">
        <v>3.8359399999999999E-3</v>
      </c>
      <c r="CM51">
        <v>523.30100000000004</v>
      </c>
      <c r="CN51">
        <v>523.24099999999999</v>
      </c>
      <c r="CO51">
        <v>939.01</v>
      </c>
      <c r="CP51">
        <v>2.9978899999999999E-2</v>
      </c>
      <c r="CQ51">
        <v>7.7206699999999998E-3</v>
      </c>
      <c r="CR51">
        <v>102</v>
      </c>
      <c r="CS51">
        <v>1.19217</v>
      </c>
      <c r="CT51">
        <v>50.211100000000002</v>
      </c>
      <c r="CU51">
        <v>6.0316799999999997</v>
      </c>
      <c r="CV51">
        <v>6.0316799999999997</v>
      </c>
      <c r="CW51">
        <v>4.6568600000000002E-2</v>
      </c>
      <c r="CX51">
        <v>5.9851099999999997</v>
      </c>
      <c r="CY51">
        <v>0</v>
      </c>
      <c r="CZ51">
        <v>7.7579000000000002</v>
      </c>
      <c r="DA51">
        <v>194.57300000000001</v>
      </c>
      <c r="DB51">
        <v>12.402799999999999</v>
      </c>
      <c r="DC51">
        <v>47.0931</v>
      </c>
      <c r="DD51">
        <v>3.7754300000000001</v>
      </c>
      <c r="DE51">
        <v>62.424599999999998</v>
      </c>
      <c r="DF51">
        <v>4.2282400000000004</v>
      </c>
      <c r="DG51">
        <v>50.701500000000003</v>
      </c>
      <c r="DH51">
        <v>50.701500000000003</v>
      </c>
      <c r="DI51">
        <v>8.2454099999999997</v>
      </c>
      <c r="DJ51">
        <v>18.8049</v>
      </c>
      <c r="DK51">
        <v>7.7754399999999998E-3</v>
      </c>
      <c r="DQ51">
        <v>523.30100000000004</v>
      </c>
      <c r="DR51">
        <v>523.24099999999999</v>
      </c>
      <c r="DS51">
        <v>806.18299999999999</v>
      </c>
      <c r="DT51">
        <v>0.17994599999999999</v>
      </c>
      <c r="DU51">
        <v>0.38093100000000002</v>
      </c>
      <c r="DV51">
        <v>105</v>
      </c>
      <c r="DW51">
        <v>0.252554</v>
      </c>
      <c r="DX51">
        <v>279.31200000000001</v>
      </c>
      <c r="DY51">
        <v>0.14435700000000001</v>
      </c>
      <c r="DZ51">
        <v>2.7443900000000001</v>
      </c>
      <c r="EA51">
        <v>5.4989999999999997E-2</v>
      </c>
      <c r="EB51">
        <v>1.6989700000000001</v>
      </c>
      <c r="EC51">
        <v>0</v>
      </c>
      <c r="ED51">
        <v>8.2736099999999997</v>
      </c>
      <c r="EE51">
        <v>174.62200000000001</v>
      </c>
      <c r="EF51">
        <v>4.0519800000000004</v>
      </c>
      <c r="EG51">
        <v>47.135599999999997</v>
      </c>
      <c r="EH51">
        <v>3.48821</v>
      </c>
      <c r="EI51">
        <v>62.457000000000001</v>
      </c>
      <c r="EJ51">
        <v>5.3369999999999997</v>
      </c>
      <c r="EK51">
        <v>52.278799999999997</v>
      </c>
      <c r="EL51">
        <v>52.278799999999997</v>
      </c>
      <c r="EM51">
        <v>8.6730599999999995</v>
      </c>
      <c r="EN51">
        <v>18.801500000000001</v>
      </c>
      <c r="EO51">
        <v>0.34378999999999998</v>
      </c>
    </row>
    <row r="52" spans="1:145" x14ac:dyDescent="0.2">
      <c r="A52" s="86">
        <v>2</v>
      </c>
      <c r="B52" s="442" t="s">
        <v>409</v>
      </c>
      <c r="C52" s="510">
        <v>1</v>
      </c>
      <c r="D52" s="1" t="s">
        <v>17</v>
      </c>
      <c r="E52" s="394">
        <v>3500</v>
      </c>
      <c r="F52" s="8">
        <v>3</v>
      </c>
      <c r="G52" s="1">
        <v>5.9999999999999995E-4</v>
      </c>
      <c r="K52" s="1"/>
      <c r="L52" s="1">
        <v>1</v>
      </c>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v>598.05799999999999</v>
      </c>
      <c r="BJ52" s="112">
        <v>597.99</v>
      </c>
      <c r="BK52" s="112">
        <v>912.69100000000003</v>
      </c>
      <c r="BL52" s="112">
        <v>2.9329000000000001E-2</v>
      </c>
      <c r="BM52" s="112">
        <v>3.79073E-3</v>
      </c>
      <c r="BN52" s="112">
        <v>102</v>
      </c>
      <c r="BO52" s="112">
        <v>0.146929</v>
      </c>
      <c r="BP52" s="112">
        <v>57.2301</v>
      </c>
      <c r="BQ52" s="112">
        <v>1.83894</v>
      </c>
      <c r="BR52" s="112">
        <v>1.83894</v>
      </c>
      <c r="BS52" s="112">
        <v>6.9709100000000003E-3</v>
      </c>
      <c r="BT52" s="112">
        <v>1.83196</v>
      </c>
      <c r="BU52" s="112"/>
      <c r="BV52" s="112">
        <v>7.5000099999999996</v>
      </c>
      <c r="BW52" s="112">
        <v>194.86</v>
      </c>
      <c r="BX52" s="112">
        <v>3.7756599999999998</v>
      </c>
      <c r="BY52" s="112">
        <v>47.130099999999999</v>
      </c>
      <c r="BZ52" s="112">
        <v>3.9938899999999999</v>
      </c>
      <c r="CA52">
        <v>62.463700000000003</v>
      </c>
      <c r="CB52">
        <v>4.2155300000000002</v>
      </c>
      <c r="CC52">
        <v>49.731099999999998</v>
      </c>
      <c r="CD52">
        <v>49.731099999999998</v>
      </c>
      <c r="CE52">
        <v>7.9813400000000003</v>
      </c>
      <c r="CF52">
        <v>18.8111</v>
      </c>
      <c r="CG52">
        <v>3.83031E-3</v>
      </c>
      <c r="CM52">
        <v>598.05799999999999</v>
      </c>
      <c r="CN52">
        <v>597.99</v>
      </c>
      <c r="CO52">
        <v>946.37</v>
      </c>
      <c r="CP52">
        <v>3.00109E-2</v>
      </c>
      <c r="CQ52">
        <v>7.73276E-3</v>
      </c>
      <c r="CR52">
        <v>102</v>
      </c>
      <c r="CS52">
        <v>1.3471599999999999</v>
      </c>
      <c r="CT52">
        <v>57.415700000000001</v>
      </c>
      <c r="CU52">
        <v>6.0250199999999996</v>
      </c>
      <c r="CV52">
        <v>6.0250199999999996</v>
      </c>
      <c r="CW52">
        <v>4.6589999999999999E-2</v>
      </c>
      <c r="CX52">
        <v>5.9784300000000004</v>
      </c>
      <c r="CY52">
        <v>0</v>
      </c>
      <c r="CZ52">
        <v>7.7480700000000002</v>
      </c>
      <c r="DA52">
        <v>194.46600000000001</v>
      </c>
      <c r="DB52">
        <v>12.395899999999999</v>
      </c>
      <c r="DC52">
        <v>47.067500000000003</v>
      </c>
      <c r="DD52">
        <v>3.7796599999999998</v>
      </c>
      <c r="DE52">
        <v>62.395499999999998</v>
      </c>
      <c r="DF52">
        <v>4.2329299999999996</v>
      </c>
      <c r="DG52">
        <v>50.584499999999998</v>
      </c>
      <c r="DH52">
        <v>50.584499999999998</v>
      </c>
      <c r="DI52">
        <v>8.2205600000000008</v>
      </c>
      <c r="DJ52">
        <v>18.7987</v>
      </c>
      <c r="DK52">
        <v>7.7701300000000001E-3</v>
      </c>
      <c r="DQ52">
        <v>598.05799999999999</v>
      </c>
      <c r="DR52">
        <v>597.99</v>
      </c>
      <c r="DS52">
        <v>851.74699999999996</v>
      </c>
      <c r="DT52">
        <v>0.18577099999999999</v>
      </c>
      <c r="DU52">
        <v>0.39333299999999999</v>
      </c>
      <c r="DV52">
        <v>105</v>
      </c>
      <c r="DW52">
        <v>0.28064899999999998</v>
      </c>
      <c r="DX52">
        <v>324.84100000000001</v>
      </c>
      <c r="DY52">
        <v>0.139849</v>
      </c>
      <c r="DZ52">
        <v>2.65266</v>
      </c>
      <c r="EA52">
        <v>5.5007399999999998E-2</v>
      </c>
      <c r="EB52">
        <v>1.60928</v>
      </c>
      <c r="EC52">
        <v>0</v>
      </c>
      <c r="ED52">
        <v>8.00502</v>
      </c>
      <c r="EE52">
        <v>170.09899999999999</v>
      </c>
      <c r="EF52">
        <v>3.94624</v>
      </c>
      <c r="EG52">
        <v>47.112299999999998</v>
      </c>
      <c r="EH52">
        <v>3.68024</v>
      </c>
      <c r="EI52">
        <v>62.436900000000001</v>
      </c>
      <c r="EJ52">
        <v>5.6222500000000002</v>
      </c>
      <c r="EK52">
        <v>51.225299999999997</v>
      </c>
      <c r="EL52">
        <v>51.225299999999997</v>
      </c>
      <c r="EM52">
        <v>8.3893199999999997</v>
      </c>
      <c r="EN52">
        <v>18.801300000000001</v>
      </c>
      <c r="EO52">
        <v>0.34995799999999999</v>
      </c>
    </row>
    <row r="53" spans="1:145" x14ac:dyDescent="0.2">
      <c r="A53" s="86"/>
      <c r="B53" s="442" t="s">
        <v>476</v>
      </c>
      <c r="C53" s="510">
        <v>1</v>
      </c>
      <c r="D53" s="1" t="s">
        <v>17</v>
      </c>
      <c r="E53" s="394">
        <v>3700</v>
      </c>
      <c r="F53" s="8">
        <v>2</v>
      </c>
      <c r="K53" s="1"/>
      <c r="L53" s="1"/>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DQ53">
        <v>672.81500000000005</v>
      </c>
      <c r="DR53">
        <v>672.73900000000003</v>
      </c>
      <c r="DS53">
        <v>898.74800000000005</v>
      </c>
      <c r="DT53">
        <v>0.191633</v>
      </c>
      <c r="DU53">
        <v>0.405866</v>
      </c>
      <c r="DV53">
        <v>105</v>
      </c>
      <c r="DW53">
        <v>0.30741800000000002</v>
      </c>
      <c r="DX53">
        <v>371.80900000000003</v>
      </c>
      <c r="DY53">
        <v>0.135576</v>
      </c>
      <c r="DZ53">
        <v>2.5689600000000001</v>
      </c>
      <c r="EA53">
        <v>5.5025499999999998E-2</v>
      </c>
      <c r="EB53">
        <v>1.5263100000000001</v>
      </c>
      <c r="EC53">
        <v>0</v>
      </c>
      <c r="ED53">
        <v>7.7485299999999997</v>
      </c>
      <c r="EE53">
        <v>165.80600000000001</v>
      </c>
      <c r="EF53">
        <v>3.8458600000000001</v>
      </c>
      <c r="EG53">
        <v>47.089199999999998</v>
      </c>
      <c r="EH53">
        <v>3.8778700000000002</v>
      </c>
      <c r="EI53">
        <v>62.415799999999997</v>
      </c>
      <c r="EJ53">
        <v>5.9148100000000001</v>
      </c>
      <c r="EK53">
        <v>50.156500000000001</v>
      </c>
      <c r="EL53">
        <v>50.156500000000001</v>
      </c>
      <c r="EM53">
        <v>8.1050599999999999</v>
      </c>
      <c r="EN53">
        <v>18.8003</v>
      </c>
      <c r="EO53">
        <v>0.35614699999999999</v>
      </c>
    </row>
    <row r="54" spans="1:145" x14ac:dyDescent="0.2">
      <c r="A54" s="86"/>
      <c r="B54" s="442" t="s">
        <v>386</v>
      </c>
      <c r="C54" s="510">
        <v>3</v>
      </c>
      <c r="D54" s="1" t="s">
        <v>386</v>
      </c>
      <c r="E54" s="394">
        <v>3700</v>
      </c>
      <c r="F54" s="8">
        <v>0.1</v>
      </c>
      <c r="K54" s="1"/>
      <c r="L54" s="1"/>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DQ54">
        <v>747.57299999999998</v>
      </c>
      <c r="DR54">
        <v>747.48699999999997</v>
      </c>
      <c r="DS54">
        <v>947.19500000000005</v>
      </c>
      <c r="DT54">
        <v>0.19752800000000001</v>
      </c>
      <c r="DU54">
        <v>0.41852099999999998</v>
      </c>
      <c r="DV54">
        <v>105</v>
      </c>
      <c r="DW54">
        <v>0.332955</v>
      </c>
      <c r="DX54">
        <v>420.22399999999999</v>
      </c>
      <c r="DY54">
        <v>0.131521</v>
      </c>
      <c r="DZ54">
        <v>2.4927000000000001</v>
      </c>
      <c r="EA54">
        <v>5.50444E-2</v>
      </c>
      <c r="EB54">
        <v>1.4494499999999999</v>
      </c>
      <c r="EC54">
        <v>0</v>
      </c>
      <c r="ED54">
        <v>7.5034299999999998</v>
      </c>
      <c r="EE54">
        <v>161.72800000000001</v>
      </c>
      <c r="EF54">
        <v>3.7505299999999999</v>
      </c>
      <c r="EG54">
        <v>47.066200000000002</v>
      </c>
      <c r="EH54">
        <v>4.0809699999999998</v>
      </c>
      <c r="EI54">
        <v>62.393999999999998</v>
      </c>
      <c r="EJ54">
        <v>6.2144399999999997</v>
      </c>
      <c r="EK54">
        <v>49.074199999999998</v>
      </c>
      <c r="EL54">
        <v>49.074199999999998</v>
      </c>
      <c r="EM54">
        <v>7.8208399999999996</v>
      </c>
      <c r="EN54">
        <v>18.798400000000001</v>
      </c>
      <c r="EO54">
        <v>0.36236400000000002</v>
      </c>
    </row>
    <row r="55" spans="1:145" x14ac:dyDescent="0.2">
      <c r="A55" s="86">
        <v>3</v>
      </c>
      <c r="B55" s="442" t="s">
        <v>410</v>
      </c>
      <c r="C55" s="510">
        <v>1</v>
      </c>
      <c r="D55" s="1" t="s">
        <v>17</v>
      </c>
      <c r="E55" s="394">
        <v>3800</v>
      </c>
      <c r="F55" s="8">
        <v>2</v>
      </c>
      <c r="G55" s="1">
        <v>5.9999999999999995E-4</v>
      </c>
      <c r="K55" s="1"/>
      <c r="L55" s="1">
        <v>1</v>
      </c>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M55">
        <v>672.81500000000005</v>
      </c>
      <c r="CN55">
        <v>672.73900000000003</v>
      </c>
      <c r="CO55">
        <v>953.73900000000003</v>
      </c>
      <c r="CP55">
        <v>3.00431E-2</v>
      </c>
      <c r="CQ55">
        <v>7.7450499999999999E-3</v>
      </c>
      <c r="CR55">
        <v>102</v>
      </c>
      <c r="CS55">
        <v>1.50203</v>
      </c>
      <c r="CT55">
        <v>64.628399999999999</v>
      </c>
      <c r="CU55">
        <v>6.0183099999999996</v>
      </c>
      <c r="CV55">
        <v>6.0183099999999996</v>
      </c>
      <c r="CW55">
        <v>4.6612099999999997E-2</v>
      </c>
      <c r="CX55">
        <v>5.9717000000000002</v>
      </c>
      <c r="CY55">
        <v>0</v>
      </c>
      <c r="CZ55">
        <v>7.7380500000000003</v>
      </c>
      <c r="DA55">
        <v>194.358</v>
      </c>
      <c r="DB55">
        <v>12.388999999999999</v>
      </c>
      <c r="DC55">
        <v>47.041800000000002</v>
      </c>
      <c r="DD55">
        <v>3.7839499999999999</v>
      </c>
      <c r="DE55">
        <v>62.365400000000001</v>
      </c>
      <c r="DF55">
        <v>4.23766</v>
      </c>
      <c r="DG55">
        <v>50.464199999999998</v>
      </c>
      <c r="DH55">
        <v>50.464199999999998</v>
      </c>
      <c r="DI55">
        <v>8.1955600000000004</v>
      </c>
      <c r="DJ55">
        <v>18.791899999999998</v>
      </c>
      <c r="DK55">
        <v>7.7673500000000001E-3</v>
      </c>
      <c r="DQ55">
        <v>822.33</v>
      </c>
      <c r="DR55">
        <v>822.23599999999999</v>
      </c>
      <c r="DS55">
        <v>997.09500000000003</v>
      </c>
      <c r="DT55">
        <v>0.20345099999999999</v>
      </c>
      <c r="DU55">
        <v>0.43129299999999998</v>
      </c>
      <c r="DV55">
        <v>105</v>
      </c>
      <c r="DW55">
        <v>0.357346</v>
      </c>
      <c r="DX55">
        <v>470.09300000000002</v>
      </c>
      <c r="DY55">
        <v>0.12767200000000001</v>
      </c>
      <c r="DZ55">
        <v>2.4233600000000002</v>
      </c>
      <c r="EA55">
        <v>5.5064000000000002E-2</v>
      </c>
      <c r="EB55">
        <v>1.37818</v>
      </c>
      <c r="EC55">
        <v>0</v>
      </c>
      <c r="ED55">
        <v>7.2690700000000001</v>
      </c>
      <c r="EE55">
        <v>157.852</v>
      </c>
      <c r="EF55">
        <v>3.6599400000000002</v>
      </c>
      <c r="EG55">
        <v>47.043300000000002</v>
      </c>
      <c r="EH55">
        <v>4.2894100000000002</v>
      </c>
      <c r="EI55">
        <v>62.371400000000001</v>
      </c>
      <c r="EJ55">
        <v>6.5208700000000004</v>
      </c>
      <c r="EK55">
        <v>47.980699999999999</v>
      </c>
      <c r="EL55">
        <v>47.980699999999999</v>
      </c>
      <c r="EM55">
        <v>7.5372500000000002</v>
      </c>
      <c r="EN55">
        <v>18.7959</v>
      </c>
      <c r="EO55">
        <v>0.368612</v>
      </c>
    </row>
    <row r="56" spans="1:145" x14ac:dyDescent="0.2">
      <c r="A56" s="86">
        <v>4</v>
      </c>
      <c r="B56" s="442" t="s">
        <v>411</v>
      </c>
      <c r="C56" s="510">
        <v>1</v>
      </c>
      <c r="D56" s="1" t="s">
        <v>17</v>
      </c>
      <c r="E56" s="394">
        <v>4000</v>
      </c>
      <c r="F56" s="8">
        <v>2</v>
      </c>
      <c r="G56" s="1">
        <v>5.9999999999999995E-4</v>
      </c>
      <c r="K56" s="1"/>
      <c r="L56" s="1">
        <v>1</v>
      </c>
      <c r="AD56" s="112"/>
      <c r="AE56" s="112">
        <v>598.05799999999999</v>
      </c>
      <c r="AF56" s="112">
        <v>597.99</v>
      </c>
      <c r="AG56" s="112">
        <v>817.35699999999997</v>
      </c>
      <c r="AH56" s="112">
        <v>2.5953899999999998E-2</v>
      </c>
      <c r="AI56" s="112">
        <v>3.3553099999999998E-3</v>
      </c>
      <c r="AJ56" s="112">
        <v>102</v>
      </c>
      <c r="AK56" s="112">
        <v>0.12818299999999999</v>
      </c>
      <c r="AL56" s="112">
        <v>50.618699999999997</v>
      </c>
      <c r="AM56" s="112">
        <v>1.82039</v>
      </c>
      <c r="AN56" s="112">
        <v>1.82039</v>
      </c>
      <c r="AO56" s="112">
        <v>6.1079699999999999E-3</v>
      </c>
      <c r="AP56" s="112">
        <v>1.8142799999999999</v>
      </c>
      <c r="AQ56" s="112"/>
      <c r="AR56" s="112">
        <v>8.0801099999999995</v>
      </c>
      <c r="AS56" s="112">
        <v>207.14099999999999</v>
      </c>
      <c r="AT56" s="112">
        <v>3.5160999999999998</v>
      </c>
      <c r="AU56" s="112">
        <v>47.127600000000001</v>
      </c>
      <c r="AV56" s="112">
        <v>3.5330400000000002</v>
      </c>
      <c r="AW56" s="112">
        <v>62.4497</v>
      </c>
      <c r="AX56" s="112">
        <v>3.7307299999999999</v>
      </c>
      <c r="AY56" s="112">
        <v>52.0227</v>
      </c>
      <c r="AZ56" s="112">
        <v>52.0227</v>
      </c>
      <c r="BA56" s="112">
        <v>8.6041899999999991</v>
      </c>
      <c r="BB56" s="112">
        <v>18.801100000000002</v>
      </c>
      <c r="BC56" s="112">
        <v>3.3990000000000001E-3</v>
      </c>
      <c r="BD56" s="112"/>
      <c r="BE56" s="112"/>
      <c r="BF56" s="112"/>
      <c r="BG56" s="112"/>
      <c r="BH56" s="112"/>
      <c r="BI56" s="112">
        <v>672.81500000000005</v>
      </c>
      <c r="BJ56" s="112">
        <v>672.73900000000003</v>
      </c>
      <c r="BK56" s="112">
        <v>919.89</v>
      </c>
      <c r="BL56" s="112">
        <v>2.93542E-2</v>
      </c>
      <c r="BM56" s="112">
        <v>3.7956499999999998E-3</v>
      </c>
      <c r="BN56" s="112">
        <v>102</v>
      </c>
      <c r="BO56" s="112">
        <v>0.16400400000000001</v>
      </c>
      <c r="BP56" s="112">
        <v>64.411699999999996</v>
      </c>
      <c r="BQ56" s="112">
        <v>1.83735</v>
      </c>
      <c r="BR56" s="112">
        <v>1.83735</v>
      </c>
      <c r="BS56" s="112">
        <v>6.9739499999999996E-3</v>
      </c>
      <c r="BT56" s="112">
        <v>1.8303799999999999</v>
      </c>
      <c r="BU56" s="112"/>
      <c r="BV56" s="112">
        <v>7.4918100000000001</v>
      </c>
      <c r="BW56" s="112">
        <v>194.77600000000001</v>
      </c>
      <c r="BX56" s="112">
        <v>3.7740300000000002</v>
      </c>
      <c r="BY56" s="112">
        <v>47.104700000000001</v>
      </c>
      <c r="BZ56" s="112">
        <v>3.9973399999999999</v>
      </c>
      <c r="CA56">
        <v>62.435899999999997</v>
      </c>
      <c r="CB56">
        <v>4.21915</v>
      </c>
      <c r="CC56">
        <v>49.624000000000002</v>
      </c>
      <c r="CD56">
        <v>49.624000000000002</v>
      </c>
      <c r="CE56">
        <v>7.9581799999999996</v>
      </c>
      <c r="CF56">
        <v>18.806000000000001</v>
      </c>
      <c r="CG56">
        <v>3.8264699999999998E-3</v>
      </c>
      <c r="CM56">
        <v>747.57299999999998</v>
      </c>
      <c r="CN56">
        <v>747.48699999999997</v>
      </c>
      <c r="CO56">
        <v>961.11599999999999</v>
      </c>
      <c r="CP56">
        <v>3.00758E-2</v>
      </c>
      <c r="CQ56">
        <v>7.7575999999999999E-3</v>
      </c>
      <c r="CR56">
        <v>102</v>
      </c>
      <c r="CS56">
        <v>1.6567700000000001</v>
      </c>
      <c r="CT56">
        <v>71.849100000000007</v>
      </c>
      <c r="CU56">
        <v>6.01152</v>
      </c>
      <c r="CV56">
        <v>6.01152</v>
      </c>
      <c r="CW56">
        <v>4.6635000000000003E-2</v>
      </c>
      <c r="CX56">
        <v>5.9648899999999996</v>
      </c>
      <c r="CY56">
        <v>0</v>
      </c>
      <c r="CZ56">
        <v>7.7278099999999998</v>
      </c>
      <c r="DA56">
        <v>194.24799999999999</v>
      </c>
      <c r="DB56">
        <v>12.382099999999999</v>
      </c>
      <c r="DC56">
        <v>47.015900000000002</v>
      </c>
      <c r="DD56">
        <v>3.7883</v>
      </c>
      <c r="DE56">
        <v>62.334299999999999</v>
      </c>
      <c r="DF56">
        <v>4.24247</v>
      </c>
      <c r="DG56">
        <v>50.340899999999998</v>
      </c>
      <c r="DH56">
        <v>50.340899999999998</v>
      </c>
      <c r="DI56">
        <v>8.1704000000000008</v>
      </c>
      <c r="DJ56">
        <v>18.784300000000002</v>
      </c>
      <c r="DK56">
        <v>7.7663799999999998E-3</v>
      </c>
      <c r="DQ56">
        <v>897.08699999999999</v>
      </c>
      <c r="DR56">
        <v>896.98500000000001</v>
      </c>
      <c r="DS56">
        <v>1048.45</v>
      </c>
      <c r="DT56">
        <v>0.209397</v>
      </c>
      <c r="DU56">
        <v>0.44417699999999999</v>
      </c>
      <c r="DV56">
        <v>105</v>
      </c>
      <c r="DW56">
        <v>0.38067200000000001</v>
      </c>
      <c r="DX56">
        <v>521.42200000000003</v>
      </c>
      <c r="DY56">
        <v>0.124014</v>
      </c>
      <c r="DZ56">
        <v>2.36049</v>
      </c>
      <c r="EA56">
        <v>5.5084300000000003E-2</v>
      </c>
      <c r="EB56">
        <v>1.3120099999999999</v>
      </c>
      <c r="EC56">
        <v>0</v>
      </c>
      <c r="ED56">
        <v>7.0448399999999998</v>
      </c>
      <c r="EE56">
        <v>154.166</v>
      </c>
      <c r="EF56">
        <v>3.5738099999999999</v>
      </c>
      <c r="EG56">
        <v>47.020600000000002</v>
      </c>
      <c r="EH56">
        <v>4.5030799999999997</v>
      </c>
      <c r="EI56">
        <v>62.348100000000002</v>
      </c>
      <c r="EJ56">
        <v>6.8338200000000002</v>
      </c>
      <c r="EK56">
        <v>46.877899999999997</v>
      </c>
      <c r="EL56">
        <v>46.877899999999997</v>
      </c>
      <c r="EM56">
        <v>7.25488</v>
      </c>
      <c r="EN56">
        <v>18.7926</v>
      </c>
      <c r="EO56">
        <v>0.374892</v>
      </c>
    </row>
    <row r="57" spans="1:145" x14ac:dyDescent="0.2">
      <c r="A57" s="86"/>
      <c r="B57" s="442"/>
      <c r="C57" s="510"/>
      <c r="E57" s="394"/>
      <c r="F57" s="8"/>
      <c r="K57" s="1"/>
      <c r="L57" s="1"/>
      <c r="AD57" s="112"/>
      <c r="AE57" s="112">
        <v>672.81500000000005</v>
      </c>
      <c r="AF57" s="112">
        <v>672.73900000000003</v>
      </c>
      <c r="AG57" s="112">
        <v>823.72900000000004</v>
      </c>
      <c r="AH57" s="112">
        <v>2.59799E-2</v>
      </c>
      <c r="AI57" s="112">
        <v>3.3601400000000002E-3</v>
      </c>
      <c r="AJ57" s="112">
        <v>102</v>
      </c>
      <c r="AK57" s="112">
        <v>0.14319599999999999</v>
      </c>
      <c r="AL57" s="112">
        <v>56.974899999999998</v>
      </c>
      <c r="AM57" s="112">
        <v>1.81856</v>
      </c>
      <c r="AN57" s="112">
        <v>1.81856</v>
      </c>
      <c r="AO57" s="112">
        <v>6.1106299999999997E-3</v>
      </c>
      <c r="AP57" s="112">
        <v>1.8124499999999999</v>
      </c>
      <c r="AQ57" s="112"/>
      <c r="AR57" s="112">
        <v>8.0707299999999993</v>
      </c>
      <c r="AS57" s="112">
        <v>207.03700000000001</v>
      </c>
      <c r="AT57" s="112">
        <v>3.5143300000000002</v>
      </c>
      <c r="AU57" s="112">
        <v>47.101500000000001</v>
      </c>
      <c r="AV57" s="112">
        <v>3.5366</v>
      </c>
      <c r="AW57" s="112">
        <v>62.421900000000001</v>
      </c>
      <c r="AX57" s="112">
        <v>3.73447</v>
      </c>
      <c r="AY57" s="112">
        <v>51.9116</v>
      </c>
      <c r="AZ57" s="112">
        <v>51.9116</v>
      </c>
      <c r="BA57" s="112">
        <v>8.5790600000000001</v>
      </c>
      <c r="BB57" s="112">
        <v>18.796500000000002</v>
      </c>
      <c r="BC57" s="112">
        <v>3.3946900000000001E-3</v>
      </c>
      <c r="BD57" s="112"/>
      <c r="BE57" s="112"/>
      <c r="BF57" s="112"/>
      <c r="BG57" s="112"/>
      <c r="BH57" s="112"/>
      <c r="BI57" s="112">
        <v>747.57299999999998</v>
      </c>
      <c r="BJ57" s="112">
        <v>747.48699999999997</v>
      </c>
      <c r="BK57" s="112">
        <v>927.096</v>
      </c>
      <c r="BL57" s="112">
        <v>2.9379300000000001E-2</v>
      </c>
      <c r="BM57" s="112">
        <v>3.8006300000000002E-3</v>
      </c>
      <c r="BN57" s="112">
        <v>102</v>
      </c>
      <c r="BO57" s="112">
        <v>0.18107300000000001</v>
      </c>
      <c r="BP57" s="112">
        <v>71.599599999999995</v>
      </c>
      <c r="BQ57" s="112">
        <v>1.83578</v>
      </c>
      <c r="BR57" s="112">
        <v>1.83578</v>
      </c>
      <c r="BS57" s="112">
        <v>6.9771199999999998E-3</v>
      </c>
      <c r="BT57" s="112">
        <v>1.8288</v>
      </c>
      <c r="BU57" s="112"/>
      <c r="BV57" s="112">
        <v>7.4834500000000004</v>
      </c>
      <c r="BW57" s="112">
        <v>194.69200000000001</v>
      </c>
      <c r="BX57" s="112">
        <v>3.7724099999999998</v>
      </c>
      <c r="BY57" s="112">
        <v>47.079000000000001</v>
      </c>
      <c r="BZ57" s="112">
        <v>4.0007900000000003</v>
      </c>
      <c r="CA57">
        <v>62.406999999999996</v>
      </c>
      <c r="CB57">
        <v>4.2227699999999997</v>
      </c>
      <c r="CC57">
        <v>49.513500000000001</v>
      </c>
      <c r="CD57">
        <v>49.513500000000001</v>
      </c>
      <c r="CE57">
        <v>7.9348700000000001</v>
      </c>
      <c r="CF57">
        <v>18.8002</v>
      </c>
      <c r="CG57">
        <v>3.8238999999999999E-3</v>
      </c>
      <c r="CM57">
        <v>822.33</v>
      </c>
      <c r="CN57">
        <v>822.23599999999999</v>
      </c>
      <c r="CO57">
        <v>968.5</v>
      </c>
      <c r="CP57">
        <v>3.01091E-2</v>
      </c>
      <c r="CQ57">
        <v>7.77043E-3</v>
      </c>
      <c r="CR57">
        <v>102</v>
      </c>
      <c r="CS57">
        <v>1.81138</v>
      </c>
      <c r="CT57">
        <v>79.078199999999995</v>
      </c>
      <c r="CU57">
        <v>6.0046200000000001</v>
      </c>
      <c r="CV57">
        <v>6.0046200000000001</v>
      </c>
      <c r="CW57">
        <v>4.6658499999999999E-2</v>
      </c>
      <c r="CX57">
        <v>5.9579599999999999</v>
      </c>
      <c r="CY57">
        <v>0</v>
      </c>
      <c r="CZ57">
        <v>7.7173600000000002</v>
      </c>
      <c r="DA57">
        <v>194.136</v>
      </c>
      <c r="DB57">
        <v>12.375</v>
      </c>
      <c r="DC57">
        <v>46.989899999999999</v>
      </c>
      <c r="DD57">
        <v>3.7927499999999998</v>
      </c>
      <c r="DE57">
        <v>62.302500000000002</v>
      </c>
      <c r="DF57">
        <v>4.2473900000000002</v>
      </c>
      <c r="DG57">
        <v>50.214399999999998</v>
      </c>
      <c r="DH57">
        <v>50.214399999999998</v>
      </c>
      <c r="DI57">
        <v>8.1450899999999997</v>
      </c>
      <c r="DJ57">
        <v>18.7761</v>
      </c>
      <c r="DK57">
        <v>7.7667500000000002E-3</v>
      </c>
      <c r="DQ57">
        <v>971.84500000000003</v>
      </c>
      <c r="DR57">
        <v>971.73400000000004</v>
      </c>
      <c r="DS57">
        <v>1101.27</v>
      </c>
      <c r="DT57">
        <v>0.215361</v>
      </c>
      <c r="DU57">
        <v>0.45716699999999999</v>
      </c>
      <c r="DV57">
        <v>105</v>
      </c>
      <c r="DW57">
        <v>0.40300399999999997</v>
      </c>
      <c r="DX57">
        <v>574.21299999999997</v>
      </c>
      <c r="DY57">
        <v>0.120536</v>
      </c>
      <c r="DZ57">
        <v>2.3036599999999998</v>
      </c>
      <c r="EA57">
        <v>5.5105099999999997E-2</v>
      </c>
      <c r="EB57">
        <v>1.2504999999999999</v>
      </c>
      <c r="EC57">
        <v>0</v>
      </c>
      <c r="ED57">
        <v>6.8301699999999999</v>
      </c>
      <c r="EE57">
        <v>150.65899999999999</v>
      </c>
      <c r="EF57">
        <v>3.49187</v>
      </c>
      <c r="EG57">
        <v>46.997999999999998</v>
      </c>
      <c r="EH57">
        <v>4.7218499999999999</v>
      </c>
      <c r="EI57">
        <v>62.324199999999998</v>
      </c>
      <c r="EJ57">
        <v>7.1530500000000004</v>
      </c>
      <c r="EK57">
        <v>45.767800000000001</v>
      </c>
      <c r="EL57">
        <v>45.767800000000001</v>
      </c>
      <c r="EM57">
        <v>6.9743000000000004</v>
      </c>
      <c r="EN57">
        <v>18.788799999999998</v>
      </c>
      <c r="EO57">
        <v>0.38120500000000002</v>
      </c>
    </row>
    <row r="58" spans="1:145" x14ac:dyDescent="0.2">
      <c r="A58" s="86"/>
      <c r="B58" s="442"/>
      <c r="C58" s="510"/>
      <c r="E58" s="394"/>
      <c r="F58" s="8"/>
      <c r="K58" s="1"/>
      <c r="L58" s="1"/>
      <c r="AD58" s="112"/>
      <c r="AE58" s="112">
        <v>747.57299999999998</v>
      </c>
      <c r="AF58" s="112">
        <v>747.48699999999997</v>
      </c>
      <c r="AG58" s="112">
        <v>830.10699999999997</v>
      </c>
      <c r="AH58" s="112">
        <v>2.6005799999999999E-2</v>
      </c>
      <c r="AI58" s="112">
        <v>3.3650300000000002E-3</v>
      </c>
      <c r="AJ58" s="112">
        <v>102</v>
      </c>
      <c r="AK58" s="112">
        <v>0.15820200000000001</v>
      </c>
      <c r="AL58" s="112">
        <v>63.337499999999999</v>
      </c>
      <c r="AM58" s="112">
        <v>1.81674</v>
      </c>
      <c r="AN58" s="112">
        <v>1.81674</v>
      </c>
      <c r="AO58" s="112">
        <v>6.1133999999999997E-3</v>
      </c>
      <c r="AP58" s="112">
        <v>1.81063</v>
      </c>
      <c r="AQ58" s="112"/>
      <c r="AR58" s="112">
        <v>8.0611999999999995</v>
      </c>
      <c r="AS58" s="112">
        <v>206.93299999999999</v>
      </c>
      <c r="AT58" s="112">
        <v>3.5125700000000002</v>
      </c>
      <c r="AU58" s="112">
        <v>47.075099999999999</v>
      </c>
      <c r="AV58" s="112">
        <v>3.5401600000000002</v>
      </c>
      <c r="AW58" s="112">
        <v>62.393099999999997</v>
      </c>
      <c r="AX58" s="112">
        <v>3.7382</v>
      </c>
      <c r="AY58" s="112">
        <v>51.796999999999997</v>
      </c>
      <c r="AZ58" s="112">
        <v>51.796999999999997</v>
      </c>
      <c r="BA58" s="112">
        <v>8.5537799999999997</v>
      </c>
      <c r="BB58" s="112">
        <v>18.7912</v>
      </c>
      <c r="BC58" s="112">
        <v>3.3917399999999999E-3</v>
      </c>
      <c r="BD58" s="112"/>
      <c r="BE58" s="112"/>
      <c r="BF58" s="112"/>
      <c r="BG58" s="112"/>
      <c r="BH58" s="112"/>
      <c r="BI58" s="112">
        <v>822.33</v>
      </c>
      <c r="BJ58" s="112">
        <v>822.23599999999999</v>
      </c>
      <c r="BK58" s="112">
        <v>934.30799999999999</v>
      </c>
      <c r="BL58" s="112">
        <v>2.9404400000000001E-2</v>
      </c>
      <c r="BM58" s="112">
        <v>3.80569E-3</v>
      </c>
      <c r="BN58" s="112">
        <v>102</v>
      </c>
      <c r="BO58" s="112">
        <v>0.19813600000000001</v>
      </c>
      <c r="BP58" s="112">
        <v>78.793599999999998</v>
      </c>
      <c r="BQ58" s="112">
        <v>1.8342000000000001</v>
      </c>
      <c r="BR58" s="112">
        <v>1.8342000000000001</v>
      </c>
      <c r="BS58" s="112">
        <v>6.9804000000000003E-3</v>
      </c>
      <c r="BT58" s="112">
        <v>1.8272200000000001</v>
      </c>
      <c r="BU58" s="112"/>
      <c r="BV58" s="112">
        <v>7.4749400000000001</v>
      </c>
      <c r="BW58" s="112">
        <v>194.60900000000001</v>
      </c>
      <c r="BX58" s="112">
        <v>3.7707899999999999</v>
      </c>
      <c r="BY58" s="112">
        <v>47.053100000000001</v>
      </c>
      <c r="BZ58" s="112">
        <v>4.0042400000000002</v>
      </c>
      <c r="CA58">
        <v>62.377099999999999</v>
      </c>
      <c r="CB58">
        <v>4.2263900000000003</v>
      </c>
      <c r="CC58">
        <v>49.399900000000002</v>
      </c>
      <c r="CD58">
        <v>49.399900000000002</v>
      </c>
      <c r="CE58">
        <v>7.9114300000000002</v>
      </c>
      <c r="CF58">
        <v>18.793600000000001</v>
      </c>
      <c r="CG58">
        <v>3.8222500000000001E-3</v>
      </c>
      <c r="CM58">
        <v>897.08699999999999</v>
      </c>
      <c r="CN58">
        <v>896.98500000000001</v>
      </c>
      <c r="CO58">
        <v>975.89300000000003</v>
      </c>
      <c r="CP58">
        <v>3.0143300000000001E-2</v>
      </c>
      <c r="CQ58">
        <v>7.7836199999999998E-3</v>
      </c>
      <c r="CR58">
        <v>102</v>
      </c>
      <c r="CS58">
        <v>1.9658599999999999</v>
      </c>
      <c r="CT58">
        <v>86.315799999999996</v>
      </c>
      <c r="CU58">
        <v>5.99756</v>
      </c>
      <c r="CV58">
        <v>5.99756</v>
      </c>
      <c r="CW58">
        <v>4.6682700000000001E-2</v>
      </c>
      <c r="CX58">
        <v>5.9508700000000001</v>
      </c>
      <c r="CY58">
        <v>0</v>
      </c>
      <c r="CZ58">
        <v>7.7066400000000002</v>
      </c>
      <c r="DA58">
        <v>194.02199999999999</v>
      </c>
      <c r="DB58">
        <v>12.367800000000001</v>
      </c>
      <c r="DC58">
        <v>46.963799999999999</v>
      </c>
      <c r="DD58">
        <v>3.7973300000000001</v>
      </c>
      <c r="DE58">
        <v>62.269799999999996</v>
      </c>
      <c r="DF58">
        <v>4.2524499999999996</v>
      </c>
      <c r="DG58">
        <v>50.085000000000001</v>
      </c>
      <c r="DH58">
        <v>50.085000000000001</v>
      </c>
      <c r="DI58">
        <v>8.1196099999999998</v>
      </c>
      <c r="DJ58">
        <v>18.767299999999999</v>
      </c>
      <c r="DK58">
        <v>7.7681499999999997E-3</v>
      </c>
      <c r="DQ58">
        <v>1046.5999999999999</v>
      </c>
      <c r="DR58">
        <v>1046.48</v>
      </c>
      <c r="DS58">
        <v>1155.56</v>
      </c>
      <c r="DT58">
        <v>0.22134100000000001</v>
      </c>
      <c r="DU58">
        <v>0.47026200000000001</v>
      </c>
      <c r="DV58">
        <v>105</v>
      </c>
      <c r="DW58">
        <v>0.42441000000000001</v>
      </c>
      <c r="DX58">
        <v>628.47299999999996</v>
      </c>
      <c r="DY58">
        <v>0.117225</v>
      </c>
      <c r="DZ58">
        <v>2.25251</v>
      </c>
      <c r="EA58">
        <v>5.5126399999999999E-2</v>
      </c>
      <c r="EB58">
        <v>1.1932400000000001</v>
      </c>
      <c r="EC58">
        <v>0</v>
      </c>
      <c r="ED58">
        <v>6.6244500000000004</v>
      </c>
      <c r="EE58">
        <v>147.31899999999999</v>
      </c>
      <c r="EF58">
        <v>3.4138799999999998</v>
      </c>
      <c r="EG58">
        <v>46.975700000000003</v>
      </c>
      <c r="EH58">
        <v>4.9457399999999998</v>
      </c>
      <c r="EI58">
        <v>62.3</v>
      </c>
      <c r="EJ58">
        <v>7.47844</v>
      </c>
      <c r="EK58">
        <v>44.6524</v>
      </c>
      <c r="EL58">
        <v>44.6524</v>
      </c>
      <c r="EM58">
        <v>6.6959400000000002</v>
      </c>
      <c r="EN58">
        <v>18.784400000000002</v>
      </c>
      <c r="EO58">
        <v>0.38755099999999998</v>
      </c>
    </row>
    <row r="59" spans="1:145" x14ac:dyDescent="0.2">
      <c r="A59" s="86"/>
      <c r="B59" s="442"/>
      <c r="C59" s="510"/>
      <c r="E59" s="394"/>
      <c r="F59" s="8"/>
      <c r="K59" s="1"/>
      <c r="L59" s="1"/>
      <c r="AD59" s="112"/>
      <c r="AE59" s="112">
        <v>822.33</v>
      </c>
      <c r="AF59" s="112">
        <v>822.23599999999999</v>
      </c>
      <c r="AG59" s="112">
        <v>836.49199999999996</v>
      </c>
      <c r="AH59" s="112">
        <v>2.6031700000000001E-2</v>
      </c>
      <c r="AI59" s="112">
        <v>3.3699799999999999E-3</v>
      </c>
      <c r="AJ59" s="112">
        <v>102</v>
      </c>
      <c r="AK59" s="112">
        <v>0.173203</v>
      </c>
      <c r="AL59" s="112">
        <v>69.706500000000005</v>
      </c>
      <c r="AM59" s="112">
        <v>1.8149299999999999</v>
      </c>
      <c r="AN59" s="112">
        <v>1.8149299999999999</v>
      </c>
      <c r="AO59" s="112">
        <v>6.11628E-3</v>
      </c>
      <c r="AP59" s="112">
        <v>1.80881</v>
      </c>
      <c r="AQ59" s="112"/>
      <c r="AR59" s="112">
        <v>8.0515100000000004</v>
      </c>
      <c r="AS59" s="112">
        <v>206.83</v>
      </c>
      <c r="AT59" s="112">
        <v>3.5108100000000002</v>
      </c>
      <c r="AU59" s="112">
        <v>47.048499999999997</v>
      </c>
      <c r="AV59" s="112">
        <v>3.5437099999999999</v>
      </c>
      <c r="AW59" s="112">
        <v>62.363199999999999</v>
      </c>
      <c r="AX59" s="112">
        <v>3.74193</v>
      </c>
      <c r="AY59" s="112">
        <v>51.679200000000002</v>
      </c>
      <c r="AZ59" s="112">
        <v>51.679200000000002</v>
      </c>
      <c r="BA59" s="112">
        <v>8.5283800000000003</v>
      </c>
      <c r="BB59" s="112">
        <v>18.7852</v>
      </c>
      <c r="BC59" s="112">
        <v>3.3897699999999998E-3</v>
      </c>
      <c r="BD59" s="112"/>
      <c r="BE59" s="112"/>
      <c r="BF59" s="112"/>
      <c r="BG59" s="112"/>
      <c r="BH59" s="112"/>
      <c r="BI59" s="112">
        <v>897.08699999999999</v>
      </c>
      <c r="BJ59" s="112">
        <v>896.98500000000001</v>
      </c>
      <c r="BK59" s="112">
        <v>941.52599999999995</v>
      </c>
      <c r="BL59" s="112">
        <v>2.94296E-2</v>
      </c>
      <c r="BM59" s="112">
        <v>3.8108199999999999E-3</v>
      </c>
      <c r="BN59" s="112">
        <v>102</v>
      </c>
      <c r="BO59" s="112">
        <v>0.215195</v>
      </c>
      <c r="BP59" s="112">
        <v>85.993799999999993</v>
      </c>
      <c r="BQ59" s="112">
        <v>1.83263</v>
      </c>
      <c r="BR59" s="112">
        <v>1.83263</v>
      </c>
      <c r="BS59" s="112">
        <v>6.98381E-3</v>
      </c>
      <c r="BT59" s="112">
        <v>1.8256399999999999</v>
      </c>
      <c r="BU59" s="112"/>
      <c r="BV59" s="112">
        <v>7.4662699999999997</v>
      </c>
      <c r="BW59" s="112">
        <v>194.52500000000001</v>
      </c>
      <c r="BX59" s="112">
        <v>3.7691699999999999</v>
      </c>
      <c r="BY59" s="112">
        <v>47.026899999999998</v>
      </c>
      <c r="BZ59" s="112">
        <v>4.0077199999999999</v>
      </c>
      <c r="CA59">
        <v>62.346200000000003</v>
      </c>
      <c r="CB59">
        <v>4.2300300000000002</v>
      </c>
      <c r="CC59">
        <v>49.283099999999997</v>
      </c>
      <c r="CD59">
        <v>49.283099999999997</v>
      </c>
      <c r="CE59">
        <v>7.8878500000000003</v>
      </c>
      <c r="CF59">
        <v>18.7864</v>
      </c>
      <c r="CG59">
        <v>3.8213000000000001E-3</v>
      </c>
      <c r="CM59">
        <v>971.84500000000003</v>
      </c>
      <c r="CN59">
        <v>971.73400000000004</v>
      </c>
      <c r="CO59">
        <v>983.29499999999996</v>
      </c>
      <c r="CP59">
        <v>3.01786E-2</v>
      </c>
      <c r="CQ59">
        <v>7.7972199999999997E-3</v>
      </c>
      <c r="CR59">
        <v>102</v>
      </c>
      <c r="CS59">
        <v>2.1202000000000001</v>
      </c>
      <c r="CT59">
        <v>93.562200000000004</v>
      </c>
      <c r="CU59">
        <v>5.9902699999999998</v>
      </c>
      <c r="CV59">
        <v>5.9902699999999998</v>
      </c>
      <c r="CW59">
        <v>4.6707400000000003E-2</v>
      </c>
      <c r="CX59">
        <v>5.9435599999999997</v>
      </c>
      <c r="CY59">
        <v>0</v>
      </c>
      <c r="CZ59">
        <v>7.69564</v>
      </c>
      <c r="DA59">
        <v>193.904</v>
      </c>
      <c r="DB59">
        <v>12.3605</v>
      </c>
      <c r="DC59">
        <v>46.937800000000003</v>
      </c>
      <c r="DD59">
        <v>3.8020900000000002</v>
      </c>
      <c r="DE59">
        <v>62.236499999999999</v>
      </c>
      <c r="DF59">
        <v>4.2577100000000003</v>
      </c>
      <c r="DG59">
        <v>49.952800000000003</v>
      </c>
      <c r="DH59">
        <v>49.952800000000003</v>
      </c>
      <c r="DI59">
        <v>8.0939399999999999</v>
      </c>
      <c r="DJ59">
        <v>18.757999999999999</v>
      </c>
      <c r="DK59">
        <v>7.7703800000000003E-3</v>
      </c>
      <c r="DQ59">
        <v>1121.3599999999999</v>
      </c>
      <c r="DR59">
        <v>1121.23</v>
      </c>
      <c r="DS59">
        <v>1211.32</v>
      </c>
      <c r="DT59">
        <v>0.22733999999999999</v>
      </c>
      <c r="DU59">
        <v>0.48346899999999998</v>
      </c>
      <c r="DV59">
        <v>105</v>
      </c>
      <c r="DW59">
        <v>0.44495000000000001</v>
      </c>
      <c r="DX59">
        <v>684.20399999999995</v>
      </c>
      <c r="DY59">
        <v>0.114067</v>
      </c>
      <c r="DZ59">
        <v>2.2066699999999999</v>
      </c>
      <c r="EA59">
        <v>5.5147799999999997E-2</v>
      </c>
      <c r="EB59">
        <v>1.1398200000000001</v>
      </c>
      <c r="EC59">
        <v>0</v>
      </c>
      <c r="ED59">
        <v>6.4270199999999997</v>
      </c>
      <c r="EE59">
        <v>144.13399999999999</v>
      </c>
      <c r="EF59">
        <v>3.3395299999999999</v>
      </c>
      <c r="EG59">
        <v>46.954000000000001</v>
      </c>
      <c r="EH59">
        <v>5.1749599999999996</v>
      </c>
      <c r="EI59">
        <v>62.2759</v>
      </c>
      <c r="EJ59">
        <v>7.8101799999999999</v>
      </c>
      <c r="EK59">
        <v>43.532899999999998</v>
      </c>
      <c r="EL59">
        <v>43.532899999999998</v>
      </c>
      <c r="EM59">
        <v>6.4200999999999997</v>
      </c>
      <c r="EN59">
        <v>18.779699999999998</v>
      </c>
      <c r="EO59">
        <v>0.393932</v>
      </c>
    </row>
    <row r="60" spans="1:145" x14ac:dyDescent="0.2">
      <c r="A60" s="86"/>
      <c r="B60" s="442"/>
      <c r="C60" s="510"/>
      <c r="E60" s="394"/>
      <c r="F60" s="8"/>
      <c r="K60" s="1"/>
      <c r="L60" s="1"/>
      <c r="AD60" s="112"/>
      <c r="AE60" s="112">
        <v>897.08699999999999</v>
      </c>
      <c r="AF60" s="112">
        <v>896.98500000000001</v>
      </c>
      <c r="AG60" s="112">
        <v>842.88300000000004</v>
      </c>
      <c r="AH60" s="112">
        <v>2.60576E-2</v>
      </c>
      <c r="AI60" s="112">
        <v>3.37499E-3</v>
      </c>
      <c r="AJ60" s="112">
        <v>102</v>
      </c>
      <c r="AK60" s="112">
        <v>0.188197</v>
      </c>
      <c r="AL60" s="112">
        <v>76.081800000000001</v>
      </c>
      <c r="AM60" s="112">
        <v>1.8131200000000001</v>
      </c>
      <c r="AN60" s="112">
        <v>1.8131200000000001</v>
      </c>
      <c r="AO60" s="112">
        <v>6.1192599999999996E-3</v>
      </c>
      <c r="AP60" s="112">
        <v>1.8069999999999999</v>
      </c>
      <c r="AQ60" s="112"/>
      <c r="AR60" s="112">
        <v>8.0416699999999999</v>
      </c>
      <c r="AS60" s="112">
        <v>206.727</v>
      </c>
      <c r="AT60" s="112">
        <v>3.5090599999999998</v>
      </c>
      <c r="AU60" s="112">
        <v>47.021599999999999</v>
      </c>
      <c r="AV60" s="112">
        <v>3.5472600000000001</v>
      </c>
      <c r="AW60" s="112">
        <v>62.332299999999996</v>
      </c>
      <c r="AX60" s="112">
        <v>3.7456499999999999</v>
      </c>
      <c r="AY60" s="112">
        <v>51.558100000000003</v>
      </c>
      <c r="AZ60" s="112">
        <v>51.558100000000003</v>
      </c>
      <c r="BA60" s="112">
        <v>8.5028400000000008</v>
      </c>
      <c r="BB60" s="112">
        <v>18.778400000000001</v>
      </c>
      <c r="BC60" s="112">
        <v>3.3885400000000002E-3</v>
      </c>
      <c r="BD60" s="112"/>
      <c r="BE60" s="112"/>
      <c r="BF60" s="112"/>
      <c r="BG60" s="112"/>
      <c r="BH60" s="112"/>
      <c r="BI60" s="112">
        <v>971.84500000000003</v>
      </c>
      <c r="BJ60" s="112">
        <v>971.73400000000004</v>
      </c>
      <c r="BK60" s="112">
        <v>948.75</v>
      </c>
      <c r="BL60" s="112">
        <v>2.9455200000000001E-2</v>
      </c>
      <c r="BM60" s="112">
        <v>3.81606E-3</v>
      </c>
      <c r="BN60" s="112">
        <v>102</v>
      </c>
      <c r="BO60" s="112">
        <v>0.23224800000000001</v>
      </c>
      <c r="BP60" s="112">
        <v>93.200299999999999</v>
      </c>
      <c r="BQ60" s="112">
        <v>1.8310299999999999</v>
      </c>
      <c r="BR60" s="112">
        <v>1.8310299999999999</v>
      </c>
      <c r="BS60" s="112">
        <v>6.9873299999999999E-3</v>
      </c>
      <c r="BT60" s="112">
        <v>1.8240400000000001</v>
      </c>
      <c r="BU60" s="112"/>
      <c r="BV60" s="112">
        <v>7.4573999999999998</v>
      </c>
      <c r="BW60" s="112">
        <v>194.441</v>
      </c>
      <c r="BX60" s="112">
        <v>3.7675399999999999</v>
      </c>
      <c r="BY60" s="112">
        <v>47.000599999999999</v>
      </c>
      <c r="BZ60" s="112">
        <v>4.01126</v>
      </c>
      <c r="CA60">
        <v>62.314300000000003</v>
      </c>
      <c r="CB60">
        <v>4.2337499999999997</v>
      </c>
      <c r="CC60">
        <v>49.1631</v>
      </c>
      <c r="CD60">
        <v>49.1631</v>
      </c>
      <c r="CE60">
        <v>7.8641199999999998</v>
      </c>
      <c r="CF60">
        <v>18.778500000000001</v>
      </c>
      <c r="CG60">
        <v>3.8208999999999999E-3</v>
      </c>
      <c r="CM60">
        <v>1046.5999999999999</v>
      </c>
      <c r="CN60">
        <v>1046.48</v>
      </c>
      <c r="CO60">
        <v>990.70600000000002</v>
      </c>
      <c r="CP60">
        <v>3.0215599999999999E-2</v>
      </c>
      <c r="CQ60">
        <v>7.8113499999999999E-3</v>
      </c>
      <c r="CR60">
        <v>102</v>
      </c>
      <c r="CS60">
        <v>2.2744</v>
      </c>
      <c r="CT60">
        <v>100.818</v>
      </c>
      <c r="CU60">
        <v>5.9826699999999997</v>
      </c>
      <c r="CV60">
        <v>5.9826699999999997</v>
      </c>
      <c r="CW60">
        <v>4.6732700000000002E-2</v>
      </c>
      <c r="CX60">
        <v>5.9359299999999999</v>
      </c>
      <c r="CY60">
        <v>0</v>
      </c>
      <c r="CZ60">
        <v>7.6842899999999998</v>
      </c>
      <c r="DA60">
        <v>193.78100000000001</v>
      </c>
      <c r="DB60">
        <v>12.3528</v>
      </c>
      <c r="DC60">
        <v>46.911799999999999</v>
      </c>
      <c r="DD60">
        <v>3.8070900000000001</v>
      </c>
      <c r="DE60">
        <v>62.202599999999997</v>
      </c>
      <c r="DF60">
        <v>4.2632300000000001</v>
      </c>
      <c r="DG60">
        <v>49.817799999999998</v>
      </c>
      <c r="DH60">
        <v>49.817799999999998</v>
      </c>
      <c r="DI60">
        <v>8.0680599999999991</v>
      </c>
      <c r="DJ60">
        <v>18.748100000000001</v>
      </c>
      <c r="DK60">
        <v>7.7733000000000003E-3</v>
      </c>
      <c r="DQ60">
        <v>1125.6300000000001</v>
      </c>
      <c r="DR60">
        <v>1125.5</v>
      </c>
      <c r="DS60">
        <v>1214.67</v>
      </c>
      <c r="DT60">
        <v>0.23955099999999999</v>
      </c>
      <c r="DU60">
        <v>0.51365300000000003</v>
      </c>
      <c r="DV60">
        <v>105</v>
      </c>
      <c r="DW60">
        <v>0.44609399999999999</v>
      </c>
      <c r="DX60">
        <v>687.55499999999995</v>
      </c>
      <c r="DY60">
        <v>0.107386</v>
      </c>
      <c r="DZ60">
        <v>2.2888000000000002</v>
      </c>
      <c r="EA60">
        <v>5.5159199999999999E-2</v>
      </c>
      <c r="EB60">
        <v>1.1131500000000001</v>
      </c>
      <c r="EC60">
        <v>0</v>
      </c>
      <c r="ED60">
        <v>6.3263600000000002</v>
      </c>
      <c r="EE60">
        <v>142.517</v>
      </c>
      <c r="EF60">
        <v>3.28043</v>
      </c>
      <c r="EG60">
        <v>46.952800000000003</v>
      </c>
      <c r="EH60">
        <v>5.1888300000000003</v>
      </c>
      <c r="EI60">
        <v>62.2746</v>
      </c>
      <c r="EJ60">
        <v>7.8840000000000003</v>
      </c>
      <c r="EK60">
        <v>43.466200000000001</v>
      </c>
      <c r="EL60">
        <v>43.466200000000001</v>
      </c>
      <c r="EM60">
        <v>6.4037499999999996</v>
      </c>
      <c r="EN60">
        <v>18.779399999999999</v>
      </c>
      <c r="EO60">
        <v>0.39438499999999999</v>
      </c>
    </row>
    <row r="61" spans="1:145" x14ac:dyDescent="0.2">
      <c r="A61" s="86"/>
      <c r="B61" s="442"/>
      <c r="C61" s="510"/>
      <c r="E61" s="394"/>
      <c r="F61" s="8"/>
      <c r="K61" s="1"/>
      <c r="L61" s="1"/>
      <c r="AD61" s="112"/>
      <c r="AE61" s="112">
        <v>971.84500000000003</v>
      </c>
      <c r="AF61" s="112">
        <v>971.73400000000004</v>
      </c>
      <c r="AG61" s="112">
        <v>849.28099999999995</v>
      </c>
      <c r="AH61" s="112">
        <v>2.6083599999999998E-2</v>
      </c>
      <c r="AI61" s="112">
        <v>3.3800700000000002E-3</v>
      </c>
      <c r="AJ61" s="112">
        <v>102</v>
      </c>
      <c r="AK61" s="112">
        <v>0.20318600000000001</v>
      </c>
      <c r="AL61" s="112">
        <v>82.463499999999996</v>
      </c>
      <c r="AM61" s="112">
        <v>1.81131</v>
      </c>
      <c r="AN61" s="112">
        <v>1.81131</v>
      </c>
      <c r="AO61" s="112">
        <v>6.1223400000000004E-3</v>
      </c>
      <c r="AP61" s="112">
        <v>1.8051900000000001</v>
      </c>
      <c r="AQ61" s="112"/>
      <c r="AR61" s="112">
        <v>8.0316500000000008</v>
      </c>
      <c r="AS61" s="112">
        <v>206.624</v>
      </c>
      <c r="AT61" s="112">
        <v>3.5073099999999999</v>
      </c>
      <c r="AU61" s="112">
        <v>46.994599999999998</v>
      </c>
      <c r="AV61" s="112">
        <v>3.55084</v>
      </c>
      <c r="AW61" s="112">
        <v>62.300400000000003</v>
      </c>
      <c r="AX61" s="112">
        <v>3.7494200000000002</v>
      </c>
      <c r="AY61" s="112">
        <v>51.433900000000001</v>
      </c>
      <c r="AZ61" s="112">
        <v>51.433900000000001</v>
      </c>
      <c r="BA61" s="112">
        <v>8.4771800000000006</v>
      </c>
      <c r="BB61" s="112">
        <v>18.771000000000001</v>
      </c>
      <c r="BC61" s="112">
        <v>3.3878900000000002E-3</v>
      </c>
      <c r="BD61" s="112"/>
      <c r="BE61" s="112"/>
      <c r="BF61" s="112"/>
      <c r="BG61" s="112"/>
      <c r="BH61" s="112"/>
      <c r="BI61" s="112">
        <v>1046.5999999999999</v>
      </c>
      <c r="BJ61" s="112">
        <v>1046.48</v>
      </c>
      <c r="BK61" s="112">
        <v>955.98099999999999</v>
      </c>
      <c r="BL61" s="112">
        <v>2.94817E-2</v>
      </c>
      <c r="BM61" s="112">
        <v>3.8214799999999999E-3</v>
      </c>
      <c r="BN61" s="112">
        <v>102</v>
      </c>
      <c r="BO61" s="112">
        <v>0.24929499999999999</v>
      </c>
      <c r="BP61" s="112">
        <v>100.413</v>
      </c>
      <c r="BQ61" s="112">
        <v>1.82938</v>
      </c>
      <c r="BR61" s="112">
        <v>1.82938</v>
      </c>
      <c r="BS61" s="112">
        <v>6.9909400000000002E-3</v>
      </c>
      <c r="BT61" s="112">
        <v>1.82239</v>
      </c>
      <c r="BU61" s="112"/>
      <c r="BV61" s="112">
        <v>7.4482699999999999</v>
      </c>
      <c r="BW61" s="112">
        <v>194.35300000000001</v>
      </c>
      <c r="BX61" s="112">
        <v>3.7658900000000002</v>
      </c>
      <c r="BY61" s="112">
        <v>46.974200000000003</v>
      </c>
      <c r="BZ61" s="112">
        <v>4.0149999999999997</v>
      </c>
      <c r="CA61">
        <v>62.281700000000001</v>
      </c>
      <c r="CB61">
        <v>4.23766</v>
      </c>
      <c r="CC61">
        <v>49.039900000000003</v>
      </c>
      <c r="CD61">
        <v>49.039900000000003</v>
      </c>
      <c r="CE61">
        <v>7.8401399999999999</v>
      </c>
      <c r="CF61">
        <v>18.7699</v>
      </c>
      <c r="CG61">
        <v>3.8209400000000001E-3</v>
      </c>
      <c r="CM61">
        <v>1121.3599999999999</v>
      </c>
      <c r="CN61">
        <v>1121.23</v>
      </c>
      <c r="CO61">
        <v>998.12699999999995</v>
      </c>
      <c r="CP61">
        <v>3.02546E-2</v>
      </c>
      <c r="CQ61">
        <v>7.8261300000000006E-3</v>
      </c>
      <c r="CR61">
        <v>102</v>
      </c>
      <c r="CS61">
        <v>2.4284400000000002</v>
      </c>
      <c r="CT61">
        <v>108.083</v>
      </c>
      <c r="CU61">
        <v>5.97464</v>
      </c>
      <c r="CV61">
        <v>5.97464</v>
      </c>
      <c r="CW61">
        <v>4.6758300000000003E-2</v>
      </c>
      <c r="CX61">
        <v>5.92788</v>
      </c>
      <c r="CY61">
        <v>0</v>
      </c>
      <c r="CZ61">
        <v>7.6725300000000001</v>
      </c>
      <c r="DA61">
        <v>193.65100000000001</v>
      </c>
      <c r="DB61">
        <v>12.3447</v>
      </c>
      <c r="DC61">
        <v>46.886000000000003</v>
      </c>
      <c r="DD61">
        <v>3.8124099999999999</v>
      </c>
      <c r="DE61">
        <v>62.168300000000002</v>
      </c>
      <c r="DF61">
        <v>4.2691100000000004</v>
      </c>
      <c r="DG61">
        <v>49.680100000000003</v>
      </c>
      <c r="DH61">
        <v>49.680100000000003</v>
      </c>
      <c r="DI61">
        <v>8.0419400000000003</v>
      </c>
      <c r="DJ61">
        <v>18.7377</v>
      </c>
      <c r="DK61">
        <v>7.7768100000000003E-3</v>
      </c>
      <c r="DQ61">
        <v>1129.8900000000001</v>
      </c>
      <c r="DR61">
        <v>1129.76</v>
      </c>
      <c r="DS61">
        <v>1218.03</v>
      </c>
      <c r="DT61">
        <v>0.239923</v>
      </c>
      <c r="DU61">
        <v>0.51448499999999997</v>
      </c>
      <c r="DV61">
        <v>105</v>
      </c>
      <c r="DW61">
        <v>0.44723600000000002</v>
      </c>
      <c r="DX61">
        <v>690.91</v>
      </c>
      <c r="DY61">
        <v>0.107215</v>
      </c>
      <c r="DZ61">
        <v>2.2866</v>
      </c>
      <c r="EA61">
        <v>5.5160300000000002E-2</v>
      </c>
      <c r="EB61">
        <v>1.1101799999999999</v>
      </c>
      <c r="EC61">
        <v>0</v>
      </c>
      <c r="ED61">
        <v>6.3150599999999999</v>
      </c>
      <c r="EE61">
        <v>142.33600000000001</v>
      </c>
      <c r="EF61">
        <v>3.2762600000000002</v>
      </c>
      <c r="EG61">
        <v>46.951599999999999</v>
      </c>
      <c r="EH61">
        <v>5.2027099999999997</v>
      </c>
      <c r="EI61">
        <v>62.273200000000003</v>
      </c>
      <c r="EJ61">
        <v>7.9040999999999997</v>
      </c>
      <c r="EK61">
        <v>43.399500000000003</v>
      </c>
      <c r="EL61">
        <v>43.399500000000003</v>
      </c>
      <c r="EM61">
        <v>6.38741</v>
      </c>
      <c r="EN61">
        <v>18.779199999999999</v>
      </c>
      <c r="EO61">
        <v>0.39483699999999999</v>
      </c>
    </row>
    <row r="62" spans="1:145" x14ac:dyDescent="0.2">
      <c r="A62" s="86"/>
      <c r="B62" s="442"/>
      <c r="C62" s="510"/>
      <c r="E62" s="394"/>
      <c r="F62" s="8"/>
      <c r="K62" s="1"/>
      <c r="L62" s="1"/>
      <c r="AD62" s="112"/>
      <c r="AE62" s="112">
        <v>1046.5999999999999</v>
      </c>
      <c r="AF62" s="112">
        <v>1046.48</v>
      </c>
      <c r="AG62" s="112">
        <v>855.68399999999997</v>
      </c>
      <c r="AH62" s="112">
        <v>2.61102E-2</v>
      </c>
      <c r="AI62" s="112">
        <v>3.3852800000000001E-3</v>
      </c>
      <c r="AJ62" s="112">
        <v>102</v>
      </c>
      <c r="AK62" s="112">
        <v>0.218167</v>
      </c>
      <c r="AL62" s="112">
        <v>88.851699999999994</v>
      </c>
      <c r="AM62" s="112">
        <v>1.8094600000000001</v>
      </c>
      <c r="AN62" s="112">
        <v>1.8094600000000001</v>
      </c>
      <c r="AO62" s="112">
        <v>6.1255199999999997E-3</v>
      </c>
      <c r="AP62" s="112">
        <v>1.8033300000000001</v>
      </c>
      <c r="AQ62" s="112"/>
      <c r="AR62" s="112">
        <v>8.0213999999999999</v>
      </c>
      <c r="AS62" s="112">
        <v>206.518</v>
      </c>
      <c r="AT62" s="112">
        <v>3.5055499999999999</v>
      </c>
      <c r="AU62" s="112">
        <v>46.967500000000001</v>
      </c>
      <c r="AV62" s="112">
        <v>3.5545399999999998</v>
      </c>
      <c r="AW62" s="112">
        <v>62.267699999999998</v>
      </c>
      <c r="AX62" s="112">
        <v>3.7532999999999999</v>
      </c>
      <c r="AY62" s="112">
        <v>51.306399999999996</v>
      </c>
      <c r="AZ62" s="112">
        <v>51.306399999999996</v>
      </c>
      <c r="BA62" s="112">
        <v>8.4513400000000001</v>
      </c>
      <c r="BB62" s="112">
        <v>18.762899999999998</v>
      </c>
      <c r="BC62" s="112">
        <v>3.3877E-3</v>
      </c>
      <c r="BD62" s="112"/>
      <c r="BE62" s="112"/>
      <c r="BF62" s="112"/>
      <c r="BG62" s="112"/>
      <c r="BH62" s="112"/>
      <c r="BI62" s="112">
        <v>1121.3599999999999</v>
      </c>
      <c r="BJ62" s="112">
        <v>1121.23</v>
      </c>
      <c r="BK62" s="112">
        <v>963.21900000000005</v>
      </c>
      <c r="BL62" s="112">
        <v>2.95108E-2</v>
      </c>
      <c r="BM62" s="112">
        <v>3.8272900000000001E-3</v>
      </c>
      <c r="BN62" s="112">
        <v>102</v>
      </c>
      <c r="BO62" s="112">
        <v>0.26633400000000002</v>
      </c>
      <c r="BP62" s="112">
        <v>107.633</v>
      </c>
      <c r="BQ62" s="112">
        <v>1.8275699999999999</v>
      </c>
      <c r="BR62" s="112">
        <v>1.8275699999999999</v>
      </c>
      <c r="BS62" s="112">
        <v>6.9946299999999999E-3</v>
      </c>
      <c r="BT62" s="112">
        <v>1.82057</v>
      </c>
      <c r="BU62" s="112"/>
      <c r="BV62" s="112">
        <v>7.4386400000000004</v>
      </c>
      <c r="BW62" s="112">
        <v>194.25700000000001</v>
      </c>
      <c r="BX62" s="112">
        <v>3.7641399999999998</v>
      </c>
      <c r="BY62" s="112">
        <v>46.948099999999997</v>
      </c>
      <c r="BZ62" s="112">
        <v>4.0192699999999997</v>
      </c>
      <c r="CA62">
        <v>62.248699999999999</v>
      </c>
      <c r="CB62">
        <v>4.2421300000000004</v>
      </c>
      <c r="CC62">
        <v>48.9133</v>
      </c>
      <c r="CD62">
        <v>48.9133</v>
      </c>
      <c r="CE62">
        <v>7.8157300000000003</v>
      </c>
      <c r="CF62">
        <v>18.760899999999999</v>
      </c>
      <c r="CG62">
        <v>3.8213600000000002E-3</v>
      </c>
      <c r="CM62">
        <v>1125.6300000000001</v>
      </c>
      <c r="CN62">
        <v>1125.5</v>
      </c>
      <c r="CO62">
        <v>998.55</v>
      </c>
      <c r="CP62">
        <v>3.0258400000000001E-2</v>
      </c>
      <c r="CQ62">
        <v>7.8342199999999994E-3</v>
      </c>
      <c r="CR62">
        <v>102</v>
      </c>
      <c r="CS62">
        <v>2.43723</v>
      </c>
      <c r="CT62">
        <v>108.498</v>
      </c>
      <c r="CU62">
        <v>5.9702200000000003</v>
      </c>
      <c r="CV62">
        <v>5.9702200000000003</v>
      </c>
      <c r="CW62">
        <v>4.6772000000000001E-2</v>
      </c>
      <c r="CX62">
        <v>5.9234499999999999</v>
      </c>
      <c r="CY62">
        <v>0</v>
      </c>
      <c r="CZ62">
        <v>7.6661400000000004</v>
      </c>
      <c r="DA62">
        <v>193.58</v>
      </c>
      <c r="DB62">
        <v>12.3367</v>
      </c>
      <c r="DC62">
        <v>46.884500000000003</v>
      </c>
      <c r="DD62">
        <v>3.8127300000000002</v>
      </c>
      <c r="DE62">
        <v>62.1663</v>
      </c>
      <c r="DF62">
        <v>4.2698799999999997</v>
      </c>
      <c r="DG62">
        <v>49.6721</v>
      </c>
      <c r="DH62">
        <v>49.6721</v>
      </c>
      <c r="DI62">
        <v>8.0404400000000003</v>
      </c>
      <c r="DJ62">
        <v>18.737100000000002</v>
      </c>
      <c r="DK62">
        <v>7.7770299999999999E-3</v>
      </c>
      <c r="DQ62">
        <v>1160.98</v>
      </c>
      <c r="DR62">
        <v>1160.8</v>
      </c>
      <c r="DS62">
        <v>1243.43</v>
      </c>
      <c r="DT62">
        <v>0.24903700000000001</v>
      </c>
      <c r="DU62">
        <v>0.53766199999999997</v>
      </c>
      <c r="DV62">
        <v>105</v>
      </c>
      <c r="DW62">
        <v>0.45544899999999999</v>
      </c>
      <c r="DX62">
        <v>716.26099999999997</v>
      </c>
      <c r="DY62">
        <v>0.102602</v>
      </c>
      <c r="DZ62">
        <v>2.37391</v>
      </c>
      <c r="EA62">
        <v>5.5165100000000002E-2</v>
      </c>
      <c r="EB62">
        <v>1.09755</v>
      </c>
      <c r="EC62">
        <v>0</v>
      </c>
      <c r="ED62">
        <v>6.2669100000000002</v>
      </c>
      <c r="EE62">
        <v>141.56299999999999</v>
      </c>
      <c r="EF62">
        <v>3.26728</v>
      </c>
      <c r="EG62">
        <v>46.942999999999998</v>
      </c>
      <c r="EH62">
        <v>5.3082500000000001</v>
      </c>
      <c r="EI62">
        <v>62.2637</v>
      </c>
      <c r="EJ62">
        <v>8.0339500000000008</v>
      </c>
      <c r="EK62">
        <v>42.896900000000002</v>
      </c>
      <c r="EL62">
        <v>42.896900000000002</v>
      </c>
      <c r="EM62">
        <v>6.2645499999999998</v>
      </c>
      <c r="EN62">
        <v>18.7773</v>
      </c>
      <c r="EO62">
        <v>0.39865400000000001</v>
      </c>
    </row>
    <row r="63" spans="1:145" x14ac:dyDescent="0.2">
      <c r="A63" s="86"/>
      <c r="B63" s="442"/>
      <c r="C63" s="510"/>
      <c r="E63" s="394"/>
      <c r="F63" s="8"/>
      <c r="K63" s="1"/>
      <c r="L63" s="1"/>
      <c r="AD63" s="112"/>
      <c r="AE63" s="112">
        <v>1121.3599999999999</v>
      </c>
      <c r="AF63" s="112">
        <v>1121.23</v>
      </c>
      <c r="AG63" s="112">
        <v>862.09500000000003</v>
      </c>
      <c r="AH63" s="112">
        <v>2.6138600000000001E-2</v>
      </c>
      <c r="AI63" s="112">
        <v>3.39077E-3</v>
      </c>
      <c r="AJ63" s="112">
        <v>102</v>
      </c>
      <c r="AK63" s="112">
        <v>0.23314199999999999</v>
      </c>
      <c r="AL63" s="112">
        <v>95.246899999999997</v>
      </c>
      <c r="AM63" s="112">
        <v>1.80749</v>
      </c>
      <c r="AN63" s="112">
        <v>1.80749</v>
      </c>
      <c r="AO63" s="112">
        <v>6.1287599999999996E-3</v>
      </c>
      <c r="AP63" s="112">
        <v>1.8013600000000001</v>
      </c>
      <c r="AQ63" s="112"/>
      <c r="AR63" s="112">
        <v>8.0106999999999999</v>
      </c>
      <c r="AS63" s="112">
        <v>206.40600000000001</v>
      </c>
      <c r="AT63" s="112">
        <v>3.5037199999999999</v>
      </c>
      <c r="AU63" s="112">
        <v>46.940600000000003</v>
      </c>
      <c r="AV63" s="112">
        <v>3.55863</v>
      </c>
      <c r="AW63" s="112">
        <v>62.234499999999997</v>
      </c>
      <c r="AX63" s="112">
        <v>3.75759</v>
      </c>
      <c r="AY63" s="112">
        <v>51.175800000000002</v>
      </c>
      <c r="AZ63" s="112">
        <v>51.175800000000002</v>
      </c>
      <c r="BA63" s="112">
        <v>8.4251900000000006</v>
      </c>
      <c r="BB63" s="112">
        <v>18.754300000000001</v>
      </c>
      <c r="BC63" s="112">
        <v>3.3879100000000001E-3</v>
      </c>
      <c r="BD63" s="112"/>
      <c r="BE63" s="112"/>
      <c r="BF63" s="112"/>
      <c r="BG63" s="112"/>
      <c r="BH63" s="112"/>
      <c r="BI63" s="112">
        <v>1125.6300000000001</v>
      </c>
      <c r="BJ63" s="112">
        <v>1125.5</v>
      </c>
      <c r="BK63" s="112">
        <v>963.63199999999995</v>
      </c>
      <c r="BL63" s="112">
        <v>2.9509899999999999E-2</v>
      </c>
      <c r="BM63" s="112">
        <v>3.8305600000000002E-3</v>
      </c>
      <c r="BN63" s="112">
        <v>102</v>
      </c>
      <c r="BO63" s="112">
        <v>0.26730599999999999</v>
      </c>
      <c r="BP63" s="112">
        <v>108.045</v>
      </c>
      <c r="BQ63" s="112">
        <v>1.8265199999999999</v>
      </c>
      <c r="BR63" s="112">
        <v>1.8265199999999999</v>
      </c>
      <c r="BS63" s="112">
        <v>6.9966000000000004E-3</v>
      </c>
      <c r="BT63" s="112">
        <v>1.8195300000000001</v>
      </c>
      <c r="BU63" s="112"/>
      <c r="BV63" s="112">
        <v>7.4333</v>
      </c>
      <c r="BW63" s="112">
        <v>194.20099999999999</v>
      </c>
      <c r="BX63" s="112">
        <v>3.7621899999999999</v>
      </c>
      <c r="BY63" s="112">
        <v>46.946599999999997</v>
      </c>
      <c r="BZ63" s="112">
        <v>4.0195400000000001</v>
      </c>
      <c r="CA63">
        <v>62.2468</v>
      </c>
      <c r="CB63">
        <v>4.2425800000000002</v>
      </c>
      <c r="CC63">
        <v>48.905999999999999</v>
      </c>
      <c r="CD63">
        <v>48.905999999999999</v>
      </c>
      <c r="CE63">
        <v>7.8143200000000004</v>
      </c>
      <c r="CF63">
        <v>18.760300000000001</v>
      </c>
      <c r="CG63">
        <v>3.8214E-3</v>
      </c>
      <c r="CM63">
        <v>1129.8900000000001</v>
      </c>
      <c r="CN63">
        <v>1129.76</v>
      </c>
      <c r="CO63">
        <v>998.97400000000005</v>
      </c>
      <c r="CP63">
        <v>3.0260800000000001E-2</v>
      </c>
      <c r="CQ63">
        <v>7.8351099999999993E-3</v>
      </c>
      <c r="CR63">
        <v>102</v>
      </c>
      <c r="CS63">
        <v>2.4460099999999998</v>
      </c>
      <c r="CT63">
        <v>108.91200000000001</v>
      </c>
      <c r="CU63">
        <v>5.9697300000000002</v>
      </c>
      <c r="CV63">
        <v>5.9697300000000002</v>
      </c>
      <c r="CW63">
        <v>4.6773500000000003E-2</v>
      </c>
      <c r="CX63">
        <v>5.9229599999999998</v>
      </c>
      <c r="CY63">
        <v>0</v>
      </c>
      <c r="CZ63">
        <v>7.6654499999999999</v>
      </c>
      <c r="DA63">
        <v>193.572</v>
      </c>
      <c r="DB63">
        <v>12.3362</v>
      </c>
      <c r="DC63">
        <v>46.883000000000003</v>
      </c>
      <c r="DD63">
        <v>3.8130500000000001</v>
      </c>
      <c r="DE63">
        <v>62.164299999999997</v>
      </c>
      <c r="DF63">
        <v>4.2702400000000003</v>
      </c>
      <c r="DG63">
        <v>49.664200000000001</v>
      </c>
      <c r="DH63">
        <v>49.664200000000001</v>
      </c>
      <c r="DI63">
        <v>8.0389400000000002</v>
      </c>
      <c r="DJ63">
        <v>18.736499999999999</v>
      </c>
      <c r="DK63">
        <v>7.7772500000000003E-3</v>
      </c>
      <c r="DQ63">
        <v>1192.07</v>
      </c>
      <c r="DR63">
        <v>1191.8399999999999</v>
      </c>
      <c r="DS63">
        <v>1269.1300000000001</v>
      </c>
      <c r="DT63">
        <v>0.25192199999999998</v>
      </c>
      <c r="DU63">
        <v>0.544207</v>
      </c>
      <c r="DV63">
        <v>105</v>
      </c>
      <c r="DW63">
        <v>0.46351700000000001</v>
      </c>
      <c r="DX63">
        <v>741.90599999999995</v>
      </c>
      <c r="DY63">
        <v>0.101383</v>
      </c>
      <c r="DZ63">
        <v>2.3603100000000001</v>
      </c>
      <c r="EA63">
        <v>5.5173399999999997E-2</v>
      </c>
      <c r="EB63">
        <v>1.0758099999999999</v>
      </c>
      <c r="EC63">
        <v>0</v>
      </c>
      <c r="ED63">
        <v>6.1832399999999996</v>
      </c>
      <c r="EE63">
        <v>140.22200000000001</v>
      </c>
      <c r="EF63">
        <v>3.2362700000000002</v>
      </c>
      <c r="EG63">
        <v>46.934600000000003</v>
      </c>
      <c r="EH63">
        <v>5.4150900000000002</v>
      </c>
      <c r="EI63">
        <v>62.2545</v>
      </c>
      <c r="EJ63">
        <v>8.1879200000000001</v>
      </c>
      <c r="EK63">
        <v>42.3934</v>
      </c>
      <c r="EL63">
        <v>42.3934</v>
      </c>
      <c r="EM63">
        <v>6.1421299999999999</v>
      </c>
      <c r="EN63">
        <v>18.775600000000001</v>
      </c>
      <c r="EO63">
        <v>0.40244200000000002</v>
      </c>
    </row>
    <row r="64" spans="1:145" x14ac:dyDescent="0.2">
      <c r="A64" s="86"/>
      <c r="B64" s="442"/>
      <c r="C64" s="510"/>
      <c r="E64" s="394"/>
      <c r="F64" s="8"/>
      <c r="K64" s="1"/>
      <c r="L64" s="1"/>
      <c r="AD64" s="112"/>
      <c r="AE64" s="112">
        <v>1125.6300000000001</v>
      </c>
      <c r="AF64" s="112">
        <v>1125.5</v>
      </c>
      <c r="AG64" s="112">
        <v>862.46100000000001</v>
      </c>
      <c r="AH64" s="112">
        <v>2.61389E-2</v>
      </c>
      <c r="AI64" s="112">
        <v>3.3938200000000001E-3</v>
      </c>
      <c r="AJ64" s="112">
        <v>102</v>
      </c>
      <c r="AK64" s="112">
        <v>0.23399600000000001</v>
      </c>
      <c r="AL64" s="112">
        <v>95.611699999999999</v>
      </c>
      <c r="AM64" s="112">
        <v>1.80637</v>
      </c>
      <c r="AN64" s="112">
        <v>1.80637</v>
      </c>
      <c r="AO64" s="112">
        <v>6.1304999999999997E-3</v>
      </c>
      <c r="AP64" s="112">
        <v>1.8002400000000001</v>
      </c>
      <c r="AQ64" s="112"/>
      <c r="AR64" s="112">
        <v>8.0048200000000005</v>
      </c>
      <c r="AS64" s="112">
        <v>206.34200000000001</v>
      </c>
      <c r="AT64" s="112">
        <v>3.50176</v>
      </c>
      <c r="AU64" s="112">
        <v>46.939</v>
      </c>
      <c r="AV64" s="112">
        <v>3.5588899999999999</v>
      </c>
      <c r="AW64" s="112">
        <v>62.232599999999998</v>
      </c>
      <c r="AX64" s="112">
        <v>3.7580200000000001</v>
      </c>
      <c r="AY64" s="112">
        <v>51.168199999999999</v>
      </c>
      <c r="AZ64" s="112">
        <v>51.168199999999999</v>
      </c>
      <c r="BA64" s="112">
        <v>8.4236900000000006</v>
      </c>
      <c r="BB64" s="112">
        <v>18.753799999999998</v>
      </c>
      <c r="BC64" s="112">
        <v>3.3879299999999999E-3</v>
      </c>
      <c r="BD64" s="112"/>
      <c r="BE64" s="112"/>
      <c r="BF64" s="112"/>
      <c r="BG64" s="112"/>
      <c r="BH64" s="112"/>
      <c r="BI64" s="112">
        <v>1129.8900000000001</v>
      </c>
      <c r="BJ64" s="112">
        <v>1129.76</v>
      </c>
      <c r="BK64" s="112">
        <v>964.04600000000005</v>
      </c>
      <c r="BL64" s="112">
        <v>2.9511900000000001E-2</v>
      </c>
      <c r="BM64" s="112">
        <v>3.8309300000000002E-3</v>
      </c>
      <c r="BN64" s="112">
        <v>102</v>
      </c>
      <c r="BO64" s="112">
        <v>0.26827899999999999</v>
      </c>
      <c r="BP64" s="112">
        <v>108.45699999999999</v>
      </c>
      <c r="BQ64" s="112">
        <v>1.8264</v>
      </c>
      <c r="BR64" s="112">
        <v>1.8264</v>
      </c>
      <c r="BS64" s="112">
        <v>6.99681E-3</v>
      </c>
      <c r="BT64" s="112">
        <v>1.8193999999999999</v>
      </c>
      <c r="BU64" s="112"/>
      <c r="BV64" s="112">
        <v>7.4326999999999996</v>
      </c>
      <c r="BW64" s="112">
        <v>194.19399999999999</v>
      </c>
      <c r="BX64" s="112">
        <v>3.76206</v>
      </c>
      <c r="BY64" s="112">
        <v>46.945099999999996</v>
      </c>
      <c r="BZ64" s="112">
        <v>4.0198200000000002</v>
      </c>
      <c r="CA64">
        <v>62.244900000000001</v>
      </c>
      <c r="CB64">
        <v>4.2428699999999999</v>
      </c>
      <c r="CC64">
        <v>48.898600000000002</v>
      </c>
      <c r="CD64">
        <v>48.898600000000002</v>
      </c>
      <c r="CE64">
        <v>7.8129</v>
      </c>
      <c r="CF64">
        <v>18.759799999999998</v>
      </c>
      <c r="CG64">
        <v>3.8214299999999998E-3</v>
      </c>
      <c r="CM64">
        <v>1160.98</v>
      </c>
      <c r="CN64">
        <v>1160.8</v>
      </c>
      <c r="CO64">
        <v>1002.06</v>
      </c>
      <c r="CP64">
        <v>3.0242499999999999E-2</v>
      </c>
      <c r="CQ64">
        <v>7.8388199999999998E-3</v>
      </c>
      <c r="CR64">
        <v>102</v>
      </c>
      <c r="CS64">
        <v>2.5100099999999999</v>
      </c>
      <c r="CT64">
        <v>111.928</v>
      </c>
      <c r="CU64">
        <v>5.9676900000000002</v>
      </c>
      <c r="CV64">
        <v>5.9676900000000002</v>
      </c>
      <c r="CW64">
        <v>4.6779599999999998E-2</v>
      </c>
      <c r="CX64">
        <v>5.9209100000000001</v>
      </c>
      <c r="CY64">
        <v>0</v>
      </c>
      <c r="CZ64">
        <v>7.6625399999999999</v>
      </c>
      <c r="DA64">
        <v>193.53800000000001</v>
      </c>
      <c r="DB64">
        <v>12.3355</v>
      </c>
      <c r="DC64">
        <v>46.872399999999999</v>
      </c>
      <c r="DD64">
        <v>3.8153800000000002</v>
      </c>
      <c r="DE64">
        <v>62.15</v>
      </c>
      <c r="DF64">
        <v>4.2726600000000001</v>
      </c>
      <c r="DG64">
        <v>49.606200000000001</v>
      </c>
      <c r="DH64">
        <v>49.606200000000001</v>
      </c>
      <c r="DI64">
        <v>8.0280100000000001</v>
      </c>
      <c r="DJ64">
        <v>18.731999999999999</v>
      </c>
      <c r="DK64">
        <v>7.7789000000000001E-3</v>
      </c>
      <c r="DQ64">
        <v>1193.29</v>
      </c>
      <c r="DR64">
        <v>1193.04</v>
      </c>
      <c r="DS64">
        <v>1270.24</v>
      </c>
      <c r="DT64">
        <v>0.27751799999999999</v>
      </c>
      <c r="DU64">
        <v>0.61380299999999999</v>
      </c>
      <c r="DV64">
        <v>105</v>
      </c>
      <c r="DW64">
        <v>0.46382899999999999</v>
      </c>
      <c r="DX64">
        <v>743.00599999999997</v>
      </c>
      <c r="DY64">
        <v>8.9894799999999997E-2</v>
      </c>
      <c r="DZ64">
        <v>2.7570199999999998</v>
      </c>
      <c r="EA64">
        <v>5.5177700000000003E-2</v>
      </c>
      <c r="EB64">
        <v>1.0647500000000001</v>
      </c>
      <c r="EC64">
        <v>0</v>
      </c>
      <c r="ED64">
        <v>6.1402700000000001</v>
      </c>
      <c r="EE64">
        <v>139.535</v>
      </c>
      <c r="EF64">
        <v>3.21089</v>
      </c>
      <c r="EG64">
        <v>46.9343</v>
      </c>
      <c r="EH64">
        <v>5.4197699999999998</v>
      </c>
      <c r="EI64">
        <v>62.254100000000001</v>
      </c>
      <c r="EJ64">
        <v>8.2199399999999994</v>
      </c>
      <c r="EK64">
        <v>42.371600000000001</v>
      </c>
      <c r="EL64">
        <v>42.371600000000001</v>
      </c>
      <c r="EM64">
        <v>6.1368400000000003</v>
      </c>
      <c r="EN64">
        <v>18.775500000000001</v>
      </c>
      <c r="EO64">
        <v>0.40265800000000002</v>
      </c>
    </row>
    <row r="65" spans="1:145" x14ac:dyDescent="0.2">
      <c r="A65" s="86"/>
      <c r="B65" s="442"/>
      <c r="C65" s="510"/>
      <c r="E65" s="394"/>
      <c r="F65" s="8"/>
      <c r="K65" s="1"/>
      <c r="L65" s="1"/>
      <c r="AD65" s="112"/>
      <c r="AE65" s="112">
        <v>1129.8900000000001</v>
      </c>
      <c r="AF65" s="112">
        <v>1129.76</v>
      </c>
      <c r="AG65" s="112">
        <v>862.827</v>
      </c>
      <c r="AH65" s="112">
        <v>2.6140799999999999E-2</v>
      </c>
      <c r="AI65" s="112">
        <v>3.3941700000000002E-3</v>
      </c>
      <c r="AJ65" s="112">
        <v>102</v>
      </c>
      <c r="AK65" s="112">
        <v>0.23485</v>
      </c>
      <c r="AL65" s="112">
        <v>95.976600000000005</v>
      </c>
      <c r="AM65" s="112">
        <v>1.8062400000000001</v>
      </c>
      <c r="AN65" s="112">
        <v>1.8062400000000001</v>
      </c>
      <c r="AO65" s="112">
        <v>6.1306900000000003E-3</v>
      </c>
      <c r="AP65" s="112">
        <v>1.8001100000000001</v>
      </c>
      <c r="AQ65" s="112"/>
      <c r="AR65" s="112">
        <v>8.0041700000000002</v>
      </c>
      <c r="AS65" s="112">
        <v>206.33500000000001</v>
      </c>
      <c r="AT65" s="112">
        <v>3.5016400000000001</v>
      </c>
      <c r="AU65" s="112">
        <v>46.9375</v>
      </c>
      <c r="AV65" s="112">
        <v>3.5591499999999998</v>
      </c>
      <c r="AW65" s="112">
        <v>62.230699999999999</v>
      </c>
      <c r="AX65" s="112">
        <v>3.7582900000000001</v>
      </c>
      <c r="AY65" s="112">
        <v>51.160699999999999</v>
      </c>
      <c r="AZ65" s="112">
        <v>51.160699999999999</v>
      </c>
      <c r="BA65" s="112">
        <v>8.4221800000000009</v>
      </c>
      <c r="BB65" s="112">
        <v>18.753299999999999</v>
      </c>
      <c r="BC65" s="112">
        <v>3.3879499999999998E-3</v>
      </c>
      <c r="BD65" s="112"/>
      <c r="BE65" s="112"/>
      <c r="BF65" s="112"/>
      <c r="BG65" s="112"/>
      <c r="BH65" s="112"/>
      <c r="BI65" s="112">
        <v>1160.98</v>
      </c>
      <c r="BJ65" s="112">
        <v>1160.8</v>
      </c>
      <c r="BK65" s="112">
        <v>967.05399999999997</v>
      </c>
      <c r="BL65" s="112">
        <v>2.94927E-2</v>
      </c>
      <c r="BM65" s="112">
        <v>3.8325500000000001E-3</v>
      </c>
      <c r="BN65" s="112">
        <v>102</v>
      </c>
      <c r="BO65" s="112">
        <v>0.27536100000000002</v>
      </c>
      <c r="BP65" s="112">
        <v>111.453</v>
      </c>
      <c r="BQ65" s="112">
        <v>1.82585</v>
      </c>
      <c r="BR65" s="112">
        <v>1.82585</v>
      </c>
      <c r="BS65" s="112">
        <v>6.9976700000000001E-3</v>
      </c>
      <c r="BT65" s="112">
        <v>1.8188500000000001</v>
      </c>
      <c r="BU65" s="112"/>
      <c r="BV65" s="112">
        <v>7.4301300000000001</v>
      </c>
      <c r="BW65" s="112">
        <v>194.16499999999999</v>
      </c>
      <c r="BX65" s="112">
        <v>3.7618999999999998</v>
      </c>
      <c r="BY65" s="112">
        <v>46.934600000000003</v>
      </c>
      <c r="BZ65" s="112">
        <v>4.0219800000000001</v>
      </c>
      <c r="CA65">
        <v>62.231400000000001</v>
      </c>
      <c r="CB65">
        <v>4.2450700000000001</v>
      </c>
      <c r="CC65">
        <v>48.8446</v>
      </c>
      <c r="CD65">
        <v>48.8446</v>
      </c>
      <c r="CE65">
        <v>7.8024899999999997</v>
      </c>
      <c r="CF65">
        <v>18.756</v>
      </c>
      <c r="CG65">
        <v>3.8217300000000002E-3</v>
      </c>
      <c r="CM65">
        <v>1192.07</v>
      </c>
      <c r="CN65">
        <v>1191.8399999999999</v>
      </c>
      <c r="CO65">
        <v>1005.15</v>
      </c>
      <c r="CP65">
        <v>3.0260499999999999E-2</v>
      </c>
      <c r="CQ65">
        <v>7.8454700000000002E-3</v>
      </c>
      <c r="CR65">
        <v>102</v>
      </c>
      <c r="CS65">
        <v>2.5739899999999998</v>
      </c>
      <c r="CT65">
        <v>114.94499999999999</v>
      </c>
      <c r="CU65">
        <v>5.96401</v>
      </c>
      <c r="CV65">
        <v>5.96401</v>
      </c>
      <c r="CW65">
        <v>4.6790400000000003E-2</v>
      </c>
      <c r="CX65">
        <v>5.9172099999999999</v>
      </c>
      <c r="CY65">
        <v>0</v>
      </c>
      <c r="CZ65">
        <v>7.6573500000000001</v>
      </c>
      <c r="DA65">
        <v>193.47900000000001</v>
      </c>
      <c r="DB65">
        <v>12.3317</v>
      </c>
      <c r="DC65">
        <v>46.861800000000002</v>
      </c>
      <c r="DD65">
        <v>3.8178000000000001</v>
      </c>
      <c r="DE65">
        <v>62.135599999999997</v>
      </c>
      <c r="DF65">
        <v>4.2753300000000003</v>
      </c>
      <c r="DG65">
        <v>49.547699999999999</v>
      </c>
      <c r="DH65">
        <v>49.547699999999999</v>
      </c>
      <c r="DI65">
        <v>8.0170300000000001</v>
      </c>
      <c r="DJ65">
        <v>18.727499999999999</v>
      </c>
      <c r="DK65">
        <v>7.7806300000000002E-3</v>
      </c>
      <c r="DQ65">
        <v>1194.51</v>
      </c>
      <c r="DR65">
        <v>1194.25</v>
      </c>
      <c r="DS65">
        <v>1271.3499999999999</v>
      </c>
      <c r="DT65">
        <v>0.27765400000000001</v>
      </c>
      <c r="DU65">
        <v>0.61412299999999997</v>
      </c>
      <c r="DV65">
        <v>105</v>
      </c>
      <c r="DW65">
        <v>0.46414</v>
      </c>
      <c r="DX65">
        <v>744.10699999999997</v>
      </c>
      <c r="DY65">
        <v>8.9848499999999998E-2</v>
      </c>
      <c r="DZ65">
        <v>2.75692</v>
      </c>
      <c r="EA65">
        <v>5.5177999999999998E-2</v>
      </c>
      <c r="EB65">
        <v>1.0638300000000001</v>
      </c>
      <c r="EC65">
        <v>0</v>
      </c>
      <c r="ED65">
        <v>6.1367000000000003</v>
      </c>
      <c r="EE65">
        <v>139.47800000000001</v>
      </c>
      <c r="EF65">
        <v>3.2095699999999998</v>
      </c>
      <c r="EG65">
        <v>46.933999999999997</v>
      </c>
      <c r="EH65">
        <v>5.4244599999999998</v>
      </c>
      <c r="EI65">
        <v>62.253799999999998</v>
      </c>
      <c r="EJ65">
        <v>8.2266899999999996</v>
      </c>
      <c r="EK65">
        <v>42.349899999999998</v>
      </c>
      <c r="EL65">
        <v>42.349899999999998</v>
      </c>
      <c r="EM65">
        <v>6.1315499999999998</v>
      </c>
      <c r="EN65">
        <v>18.775500000000001</v>
      </c>
      <c r="EO65">
        <v>0.40287299999999998</v>
      </c>
    </row>
    <row r="66" spans="1:145" x14ac:dyDescent="0.2">
      <c r="A66" s="86"/>
      <c r="B66" s="442"/>
      <c r="C66" s="510"/>
      <c r="E66" s="394"/>
      <c r="F66" s="8"/>
      <c r="K66" s="1"/>
      <c r="L66" s="1"/>
      <c r="AD66" s="112"/>
      <c r="AE66" s="112">
        <v>1160.98</v>
      </c>
      <c r="AF66" s="112">
        <v>1160.8</v>
      </c>
      <c r="AG66" s="112">
        <v>865.49199999999996</v>
      </c>
      <c r="AH66" s="112">
        <v>2.61242E-2</v>
      </c>
      <c r="AI66" s="112">
        <v>3.39566E-3</v>
      </c>
      <c r="AJ66" s="112">
        <v>102</v>
      </c>
      <c r="AK66" s="112">
        <v>0.24107400000000001</v>
      </c>
      <c r="AL66" s="112">
        <v>98.630600000000001</v>
      </c>
      <c r="AM66" s="112">
        <v>1.8056700000000001</v>
      </c>
      <c r="AN66" s="112">
        <v>1.8056700000000001</v>
      </c>
      <c r="AO66" s="112">
        <v>6.1314500000000001E-3</v>
      </c>
      <c r="AP66" s="112">
        <v>1.7995399999999999</v>
      </c>
      <c r="AQ66" s="112"/>
      <c r="AR66" s="112">
        <v>8.00136</v>
      </c>
      <c r="AS66" s="112">
        <v>206.30199999999999</v>
      </c>
      <c r="AT66" s="112">
        <v>3.5014799999999999</v>
      </c>
      <c r="AU66" s="112">
        <v>46.926600000000001</v>
      </c>
      <c r="AV66" s="112">
        <v>3.5611600000000001</v>
      </c>
      <c r="AW66" s="112">
        <v>62.217100000000002</v>
      </c>
      <c r="AX66" s="112">
        <v>3.7603399999999998</v>
      </c>
      <c r="AY66" s="112">
        <v>51.105400000000003</v>
      </c>
      <c r="AZ66" s="112">
        <v>51.105400000000003</v>
      </c>
      <c r="BA66" s="112">
        <v>8.4111200000000004</v>
      </c>
      <c r="BB66" s="112">
        <v>18.749600000000001</v>
      </c>
      <c r="BC66" s="112">
        <v>3.3881599999999999E-3</v>
      </c>
      <c r="BD66" s="112"/>
      <c r="BE66" s="112"/>
      <c r="BF66" s="112"/>
      <c r="BG66" s="112"/>
      <c r="BH66" s="112"/>
      <c r="BI66" s="112">
        <v>1192.07</v>
      </c>
      <c r="BJ66" s="112">
        <v>1191.8399999999999</v>
      </c>
      <c r="BK66" s="112">
        <v>970.06399999999996</v>
      </c>
      <c r="BL66" s="112">
        <v>2.9509799999999999E-2</v>
      </c>
      <c r="BM66" s="112">
        <v>3.8356000000000002E-3</v>
      </c>
      <c r="BN66" s="112">
        <v>102</v>
      </c>
      <c r="BO66" s="112">
        <v>0.28244200000000003</v>
      </c>
      <c r="BP66" s="112">
        <v>114.45099999999999</v>
      </c>
      <c r="BQ66" s="112">
        <v>1.8247899999999999</v>
      </c>
      <c r="BR66" s="112">
        <v>1.8247899999999999</v>
      </c>
      <c r="BS66" s="112">
        <v>6.9991799999999998E-3</v>
      </c>
      <c r="BT66" s="112">
        <v>1.81779</v>
      </c>
      <c r="BU66" s="112"/>
      <c r="BV66" s="112">
        <v>7.4253999999999998</v>
      </c>
      <c r="BW66" s="112">
        <v>194.10900000000001</v>
      </c>
      <c r="BX66" s="112">
        <v>3.7608899999999998</v>
      </c>
      <c r="BY66" s="112">
        <v>46.924399999999999</v>
      </c>
      <c r="BZ66" s="112">
        <v>4.0245100000000003</v>
      </c>
      <c r="CA66">
        <v>62.218200000000003</v>
      </c>
      <c r="CB66">
        <v>4.2477200000000002</v>
      </c>
      <c r="CC66">
        <v>48.79</v>
      </c>
      <c r="CD66">
        <v>48.79</v>
      </c>
      <c r="CE66">
        <v>7.7918399999999997</v>
      </c>
      <c r="CF66">
        <v>18.752199999999998</v>
      </c>
      <c r="CG66">
        <v>3.8220900000000002E-3</v>
      </c>
      <c r="CM66">
        <v>1193.29</v>
      </c>
      <c r="CN66">
        <v>1193.04</v>
      </c>
      <c r="CO66">
        <v>1005.27</v>
      </c>
      <c r="CP66">
        <v>3.00582E-2</v>
      </c>
      <c r="CQ66">
        <v>7.8486400000000005E-3</v>
      </c>
      <c r="CR66">
        <v>102</v>
      </c>
      <c r="CS66">
        <v>2.5764900000000002</v>
      </c>
      <c r="CT66">
        <v>115.062</v>
      </c>
      <c r="CU66">
        <v>5.9623100000000004</v>
      </c>
      <c r="CV66">
        <v>5.9623100000000004</v>
      </c>
      <c r="CW66">
        <v>4.6795999999999997E-2</v>
      </c>
      <c r="CX66">
        <v>5.9155100000000003</v>
      </c>
      <c r="CY66">
        <v>0</v>
      </c>
      <c r="CZ66">
        <v>7.6548299999999996</v>
      </c>
      <c r="DA66">
        <v>193.45099999999999</v>
      </c>
      <c r="DB66">
        <v>12.3286</v>
      </c>
      <c r="DC66">
        <v>46.861400000000003</v>
      </c>
      <c r="DD66">
        <v>3.8178999999999998</v>
      </c>
      <c r="DE66">
        <v>62.135100000000001</v>
      </c>
      <c r="DF66">
        <v>4.2756100000000004</v>
      </c>
      <c r="DG66">
        <v>49.545400000000001</v>
      </c>
      <c r="DH66">
        <v>49.545400000000001</v>
      </c>
      <c r="DI66">
        <v>8.0166000000000004</v>
      </c>
      <c r="DJ66">
        <v>18.7273</v>
      </c>
      <c r="DK66">
        <v>7.7806999999999998E-3</v>
      </c>
      <c r="DQ66">
        <v>1204.26</v>
      </c>
      <c r="DR66">
        <v>1203.8800000000001</v>
      </c>
      <c r="DS66">
        <v>1280.48</v>
      </c>
      <c r="DT66">
        <v>0.28532200000000002</v>
      </c>
      <c r="DU66">
        <v>0.63659399999999999</v>
      </c>
      <c r="DV66">
        <v>105</v>
      </c>
      <c r="DW66">
        <v>0.466617</v>
      </c>
      <c r="DX66">
        <v>753.11699999999996</v>
      </c>
      <c r="DY66">
        <v>8.6678900000000003E-2</v>
      </c>
      <c r="DZ66">
        <v>2.9157700000000002</v>
      </c>
      <c r="EA66">
        <v>5.5179300000000001E-2</v>
      </c>
      <c r="EB66">
        <v>1.0596099999999999</v>
      </c>
      <c r="EC66">
        <v>0</v>
      </c>
      <c r="ED66">
        <v>6.1202500000000004</v>
      </c>
      <c r="EE66">
        <v>139.215</v>
      </c>
      <c r="EF66">
        <v>3.2066300000000001</v>
      </c>
      <c r="EG66">
        <v>46.9315</v>
      </c>
      <c r="EH66">
        <v>5.4630999999999998</v>
      </c>
      <c r="EI66">
        <v>62.251199999999997</v>
      </c>
      <c r="EJ66">
        <v>8.2739700000000003</v>
      </c>
      <c r="EK66">
        <v>42.170999999999999</v>
      </c>
      <c r="EL66">
        <v>42.170999999999999</v>
      </c>
      <c r="EM66">
        <v>6.0880799999999997</v>
      </c>
      <c r="EN66">
        <v>18.774999999999999</v>
      </c>
      <c r="EO66">
        <v>0.40476200000000001</v>
      </c>
    </row>
    <row r="67" spans="1:145" x14ac:dyDescent="0.2">
      <c r="A67" s="86"/>
      <c r="B67" s="442"/>
      <c r="C67" s="510"/>
      <c r="E67" s="394"/>
      <c r="F67" s="8"/>
      <c r="K67" s="1"/>
      <c r="L67" s="1"/>
      <c r="AD67" s="112"/>
      <c r="AE67" s="112">
        <v>1192.07</v>
      </c>
      <c r="AF67" s="112">
        <v>1191.8399999999999</v>
      </c>
      <c r="AG67" s="112">
        <v>868.15800000000002</v>
      </c>
      <c r="AH67" s="112">
        <v>2.6140099999999999E-2</v>
      </c>
      <c r="AI67" s="112">
        <v>3.3984699999999998E-3</v>
      </c>
      <c r="AJ67" s="112">
        <v>102</v>
      </c>
      <c r="AK67" s="112">
        <v>0.24729599999999999</v>
      </c>
      <c r="AL67" s="112">
        <v>101.286</v>
      </c>
      <c r="AM67" s="112">
        <v>1.80457</v>
      </c>
      <c r="AN67" s="112">
        <v>1.80457</v>
      </c>
      <c r="AO67" s="112">
        <v>6.13278E-3</v>
      </c>
      <c r="AP67" s="112">
        <v>1.79844</v>
      </c>
      <c r="AQ67" s="112"/>
      <c r="AR67" s="112">
        <v>7.9962</v>
      </c>
      <c r="AS67" s="112">
        <v>206.239</v>
      </c>
      <c r="AT67" s="112">
        <v>3.5004900000000001</v>
      </c>
      <c r="AU67" s="112">
        <v>46.9161</v>
      </c>
      <c r="AV67" s="112">
        <v>3.56351</v>
      </c>
      <c r="AW67" s="112">
        <v>62.203800000000001</v>
      </c>
      <c r="AX67" s="112">
        <v>3.7627999999999999</v>
      </c>
      <c r="AY67" s="112">
        <v>51.049500000000002</v>
      </c>
      <c r="AZ67" s="112">
        <v>51.049500000000002</v>
      </c>
      <c r="BA67" s="112">
        <v>8.3999000000000006</v>
      </c>
      <c r="BB67" s="112">
        <v>18.745899999999999</v>
      </c>
      <c r="BC67" s="112">
        <v>3.38843E-3</v>
      </c>
      <c r="BD67" s="112"/>
      <c r="BE67" s="112"/>
      <c r="BF67" s="112"/>
      <c r="BG67" s="112"/>
      <c r="BH67" s="112"/>
      <c r="BI67" s="112">
        <v>1193.29</v>
      </c>
      <c r="BJ67" s="112">
        <v>1193.04</v>
      </c>
      <c r="BK67" s="112">
        <v>970.18100000000004</v>
      </c>
      <c r="BL67" s="112">
        <v>2.9308899999999999E-2</v>
      </c>
      <c r="BM67" s="112">
        <v>3.8371199999999999E-3</v>
      </c>
      <c r="BN67" s="112">
        <v>102</v>
      </c>
      <c r="BO67" s="112">
        <v>0.282719</v>
      </c>
      <c r="BP67" s="112">
        <v>114.56699999999999</v>
      </c>
      <c r="BQ67" s="112">
        <v>1.8242700000000001</v>
      </c>
      <c r="BR67" s="112">
        <v>1.8242700000000001</v>
      </c>
      <c r="BS67" s="112">
        <v>6.9999499999999996E-3</v>
      </c>
      <c r="BT67" s="112">
        <v>1.8172699999999999</v>
      </c>
      <c r="BU67" s="112"/>
      <c r="BV67" s="112">
        <v>7.4230299999999998</v>
      </c>
      <c r="BW67" s="112">
        <v>194.08099999999999</v>
      </c>
      <c r="BX67" s="112">
        <v>3.7599100000000001</v>
      </c>
      <c r="BY67" s="112">
        <v>46.923999999999999</v>
      </c>
      <c r="BZ67" s="112">
        <v>4.02461</v>
      </c>
      <c r="CA67">
        <v>62.217700000000001</v>
      </c>
      <c r="CB67">
        <v>4.2479100000000001</v>
      </c>
      <c r="CC67">
        <v>48.787799999999997</v>
      </c>
      <c r="CD67">
        <v>48.787799999999997</v>
      </c>
      <c r="CE67">
        <v>7.7914300000000001</v>
      </c>
      <c r="CF67">
        <v>18.751999999999999</v>
      </c>
      <c r="CG67">
        <v>3.8221100000000001E-3</v>
      </c>
      <c r="CM67">
        <v>1194.51</v>
      </c>
      <c r="CN67">
        <v>1194.25</v>
      </c>
      <c r="CO67">
        <v>1005.39</v>
      </c>
      <c r="CP67">
        <v>3.00589E-2</v>
      </c>
      <c r="CQ67">
        <v>7.8489000000000007E-3</v>
      </c>
      <c r="CR67">
        <v>102</v>
      </c>
      <c r="CS67">
        <v>2.5790000000000002</v>
      </c>
      <c r="CT67">
        <v>115.179</v>
      </c>
      <c r="CU67">
        <v>5.9621700000000004</v>
      </c>
      <c r="CV67">
        <v>5.9621700000000004</v>
      </c>
      <c r="CW67">
        <v>4.6796499999999998E-2</v>
      </c>
      <c r="CX67">
        <v>5.9153700000000002</v>
      </c>
      <c r="CY67">
        <v>0</v>
      </c>
      <c r="CZ67">
        <v>7.6546200000000004</v>
      </c>
      <c r="DA67">
        <v>193.44900000000001</v>
      </c>
      <c r="DB67">
        <v>12.3284</v>
      </c>
      <c r="DC67">
        <v>46.860999999999997</v>
      </c>
      <c r="DD67">
        <v>3.81799</v>
      </c>
      <c r="DE67">
        <v>62.134500000000003</v>
      </c>
      <c r="DF67">
        <v>4.2757100000000001</v>
      </c>
      <c r="DG67">
        <v>49.543199999999999</v>
      </c>
      <c r="DH67">
        <v>49.543199999999999</v>
      </c>
      <c r="DI67">
        <v>8.0161700000000007</v>
      </c>
      <c r="DJ67">
        <v>18.7272</v>
      </c>
      <c r="DK67">
        <v>7.7807700000000002E-3</v>
      </c>
      <c r="DQ67">
        <v>1214.02</v>
      </c>
      <c r="DR67">
        <v>1213.51</v>
      </c>
      <c r="DS67">
        <v>1289.6500000000001</v>
      </c>
      <c r="DT67">
        <v>0.286466</v>
      </c>
      <c r="DU67">
        <v>0.639316</v>
      </c>
      <c r="DV67">
        <v>105</v>
      </c>
      <c r="DW67">
        <v>0.46907799999999999</v>
      </c>
      <c r="DX67">
        <v>762.16399999999999</v>
      </c>
      <c r="DY67">
        <v>8.6313500000000001E-2</v>
      </c>
      <c r="DZ67">
        <v>2.9170199999999999</v>
      </c>
      <c r="EA67">
        <v>5.5181599999999997E-2</v>
      </c>
      <c r="EB67">
        <v>1.0521199999999999</v>
      </c>
      <c r="EC67">
        <v>0</v>
      </c>
      <c r="ED67">
        <v>6.0910200000000003</v>
      </c>
      <c r="EE67">
        <v>138.74700000000001</v>
      </c>
      <c r="EF67">
        <v>3.19584</v>
      </c>
      <c r="EG67">
        <v>46.929000000000002</v>
      </c>
      <c r="EH67">
        <v>5.5019099999999996</v>
      </c>
      <c r="EI67">
        <v>62.248600000000003</v>
      </c>
      <c r="EJ67">
        <v>8.3298400000000008</v>
      </c>
      <c r="EK67">
        <v>41.991999999999997</v>
      </c>
      <c r="EL67">
        <v>41.991999999999997</v>
      </c>
      <c r="EM67">
        <v>6.0446600000000004</v>
      </c>
      <c r="EN67">
        <v>18.7746</v>
      </c>
      <c r="EO67">
        <v>0.40664299999999998</v>
      </c>
    </row>
    <row r="68" spans="1:145" x14ac:dyDescent="0.2">
      <c r="A68" s="86"/>
      <c r="B68" s="442"/>
      <c r="C68" s="510"/>
      <c r="E68" s="394"/>
      <c r="F68" s="8"/>
      <c r="K68" s="1"/>
      <c r="L68" s="1"/>
      <c r="AD68" s="112"/>
      <c r="AE68" s="112">
        <v>1193.29</v>
      </c>
      <c r="AF68" s="112">
        <v>1193.04</v>
      </c>
      <c r="AG68" s="112">
        <v>868.26199999999994</v>
      </c>
      <c r="AH68" s="112">
        <v>2.5962599999999999E-2</v>
      </c>
      <c r="AI68" s="112">
        <v>3.3998800000000001E-3</v>
      </c>
      <c r="AJ68" s="112">
        <v>102</v>
      </c>
      <c r="AK68" s="112">
        <v>0.24754000000000001</v>
      </c>
      <c r="AL68" s="112">
        <v>101.389</v>
      </c>
      <c r="AM68" s="112">
        <v>1.80402</v>
      </c>
      <c r="AN68" s="112">
        <v>1.80402</v>
      </c>
      <c r="AO68" s="112">
        <v>6.1334600000000003E-3</v>
      </c>
      <c r="AP68" s="112">
        <v>1.79789</v>
      </c>
      <c r="AQ68" s="112"/>
      <c r="AR68" s="112">
        <v>7.9935999999999998</v>
      </c>
      <c r="AS68" s="112">
        <v>206.208</v>
      </c>
      <c r="AT68" s="112">
        <v>3.49952</v>
      </c>
      <c r="AU68" s="112">
        <v>46.915700000000001</v>
      </c>
      <c r="AV68" s="112">
        <v>3.5636100000000002</v>
      </c>
      <c r="AW68" s="112">
        <v>62.203299999999999</v>
      </c>
      <c r="AX68" s="112">
        <v>3.7629800000000002</v>
      </c>
      <c r="AY68" s="112">
        <v>51.0473</v>
      </c>
      <c r="AZ68" s="112">
        <v>51.0473</v>
      </c>
      <c r="BA68" s="112">
        <v>8.3994599999999995</v>
      </c>
      <c r="BB68" s="112">
        <v>18.745799999999999</v>
      </c>
      <c r="BC68" s="112">
        <v>3.3884399999999999E-3</v>
      </c>
      <c r="BD68" s="112"/>
      <c r="BE68" s="112"/>
      <c r="BF68" s="112"/>
      <c r="BG68" s="112"/>
      <c r="BH68" s="112"/>
      <c r="BI68" s="112">
        <v>1194.51</v>
      </c>
      <c r="BJ68" s="112">
        <v>1194.25</v>
      </c>
      <c r="BK68" s="112">
        <v>970.298</v>
      </c>
      <c r="BL68" s="112">
        <v>2.9309700000000001E-2</v>
      </c>
      <c r="BM68" s="112">
        <v>3.8372499999999999E-3</v>
      </c>
      <c r="BN68" s="112">
        <v>102</v>
      </c>
      <c r="BO68" s="112">
        <v>0.282997</v>
      </c>
      <c r="BP68" s="112">
        <v>114.68300000000001</v>
      </c>
      <c r="BQ68" s="112">
        <v>1.82423</v>
      </c>
      <c r="BR68" s="112">
        <v>1.82423</v>
      </c>
      <c r="BS68" s="112">
        <v>7.0000100000000001E-3</v>
      </c>
      <c r="BT68" s="112">
        <v>1.8172299999999999</v>
      </c>
      <c r="BU68" s="112"/>
      <c r="BV68" s="112">
        <v>7.4228300000000003</v>
      </c>
      <c r="BW68" s="112">
        <v>194.07900000000001</v>
      </c>
      <c r="BX68" s="112">
        <v>3.7598600000000002</v>
      </c>
      <c r="BY68" s="112">
        <v>46.9236</v>
      </c>
      <c r="BZ68" s="112">
        <v>4.0247200000000003</v>
      </c>
      <c r="CA68">
        <v>62.217199999999998</v>
      </c>
      <c r="CB68">
        <v>4.2480200000000004</v>
      </c>
      <c r="CC68">
        <v>48.785699999999999</v>
      </c>
      <c r="CD68">
        <v>48.785699999999999</v>
      </c>
      <c r="CE68">
        <v>7.7910000000000004</v>
      </c>
      <c r="CF68">
        <v>18.751899999999999</v>
      </c>
      <c r="CG68">
        <v>3.82212E-3</v>
      </c>
      <c r="CM68">
        <v>1204.26</v>
      </c>
      <c r="CN68">
        <v>1203.8800000000001</v>
      </c>
      <c r="CO68">
        <v>1006.34</v>
      </c>
      <c r="CP68">
        <v>2.9943000000000001E-2</v>
      </c>
      <c r="CQ68">
        <v>7.8504100000000004E-3</v>
      </c>
      <c r="CR68">
        <v>102</v>
      </c>
      <c r="CS68">
        <v>2.5990600000000001</v>
      </c>
      <c r="CT68">
        <v>116.105</v>
      </c>
      <c r="CU68">
        <v>5.9612699999999998</v>
      </c>
      <c r="CV68">
        <v>5.9612699999999998</v>
      </c>
      <c r="CW68">
        <v>4.6798399999999997E-2</v>
      </c>
      <c r="CX68">
        <v>5.9144699999999997</v>
      </c>
      <c r="CY68">
        <v>0</v>
      </c>
      <c r="CZ68">
        <v>7.6535099999999998</v>
      </c>
      <c r="DA68">
        <v>193.434</v>
      </c>
      <c r="DB68">
        <v>12.3277</v>
      </c>
      <c r="DC68">
        <v>46.857700000000001</v>
      </c>
      <c r="DD68">
        <v>3.81873</v>
      </c>
      <c r="DE68">
        <v>62.13</v>
      </c>
      <c r="DF68">
        <v>4.2764899999999999</v>
      </c>
      <c r="DG68">
        <v>49.524999999999999</v>
      </c>
      <c r="DH68">
        <v>49.524999999999999</v>
      </c>
      <c r="DI68">
        <v>8.0127699999999997</v>
      </c>
      <c r="DJ68">
        <v>18.7257</v>
      </c>
      <c r="DK68">
        <v>7.7813300000000004E-3</v>
      </c>
      <c r="DQ68">
        <v>1216.76</v>
      </c>
      <c r="DR68">
        <v>1216.17</v>
      </c>
      <c r="DS68">
        <v>1292.3699999999999</v>
      </c>
      <c r="DT68">
        <v>0.30285200000000001</v>
      </c>
      <c r="DU68">
        <v>0.69646200000000003</v>
      </c>
      <c r="DV68">
        <v>105</v>
      </c>
      <c r="DW68">
        <v>0.46976499999999999</v>
      </c>
      <c r="DX68">
        <v>764.803</v>
      </c>
      <c r="DY68">
        <v>7.9233499999999998E-2</v>
      </c>
      <c r="DZ68">
        <v>3.4502999999999999</v>
      </c>
      <c r="EA68">
        <v>5.5183099999999999E-2</v>
      </c>
      <c r="EB68">
        <v>1.0472999999999999</v>
      </c>
      <c r="EC68">
        <v>0</v>
      </c>
      <c r="ED68">
        <v>6.07212</v>
      </c>
      <c r="EE68">
        <v>138.44399999999999</v>
      </c>
      <c r="EF68">
        <v>3.1863999999999999</v>
      </c>
      <c r="EG68">
        <v>46.928400000000003</v>
      </c>
      <c r="EH68">
        <v>5.5135399999999999</v>
      </c>
      <c r="EI68">
        <v>62.247900000000001</v>
      </c>
      <c r="EJ68">
        <v>8.3533000000000008</v>
      </c>
      <c r="EK68">
        <v>41.938699999999997</v>
      </c>
      <c r="EL68">
        <v>41.938699999999997</v>
      </c>
      <c r="EM68">
        <v>6.0317400000000001</v>
      </c>
      <c r="EN68">
        <v>18.7745</v>
      </c>
      <c r="EO68">
        <v>0.40729500000000002</v>
      </c>
    </row>
    <row r="69" spans="1:145" x14ac:dyDescent="0.2">
      <c r="A69" s="86"/>
      <c r="B69" s="442"/>
      <c r="C69" s="510"/>
      <c r="E69" s="394"/>
      <c r="F69" s="8"/>
      <c r="K69" s="1"/>
      <c r="L69" s="1"/>
      <c r="AD69" s="112"/>
      <c r="AE69" s="112">
        <v>1194.51</v>
      </c>
      <c r="AF69" s="112">
        <v>1194.25</v>
      </c>
      <c r="AG69" s="112">
        <v>868.36599999999999</v>
      </c>
      <c r="AH69" s="112">
        <v>2.5963400000000001E-2</v>
      </c>
      <c r="AI69" s="112">
        <v>3.3999999999999998E-3</v>
      </c>
      <c r="AJ69" s="112">
        <v>102</v>
      </c>
      <c r="AK69" s="112">
        <v>0.247784</v>
      </c>
      <c r="AL69" s="112">
        <v>101.492</v>
      </c>
      <c r="AM69" s="112">
        <v>1.8039700000000001</v>
      </c>
      <c r="AN69" s="112">
        <v>1.8039700000000001</v>
      </c>
      <c r="AO69" s="112">
        <v>6.13351E-3</v>
      </c>
      <c r="AP69" s="112">
        <v>1.7978400000000001</v>
      </c>
      <c r="AQ69" s="112"/>
      <c r="AR69" s="112">
        <v>7.9933899999999998</v>
      </c>
      <c r="AS69" s="112">
        <v>206.20500000000001</v>
      </c>
      <c r="AT69" s="112">
        <v>3.4994700000000001</v>
      </c>
      <c r="AU69" s="112">
        <v>46.915300000000002</v>
      </c>
      <c r="AV69" s="112">
        <v>3.5637099999999999</v>
      </c>
      <c r="AW69" s="112">
        <v>62.202800000000003</v>
      </c>
      <c r="AX69" s="112">
        <v>3.76308</v>
      </c>
      <c r="AY69" s="112">
        <v>51.045099999999998</v>
      </c>
      <c r="AZ69" s="112">
        <v>51.045099999999998</v>
      </c>
      <c r="BA69" s="112">
        <v>8.3990200000000002</v>
      </c>
      <c r="BB69" s="112">
        <v>18.745699999999999</v>
      </c>
      <c r="BC69" s="112">
        <v>3.3884499999999999E-3</v>
      </c>
      <c r="BD69" s="112"/>
      <c r="BE69" s="112"/>
      <c r="BF69" s="112"/>
      <c r="BG69" s="112"/>
      <c r="BH69" s="112"/>
      <c r="BI69" s="112">
        <v>1204.26</v>
      </c>
      <c r="BJ69" s="112">
        <v>1203.8800000000001</v>
      </c>
      <c r="BK69" s="112">
        <v>971.23299999999995</v>
      </c>
      <c r="BL69" s="112">
        <v>2.9194899999999999E-2</v>
      </c>
      <c r="BM69" s="112">
        <v>3.8380200000000001E-3</v>
      </c>
      <c r="BN69" s="112">
        <v>102</v>
      </c>
      <c r="BO69" s="112">
        <v>0.285217</v>
      </c>
      <c r="BP69" s="112">
        <v>115.60299999999999</v>
      </c>
      <c r="BQ69" s="112">
        <v>1.8239300000000001</v>
      </c>
      <c r="BR69" s="112">
        <v>1.8239300000000001</v>
      </c>
      <c r="BS69" s="112">
        <v>7.0002700000000003E-3</v>
      </c>
      <c r="BT69" s="112">
        <v>1.8169299999999999</v>
      </c>
      <c r="BU69" s="112"/>
      <c r="BV69" s="112">
        <v>7.4217300000000002</v>
      </c>
      <c r="BW69" s="112">
        <v>194.06299999999999</v>
      </c>
      <c r="BX69" s="112">
        <v>3.7596400000000001</v>
      </c>
      <c r="BY69" s="112">
        <v>46.920499999999997</v>
      </c>
      <c r="BZ69" s="112">
        <v>4.0255799999999997</v>
      </c>
      <c r="CA69">
        <v>62.213099999999997</v>
      </c>
      <c r="CB69">
        <v>4.2489100000000004</v>
      </c>
      <c r="CC69">
        <v>48.768500000000003</v>
      </c>
      <c r="CD69">
        <v>48.768500000000003</v>
      </c>
      <c r="CE69">
        <v>7.7876500000000002</v>
      </c>
      <c r="CF69">
        <v>18.750699999999998</v>
      </c>
      <c r="CG69">
        <v>3.8222500000000001E-3</v>
      </c>
      <c r="CM69">
        <v>1214.02</v>
      </c>
      <c r="CN69">
        <v>1213.51</v>
      </c>
      <c r="CO69">
        <v>1007.3</v>
      </c>
      <c r="CP69">
        <v>2.9948499999999999E-2</v>
      </c>
      <c r="CQ69">
        <v>7.8524800000000002E-3</v>
      </c>
      <c r="CR69">
        <v>102</v>
      </c>
      <c r="CS69">
        <v>2.6191200000000001</v>
      </c>
      <c r="CT69">
        <v>117.03100000000001</v>
      </c>
      <c r="CU69">
        <v>5.9601300000000004</v>
      </c>
      <c r="CV69">
        <v>5.9601300000000004</v>
      </c>
      <c r="CW69">
        <v>4.6801799999999998E-2</v>
      </c>
      <c r="CX69">
        <v>5.9133199999999997</v>
      </c>
      <c r="CY69">
        <v>0</v>
      </c>
      <c r="CZ69">
        <v>7.6518899999999999</v>
      </c>
      <c r="DA69">
        <v>193.416</v>
      </c>
      <c r="DB69">
        <v>12.326499999999999</v>
      </c>
      <c r="DC69">
        <v>46.854399999999998</v>
      </c>
      <c r="DD69">
        <v>3.8194699999999999</v>
      </c>
      <c r="DE69">
        <v>62.125500000000002</v>
      </c>
      <c r="DF69">
        <v>4.2773199999999996</v>
      </c>
      <c r="DG69">
        <v>49.506700000000002</v>
      </c>
      <c r="DH69">
        <v>49.506700000000002</v>
      </c>
      <c r="DI69">
        <v>8.0093599999999991</v>
      </c>
      <c r="DJ69">
        <v>18.724299999999999</v>
      </c>
      <c r="DK69">
        <v>7.7818999999999996E-3</v>
      </c>
      <c r="DQ69">
        <v>1219.5</v>
      </c>
      <c r="DR69">
        <v>1218.82</v>
      </c>
      <c r="DS69">
        <v>1295.0999999999999</v>
      </c>
      <c r="DT69">
        <v>0.30320900000000001</v>
      </c>
      <c r="DU69">
        <v>0.69734499999999999</v>
      </c>
      <c r="DV69">
        <v>105</v>
      </c>
      <c r="DW69">
        <v>0.47044999999999998</v>
      </c>
      <c r="DX69">
        <v>767.44500000000005</v>
      </c>
      <c r="DY69">
        <v>7.9134099999999999E-2</v>
      </c>
      <c r="DZ69">
        <v>3.4530699999999999</v>
      </c>
      <c r="EA69">
        <v>5.5183700000000002E-2</v>
      </c>
      <c r="EB69">
        <v>1.0450900000000001</v>
      </c>
      <c r="EC69">
        <v>0</v>
      </c>
      <c r="ED69">
        <v>6.0634600000000001</v>
      </c>
      <c r="EE69">
        <v>138.30500000000001</v>
      </c>
      <c r="EF69">
        <v>3.1831999999999998</v>
      </c>
      <c r="EG69">
        <v>46.927700000000002</v>
      </c>
      <c r="EH69">
        <v>5.5251799999999998</v>
      </c>
      <c r="EI69">
        <v>62.247199999999999</v>
      </c>
      <c r="EJ69">
        <v>8.3700399999999995</v>
      </c>
      <c r="EK69">
        <v>41.8855</v>
      </c>
      <c r="EL69">
        <v>41.8855</v>
      </c>
      <c r="EM69">
        <v>6.0188300000000003</v>
      </c>
      <c r="EN69">
        <v>18.7744</v>
      </c>
      <c r="EO69">
        <v>0.40794599999999998</v>
      </c>
    </row>
    <row r="70" spans="1:145" x14ac:dyDescent="0.2">
      <c r="A70" s="86"/>
      <c r="B70" s="442"/>
      <c r="C70" s="510"/>
      <c r="E70" s="394"/>
      <c r="F70" s="8"/>
      <c r="K70" s="1"/>
      <c r="L70" s="1"/>
      <c r="AD70" s="112"/>
      <c r="AE70" s="112">
        <v>1204.26</v>
      </c>
      <c r="AF70" s="112">
        <v>1203.8800000000001</v>
      </c>
      <c r="AG70" s="112">
        <v>869.19299999999998</v>
      </c>
      <c r="AH70" s="112">
        <v>2.5861800000000001E-2</v>
      </c>
      <c r="AI70" s="112">
        <v>3.40069E-3</v>
      </c>
      <c r="AJ70" s="112">
        <v>102</v>
      </c>
      <c r="AK70" s="112">
        <v>0.24973500000000001</v>
      </c>
      <c r="AL70" s="112">
        <v>102.307</v>
      </c>
      <c r="AM70" s="112">
        <v>1.8036799999999999</v>
      </c>
      <c r="AN70" s="112">
        <v>1.8036799999999999</v>
      </c>
      <c r="AO70" s="112">
        <v>6.1337300000000004E-3</v>
      </c>
      <c r="AP70" s="112">
        <v>1.7975399999999999</v>
      </c>
      <c r="AQ70" s="112"/>
      <c r="AR70" s="112">
        <v>7.99221</v>
      </c>
      <c r="AS70" s="112">
        <v>206.18799999999999</v>
      </c>
      <c r="AT70" s="112">
        <v>3.4992700000000001</v>
      </c>
      <c r="AU70" s="112">
        <v>46.912100000000002</v>
      </c>
      <c r="AV70" s="112">
        <v>3.5645099999999998</v>
      </c>
      <c r="AW70" s="112">
        <v>62.198700000000002</v>
      </c>
      <c r="AX70" s="112">
        <v>3.7639</v>
      </c>
      <c r="AY70" s="112">
        <v>51.0276</v>
      </c>
      <c r="AZ70" s="112">
        <v>51.0276</v>
      </c>
      <c r="BA70" s="112">
        <v>8.3954900000000006</v>
      </c>
      <c r="BB70" s="112">
        <v>18.744499999999999</v>
      </c>
      <c r="BC70" s="112">
        <v>3.3885500000000002E-3</v>
      </c>
      <c r="BD70" s="112"/>
      <c r="BE70" s="112"/>
      <c r="BF70" s="112"/>
      <c r="BG70" s="112"/>
      <c r="BH70" s="112"/>
      <c r="BI70" s="112">
        <v>1214.02</v>
      </c>
      <c r="BJ70" s="112">
        <v>1213.51</v>
      </c>
      <c r="BK70" s="112">
        <v>972.16700000000003</v>
      </c>
      <c r="BL70" s="112">
        <v>2.9201299999999999E-2</v>
      </c>
      <c r="BM70" s="112">
        <v>3.8391100000000002E-3</v>
      </c>
      <c r="BN70" s="112">
        <v>102</v>
      </c>
      <c r="BO70" s="112">
        <v>0.287437</v>
      </c>
      <c r="BP70" s="112">
        <v>116.523</v>
      </c>
      <c r="BQ70" s="112">
        <v>1.8235300000000001</v>
      </c>
      <c r="BR70" s="112">
        <v>1.8235300000000001</v>
      </c>
      <c r="BS70" s="112">
        <v>7.0007200000000002E-3</v>
      </c>
      <c r="BT70" s="112">
        <v>1.81653</v>
      </c>
      <c r="BU70" s="112"/>
      <c r="BV70" s="112">
        <v>7.4200999999999997</v>
      </c>
      <c r="BW70" s="112">
        <v>194.042</v>
      </c>
      <c r="BX70" s="112">
        <v>3.7592400000000001</v>
      </c>
      <c r="BY70" s="112">
        <v>46.917400000000001</v>
      </c>
      <c r="BZ70" s="112">
        <v>4.0265000000000004</v>
      </c>
      <c r="CA70">
        <v>62.209200000000003</v>
      </c>
      <c r="CB70">
        <v>4.2498699999999996</v>
      </c>
      <c r="CC70">
        <v>48.751300000000001</v>
      </c>
      <c r="CD70">
        <v>48.751300000000001</v>
      </c>
      <c r="CE70">
        <v>7.7842599999999997</v>
      </c>
      <c r="CF70">
        <v>18.749600000000001</v>
      </c>
      <c r="CG70">
        <v>3.8223799999999998E-3</v>
      </c>
      <c r="CM70">
        <v>1216.76</v>
      </c>
      <c r="CN70">
        <v>1216.17</v>
      </c>
      <c r="CO70">
        <v>1007.57</v>
      </c>
      <c r="CP70">
        <v>2.93917E-2</v>
      </c>
      <c r="CQ70">
        <v>7.8537999999999993E-3</v>
      </c>
      <c r="CR70">
        <v>102</v>
      </c>
      <c r="CS70">
        <v>2.6247600000000002</v>
      </c>
      <c r="CT70">
        <v>117.282</v>
      </c>
      <c r="CU70">
        <v>5.9593999999999996</v>
      </c>
      <c r="CV70">
        <v>5.9593999999999996</v>
      </c>
      <c r="CW70">
        <v>4.6803999999999998E-2</v>
      </c>
      <c r="CX70">
        <v>5.9126000000000003</v>
      </c>
      <c r="CY70">
        <v>0</v>
      </c>
      <c r="CZ70">
        <v>7.6508599999999998</v>
      </c>
      <c r="DA70">
        <v>193.404</v>
      </c>
      <c r="DB70">
        <v>12.3254</v>
      </c>
      <c r="DC70">
        <v>46.853400000000001</v>
      </c>
      <c r="DD70">
        <v>3.8196599999999998</v>
      </c>
      <c r="DE70">
        <v>62.124200000000002</v>
      </c>
      <c r="DF70">
        <v>4.2775800000000004</v>
      </c>
      <c r="DG70">
        <v>49.5017</v>
      </c>
      <c r="DH70">
        <v>49.5017</v>
      </c>
      <c r="DI70">
        <v>8.0084300000000006</v>
      </c>
      <c r="DJ70">
        <v>18.7239</v>
      </c>
      <c r="DK70">
        <v>7.7820600000000004E-3</v>
      </c>
      <c r="DQ70">
        <v>1222.25</v>
      </c>
      <c r="DR70">
        <v>1221.44</v>
      </c>
      <c r="DS70">
        <v>1297.8699999999999</v>
      </c>
      <c r="DT70">
        <v>0.30730200000000002</v>
      </c>
      <c r="DU70">
        <v>0.720221</v>
      </c>
      <c r="DV70">
        <v>105</v>
      </c>
      <c r="DW70">
        <v>0.471134</v>
      </c>
      <c r="DX70">
        <v>770.08199999999999</v>
      </c>
      <c r="DY70">
        <v>7.6621400000000006E-2</v>
      </c>
      <c r="DZ70">
        <v>3.72749</v>
      </c>
      <c r="EA70">
        <v>5.5184299999999999E-2</v>
      </c>
      <c r="EB70">
        <v>1.04287</v>
      </c>
      <c r="EC70">
        <v>0</v>
      </c>
      <c r="ED70">
        <v>6.0547599999999999</v>
      </c>
      <c r="EE70">
        <v>138.166</v>
      </c>
      <c r="EF70">
        <v>3.1800099999999998</v>
      </c>
      <c r="EG70">
        <v>46.927</v>
      </c>
      <c r="EH70">
        <v>5.5369900000000003</v>
      </c>
      <c r="EI70">
        <v>62.246499999999997</v>
      </c>
      <c r="EJ70">
        <v>8.3870000000000005</v>
      </c>
      <c r="EK70">
        <v>41.831499999999998</v>
      </c>
      <c r="EL70">
        <v>41.831499999999998</v>
      </c>
      <c r="EM70">
        <v>6.0057400000000003</v>
      </c>
      <c r="EN70">
        <v>18.7743</v>
      </c>
      <c r="EO70">
        <v>0.40864600000000001</v>
      </c>
    </row>
    <row r="71" spans="1:145" x14ac:dyDescent="0.2">
      <c r="A71" s="86"/>
      <c r="B71" s="442"/>
      <c r="C71" s="510"/>
      <c r="E71" s="394"/>
      <c r="F71" s="8"/>
      <c r="K71" s="1"/>
      <c r="L71" s="1"/>
      <c r="AD71" s="112"/>
      <c r="AE71" s="112">
        <v>1214.02</v>
      </c>
      <c r="AF71" s="112">
        <v>1213.51</v>
      </c>
      <c r="AG71" s="112">
        <v>870.02099999999996</v>
      </c>
      <c r="AH71" s="112">
        <v>2.58677E-2</v>
      </c>
      <c r="AI71" s="112">
        <v>3.4016900000000002E-3</v>
      </c>
      <c r="AJ71" s="112">
        <v>102</v>
      </c>
      <c r="AK71" s="112">
        <v>0.25168600000000002</v>
      </c>
      <c r="AL71" s="112">
        <v>103.122</v>
      </c>
      <c r="AM71" s="112">
        <v>1.8032600000000001</v>
      </c>
      <c r="AN71" s="112">
        <v>1.8032600000000001</v>
      </c>
      <c r="AO71" s="112">
        <v>6.1341299999999998E-3</v>
      </c>
      <c r="AP71" s="112">
        <v>1.7971200000000001</v>
      </c>
      <c r="AQ71" s="112"/>
      <c r="AR71" s="112">
        <v>7.9904400000000004</v>
      </c>
      <c r="AS71" s="112">
        <v>206.16399999999999</v>
      </c>
      <c r="AT71" s="112">
        <v>3.4988800000000002</v>
      </c>
      <c r="AU71" s="112">
        <v>46.908999999999999</v>
      </c>
      <c r="AV71" s="112">
        <v>3.5653600000000001</v>
      </c>
      <c r="AW71" s="112">
        <v>62.194699999999997</v>
      </c>
      <c r="AX71" s="112">
        <v>3.7648000000000001</v>
      </c>
      <c r="AY71" s="112">
        <v>51.010199999999998</v>
      </c>
      <c r="AZ71" s="112">
        <v>51.010199999999998</v>
      </c>
      <c r="BA71" s="112">
        <v>8.39194</v>
      </c>
      <c r="BB71" s="112">
        <v>18.743400000000001</v>
      </c>
      <c r="BC71" s="112">
        <v>3.38865E-3</v>
      </c>
      <c r="BD71" s="112"/>
      <c r="BE71" s="112"/>
      <c r="BF71" s="112"/>
      <c r="BG71" s="112"/>
      <c r="BH71" s="112"/>
      <c r="BI71" s="112">
        <v>1216.76</v>
      </c>
      <c r="BJ71" s="112">
        <v>1216.17</v>
      </c>
      <c r="BK71" s="112">
        <v>972.42499999999995</v>
      </c>
      <c r="BL71" s="112">
        <v>2.8648799999999999E-2</v>
      </c>
      <c r="BM71" s="112">
        <v>3.8398199999999999E-3</v>
      </c>
      <c r="BN71" s="112">
        <v>102</v>
      </c>
      <c r="BO71" s="112">
        <v>0.28806199999999998</v>
      </c>
      <c r="BP71" s="112">
        <v>116.77200000000001</v>
      </c>
      <c r="BQ71" s="112">
        <v>1.8232600000000001</v>
      </c>
      <c r="BR71" s="112">
        <v>1.8232600000000001</v>
      </c>
      <c r="BS71" s="112">
        <v>7.0010000000000003E-3</v>
      </c>
      <c r="BT71" s="112">
        <v>1.81626</v>
      </c>
      <c r="BU71" s="112"/>
      <c r="BV71" s="112">
        <v>7.4190500000000004</v>
      </c>
      <c r="BW71" s="112">
        <v>194.02799999999999</v>
      </c>
      <c r="BX71" s="112">
        <v>3.7588200000000001</v>
      </c>
      <c r="BY71" s="112">
        <v>46.916600000000003</v>
      </c>
      <c r="BZ71" s="112">
        <v>4.0267499999999998</v>
      </c>
      <c r="CA71">
        <v>62.207999999999998</v>
      </c>
      <c r="CB71">
        <v>4.2501499999999997</v>
      </c>
      <c r="CC71">
        <v>48.746600000000001</v>
      </c>
      <c r="CD71">
        <v>48.746600000000001</v>
      </c>
      <c r="CE71">
        <v>7.7833300000000003</v>
      </c>
      <c r="CF71">
        <v>18.749199999999998</v>
      </c>
      <c r="CG71">
        <v>3.82242E-3</v>
      </c>
      <c r="CM71">
        <v>1219.5</v>
      </c>
      <c r="CN71">
        <v>1218.82</v>
      </c>
      <c r="CO71">
        <v>1007.83</v>
      </c>
      <c r="CP71">
        <v>2.9393099999999998E-2</v>
      </c>
      <c r="CQ71">
        <v>7.8543499999999995E-3</v>
      </c>
      <c r="CR71">
        <v>102</v>
      </c>
      <c r="CS71">
        <v>2.6304099999999999</v>
      </c>
      <c r="CT71">
        <v>117.532</v>
      </c>
      <c r="CU71">
        <v>5.9591099999999999</v>
      </c>
      <c r="CV71">
        <v>5.9591099999999999</v>
      </c>
      <c r="CW71">
        <v>4.6804900000000003E-2</v>
      </c>
      <c r="CX71">
        <v>5.9123099999999997</v>
      </c>
      <c r="CY71">
        <v>0</v>
      </c>
      <c r="CZ71">
        <v>7.6504300000000001</v>
      </c>
      <c r="DA71">
        <v>193.399</v>
      </c>
      <c r="DB71">
        <v>12.325100000000001</v>
      </c>
      <c r="DC71">
        <v>46.852499999999999</v>
      </c>
      <c r="DD71">
        <v>3.8198500000000002</v>
      </c>
      <c r="DE71">
        <v>62.122999999999998</v>
      </c>
      <c r="DF71">
        <v>4.2777900000000004</v>
      </c>
      <c r="DG71">
        <v>49.496600000000001</v>
      </c>
      <c r="DH71">
        <v>49.496600000000001</v>
      </c>
      <c r="DI71">
        <v>8.0074900000000007</v>
      </c>
      <c r="DJ71">
        <v>18.723500000000001</v>
      </c>
      <c r="DK71">
        <v>7.7822300000000002E-3</v>
      </c>
      <c r="DQ71">
        <v>1224.99</v>
      </c>
      <c r="DR71">
        <v>1224.06</v>
      </c>
      <c r="DS71">
        <v>1300.6400000000001</v>
      </c>
      <c r="DT71">
        <v>0.30766700000000002</v>
      </c>
      <c r="DU71">
        <v>0.72114400000000001</v>
      </c>
      <c r="DV71">
        <v>105</v>
      </c>
      <c r="DW71">
        <v>0.47181499999999998</v>
      </c>
      <c r="DX71">
        <v>772.72299999999996</v>
      </c>
      <c r="DY71">
        <v>7.6524099999999998E-2</v>
      </c>
      <c r="DZ71">
        <v>3.7318600000000002</v>
      </c>
      <c r="EA71">
        <v>5.5184900000000002E-2</v>
      </c>
      <c r="EB71">
        <v>1.0406500000000001</v>
      </c>
      <c r="EC71">
        <v>0</v>
      </c>
      <c r="ED71">
        <v>6.0460099999999999</v>
      </c>
      <c r="EE71">
        <v>138.02600000000001</v>
      </c>
      <c r="EF71">
        <v>3.17679</v>
      </c>
      <c r="EG71">
        <v>46.926299999999998</v>
      </c>
      <c r="EH71">
        <v>5.5488200000000001</v>
      </c>
      <c r="EI71">
        <v>62.245800000000003</v>
      </c>
      <c r="EJ71">
        <v>8.4040199999999992</v>
      </c>
      <c r="EK71">
        <v>41.777500000000003</v>
      </c>
      <c r="EL71">
        <v>41.777500000000003</v>
      </c>
      <c r="EM71">
        <v>5.9926700000000004</v>
      </c>
      <c r="EN71">
        <v>18.7742</v>
      </c>
      <c r="EO71">
        <v>0.40934399999999999</v>
      </c>
    </row>
    <row r="72" spans="1:145" x14ac:dyDescent="0.2">
      <c r="A72" s="86"/>
      <c r="B72" s="442"/>
      <c r="C72" s="510"/>
      <c r="E72" s="394"/>
      <c r="F72" s="8"/>
      <c r="K72" s="1"/>
      <c r="L72" s="1"/>
      <c r="AD72" s="112"/>
      <c r="AE72" s="112">
        <v>1216.76</v>
      </c>
      <c r="AF72" s="112">
        <v>1216.17</v>
      </c>
      <c r="AG72" s="112">
        <v>870.25</v>
      </c>
      <c r="AH72" s="112">
        <v>2.5378499999999998E-2</v>
      </c>
      <c r="AI72" s="112">
        <v>3.4023500000000002E-3</v>
      </c>
      <c r="AJ72" s="112">
        <v>102</v>
      </c>
      <c r="AK72" s="112">
        <v>0.25223499999999999</v>
      </c>
      <c r="AL72" s="112">
        <v>103.343</v>
      </c>
      <c r="AM72" s="112">
        <v>1.80298</v>
      </c>
      <c r="AN72" s="112">
        <v>1.80298</v>
      </c>
      <c r="AO72" s="112">
        <v>6.13438E-3</v>
      </c>
      <c r="AP72" s="112">
        <v>1.7968500000000001</v>
      </c>
      <c r="AQ72" s="112"/>
      <c r="AR72" s="112">
        <v>7.9892799999999999</v>
      </c>
      <c r="AS72" s="112">
        <v>206.148</v>
      </c>
      <c r="AT72" s="112">
        <v>3.4984700000000002</v>
      </c>
      <c r="AU72" s="112">
        <v>46.908099999999997</v>
      </c>
      <c r="AV72" s="112">
        <v>3.5655999999999999</v>
      </c>
      <c r="AW72" s="112">
        <v>62.193600000000004</v>
      </c>
      <c r="AX72" s="112">
        <v>3.7650700000000001</v>
      </c>
      <c r="AY72" s="112">
        <v>51.005299999999998</v>
      </c>
      <c r="AZ72" s="112">
        <v>51.005299999999998</v>
      </c>
      <c r="BA72" s="112">
        <v>8.3909699999999994</v>
      </c>
      <c r="BB72" s="112">
        <v>18.743099999999998</v>
      </c>
      <c r="BC72" s="112">
        <v>3.3886799999999998E-3</v>
      </c>
      <c r="BD72" s="112"/>
      <c r="BE72" s="112"/>
      <c r="BF72" s="112"/>
      <c r="BG72" s="112"/>
      <c r="BH72" s="112"/>
      <c r="BI72" s="112">
        <v>1219.5</v>
      </c>
      <c r="BJ72" s="112">
        <v>1218.82</v>
      </c>
      <c r="BK72" s="112">
        <v>972.68299999999999</v>
      </c>
      <c r="BL72" s="112">
        <v>2.8650599999999998E-2</v>
      </c>
      <c r="BM72" s="112">
        <v>3.8401199999999998E-3</v>
      </c>
      <c r="BN72" s="112">
        <v>102</v>
      </c>
      <c r="BO72" s="112">
        <v>0.288686</v>
      </c>
      <c r="BP72" s="112">
        <v>117.02200000000001</v>
      </c>
      <c r="BQ72" s="112">
        <v>1.82315</v>
      </c>
      <c r="BR72" s="112">
        <v>1.82315</v>
      </c>
      <c r="BS72" s="112">
        <v>7.0011300000000004E-3</v>
      </c>
      <c r="BT72" s="112">
        <v>1.8161499999999999</v>
      </c>
      <c r="BU72" s="112"/>
      <c r="BV72" s="112">
        <v>7.41859</v>
      </c>
      <c r="BW72" s="112">
        <v>194.02199999999999</v>
      </c>
      <c r="BX72" s="112">
        <v>3.7587100000000002</v>
      </c>
      <c r="BY72" s="112">
        <v>46.915700000000001</v>
      </c>
      <c r="BZ72" s="112">
        <v>4.0270000000000001</v>
      </c>
      <c r="CA72">
        <v>62.206899999999997</v>
      </c>
      <c r="CB72">
        <v>4.2504200000000001</v>
      </c>
      <c r="CC72">
        <v>48.741799999999998</v>
      </c>
      <c r="CD72">
        <v>48.741799999999998</v>
      </c>
      <c r="CE72">
        <v>7.7824</v>
      </c>
      <c r="CF72">
        <v>18.748899999999999</v>
      </c>
      <c r="CG72">
        <v>3.8224600000000002E-3</v>
      </c>
      <c r="CM72">
        <v>1222.25</v>
      </c>
      <c r="CN72">
        <v>1221.44</v>
      </c>
      <c r="CO72">
        <v>1008.09</v>
      </c>
      <c r="CP72">
        <v>2.8965299999999999E-2</v>
      </c>
      <c r="CQ72">
        <v>7.8548799999999998E-3</v>
      </c>
      <c r="CR72">
        <v>102</v>
      </c>
      <c r="CS72">
        <v>2.63605</v>
      </c>
      <c r="CT72">
        <v>117.776</v>
      </c>
      <c r="CU72">
        <v>5.9588299999999998</v>
      </c>
      <c r="CV72">
        <v>5.9588299999999998</v>
      </c>
      <c r="CW72">
        <v>4.6805899999999998E-2</v>
      </c>
      <c r="CX72">
        <v>5.9120200000000001</v>
      </c>
      <c r="CY72">
        <v>0</v>
      </c>
      <c r="CZ72">
        <v>7.65001</v>
      </c>
      <c r="DA72">
        <v>193.39500000000001</v>
      </c>
      <c r="DB72">
        <v>12.3248</v>
      </c>
      <c r="DC72">
        <v>46.851599999999998</v>
      </c>
      <c r="DD72">
        <v>3.82003</v>
      </c>
      <c r="DE72">
        <v>62.121699999999997</v>
      </c>
      <c r="DF72">
        <v>4.2779800000000003</v>
      </c>
      <c r="DG72">
        <v>49.491700000000002</v>
      </c>
      <c r="DH72">
        <v>49.491700000000002</v>
      </c>
      <c r="DI72">
        <v>8.0065799999999996</v>
      </c>
      <c r="DJ72">
        <v>18.723099999999999</v>
      </c>
      <c r="DK72">
        <v>7.7823900000000001E-3</v>
      </c>
      <c r="DQ72">
        <v>1228.04</v>
      </c>
      <c r="DR72">
        <v>1226.92</v>
      </c>
      <c r="DS72">
        <v>1303.72</v>
      </c>
      <c r="DT72">
        <v>0.30857200000000001</v>
      </c>
      <c r="DU72">
        <v>0.73519000000000001</v>
      </c>
      <c r="DV72">
        <v>105</v>
      </c>
      <c r="DW72">
        <v>0.47257100000000002</v>
      </c>
      <c r="DX72">
        <v>775.62400000000002</v>
      </c>
      <c r="DY72">
        <v>7.5063000000000005E-2</v>
      </c>
      <c r="DZ72">
        <v>3.9209499999999999</v>
      </c>
      <c r="EA72">
        <v>5.5185600000000001E-2</v>
      </c>
      <c r="EB72">
        <v>1.0383100000000001</v>
      </c>
      <c r="EC72">
        <v>0</v>
      </c>
      <c r="ED72">
        <v>6.0367899999999999</v>
      </c>
      <c r="EE72">
        <v>137.87899999999999</v>
      </c>
      <c r="EF72">
        <v>3.1735099999999998</v>
      </c>
      <c r="EG72">
        <v>46.925600000000003</v>
      </c>
      <c r="EH72">
        <v>5.5620099999999999</v>
      </c>
      <c r="EI72">
        <v>62.245100000000001</v>
      </c>
      <c r="EJ72">
        <v>8.4226500000000009</v>
      </c>
      <c r="EK72">
        <v>41.717500000000001</v>
      </c>
      <c r="EL72">
        <v>41.717500000000001</v>
      </c>
      <c r="EM72">
        <v>5.9781199999999997</v>
      </c>
      <c r="EN72">
        <v>18.774100000000001</v>
      </c>
      <c r="EO72">
        <v>0.41015099999999999</v>
      </c>
    </row>
    <row r="73" spans="1:145" x14ac:dyDescent="0.2">
      <c r="A73" s="86"/>
      <c r="B73" s="442"/>
      <c r="C73" s="510"/>
      <c r="E73" s="394"/>
      <c r="F73" s="8"/>
      <c r="K73" s="1"/>
      <c r="L73" s="1"/>
      <c r="AD73" s="112"/>
      <c r="AE73" s="112">
        <v>1219.5</v>
      </c>
      <c r="AF73" s="112">
        <v>1218.82</v>
      </c>
      <c r="AG73" s="112">
        <v>870.47799999999995</v>
      </c>
      <c r="AH73" s="112">
        <v>2.5380199999999999E-2</v>
      </c>
      <c r="AI73" s="112">
        <v>3.4026299999999998E-3</v>
      </c>
      <c r="AJ73" s="112">
        <v>102</v>
      </c>
      <c r="AK73" s="112">
        <v>0.25278299999999998</v>
      </c>
      <c r="AL73" s="112">
        <v>103.563</v>
      </c>
      <c r="AM73" s="112">
        <v>1.80287</v>
      </c>
      <c r="AN73" s="112">
        <v>1.80287</v>
      </c>
      <c r="AO73" s="112">
        <v>6.1344900000000003E-3</v>
      </c>
      <c r="AP73" s="112">
        <v>1.7967299999999999</v>
      </c>
      <c r="AQ73" s="112"/>
      <c r="AR73" s="112">
        <v>7.9887899999999998</v>
      </c>
      <c r="AS73" s="112">
        <v>206.142</v>
      </c>
      <c r="AT73" s="112">
        <v>3.4983599999999999</v>
      </c>
      <c r="AU73" s="112">
        <v>46.907200000000003</v>
      </c>
      <c r="AV73" s="112">
        <v>3.5658300000000001</v>
      </c>
      <c r="AW73" s="112">
        <v>62.192500000000003</v>
      </c>
      <c r="AX73" s="112">
        <v>3.76532</v>
      </c>
      <c r="AY73" s="112">
        <v>51.000500000000002</v>
      </c>
      <c r="AZ73" s="112">
        <v>51.000500000000002</v>
      </c>
      <c r="BA73" s="112">
        <v>8.3899899999999992</v>
      </c>
      <c r="BB73" s="112">
        <v>18.742799999999999</v>
      </c>
      <c r="BC73" s="112">
        <v>3.38872E-3</v>
      </c>
      <c r="BD73" s="112"/>
      <c r="BE73" s="112"/>
      <c r="BF73" s="112"/>
      <c r="BG73" s="112"/>
      <c r="BH73" s="112"/>
      <c r="BI73" s="112">
        <v>1222.25</v>
      </c>
      <c r="BJ73" s="112">
        <v>1221.44</v>
      </c>
      <c r="BK73" s="112">
        <v>972.93700000000001</v>
      </c>
      <c r="BL73" s="112">
        <v>2.8225900000000002E-2</v>
      </c>
      <c r="BM73" s="112">
        <v>3.8404200000000002E-3</v>
      </c>
      <c r="BN73" s="112">
        <v>102</v>
      </c>
      <c r="BO73" s="112">
        <v>0.28931000000000001</v>
      </c>
      <c r="BP73" s="112">
        <v>117.26300000000001</v>
      </c>
      <c r="BQ73" s="112">
        <v>1.82304</v>
      </c>
      <c r="BR73" s="112">
        <v>1.82304</v>
      </c>
      <c r="BS73" s="112">
        <v>7.0012499999999997E-3</v>
      </c>
      <c r="BT73" s="112">
        <v>1.8160400000000001</v>
      </c>
      <c r="BU73" s="112"/>
      <c r="BV73" s="112">
        <v>7.4181400000000002</v>
      </c>
      <c r="BW73" s="112">
        <v>194.01599999999999</v>
      </c>
      <c r="BX73" s="112">
        <v>3.7585899999999999</v>
      </c>
      <c r="BY73" s="112">
        <v>46.914900000000003</v>
      </c>
      <c r="BZ73" s="112">
        <v>4.0272399999999999</v>
      </c>
      <c r="CA73">
        <v>62.205800000000004</v>
      </c>
      <c r="CB73">
        <v>4.2506700000000004</v>
      </c>
      <c r="CC73">
        <v>48.737099999999998</v>
      </c>
      <c r="CD73">
        <v>48.737099999999998</v>
      </c>
      <c r="CE73">
        <v>7.7814899999999998</v>
      </c>
      <c r="CF73">
        <v>18.7486</v>
      </c>
      <c r="CG73">
        <v>3.8224999999999999E-3</v>
      </c>
      <c r="CM73">
        <v>1224.99</v>
      </c>
      <c r="CN73">
        <v>1224.06</v>
      </c>
      <c r="CO73">
        <v>1008.35</v>
      </c>
      <c r="CP73">
        <v>2.8966599999999999E-2</v>
      </c>
      <c r="CQ73">
        <v>7.8553900000000003E-3</v>
      </c>
      <c r="CR73">
        <v>102</v>
      </c>
      <c r="CS73">
        <v>2.6416900000000001</v>
      </c>
      <c r="CT73">
        <v>118.01900000000001</v>
      </c>
      <c r="CU73">
        <v>5.9585600000000003</v>
      </c>
      <c r="CV73">
        <v>5.9585600000000003</v>
      </c>
      <c r="CW73">
        <v>4.6806800000000003E-2</v>
      </c>
      <c r="CX73">
        <v>5.9117499999999996</v>
      </c>
      <c r="CY73">
        <v>0</v>
      </c>
      <c r="CZ73">
        <v>7.6495899999999999</v>
      </c>
      <c r="DA73">
        <v>193.39</v>
      </c>
      <c r="DB73">
        <v>12.3245</v>
      </c>
      <c r="DC73">
        <v>46.850700000000003</v>
      </c>
      <c r="DD73">
        <v>3.8201999999999998</v>
      </c>
      <c r="DE73">
        <v>62.120399999999997</v>
      </c>
      <c r="DF73">
        <v>4.2781700000000003</v>
      </c>
      <c r="DG73">
        <v>49.486699999999999</v>
      </c>
      <c r="DH73">
        <v>49.486699999999999</v>
      </c>
      <c r="DI73">
        <v>8.0056799999999999</v>
      </c>
      <c r="DJ73">
        <v>18.7227</v>
      </c>
      <c r="DK73">
        <v>7.7825500000000001E-3</v>
      </c>
      <c r="DQ73">
        <v>1231.0899999999999</v>
      </c>
      <c r="DR73">
        <v>1229.79</v>
      </c>
      <c r="DS73">
        <v>1306.81</v>
      </c>
      <c r="DT73">
        <v>0.308979</v>
      </c>
      <c r="DU73">
        <v>0.73623700000000003</v>
      </c>
      <c r="DV73">
        <v>105</v>
      </c>
      <c r="DW73">
        <v>0.473325</v>
      </c>
      <c r="DX73">
        <v>778.529</v>
      </c>
      <c r="DY73">
        <v>7.4957099999999999E-2</v>
      </c>
      <c r="DZ73">
        <v>3.92719</v>
      </c>
      <c r="EA73">
        <v>5.5186199999999998E-2</v>
      </c>
      <c r="EB73">
        <v>1.0358499999999999</v>
      </c>
      <c r="EC73">
        <v>0</v>
      </c>
      <c r="ED73">
        <v>6.0270900000000003</v>
      </c>
      <c r="EE73">
        <v>137.72300000000001</v>
      </c>
      <c r="EF73">
        <v>3.16994</v>
      </c>
      <c r="EG73">
        <v>46.924900000000001</v>
      </c>
      <c r="EH73">
        <v>5.5752199999999998</v>
      </c>
      <c r="EI73">
        <v>62.244300000000003</v>
      </c>
      <c r="EJ73">
        <v>8.44163</v>
      </c>
      <c r="EK73">
        <v>41.657299999999999</v>
      </c>
      <c r="EL73">
        <v>41.657299999999999</v>
      </c>
      <c r="EM73">
        <v>5.9635699999999998</v>
      </c>
      <c r="EN73">
        <v>18.774000000000001</v>
      </c>
      <c r="EO73">
        <v>0.41095700000000002</v>
      </c>
    </row>
    <row r="74" spans="1:145" x14ac:dyDescent="0.2">
      <c r="A74" s="86"/>
      <c r="B74" s="442"/>
      <c r="C74" s="510"/>
      <c r="E74" s="394"/>
      <c r="F74" s="8"/>
      <c r="K74" s="1"/>
      <c r="L74" s="1"/>
      <c r="AD74" s="112"/>
      <c r="AE74" s="112">
        <v>1219.74</v>
      </c>
      <c r="AF74" s="112">
        <v>1219.05</v>
      </c>
      <c r="AG74" s="112">
        <v>870.49800000000005</v>
      </c>
      <c r="AH74" s="112">
        <v>2.5004999999999999E-2</v>
      </c>
      <c r="AI74" s="112">
        <v>3.4027599999999999E-3</v>
      </c>
      <c r="AJ74" s="112">
        <v>102</v>
      </c>
      <c r="AK74" s="112">
        <v>0.25283099999999997</v>
      </c>
      <c r="AL74" s="112">
        <v>103.58199999999999</v>
      </c>
      <c r="AM74" s="112">
        <v>1.8028200000000001</v>
      </c>
      <c r="AN74" s="112">
        <v>1.8028200000000001</v>
      </c>
      <c r="AO74" s="112">
        <v>6.1345499999999999E-3</v>
      </c>
      <c r="AP74" s="112">
        <v>1.7966800000000001</v>
      </c>
      <c r="AQ74" s="112"/>
      <c r="AR74" s="112">
        <v>7.98855</v>
      </c>
      <c r="AS74" s="112">
        <v>206.13900000000001</v>
      </c>
      <c r="AT74" s="112">
        <v>3.4982700000000002</v>
      </c>
      <c r="AU74" s="112">
        <v>46.907200000000003</v>
      </c>
      <c r="AV74" s="112">
        <v>3.5658500000000002</v>
      </c>
      <c r="AW74" s="112">
        <v>62.192399999999999</v>
      </c>
      <c r="AX74" s="112">
        <v>3.7653400000000001</v>
      </c>
      <c r="AY74" s="112">
        <v>51.000100000000003</v>
      </c>
      <c r="AZ74" s="112">
        <v>51.000100000000003</v>
      </c>
      <c r="BA74" s="112">
        <v>8.3899000000000008</v>
      </c>
      <c r="BB74" s="112">
        <v>18.742799999999999</v>
      </c>
      <c r="BC74" s="112">
        <v>3.38872E-3</v>
      </c>
      <c r="BD74" s="112"/>
      <c r="BE74" s="112"/>
      <c r="BF74" s="112"/>
      <c r="BG74" s="112"/>
      <c r="BH74" s="112"/>
      <c r="BI74" s="112">
        <v>1224.99</v>
      </c>
      <c r="BJ74" s="112">
        <v>1224.06</v>
      </c>
      <c r="BK74" s="112">
        <v>973.19100000000003</v>
      </c>
      <c r="BL74" s="112">
        <v>2.8227599999999999E-2</v>
      </c>
      <c r="BM74" s="112">
        <v>3.8407200000000002E-3</v>
      </c>
      <c r="BN74" s="112">
        <v>102</v>
      </c>
      <c r="BO74" s="112">
        <v>0.289935</v>
      </c>
      <c r="BP74" s="112">
        <v>117.505</v>
      </c>
      <c r="BQ74" s="112">
        <v>1.8229299999999999</v>
      </c>
      <c r="BR74" s="112">
        <v>1.8229299999999999</v>
      </c>
      <c r="BS74" s="112">
        <v>7.0013699999999998E-3</v>
      </c>
      <c r="BT74" s="112">
        <v>1.81593</v>
      </c>
      <c r="BU74" s="112"/>
      <c r="BV74" s="112">
        <v>7.4177</v>
      </c>
      <c r="BW74" s="112">
        <v>194.01</v>
      </c>
      <c r="BX74" s="112">
        <v>3.75848</v>
      </c>
      <c r="BY74" s="112">
        <v>46.914000000000001</v>
      </c>
      <c r="BZ74" s="112">
        <v>4.0274799999999997</v>
      </c>
      <c r="CA74">
        <v>62.204700000000003</v>
      </c>
      <c r="CB74">
        <v>4.2509199999999998</v>
      </c>
      <c r="CC74">
        <v>48.732399999999998</v>
      </c>
      <c r="CD74">
        <v>48.732399999999998</v>
      </c>
      <c r="CE74">
        <v>7.78057</v>
      </c>
      <c r="CF74">
        <v>18.7483</v>
      </c>
      <c r="CG74">
        <v>3.8225400000000001E-3</v>
      </c>
      <c r="CM74">
        <v>1228.04</v>
      </c>
      <c r="CN74">
        <v>1226.92</v>
      </c>
      <c r="CO74">
        <v>1008.64</v>
      </c>
      <c r="CP74">
        <v>2.85703E-2</v>
      </c>
      <c r="CQ74">
        <v>7.8559200000000006E-3</v>
      </c>
      <c r="CR74">
        <v>102</v>
      </c>
      <c r="CS74">
        <v>2.6479499999999998</v>
      </c>
      <c r="CT74">
        <v>118.282</v>
      </c>
      <c r="CU74">
        <v>5.9582800000000002</v>
      </c>
      <c r="CV74">
        <v>5.9582800000000002</v>
      </c>
      <c r="CW74">
        <v>4.6807799999999997E-2</v>
      </c>
      <c r="CX74">
        <v>5.9114800000000001</v>
      </c>
      <c r="CY74">
        <v>0</v>
      </c>
      <c r="CZ74">
        <v>7.6491699999999998</v>
      </c>
      <c r="DA74">
        <v>193.386</v>
      </c>
      <c r="DB74">
        <v>12.324299999999999</v>
      </c>
      <c r="DC74">
        <v>46.849600000000002</v>
      </c>
      <c r="DD74">
        <v>3.8203800000000001</v>
      </c>
      <c r="DE74">
        <v>62.119</v>
      </c>
      <c r="DF74">
        <v>4.2783699999999998</v>
      </c>
      <c r="DG74">
        <v>49.481200000000001</v>
      </c>
      <c r="DH74">
        <v>49.481200000000001</v>
      </c>
      <c r="DI74">
        <v>8.0046800000000005</v>
      </c>
      <c r="DJ74">
        <v>18.722200000000001</v>
      </c>
      <c r="DK74">
        <v>7.7827299999999999E-3</v>
      </c>
      <c r="DQ74">
        <v>1233.83</v>
      </c>
      <c r="DR74">
        <v>1232.32</v>
      </c>
      <c r="DS74">
        <v>1309.58</v>
      </c>
      <c r="DT74">
        <v>0.30760700000000002</v>
      </c>
      <c r="DU74">
        <v>0.74792800000000004</v>
      </c>
      <c r="DV74">
        <v>105</v>
      </c>
      <c r="DW74">
        <v>0.47400199999999998</v>
      </c>
      <c r="DX74">
        <v>781.08500000000004</v>
      </c>
      <c r="DY74">
        <v>7.3786299999999999E-2</v>
      </c>
      <c r="DZ74">
        <v>4.1001200000000004</v>
      </c>
      <c r="EA74">
        <v>5.5186899999999997E-2</v>
      </c>
      <c r="EB74">
        <v>1.03352</v>
      </c>
      <c r="EC74">
        <v>0</v>
      </c>
      <c r="ED74">
        <v>6.0179200000000002</v>
      </c>
      <c r="EE74">
        <v>137.577</v>
      </c>
      <c r="EF74">
        <v>3.1664400000000001</v>
      </c>
      <c r="EG74">
        <v>46.924199999999999</v>
      </c>
      <c r="EH74">
        <v>5.58704</v>
      </c>
      <c r="EI74">
        <v>62.243600000000001</v>
      </c>
      <c r="EJ74">
        <v>8.4589700000000008</v>
      </c>
      <c r="EK74">
        <v>41.6036</v>
      </c>
      <c r="EL74">
        <v>41.6036</v>
      </c>
      <c r="EM74">
        <v>5.9505800000000004</v>
      </c>
      <c r="EN74">
        <v>18.773900000000001</v>
      </c>
      <c r="EO74">
        <v>0.41170499999999999</v>
      </c>
    </row>
    <row r="75" spans="1:145" x14ac:dyDescent="0.2">
      <c r="A75" s="86"/>
      <c r="B75" s="442"/>
      <c r="C75" s="510"/>
      <c r="E75" s="394"/>
      <c r="F75" s="8"/>
      <c r="K75" s="1"/>
      <c r="L75" s="1"/>
      <c r="AD75" s="112"/>
      <c r="AE75" s="112">
        <v>1219.98</v>
      </c>
      <c r="AF75" s="112">
        <v>1219.28</v>
      </c>
      <c r="AG75" s="112">
        <v>870.51700000000005</v>
      </c>
      <c r="AH75" s="112">
        <v>2.5005099999999999E-2</v>
      </c>
      <c r="AI75" s="112">
        <v>3.4027900000000002E-3</v>
      </c>
      <c r="AJ75" s="112">
        <v>102</v>
      </c>
      <c r="AK75" s="112">
        <v>0.25287900000000002</v>
      </c>
      <c r="AL75" s="112">
        <v>103.601</v>
      </c>
      <c r="AM75" s="112">
        <v>1.80281</v>
      </c>
      <c r="AN75" s="112">
        <v>1.80281</v>
      </c>
      <c r="AO75" s="112">
        <v>6.1345599999999998E-3</v>
      </c>
      <c r="AP75" s="112">
        <v>1.79667</v>
      </c>
      <c r="AQ75" s="112"/>
      <c r="AR75" s="112">
        <v>7.9885099999999998</v>
      </c>
      <c r="AS75" s="112">
        <v>206.13800000000001</v>
      </c>
      <c r="AT75" s="112">
        <v>3.4982600000000001</v>
      </c>
      <c r="AU75" s="112">
        <v>46.9071</v>
      </c>
      <c r="AV75" s="112">
        <v>3.5658699999999999</v>
      </c>
      <c r="AW75" s="112">
        <v>62.192300000000003</v>
      </c>
      <c r="AX75" s="112">
        <v>3.7653599999999998</v>
      </c>
      <c r="AY75" s="112">
        <v>50.999600000000001</v>
      </c>
      <c r="AZ75" s="112">
        <v>50.999600000000001</v>
      </c>
      <c r="BA75" s="112">
        <v>8.3898100000000007</v>
      </c>
      <c r="BB75" s="112">
        <v>18.742699999999999</v>
      </c>
      <c r="BC75" s="112">
        <v>3.38872E-3</v>
      </c>
      <c r="BD75" s="112"/>
      <c r="BE75" s="112"/>
      <c r="BF75" s="112"/>
      <c r="BG75" s="112"/>
      <c r="BH75" s="112"/>
      <c r="BI75" s="112">
        <v>1228.04</v>
      </c>
      <c r="BJ75" s="112">
        <v>1226.92</v>
      </c>
      <c r="BK75" s="112">
        <v>973.46900000000005</v>
      </c>
      <c r="BL75" s="112">
        <v>2.7834299999999999E-2</v>
      </c>
      <c r="BM75" s="112">
        <v>3.8410300000000001E-3</v>
      </c>
      <c r="BN75" s="112">
        <v>102</v>
      </c>
      <c r="BO75" s="112">
        <v>0.290628</v>
      </c>
      <c r="BP75" s="112">
        <v>117.76600000000001</v>
      </c>
      <c r="BQ75" s="112">
        <v>1.8228200000000001</v>
      </c>
      <c r="BR75" s="112">
        <v>1.8228200000000001</v>
      </c>
      <c r="BS75" s="112">
        <v>7.0014999999999999E-3</v>
      </c>
      <c r="BT75" s="112">
        <v>1.81582</v>
      </c>
      <c r="BU75" s="112"/>
      <c r="BV75" s="112">
        <v>7.4172399999999996</v>
      </c>
      <c r="BW75" s="112">
        <v>194.00399999999999</v>
      </c>
      <c r="BX75" s="112">
        <v>3.7583700000000002</v>
      </c>
      <c r="BY75" s="112">
        <v>46.9131</v>
      </c>
      <c r="BZ75" s="112">
        <v>4.02773</v>
      </c>
      <c r="CA75">
        <v>62.203499999999998</v>
      </c>
      <c r="CB75">
        <v>4.2511900000000002</v>
      </c>
      <c r="CC75">
        <v>48.7273</v>
      </c>
      <c r="CD75">
        <v>48.7273</v>
      </c>
      <c r="CE75">
        <v>7.7795699999999997</v>
      </c>
      <c r="CF75">
        <v>18.747900000000001</v>
      </c>
      <c r="CG75">
        <v>3.8225899999999998E-3</v>
      </c>
      <c r="CM75">
        <v>1231.0899999999999</v>
      </c>
      <c r="CN75">
        <v>1229.79</v>
      </c>
      <c r="CO75">
        <v>1008.92</v>
      </c>
      <c r="CP75">
        <v>2.85715E-2</v>
      </c>
      <c r="CQ75">
        <v>7.8564700000000008E-3</v>
      </c>
      <c r="CR75">
        <v>102</v>
      </c>
      <c r="CS75">
        <v>2.65422</v>
      </c>
      <c r="CT75">
        <v>118.545</v>
      </c>
      <c r="CU75">
        <v>5.9580099999999998</v>
      </c>
      <c r="CV75">
        <v>5.9580099999999998</v>
      </c>
      <c r="CW75">
        <v>4.6808900000000001E-2</v>
      </c>
      <c r="CX75">
        <v>5.9112</v>
      </c>
      <c r="CY75">
        <v>0</v>
      </c>
      <c r="CZ75">
        <v>7.64872</v>
      </c>
      <c r="DA75">
        <v>193.381</v>
      </c>
      <c r="DB75">
        <v>12.324</v>
      </c>
      <c r="DC75">
        <v>46.848599999999998</v>
      </c>
      <c r="DD75">
        <v>3.82056</v>
      </c>
      <c r="DE75">
        <v>62.117600000000003</v>
      </c>
      <c r="DF75">
        <v>4.2785700000000002</v>
      </c>
      <c r="DG75">
        <v>49.4758</v>
      </c>
      <c r="DH75">
        <v>49.4758</v>
      </c>
      <c r="DI75">
        <v>8.0036799999999992</v>
      </c>
      <c r="DJ75">
        <v>18.721800000000002</v>
      </c>
      <c r="DK75">
        <v>7.7829199999999996E-3</v>
      </c>
      <c r="DQ75">
        <v>1236.57</v>
      </c>
      <c r="DR75">
        <v>1234.8499999999999</v>
      </c>
      <c r="DS75">
        <v>1312.35</v>
      </c>
      <c r="DT75">
        <v>0.30796800000000002</v>
      </c>
      <c r="DU75">
        <v>0.74887999999999999</v>
      </c>
      <c r="DV75">
        <v>105</v>
      </c>
      <c r="DW75">
        <v>0.47467799999999999</v>
      </c>
      <c r="DX75">
        <v>783.64400000000001</v>
      </c>
      <c r="DY75">
        <v>7.3693400000000006E-2</v>
      </c>
      <c r="DZ75">
        <v>4.1069500000000003</v>
      </c>
      <c r="EA75">
        <v>5.51875E-2</v>
      </c>
      <c r="EB75">
        <v>1.0313399999999999</v>
      </c>
      <c r="EC75">
        <v>0</v>
      </c>
      <c r="ED75">
        <v>6.0092800000000004</v>
      </c>
      <c r="EE75">
        <v>137.43899999999999</v>
      </c>
      <c r="EF75">
        <v>3.1632600000000002</v>
      </c>
      <c r="EG75">
        <v>46.923499999999997</v>
      </c>
      <c r="EH75">
        <v>5.5988800000000003</v>
      </c>
      <c r="EI75">
        <v>62.242899999999999</v>
      </c>
      <c r="EJ75">
        <v>8.4759799999999998</v>
      </c>
      <c r="EK75">
        <v>41.549799999999998</v>
      </c>
      <c r="EL75">
        <v>41.549799999999998</v>
      </c>
      <c r="EM75">
        <v>5.9375900000000001</v>
      </c>
      <c r="EN75">
        <v>18.773800000000001</v>
      </c>
      <c r="EO75">
        <v>0.41245100000000001</v>
      </c>
    </row>
    <row r="76" spans="1:145" x14ac:dyDescent="0.2">
      <c r="A76" s="86"/>
      <c r="B76" s="442"/>
      <c r="C76" s="510"/>
      <c r="E76" s="394"/>
      <c r="F76" s="8"/>
      <c r="K76" s="1"/>
      <c r="L76" s="1"/>
      <c r="AD76" s="112"/>
      <c r="AE76" s="112">
        <v>1219.98</v>
      </c>
      <c r="AF76" s="112">
        <v>1219.28</v>
      </c>
      <c r="AG76" s="112">
        <v>3829.06</v>
      </c>
      <c r="AH76" s="112">
        <v>2.5005099999999999E-2</v>
      </c>
      <c r="AI76" s="112"/>
      <c r="AJ76" s="112">
        <v>-30</v>
      </c>
      <c r="AK76" s="112">
        <v>0.25287900000000002</v>
      </c>
      <c r="AL76" s="112">
        <v>103.601</v>
      </c>
      <c r="AM76" s="112"/>
      <c r="AN76" s="112"/>
      <c r="AO76" s="112">
        <v>9.73034</v>
      </c>
      <c r="AP76" s="112">
        <v>647.66200000000003</v>
      </c>
      <c r="AQ76" s="112"/>
      <c r="AR76" s="112"/>
      <c r="AS76" s="112"/>
      <c r="AT76" s="112">
        <v>2672.07</v>
      </c>
      <c r="AU76" s="112">
        <v>46.992800000000003</v>
      </c>
      <c r="AV76" s="112">
        <v>15.8271</v>
      </c>
      <c r="AW76" s="112">
        <v>62.730699999999999</v>
      </c>
      <c r="AX76" s="112">
        <v>16.5213</v>
      </c>
      <c r="AY76" s="112">
        <v>12.1538</v>
      </c>
      <c r="AZ76" s="112">
        <v>12.1538</v>
      </c>
      <c r="BA76" s="112">
        <v>0.47511199999999998</v>
      </c>
      <c r="BB76" s="112">
        <v>19.138200000000001</v>
      </c>
      <c r="BC76" s="112">
        <v>3.38872E-3</v>
      </c>
      <c r="BD76" s="112"/>
      <c r="BE76" s="112"/>
      <c r="BF76" s="112"/>
      <c r="BG76" s="112"/>
      <c r="BH76" s="112"/>
      <c r="BI76" s="112">
        <v>1231.0899999999999</v>
      </c>
      <c r="BJ76" s="112">
        <v>1229.79</v>
      </c>
      <c r="BK76" s="112">
        <v>973.74699999999996</v>
      </c>
      <c r="BL76" s="112">
        <v>2.7836099999999999E-2</v>
      </c>
      <c r="BM76" s="112">
        <v>3.8413499999999999E-3</v>
      </c>
      <c r="BN76" s="112">
        <v>102</v>
      </c>
      <c r="BO76" s="112">
        <v>0.29132200000000003</v>
      </c>
      <c r="BP76" s="112">
        <v>118.027</v>
      </c>
      <c r="BQ76" s="112">
        <v>1.8227100000000001</v>
      </c>
      <c r="BR76" s="112">
        <v>1.8227100000000001</v>
      </c>
      <c r="BS76" s="112">
        <v>7.0016399999999999E-3</v>
      </c>
      <c r="BT76" s="112">
        <v>1.8157000000000001</v>
      </c>
      <c r="BU76" s="112"/>
      <c r="BV76" s="112">
        <v>7.41676</v>
      </c>
      <c r="BW76" s="112">
        <v>193.99799999999999</v>
      </c>
      <c r="BX76" s="112">
        <v>3.7582499999999999</v>
      </c>
      <c r="BY76" s="112">
        <v>46.912199999999999</v>
      </c>
      <c r="BZ76" s="112">
        <v>4.0279999999999996</v>
      </c>
      <c r="CA76">
        <v>62.202300000000001</v>
      </c>
      <c r="CB76">
        <v>4.2514599999999998</v>
      </c>
      <c r="CC76">
        <v>48.722200000000001</v>
      </c>
      <c r="CD76">
        <v>48.722200000000001</v>
      </c>
      <c r="CE76">
        <v>7.7785700000000002</v>
      </c>
      <c r="CF76">
        <v>18.747599999999998</v>
      </c>
      <c r="CG76">
        <v>3.82264E-3</v>
      </c>
      <c r="CM76">
        <v>1233.83</v>
      </c>
      <c r="CN76">
        <v>1232.32</v>
      </c>
      <c r="CO76">
        <v>1009.18</v>
      </c>
      <c r="CP76">
        <v>2.8062699999999999E-2</v>
      </c>
      <c r="CQ76">
        <v>7.8569599999999996E-3</v>
      </c>
      <c r="CR76">
        <v>102</v>
      </c>
      <c r="CS76">
        <v>2.6598600000000001</v>
      </c>
      <c r="CT76">
        <v>118.77200000000001</v>
      </c>
      <c r="CU76">
        <v>5.9577600000000004</v>
      </c>
      <c r="CV76">
        <v>5.9577600000000004</v>
      </c>
      <c r="CW76">
        <v>4.6809900000000002E-2</v>
      </c>
      <c r="CX76">
        <v>5.9109499999999997</v>
      </c>
      <c r="CY76">
        <v>0</v>
      </c>
      <c r="CZ76">
        <v>7.6483100000000004</v>
      </c>
      <c r="DA76">
        <v>193.37700000000001</v>
      </c>
      <c r="DB76">
        <v>12.323700000000001</v>
      </c>
      <c r="DC76">
        <v>46.847700000000003</v>
      </c>
      <c r="DD76">
        <v>3.8207</v>
      </c>
      <c r="DE76">
        <v>62.116300000000003</v>
      </c>
      <c r="DF76">
        <v>4.2787300000000004</v>
      </c>
      <c r="DG76">
        <v>49.4709</v>
      </c>
      <c r="DH76">
        <v>49.4709</v>
      </c>
      <c r="DI76">
        <v>8.0028199999999998</v>
      </c>
      <c r="DJ76">
        <v>18.721399999999999</v>
      </c>
      <c r="DK76">
        <v>7.7830800000000004E-3</v>
      </c>
      <c r="DQ76">
        <v>1240.08</v>
      </c>
      <c r="DR76">
        <v>1238.02</v>
      </c>
      <c r="DS76">
        <v>1315.85</v>
      </c>
      <c r="DT76">
        <v>0.30388700000000002</v>
      </c>
      <c r="DU76">
        <v>0.757633</v>
      </c>
      <c r="DV76">
        <v>105</v>
      </c>
      <c r="DW76">
        <v>0.47553899999999999</v>
      </c>
      <c r="DX76">
        <v>786.79399999999998</v>
      </c>
      <c r="DY76">
        <v>7.2842799999999999E-2</v>
      </c>
      <c r="DZ76">
        <v>4.2451299999999996</v>
      </c>
      <c r="EA76">
        <v>5.51882E-2</v>
      </c>
      <c r="EB76">
        <v>1.02888</v>
      </c>
      <c r="EC76">
        <v>0</v>
      </c>
      <c r="ED76">
        <v>5.9995500000000002</v>
      </c>
      <c r="EE76">
        <v>137.28299999999999</v>
      </c>
      <c r="EF76">
        <v>3.1599499999999998</v>
      </c>
      <c r="EG76">
        <v>46.922699999999999</v>
      </c>
      <c r="EH76">
        <v>5.6137699999999997</v>
      </c>
      <c r="EI76">
        <v>62.242100000000001</v>
      </c>
      <c r="EJ76">
        <v>8.4966299999999997</v>
      </c>
      <c r="EK76">
        <v>41.482100000000003</v>
      </c>
      <c r="EL76">
        <v>41.482100000000003</v>
      </c>
      <c r="EM76">
        <v>5.9212600000000002</v>
      </c>
      <c r="EN76">
        <v>18.773700000000002</v>
      </c>
      <c r="EO76">
        <v>0.41342499999999999</v>
      </c>
    </row>
    <row r="77" spans="1:145" x14ac:dyDescent="0.2">
      <c r="A77" s="86"/>
      <c r="B77" s="442"/>
      <c r="C77" s="510"/>
      <c r="E77" s="394"/>
      <c r="F77" s="8"/>
      <c r="K77" s="1"/>
      <c r="L77" s="1"/>
      <c r="AD77" s="112"/>
      <c r="AE77" s="112">
        <v>1222.5</v>
      </c>
      <c r="AF77" s="112">
        <v>1221.67</v>
      </c>
      <c r="AG77" s="112">
        <v>3831.45</v>
      </c>
      <c r="AH77" s="112">
        <v>0.29169</v>
      </c>
      <c r="AI77" s="112">
        <v>0.59844900000000001</v>
      </c>
      <c r="AJ77" s="112">
        <v>105</v>
      </c>
      <c r="AK77" s="112">
        <v>0.25305</v>
      </c>
      <c r="AL77" s="112">
        <v>105.886</v>
      </c>
      <c r="AM77" s="112">
        <v>1.01628E-2</v>
      </c>
      <c r="AN77" s="112">
        <v>1.00796</v>
      </c>
      <c r="AO77" s="112">
        <v>6.0819400000000001E-3</v>
      </c>
      <c r="AP77" s="112">
        <v>0.40474900000000003</v>
      </c>
      <c r="AQ77" s="112"/>
      <c r="AR77" s="112">
        <v>2.50528</v>
      </c>
      <c r="AS77" s="112">
        <v>98.404700000000005</v>
      </c>
      <c r="AT77" s="112">
        <v>1.67004</v>
      </c>
      <c r="AU77" s="112">
        <v>46.992199999999997</v>
      </c>
      <c r="AV77" s="112">
        <v>15.8302</v>
      </c>
      <c r="AW77" s="112">
        <v>62.7301</v>
      </c>
      <c r="AX77" s="112">
        <v>16.5245</v>
      </c>
      <c r="AY77" s="112">
        <v>12.147500000000001</v>
      </c>
      <c r="AZ77" s="112">
        <v>12.147500000000001</v>
      </c>
      <c r="BA77" s="112">
        <v>0.47452800000000001</v>
      </c>
      <c r="BB77" s="112">
        <v>19.138100000000001</v>
      </c>
      <c r="BC77" s="112">
        <v>4.6010699999999996E-3</v>
      </c>
      <c r="BD77" s="112"/>
      <c r="BE77" s="112"/>
      <c r="BF77" s="112"/>
      <c r="BG77" s="112"/>
      <c r="BH77" s="112"/>
      <c r="BI77" s="112">
        <v>1233.83</v>
      </c>
      <c r="BJ77" s="112">
        <v>1232.32</v>
      </c>
      <c r="BK77" s="112">
        <v>973.99300000000005</v>
      </c>
      <c r="BL77" s="112">
        <v>2.7331000000000001E-2</v>
      </c>
      <c r="BM77" s="112">
        <v>3.8416399999999999E-3</v>
      </c>
      <c r="BN77" s="112">
        <v>102</v>
      </c>
      <c r="BO77" s="112">
        <v>0.29194599999999998</v>
      </c>
      <c r="BP77" s="112">
        <v>118.254</v>
      </c>
      <c r="BQ77" s="112">
        <v>1.8226</v>
      </c>
      <c r="BR77" s="112">
        <v>1.8226</v>
      </c>
      <c r="BS77" s="112">
        <v>7.00177E-3</v>
      </c>
      <c r="BT77" s="112">
        <v>1.8156000000000001</v>
      </c>
      <c r="BU77" s="112"/>
      <c r="BV77" s="112">
        <v>7.4163100000000002</v>
      </c>
      <c r="BW77" s="112">
        <v>193.99199999999999</v>
      </c>
      <c r="BX77" s="112">
        <v>3.75813</v>
      </c>
      <c r="BY77" s="112">
        <v>46.9114</v>
      </c>
      <c r="BZ77" s="112">
        <v>4.0282099999999996</v>
      </c>
      <c r="CA77">
        <v>62.2012</v>
      </c>
      <c r="CB77">
        <v>4.25169</v>
      </c>
      <c r="CC77">
        <v>48.717599999999997</v>
      </c>
      <c r="CD77">
        <v>48.717599999999997</v>
      </c>
      <c r="CE77">
        <v>7.7777000000000003</v>
      </c>
      <c r="CF77">
        <v>18.747199999999999</v>
      </c>
      <c r="CG77">
        <v>3.8226800000000002E-3</v>
      </c>
      <c r="CM77">
        <v>1236.57</v>
      </c>
      <c r="CN77">
        <v>1234.8499999999999</v>
      </c>
      <c r="CO77">
        <v>1009.43</v>
      </c>
      <c r="CP77">
        <v>2.80637E-2</v>
      </c>
      <c r="CQ77">
        <v>7.8574200000000004E-3</v>
      </c>
      <c r="CR77">
        <v>102</v>
      </c>
      <c r="CS77">
        <v>2.6655000000000002</v>
      </c>
      <c r="CT77">
        <v>119</v>
      </c>
      <c r="CU77">
        <v>5.9575399999999998</v>
      </c>
      <c r="CV77">
        <v>5.9575399999999998</v>
      </c>
      <c r="CW77">
        <v>4.6810900000000003E-2</v>
      </c>
      <c r="CX77">
        <v>5.91073</v>
      </c>
      <c r="CY77">
        <v>0</v>
      </c>
      <c r="CZ77">
        <v>7.6479400000000002</v>
      </c>
      <c r="DA77">
        <v>193.374</v>
      </c>
      <c r="DB77">
        <v>12.323499999999999</v>
      </c>
      <c r="DC77">
        <v>46.846800000000002</v>
      </c>
      <c r="DD77">
        <v>3.8208500000000001</v>
      </c>
      <c r="DE77">
        <v>62.115099999999998</v>
      </c>
      <c r="DF77">
        <v>4.2788899999999996</v>
      </c>
      <c r="DG77">
        <v>49.466099999999997</v>
      </c>
      <c r="DH77">
        <v>49.466099999999997</v>
      </c>
      <c r="DI77">
        <v>8.0019500000000008</v>
      </c>
      <c r="DJ77">
        <v>18.721</v>
      </c>
      <c r="DK77">
        <v>7.7832400000000003E-3</v>
      </c>
      <c r="DQ77">
        <v>1243.58</v>
      </c>
      <c r="DR77">
        <v>1241.18</v>
      </c>
      <c r="DS77">
        <v>1319.35</v>
      </c>
      <c r="DT77">
        <v>0.30433399999999999</v>
      </c>
      <c r="DU77">
        <v>0.75884300000000005</v>
      </c>
      <c r="DV77">
        <v>105</v>
      </c>
      <c r="DW77">
        <v>0.47639799999999999</v>
      </c>
      <c r="DX77">
        <v>789.94899999999996</v>
      </c>
      <c r="DY77">
        <v>7.2727799999999995E-2</v>
      </c>
      <c r="DZ77">
        <v>4.2551100000000002</v>
      </c>
      <c r="EA77">
        <v>5.5188899999999999E-2</v>
      </c>
      <c r="EB77">
        <v>1.0261499999999999</v>
      </c>
      <c r="EC77">
        <v>0</v>
      </c>
      <c r="ED77">
        <v>5.9887300000000003</v>
      </c>
      <c r="EE77">
        <v>137.11000000000001</v>
      </c>
      <c r="EF77">
        <v>3.1559699999999999</v>
      </c>
      <c r="EG77">
        <v>46.921799999999998</v>
      </c>
      <c r="EH77">
        <v>5.6286899999999997</v>
      </c>
      <c r="EI77">
        <v>62.241199999999999</v>
      </c>
      <c r="EJ77">
        <v>8.5180600000000002</v>
      </c>
      <c r="EK77">
        <v>41.414499999999997</v>
      </c>
      <c r="EL77">
        <v>41.414499999999997</v>
      </c>
      <c r="EM77">
        <v>5.9049300000000002</v>
      </c>
      <c r="EN77">
        <v>18.773599999999998</v>
      </c>
      <c r="EO77">
        <v>0.41439700000000002</v>
      </c>
    </row>
    <row r="78" spans="1:145" x14ac:dyDescent="0.2">
      <c r="A78" s="86"/>
      <c r="B78" s="442"/>
      <c r="C78" s="510"/>
      <c r="E78" s="394"/>
      <c r="F78" s="8"/>
      <c r="K78" s="1"/>
      <c r="L78" s="1"/>
      <c r="AD78" s="112"/>
      <c r="AE78" s="112">
        <v>1224.99</v>
      </c>
      <c r="AF78" s="112">
        <v>1224.06</v>
      </c>
      <c r="AG78" s="112">
        <v>3833.84</v>
      </c>
      <c r="AH78" s="112">
        <v>0.29173199999999999</v>
      </c>
      <c r="AI78" s="112">
        <v>0.59856500000000001</v>
      </c>
      <c r="AJ78" s="112">
        <v>105</v>
      </c>
      <c r="AK78" s="112">
        <v>0.25322099999999997</v>
      </c>
      <c r="AL78" s="112">
        <v>108.17100000000001</v>
      </c>
      <c r="AM78" s="112">
        <v>1.0161E-2</v>
      </c>
      <c r="AN78" s="112">
        <v>1.00806</v>
      </c>
      <c r="AO78" s="112">
        <v>6.0819999999999997E-3</v>
      </c>
      <c r="AP78" s="112">
        <v>0.40466999999999997</v>
      </c>
      <c r="AQ78" s="112"/>
      <c r="AR78" s="112">
        <v>2.5046599999999999</v>
      </c>
      <c r="AS78" s="112">
        <v>98.395200000000003</v>
      </c>
      <c r="AT78" s="112">
        <v>1.66988</v>
      </c>
      <c r="AU78" s="112">
        <v>46.991500000000002</v>
      </c>
      <c r="AV78" s="112">
        <v>15.833299999999999</v>
      </c>
      <c r="AW78" s="112">
        <v>62.729500000000002</v>
      </c>
      <c r="AX78" s="112">
        <v>16.527699999999999</v>
      </c>
      <c r="AY78" s="112">
        <v>12.1412</v>
      </c>
      <c r="AZ78" s="112">
        <v>12.1412</v>
      </c>
      <c r="BA78" s="112">
        <v>0.473941</v>
      </c>
      <c r="BB78" s="112">
        <v>19.138100000000001</v>
      </c>
      <c r="BC78" s="112">
        <v>5.8087099999999999E-3</v>
      </c>
      <c r="BD78" s="112"/>
      <c r="BE78" s="112"/>
      <c r="BF78" s="112"/>
      <c r="BG78" s="112"/>
      <c r="BH78" s="112"/>
      <c r="BI78" s="112">
        <v>1236.57</v>
      </c>
      <c r="BJ78" s="112">
        <v>1234.8499999999999</v>
      </c>
      <c r="BK78" s="112">
        <v>974.23900000000003</v>
      </c>
      <c r="BL78" s="112">
        <v>2.73324E-2</v>
      </c>
      <c r="BM78" s="112">
        <v>3.84192E-3</v>
      </c>
      <c r="BN78" s="112">
        <v>102</v>
      </c>
      <c r="BO78" s="112">
        <v>0.29257</v>
      </c>
      <c r="BP78" s="112">
        <v>118.48</v>
      </c>
      <c r="BQ78" s="112">
        <v>1.8225</v>
      </c>
      <c r="BR78" s="112">
        <v>1.8225</v>
      </c>
      <c r="BS78" s="112">
        <v>7.0018900000000002E-3</v>
      </c>
      <c r="BT78" s="112">
        <v>1.8154999999999999</v>
      </c>
      <c r="BU78" s="112"/>
      <c r="BV78" s="112">
        <v>7.4158999999999997</v>
      </c>
      <c r="BW78" s="112">
        <v>193.98699999999999</v>
      </c>
      <c r="BX78" s="112">
        <v>3.7580300000000002</v>
      </c>
      <c r="BY78" s="112">
        <v>46.910499999999999</v>
      </c>
      <c r="BZ78" s="112">
        <v>4.0284399999999998</v>
      </c>
      <c r="CA78">
        <v>62.200200000000002</v>
      </c>
      <c r="CB78">
        <v>4.2519299999999998</v>
      </c>
      <c r="CC78">
        <v>48.713099999999997</v>
      </c>
      <c r="CD78">
        <v>48.713099999999997</v>
      </c>
      <c r="CE78">
        <v>7.7768199999999998</v>
      </c>
      <c r="CF78">
        <v>18.7469</v>
      </c>
      <c r="CG78">
        <v>3.8227199999999999E-3</v>
      </c>
      <c r="CM78">
        <v>1240.08</v>
      </c>
      <c r="CN78">
        <v>1238.02</v>
      </c>
      <c r="CO78">
        <v>1009.74</v>
      </c>
      <c r="CP78">
        <v>2.7422800000000001E-2</v>
      </c>
      <c r="CQ78">
        <v>7.8578999999999993E-3</v>
      </c>
      <c r="CR78">
        <v>102</v>
      </c>
      <c r="CS78">
        <v>2.6727099999999999</v>
      </c>
      <c r="CT78">
        <v>119.27800000000001</v>
      </c>
      <c r="CU78">
        <v>5.9573099999999997</v>
      </c>
      <c r="CV78">
        <v>5.9573099999999997</v>
      </c>
      <c r="CW78">
        <v>4.6811999999999999E-2</v>
      </c>
      <c r="CX78">
        <v>5.9104999999999999</v>
      </c>
      <c r="CY78">
        <v>0</v>
      </c>
      <c r="CZ78">
        <v>7.6475299999999997</v>
      </c>
      <c r="DA78">
        <v>193.37</v>
      </c>
      <c r="DB78">
        <v>12.3232</v>
      </c>
      <c r="DC78">
        <v>46.845599999999997</v>
      </c>
      <c r="DD78">
        <v>3.8210000000000002</v>
      </c>
      <c r="DE78">
        <v>62.113399999999999</v>
      </c>
      <c r="DF78">
        <v>4.2790600000000003</v>
      </c>
      <c r="DG78">
        <v>49.460099999999997</v>
      </c>
      <c r="DH78">
        <v>49.460099999999997</v>
      </c>
      <c r="DI78">
        <v>8.0008800000000004</v>
      </c>
      <c r="DJ78">
        <v>18.720400000000001</v>
      </c>
      <c r="DK78">
        <v>7.7834499999999999E-3</v>
      </c>
      <c r="DQ78">
        <v>1245.57</v>
      </c>
      <c r="DR78">
        <v>1242.9000000000001</v>
      </c>
      <c r="DS78">
        <v>1321.27</v>
      </c>
      <c r="DT78">
        <v>0.296402</v>
      </c>
      <c r="DU78">
        <v>0.76464399999999999</v>
      </c>
      <c r="DV78">
        <v>105</v>
      </c>
      <c r="DW78">
        <v>0.476883</v>
      </c>
      <c r="DX78">
        <v>791.62900000000002</v>
      </c>
      <c r="DY78">
        <v>7.2176799999999999E-2</v>
      </c>
      <c r="DZ78">
        <v>4.3510499999999999</v>
      </c>
      <c r="EA78">
        <v>5.5189500000000002E-2</v>
      </c>
      <c r="EB78">
        <v>1.0240499999999999</v>
      </c>
      <c r="EC78">
        <v>0</v>
      </c>
      <c r="ED78">
        <v>5.9803699999999997</v>
      </c>
      <c r="EE78">
        <v>136.977</v>
      </c>
      <c r="EF78">
        <v>3.1522999999999999</v>
      </c>
      <c r="EG78">
        <v>46.921399999999998</v>
      </c>
      <c r="EH78">
        <v>5.63687</v>
      </c>
      <c r="EI78">
        <v>62.240699999999997</v>
      </c>
      <c r="EJ78">
        <v>8.5314599999999992</v>
      </c>
      <c r="EK78">
        <v>41.377299999999998</v>
      </c>
      <c r="EL78">
        <v>41.377299999999998</v>
      </c>
      <c r="EM78">
        <v>5.8959900000000003</v>
      </c>
      <c r="EN78">
        <v>18.773499999999999</v>
      </c>
      <c r="EO78">
        <v>0.41495300000000002</v>
      </c>
    </row>
    <row r="79" spans="1:145" x14ac:dyDescent="0.2">
      <c r="A79" s="86"/>
      <c r="B79" s="442"/>
      <c r="C79" s="510"/>
      <c r="E79" s="394"/>
      <c r="F79" s="8"/>
      <c r="K79" s="1"/>
      <c r="L79" s="1"/>
      <c r="AD79" s="112"/>
      <c r="AE79" s="112">
        <v>1228.04</v>
      </c>
      <c r="AF79" s="112">
        <v>1226.92</v>
      </c>
      <c r="AG79" s="112">
        <v>3836.76</v>
      </c>
      <c r="AH79" s="112">
        <v>0.29165400000000002</v>
      </c>
      <c r="AI79" s="112">
        <v>0.614506</v>
      </c>
      <c r="AJ79" s="112">
        <v>105</v>
      </c>
      <c r="AK79" s="112">
        <v>0.25342900000000002</v>
      </c>
      <c r="AL79" s="112">
        <v>110.914</v>
      </c>
      <c r="AM79" s="112">
        <v>9.8974900000000001E-3</v>
      </c>
      <c r="AN79" s="112">
        <v>1.0495099999999999</v>
      </c>
      <c r="AO79" s="112">
        <v>6.0820700000000002E-3</v>
      </c>
      <c r="AP79" s="112">
        <v>0.40458100000000002</v>
      </c>
      <c r="AQ79" s="112"/>
      <c r="AR79" s="112">
        <v>2.5039699999999998</v>
      </c>
      <c r="AS79" s="112">
        <v>98.384600000000006</v>
      </c>
      <c r="AT79" s="112">
        <v>1.6697200000000001</v>
      </c>
      <c r="AU79" s="112">
        <v>46.9908</v>
      </c>
      <c r="AV79" s="112">
        <v>15.8371</v>
      </c>
      <c r="AW79" s="112">
        <v>62.728700000000003</v>
      </c>
      <c r="AX79" s="112">
        <v>16.531600000000001</v>
      </c>
      <c r="AY79" s="112">
        <v>12.1335</v>
      </c>
      <c r="AZ79" s="112">
        <v>12.1335</v>
      </c>
      <c r="BA79" s="112">
        <v>0.47322399999999998</v>
      </c>
      <c r="BB79" s="112">
        <v>19.138000000000002</v>
      </c>
      <c r="BC79" s="112">
        <v>7.3165299999999999E-3</v>
      </c>
      <c r="BD79" s="112"/>
      <c r="BE79" s="112"/>
      <c r="BF79" s="112"/>
      <c r="BG79" s="112"/>
      <c r="BH79" s="112"/>
      <c r="BI79" s="112">
        <v>1240.08</v>
      </c>
      <c r="BJ79" s="112">
        <v>1238.02</v>
      </c>
      <c r="BK79" s="112">
        <v>974.54600000000005</v>
      </c>
      <c r="BL79" s="112">
        <v>2.66962E-2</v>
      </c>
      <c r="BM79" s="112">
        <v>3.8422199999999999E-3</v>
      </c>
      <c r="BN79" s="112">
        <v>102</v>
      </c>
      <c r="BO79" s="112">
        <v>0.29336800000000002</v>
      </c>
      <c r="BP79" s="112">
        <v>118.75700000000001</v>
      </c>
      <c r="BQ79" s="112">
        <v>1.82239</v>
      </c>
      <c r="BR79" s="112">
        <v>1.82239</v>
      </c>
      <c r="BS79" s="112">
        <v>7.0020300000000002E-3</v>
      </c>
      <c r="BT79" s="112">
        <v>1.8153900000000001</v>
      </c>
      <c r="BU79" s="112"/>
      <c r="BV79" s="112">
        <v>7.4154299999999997</v>
      </c>
      <c r="BW79" s="112">
        <v>193.98099999999999</v>
      </c>
      <c r="BX79" s="112">
        <v>3.7579199999999999</v>
      </c>
      <c r="BY79" s="112">
        <v>46.909500000000001</v>
      </c>
      <c r="BZ79" s="112">
        <v>4.0286900000000001</v>
      </c>
      <c r="CA79">
        <v>62.198799999999999</v>
      </c>
      <c r="CB79">
        <v>4.2521899999999997</v>
      </c>
      <c r="CC79">
        <v>48.7074</v>
      </c>
      <c r="CD79">
        <v>48.7074</v>
      </c>
      <c r="CE79">
        <v>7.7757199999999997</v>
      </c>
      <c r="CF79">
        <v>18.746500000000001</v>
      </c>
      <c r="CG79">
        <v>3.82278E-3</v>
      </c>
      <c r="CM79">
        <v>1243.58</v>
      </c>
      <c r="CN79">
        <v>1241.18</v>
      </c>
      <c r="CO79">
        <v>1010.06</v>
      </c>
      <c r="CP79">
        <v>2.7423900000000001E-2</v>
      </c>
      <c r="CQ79">
        <v>7.8584099999999997E-3</v>
      </c>
      <c r="CR79">
        <v>102</v>
      </c>
      <c r="CS79">
        <v>2.67991</v>
      </c>
      <c r="CT79">
        <v>119.556</v>
      </c>
      <c r="CU79">
        <v>5.9570800000000004</v>
      </c>
      <c r="CV79">
        <v>5.9570800000000004</v>
      </c>
      <c r="CW79">
        <v>4.6813199999999999E-2</v>
      </c>
      <c r="CX79">
        <v>5.9102699999999997</v>
      </c>
      <c r="CY79">
        <v>0</v>
      </c>
      <c r="CZ79">
        <v>7.6470799999999999</v>
      </c>
      <c r="DA79">
        <v>193.36600000000001</v>
      </c>
      <c r="DB79">
        <v>12.323</v>
      </c>
      <c r="DC79">
        <v>46.8444</v>
      </c>
      <c r="DD79">
        <v>3.8211499999999998</v>
      </c>
      <c r="DE79">
        <v>62.111800000000002</v>
      </c>
      <c r="DF79">
        <v>4.2792199999999996</v>
      </c>
      <c r="DG79">
        <v>49.454099999999997</v>
      </c>
      <c r="DH79">
        <v>49.454099999999997</v>
      </c>
      <c r="DI79">
        <v>7.9998100000000001</v>
      </c>
      <c r="DJ79">
        <v>18.719899999999999</v>
      </c>
      <c r="DK79">
        <v>7.7836700000000003E-3</v>
      </c>
      <c r="DQ79">
        <v>1247.55</v>
      </c>
      <c r="DR79">
        <v>1244.6300000000001</v>
      </c>
      <c r="DS79">
        <v>1323.2</v>
      </c>
      <c r="DT79">
        <v>0.29664099999999999</v>
      </c>
      <c r="DU79">
        <v>0.76531199999999999</v>
      </c>
      <c r="DV79">
        <v>105</v>
      </c>
      <c r="DW79">
        <v>0.47736699999999999</v>
      </c>
      <c r="DX79">
        <v>793.31100000000004</v>
      </c>
      <c r="DY79">
        <v>7.2114399999999995E-2</v>
      </c>
      <c r="DZ79">
        <v>4.3570900000000004</v>
      </c>
      <c r="EA79">
        <v>5.5190000000000003E-2</v>
      </c>
      <c r="EB79">
        <v>1.0225599999999999</v>
      </c>
      <c r="EC79">
        <v>0</v>
      </c>
      <c r="ED79">
        <v>5.9744599999999997</v>
      </c>
      <c r="EE79">
        <v>136.88200000000001</v>
      </c>
      <c r="EF79">
        <v>3.1501299999999999</v>
      </c>
      <c r="EG79">
        <v>46.920900000000003</v>
      </c>
      <c r="EH79">
        <v>5.64506</v>
      </c>
      <c r="EI79">
        <v>62.240200000000002</v>
      </c>
      <c r="EJ79">
        <v>8.5432100000000002</v>
      </c>
      <c r="EK79">
        <v>41.340200000000003</v>
      </c>
      <c r="EL79">
        <v>41.340200000000003</v>
      </c>
      <c r="EM79">
        <v>5.8870500000000003</v>
      </c>
      <c r="EN79">
        <v>18.773399999999999</v>
      </c>
      <c r="EO79">
        <v>0.41550799999999999</v>
      </c>
    </row>
    <row r="80" spans="1:145" x14ac:dyDescent="0.2">
      <c r="A80" s="86"/>
      <c r="B80" s="442"/>
      <c r="C80" s="510"/>
      <c r="E80" s="394"/>
      <c r="F80" s="8"/>
      <c r="K80" s="1"/>
      <c r="L80" s="1"/>
      <c r="AD80" s="112"/>
      <c r="AE80" s="112">
        <v>1231.0899999999999</v>
      </c>
      <c r="AF80" s="112">
        <v>1229.79</v>
      </c>
      <c r="AG80" s="112">
        <v>3839.67</v>
      </c>
      <c r="AH80" s="112">
        <v>0.29170499999999999</v>
      </c>
      <c r="AI80" s="112">
        <v>0.61465199999999998</v>
      </c>
      <c r="AJ80" s="112">
        <v>105</v>
      </c>
      <c r="AK80" s="112">
        <v>0.253637</v>
      </c>
      <c r="AL80" s="112">
        <v>113.657</v>
      </c>
      <c r="AM80" s="112">
        <v>9.8952599999999995E-3</v>
      </c>
      <c r="AN80" s="112">
        <v>1.04966</v>
      </c>
      <c r="AO80" s="112">
        <v>6.0821399999999998E-3</v>
      </c>
      <c r="AP80" s="112">
        <v>0.40448299999999998</v>
      </c>
      <c r="AQ80" s="112"/>
      <c r="AR80" s="112">
        <v>2.5032000000000001</v>
      </c>
      <c r="AS80" s="112">
        <v>98.372900000000001</v>
      </c>
      <c r="AT80" s="112">
        <v>1.6695199999999999</v>
      </c>
      <c r="AU80" s="112">
        <v>46.99</v>
      </c>
      <c r="AV80" s="112">
        <v>15.840999999999999</v>
      </c>
      <c r="AW80" s="112">
        <v>62.728000000000002</v>
      </c>
      <c r="AX80" s="112">
        <v>16.535599999999999</v>
      </c>
      <c r="AY80" s="112">
        <v>12.1258</v>
      </c>
      <c r="AZ80" s="112">
        <v>12.1258</v>
      </c>
      <c r="BA80" s="112">
        <v>0.47250399999999998</v>
      </c>
      <c r="BB80" s="112">
        <v>19.137899999999998</v>
      </c>
      <c r="BC80" s="112">
        <v>8.8172500000000004E-3</v>
      </c>
      <c r="BD80" s="112"/>
      <c r="BE80" s="112"/>
      <c r="BF80" s="112"/>
      <c r="BG80" s="112"/>
      <c r="BH80" s="112"/>
      <c r="BI80" s="112">
        <v>1243.58</v>
      </c>
      <c r="BJ80" s="112">
        <v>1241.18</v>
      </c>
      <c r="BK80" s="112">
        <v>974.85299999999995</v>
      </c>
      <c r="BL80" s="112">
        <v>2.66979E-2</v>
      </c>
      <c r="BM80" s="112">
        <v>3.8425500000000001E-3</v>
      </c>
      <c r="BN80" s="112">
        <v>102</v>
      </c>
      <c r="BO80" s="112">
        <v>0.29416500000000001</v>
      </c>
      <c r="BP80" s="112">
        <v>119.033</v>
      </c>
      <c r="BQ80" s="112">
        <v>1.8222700000000001</v>
      </c>
      <c r="BR80" s="112">
        <v>1.8222700000000001</v>
      </c>
      <c r="BS80" s="112">
        <v>7.0021900000000002E-3</v>
      </c>
      <c r="BT80" s="112">
        <v>1.8152699999999999</v>
      </c>
      <c r="BU80" s="112"/>
      <c r="BV80" s="112">
        <v>7.41493</v>
      </c>
      <c r="BW80" s="112">
        <v>193.97499999999999</v>
      </c>
      <c r="BX80" s="112">
        <v>3.7578100000000001</v>
      </c>
      <c r="BY80" s="112">
        <v>46.9084</v>
      </c>
      <c r="BZ80" s="112">
        <v>4.02895</v>
      </c>
      <c r="CA80">
        <v>62.197400000000002</v>
      </c>
      <c r="CB80">
        <v>4.2524699999999998</v>
      </c>
      <c r="CC80">
        <v>48.701799999999999</v>
      </c>
      <c r="CD80">
        <v>48.701799999999999</v>
      </c>
      <c r="CE80">
        <v>7.7746300000000002</v>
      </c>
      <c r="CF80">
        <v>18.746099999999998</v>
      </c>
      <c r="CG80">
        <v>3.8228300000000002E-3</v>
      </c>
      <c r="CM80">
        <v>1245.57</v>
      </c>
      <c r="CN80">
        <v>1242.9000000000001</v>
      </c>
      <c r="CO80">
        <v>1010.23</v>
      </c>
      <c r="CP80">
        <v>2.65496E-2</v>
      </c>
      <c r="CQ80">
        <v>7.8587899999999992E-3</v>
      </c>
      <c r="CR80">
        <v>102</v>
      </c>
      <c r="CS80">
        <v>2.6839900000000001</v>
      </c>
      <c r="CT80">
        <v>119.703</v>
      </c>
      <c r="CU80">
        <v>5.9569200000000002</v>
      </c>
      <c r="CV80">
        <v>5.9569200000000002</v>
      </c>
      <c r="CW80">
        <v>4.68142E-2</v>
      </c>
      <c r="CX80">
        <v>5.9100999999999999</v>
      </c>
      <c r="CY80">
        <v>0</v>
      </c>
      <c r="CZ80">
        <v>7.6467499999999999</v>
      </c>
      <c r="DA80">
        <v>193.364</v>
      </c>
      <c r="DB80">
        <v>12.322800000000001</v>
      </c>
      <c r="DC80">
        <v>46.843699999999998</v>
      </c>
      <c r="DD80">
        <v>3.8212100000000002</v>
      </c>
      <c r="DE80">
        <v>62.110900000000001</v>
      </c>
      <c r="DF80">
        <v>4.2793000000000001</v>
      </c>
      <c r="DG80">
        <v>49.450800000000001</v>
      </c>
      <c r="DH80">
        <v>49.450800000000001</v>
      </c>
      <c r="DI80">
        <v>7.9992299999999998</v>
      </c>
      <c r="DJ80">
        <v>18.7196</v>
      </c>
      <c r="DK80">
        <v>7.7837799999999997E-3</v>
      </c>
      <c r="DQ80">
        <v>1250.75</v>
      </c>
      <c r="DR80">
        <v>1247.33</v>
      </c>
      <c r="DS80">
        <v>1326.22</v>
      </c>
      <c r="DT80">
        <v>0.28782400000000002</v>
      </c>
      <c r="DU80">
        <v>0.76788500000000004</v>
      </c>
      <c r="DV80">
        <v>105</v>
      </c>
      <c r="DW80">
        <v>0.47814800000000002</v>
      </c>
      <c r="DX80">
        <v>795.86</v>
      </c>
      <c r="DY80">
        <v>7.1873500000000007E-2</v>
      </c>
      <c r="DZ80">
        <v>4.3972300000000004</v>
      </c>
      <c r="EA80">
        <v>5.5190599999999999E-2</v>
      </c>
      <c r="EB80">
        <v>1.0206599999999999</v>
      </c>
      <c r="EC80">
        <v>0</v>
      </c>
      <c r="ED80">
        <v>5.9668999999999999</v>
      </c>
      <c r="EE80">
        <v>136.762</v>
      </c>
      <c r="EF80">
        <v>3.1477599999999999</v>
      </c>
      <c r="EG80">
        <v>46.920099999999998</v>
      </c>
      <c r="EH80">
        <v>5.6578400000000002</v>
      </c>
      <c r="EI80">
        <v>62.239400000000003</v>
      </c>
      <c r="EJ80">
        <v>8.5604300000000002</v>
      </c>
      <c r="EK80">
        <v>41.2821</v>
      </c>
      <c r="EL80">
        <v>41.2821</v>
      </c>
      <c r="EM80">
        <v>5.8730900000000004</v>
      </c>
      <c r="EN80">
        <v>18.773299999999999</v>
      </c>
      <c r="EO80">
        <v>0.416408</v>
      </c>
    </row>
    <row r="81" spans="1:145" x14ac:dyDescent="0.2">
      <c r="A81" s="86"/>
      <c r="B81" s="442"/>
      <c r="C81" s="510"/>
      <c r="E81" s="394"/>
      <c r="F81" s="8"/>
      <c r="K81" s="1"/>
      <c r="L81" s="1"/>
      <c r="AD81" s="112"/>
      <c r="AE81" s="112">
        <v>1233.83</v>
      </c>
      <c r="AF81" s="112">
        <v>1232.32</v>
      </c>
      <c r="AG81" s="112">
        <v>3842.28</v>
      </c>
      <c r="AH81" s="112">
        <v>0.28946899999999998</v>
      </c>
      <c r="AI81" s="112">
        <v>0.62489799999999995</v>
      </c>
      <c r="AJ81" s="112">
        <v>105</v>
      </c>
      <c r="AK81" s="112">
        <v>0.25382500000000002</v>
      </c>
      <c r="AL81" s="112">
        <v>116.062</v>
      </c>
      <c r="AM81" s="112">
        <v>9.7331399999999995E-3</v>
      </c>
      <c r="AN81" s="112">
        <v>1.0780799999999999</v>
      </c>
      <c r="AO81" s="112">
        <v>6.0822100000000002E-3</v>
      </c>
      <c r="AP81" s="112">
        <v>0.404391</v>
      </c>
      <c r="AQ81" s="112"/>
      <c r="AR81" s="112">
        <v>2.5024799999999998</v>
      </c>
      <c r="AS81" s="112">
        <v>98.361800000000002</v>
      </c>
      <c r="AT81" s="112">
        <v>1.6693199999999999</v>
      </c>
      <c r="AU81" s="112">
        <v>46.9893</v>
      </c>
      <c r="AV81" s="112">
        <v>15.8444</v>
      </c>
      <c r="AW81" s="112">
        <v>62.7273</v>
      </c>
      <c r="AX81" s="112">
        <v>16.539100000000001</v>
      </c>
      <c r="AY81" s="112">
        <v>12.1189</v>
      </c>
      <c r="AZ81" s="112">
        <v>12.1189</v>
      </c>
      <c r="BA81" s="112">
        <v>0.47186400000000001</v>
      </c>
      <c r="BB81" s="112">
        <v>19.137799999999999</v>
      </c>
      <c r="BC81" s="112">
        <v>1.01843E-2</v>
      </c>
      <c r="BD81" s="112"/>
      <c r="BE81" s="112"/>
      <c r="BF81" s="112"/>
      <c r="BG81" s="112"/>
      <c r="BH81" s="112"/>
      <c r="BI81" s="112">
        <v>1245.57</v>
      </c>
      <c r="BJ81" s="112">
        <v>1242.9000000000001</v>
      </c>
      <c r="BK81" s="112">
        <v>975.02099999999996</v>
      </c>
      <c r="BL81" s="112">
        <v>2.5829600000000001E-2</v>
      </c>
      <c r="BM81" s="112">
        <v>3.8427999999999999E-3</v>
      </c>
      <c r="BN81" s="112">
        <v>102</v>
      </c>
      <c r="BO81" s="112">
        <v>0.29461599999999999</v>
      </c>
      <c r="BP81" s="112">
        <v>119.179</v>
      </c>
      <c r="BQ81" s="112">
        <v>1.82219</v>
      </c>
      <c r="BR81" s="112">
        <v>1.82219</v>
      </c>
      <c r="BS81" s="112">
        <v>7.0023000000000004E-3</v>
      </c>
      <c r="BT81" s="112">
        <v>1.8151900000000001</v>
      </c>
      <c r="BU81" s="112"/>
      <c r="BV81" s="112">
        <v>7.4145500000000002</v>
      </c>
      <c r="BW81" s="112">
        <v>193.971</v>
      </c>
      <c r="BX81" s="112">
        <v>3.7576900000000002</v>
      </c>
      <c r="BY81" s="112">
        <v>46.907899999999998</v>
      </c>
      <c r="BZ81" s="112">
        <v>4.0290699999999999</v>
      </c>
      <c r="CA81">
        <v>62.196599999999997</v>
      </c>
      <c r="CB81">
        <v>4.2526000000000002</v>
      </c>
      <c r="CC81">
        <v>48.698700000000002</v>
      </c>
      <c r="CD81">
        <v>48.698700000000002</v>
      </c>
      <c r="CE81">
        <v>7.7740600000000004</v>
      </c>
      <c r="CF81">
        <v>18.745899999999999</v>
      </c>
      <c r="CG81">
        <v>3.82286E-3</v>
      </c>
      <c r="CM81">
        <v>1247.55</v>
      </c>
      <c r="CN81">
        <v>1244.6300000000001</v>
      </c>
      <c r="CO81">
        <v>1010.41</v>
      </c>
      <c r="CP81">
        <v>2.6550000000000001E-2</v>
      </c>
      <c r="CQ81">
        <v>7.8590299999999995E-3</v>
      </c>
      <c r="CR81">
        <v>102</v>
      </c>
      <c r="CS81">
        <v>2.6880600000000001</v>
      </c>
      <c r="CT81">
        <v>119.85</v>
      </c>
      <c r="CU81">
        <v>5.9568199999999996</v>
      </c>
      <c r="CV81">
        <v>5.9568199999999996</v>
      </c>
      <c r="CW81">
        <v>4.68149E-2</v>
      </c>
      <c r="CX81">
        <v>5.9100099999999998</v>
      </c>
      <c r="CY81">
        <v>0</v>
      </c>
      <c r="CZ81">
        <v>7.6465300000000003</v>
      </c>
      <c r="DA81">
        <v>193.36199999999999</v>
      </c>
      <c r="DB81">
        <v>12.322699999999999</v>
      </c>
      <c r="DC81">
        <v>46.843000000000004</v>
      </c>
      <c r="DD81">
        <v>3.8212700000000002</v>
      </c>
      <c r="DE81">
        <v>62.109900000000003</v>
      </c>
      <c r="DF81">
        <v>4.2793700000000001</v>
      </c>
      <c r="DG81">
        <v>49.447499999999998</v>
      </c>
      <c r="DH81">
        <v>49.447499999999998</v>
      </c>
      <c r="DI81">
        <v>7.9986499999999996</v>
      </c>
      <c r="DJ81">
        <v>18.7193</v>
      </c>
      <c r="DK81">
        <v>7.7838999999999998E-3</v>
      </c>
      <c r="DQ81">
        <v>1253.95</v>
      </c>
      <c r="DR81">
        <v>1250.03</v>
      </c>
      <c r="DS81">
        <v>1329.25</v>
      </c>
      <c r="DT81">
        <v>0.288184</v>
      </c>
      <c r="DU81">
        <v>0.76892899999999997</v>
      </c>
      <c r="DV81">
        <v>105</v>
      </c>
      <c r="DW81">
        <v>0.47892699999999999</v>
      </c>
      <c r="DX81">
        <v>798.41300000000001</v>
      </c>
      <c r="DY81">
        <v>7.1776800000000002E-2</v>
      </c>
      <c r="DZ81">
        <v>4.4071400000000001</v>
      </c>
      <c r="EA81">
        <v>5.5191299999999999E-2</v>
      </c>
      <c r="EB81">
        <v>1.0183599999999999</v>
      </c>
      <c r="EC81">
        <v>0</v>
      </c>
      <c r="ED81">
        <v>5.9577099999999996</v>
      </c>
      <c r="EE81">
        <v>136.61600000000001</v>
      </c>
      <c r="EF81">
        <v>3.14438</v>
      </c>
      <c r="EG81">
        <v>46.9193</v>
      </c>
      <c r="EH81">
        <v>5.6706300000000001</v>
      </c>
      <c r="EI81">
        <v>62.238500000000002</v>
      </c>
      <c r="EJ81">
        <v>8.5787800000000001</v>
      </c>
      <c r="EK81">
        <v>41.2241</v>
      </c>
      <c r="EL81">
        <v>41.2241</v>
      </c>
      <c r="EM81">
        <v>5.8591499999999996</v>
      </c>
      <c r="EN81">
        <v>18.773199999999999</v>
      </c>
      <c r="EO81">
        <v>0.41730600000000001</v>
      </c>
    </row>
    <row r="82" spans="1:145" x14ac:dyDescent="0.2">
      <c r="A82" s="86"/>
      <c r="B82" s="442"/>
      <c r="C82" s="510"/>
      <c r="E82" s="394"/>
      <c r="F82" s="8"/>
      <c r="K82" s="1"/>
      <c r="L82" s="1"/>
      <c r="AD82" s="112"/>
      <c r="AE82" s="112">
        <v>1236.57</v>
      </c>
      <c r="AF82" s="112">
        <v>1234.8499999999999</v>
      </c>
      <c r="AG82" s="112">
        <v>3844.89</v>
      </c>
      <c r="AH82" s="112">
        <v>0.28951399999999999</v>
      </c>
      <c r="AI82" s="112">
        <v>0.625031</v>
      </c>
      <c r="AJ82" s="112">
        <v>105</v>
      </c>
      <c r="AK82" s="112">
        <v>0.25401200000000002</v>
      </c>
      <c r="AL82" s="112">
        <v>118.468</v>
      </c>
      <c r="AM82" s="112">
        <v>9.7311700000000008E-3</v>
      </c>
      <c r="AN82" s="112">
        <v>1.07823</v>
      </c>
      <c r="AO82" s="112">
        <v>6.0822799999999998E-3</v>
      </c>
      <c r="AP82" s="112">
        <v>0.40430300000000002</v>
      </c>
      <c r="AQ82" s="112"/>
      <c r="AR82" s="112">
        <v>2.5017999999999998</v>
      </c>
      <c r="AS82" s="112">
        <v>98.351299999999995</v>
      </c>
      <c r="AT82" s="112">
        <v>1.6691400000000001</v>
      </c>
      <c r="AU82" s="112">
        <v>46.988700000000001</v>
      </c>
      <c r="AV82" s="112">
        <v>15.847799999999999</v>
      </c>
      <c r="AW82" s="112">
        <v>62.726599999999998</v>
      </c>
      <c r="AX82" s="112">
        <v>16.5426</v>
      </c>
      <c r="AY82" s="112">
        <v>12.112</v>
      </c>
      <c r="AZ82" s="112">
        <v>12.112</v>
      </c>
      <c r="BA82" s="112">
        <v>0.471223</v>
      </c>
      <c r="BB82" s="112">
        <v>19.137699999999999</v>
      </c>
      <c r="BC82" s="112">
        <v>1.15456E-2</v>
      </c>
      <c r="BD82" s="112"/>
      <c r="BE82" s="112"/>
      <c r="BF82" s="112"/>
      <c r="BG82" s="112"/>
      <c r="BH82" s="112"/>
      <c r="BI82" s="112">
        <v>1247.55</v>
      </c>
      <c r="BJ82" s="112">
        <v>1244.6300000000001</v>
      </c>
      <c r="BK82" s="112">
        <v>975.18899999999996</v>
      </c>
      <c r="BL82" s="112">
        <v>2.58304E-2</v>
      </c>
      <c r="BM82" s="112">
        <v>3.8429599999999999E-3</v>
      </c>
      <c r="BN82" s="112">
        <v>102</v>
      </c>
      <c r="BO82" s="112">
        <v>0.29506700000000002</v>
      </c>
      <c r="BP82" s="112">
        <v>119.325</v>
      </c>
      <c r="BQ82" s="112">
        <v>1.82213</v>
      </c>
      <c r="BR82" s="112">
        <v>1.82213</v>
      </c>
      <c r="BS82" s="112">
        <v>7.0023899999999998E-3</v>
      </c>
      <c r="BT82" s="112">
        <v>1.8151299999999999</v>
      </c>
      <c r="BU82" s="112"/>
      <c r="BV82" s="112">
        <v>7.4142900000000003</v>
      </c>
      <c r="BW82" s="112">
        <v>193.96799999999999</v>
      </c>
      <c r="BX82" s="112">
        <v>3.7576299999999998</v>
      </c>
      <c r="BY82" s="112">
        <v>46.907299999999999</v>
      </c>
      <c r="BZ82" s="112">
        <v>4.0292000000000003</v>
      </c>
      <c r="CA82">
        <v>62.195900000000002</v>
      </c>
      <c r="CB82">
        <v>4.2527299999999997</v>
      </c>
      <c r="CC82">
        <v>48.695700000000002</v>
      </c>
      <c r="CD82">
        <v>48.695700000000002</v>
      </c>
      <c r="CE82">
        <v>7.7734699999999997</v>
      </c>
      <c r="CF82">
        <v>18.7456</v>
      </c>
      <c r="CG82">
        <v>3.8228899999999998E-3</v>
      </c>
      <c r="CM82">
        <v>1250.75</v>
      </c>
      <c r="CN82">
        <v>1247.33</v>
      </c>
      <c r="CO82">
        <v>1010.67</v>
      </c>
      <c r="CP82">
        <v>2.5704100000000001E-2</v>
      </c>
      <c r="CQ82">
        <v>7.8593099999999996E-3</v>
      </c>
      <c r="CR82">
        <v>102</v>
      </c>
      <c r="CS82">
        <v>2.6946400000000001</v>
      </c>
      <c r="CT82">
        <v>120.072</v>
      </c>
      <c r="CU82">
        <v>5.9567300000000003</v>
      </c>
      <c r="CV82">
        <v>5.9567199999999998</v>
      </c>
      <c r="CW82">
        <v>4.6815799999999998E-2</v>
      </c>
      <c r="CX82">
        <v>5.90991</v>
      </c>
      <c r="CY82">
        <v>0</v>
      </c>
      <c r="CZ82">
        <v>7.6462599999999998</v>
      </c>
      <c r="DA82">
        <v>193.36099999999999</v>
      </c>
      <c r="DB82">
        <v>12.3226</v>
      </c>
      <c r="DC82">
        <v>46.841900000000003</v>
      </c>
      <c r="DD82">
        <v>3.8213400000000002</v>
      </c>
      <c r="DE82">
        <v>62.108400000000003</v>
      </c>
      <c r="DF82">
        <v>4.2794299999999996</v>
      </c>
      <c r="DG82">
        <v>49.442300000000003</v>
      </c>
      <c r="DH82">
        <v>49.442300000000003</v>
      </c>
      <c r="DI82">
        <v>7.9977799999999997</v>
      </c>
      <c r="DJ82">
        <v>18.718800000000002</v>
      </c>
      <c r="DK82">
        <v>7.7841000000000004E-3</v>
      </c>
      <c r="DQ82">
        <v>1256.8399999999999</v>
      </c>
      <c r="DR82">
        <v>1252.3599999999999</v>
      </c>
      <c r="DS82">
        <v>1331.86</v>
      </c>
      <c r="DT82">
        <v>0.27514899999999998</v>
      </c>
      <c r="DU82">
        <v>0.770455</v>
      </c>
      <c r="DV82">
        <v>105</v>
      </c>
      <c r="DW82">
        <v>0.47963</v>
      </c>
      <c r="DX82">
        <v>800.51499999999999</v>
      </c>
      <c r="DY82">
        <v>7.1635599999999994E-2</v>
      </c>
      <c r="DZ82">
        <v>4.4271399999999996</v>
      </c>
      <c r="EA82">
        <v>5.5191999999999998E-2</v>
      </c>
      <c r="EB82">
        <v>1.01623</v>
      </c>
      <c r="EC82">
        <v>0</v>
      </c>
      <c r="ED82">
        <v>5.9491899999999998</v>
      </c>
      <c r="EE82">
        <v>136.47999999999999</v>
      </c>
      <c r="EF82">
        <v>3.1410999999999998</v>
      </c>
      <c r="EG82">
        <v>46.918599999999998</v>
      </c>
      <c r="EH82">
        <v>5.6816000000000004</v>
      </c>
      <c r="EI82">
        <v>62.2378</v>
      </c>
      <c r="EJ82">
        <v>8.59497</v>
      </c>
      <c r="EK82">
        <v>41.174199999999999</v>
      </c>
      <c r="EL82">
        <v>41.174199999999999</v>
      </c>
      <c r="EM82">
        <v>5.8471799999999998</v>
      </c>
      <c r="EN82">
        <v>18.773</v>
      </c>
      <c r="EO82">
        <v>0.41811799999999999</v>
      </c>
    </row>
    <row r="83" spans="1:145" x14ac:dyDescent="0.2">
      <c r="A83" s="86"/>
      <c r="B83" s="442"/>
      <c r="C83" s="510"/>
      <c r="E83" s="394"/>
      <c r="F83" s="8"/>
      <c r="K83" s="1"/>
      <c r="L83" s="1"/>
      <c r="AD83" s="112"/>
      <c r="AE83" s="112">
        <v>1240.08</v>
      </c>
      <c r="AF83" s="112">
        <v>1238.02</v>
      </c>
      <c r="AG83" s="112">
        <v>3848.16</v>
      </c>
      <c r="AH83" s="112">
        <v>0.28491699999999998</v>
      </c>
      <c r="AI83" s="112">
        <v>0.63241999999999998</v>
      </c>
      <c r="AJ83" s="112">
        <v>105</v>
      </c>
      <c r="AK83" s="112">
        <v>0.254251</v>
      </c>
      <c r="AL83" s="112">
        <v>121.422</v>
      </c>
      <c r="AM83" s="112">
        <v>9.6175900000000005E-3</v>
      </c>
      <c r="AN83" s="112">
        <v>1.09964</v>
      </c>
      <c r="AO83" s="112">
        <v>6.0823500000000003E-3</v>
      </c>
      <c r="AP83" s="112">
        <v>0.40420499999999998</v>
      </c>
      <c r="AQ83" s="112"/>
      <c r="AR83" s="112">
        <v>2.5010400000000002</v>
      </c>
      <c r="AS83" s="112">
        <v>98.339600000000004</v>
      </c>
      <c r="AT83" s="112">
        <v>1.6689700000000001</v>
      </c>
      <c r="AU83" s="112">
        <v>46.9878</v>
      </c>
      <c r="AV83" s="112">
        <v>15.8521</v>
      </c>
      <c r="AW83" s="112">
        <v>62.7258</v>
      </c>
      <c r="AX83" s="112">
        <v>16.547000000000001</v>
      </c>
      <c r="AY83" s="112">
        <v>12.103400000000001</v>
      </c>
      <c r="AZ83" s="112">
        <v>12.103400000000001</v>
      </c>
      <c r="BA83" s="112">
        <v>0.47042499999999998</v>
      </c>
      <c r="BB83" s="112">
        <v>19.137599999999999</v>
      </c>
      <c r="BC83" s="112">
        <v>1.3297099999999999E-2</v>
      </c>
      <c r="BD83" s="112"/>
      <c r="BE83" s="112"/>
      <c r="BF83" s="112"/>
      <c r="BG83" s="112"/>
      <c r="BH83" s="112"/>
      <c r="BI83" s="112">
        <v>1250.75</v>
      </c>
      <c r="BJ83" s="112">
        <v>1247.33</v>
      </c>
      <c r="BK83" s="112">
        <v>975.452</v>
      </c>
      <c r="BL83" s="112">
        <v>2.4990399999999999E-2</v>
      </c>
      <c r="BM83" s="112">
        <v>3.84316E-3</v>
      </c>
      <c r="BN83" s="112">
        <v>102</v>
      </c>
      <c r="BO83" s="112">
        <v>0.29579499999999997</v>
      </c>
      <c r="BP83" s="112">
        <v>119.54600000000001</v>
      </c>
      <c r="BQ83" s="112">
        <v>1.8220700000000001</v>
      </c>
      <c r="BR83" s="112">
        <v>1.8220700000000001</v>
      </c>
      <c r="BS83" s="112">
        <v>7.00251E-3</v>
      </c>
      <c r="BT83" s="112">
        <v>1.81507</v>
      </c>
      <c r="BU83" s="112"/>
      <c r="BV83" s="112">
        <v>7.4139699999999999</v>
      </c>
      <c r="BW83" s="112">
        <v>193.964</v>
      </c>
      <c r="BX83" s="112">
        <v>3.7575699999999999</v>
      </c>
      <c r="BY83" s="112">
        <v>46.906300000000002</v>
      </c>
      <c r="BZ83" s="112">
        <v>4.0293599999999996</v>
      </c>
      <c r="CA83">
        <v>62.194600000000001</v>
      </c>
      <c r="CB83">
        <v>4.2529000000000003</v>
      </c>
      <c r="CC83">
        <v>48.690899999999999</v>
      </c>
      <c r="CD83">
        <v>48.690899999999999</v>
      </c>
      <c r="CE83">
        <v>7.7725799999999996</v>
      </c>
      <c r="CF83">
        <v>18.7453</v>
      </c>
      <c r="CG83">
        <v>3.8229499999999999E-3</v>
      </c>
      <c r="CM83">
        <v>1253.95</v>
      </c>
      <c r="CN83">
        <v>1250.03</v>
      </c>
      <c r="CO83">
        <v>1010.94</v>
      </c>
      <c r="CP83">
        <v>2.5704500000000002E-2</v>
      </c>
      <c r="CQ83">
        <v>7.8596299999999994E-3</v>
      </c>
      <c r="CR83">
        <v>102</v>
      </c>
      <c r="CS83">
        <v>2.7012200000000002</v>
      </c>
      <c r="CT83">
        <v>120.295</v>
      </c>
      <c r="CU83">
        <v>5.9566299999999996</v>
      </c>
      <c r="CV83">
        <v>5.9566299999999996</v>
      </c>
      <c r="CW83">
        <v>4.6816900000000002E-2</v>
      </c>
      <c r="CX83">
        <v>5.9098100000000002</v>
      </c>
      <c r="CY83">
        <v>0</v>
      </c>
      <c r="CZ83">
        <v>7.64595</v>
      </c>
      <c r="DA83">
        <v>193.35900000000001</v>
      </c>
      <c r="DB83">
        <v>12.3225</v>
      </c>
      <c r="DC83">
        <v>46.840899999999998</v>
      </c>
      <c r="DD83">
        <v>3.8214000000000001</v>
      </c>
      <c r="DE83">
        <v>62.106900000000003</v>
      </c>
      <c r="DF83">
        <v>4.2794999999999996</v>
      </c>
      <c r="DG83">
        <v>49.437199999999997</v>
      </c>
      <c r="DH83">
        <v>49.437199999999997</v>
      </c>
      <c r="DI83">
        <v>7.9969000000000001</v>
      </c>
      <c r="DJ83">
        <v>18.718399999999999</v>
      </c>
      <c r="DK83">
        <v>7.7842900000000001E-3</v>
      </c>
      <c r="DQ83">
        <v>1259.74</v>
      </c>
      <c r="DR83">
        <v>1254.69</v>
      </c>
      <c r="DS83">
        <v>1334.48</v>
      </c>
      <c r="DT83">
        <v>0.27544299999999999</v>
      </c>
      <c r="DU83">
        <v>0.77135200000000004</v>
      </c>
      <c r="DV83">
        <v>105</v>
      </c>
      <c r="DW83">
        <v>0.48033300000000001</v>
      </c>
      <c r="DX83">
        <v>802.61800000000005</v>
      </c>
      <c r="DY83">
        <v>7.1553199999999997E-2</v>
      </c>
      <c r="DZ83">
        <v>4.4359299999999999</v>
      </c>
      <c r="EA83">
        <v>5.5192699999999997E-2</v>
      </c>
      <c r="EB83">
        <v>1.01427</v>
      </c>
      <c r="EC83">
        <v>0</v>
      </c>
      <c r="ED83">
        <v>5.9413400000000003</v>
      </c>
      <c r="EE83">
        <v>136.35499999999999</v>
      </c>
      <c r="EF83">
        <v>3.1382300000000001</v>
      </c>
      <c r="EG83">
        <v>46.917900000000003</v>
      </c>
      <c r="EH83">
        <v>5.6925699999999999</v>
      </c>
      <c r="EI83">
        <v>62.237000000000002</v>
      </c>
      <c r="EJ83">
        <v>8.6107200000000006</v>
      </c>
      <c r="EK83">
        <v>41.124299999999998</v>
      </c>
      <c r="EL83">
        <v>41.124299999999998</v>
      </c>
      <c r="EM83">
        <v>5.8352300000000001</v>
      </c>
      <c r="EN83">
        <v>18.7729</v>
      </c>
      <c r="EO83">
        <v>0.41892800000000002</v>
      </c>
    </row>
    <row r="84" spans="1:145" x14ac:dyDescent="0.2">
      <c r="A84" s="86"/>
      <c r="B84" s="442"/>
      <c r="C84" s="510"/>
      <c r="E84" s="394"/>
      <c r="F84" s="8"/>
      <c r="K84" s="1"/>
      <c r="L84" s="1"/>
      <c r="AD84" s="112"/>
      <c r="AE84" s="112">
        <v>1243.58</v>
      </c>
      <c r="AF84" s="112">
        <v>1241.18</v>
      </c>
      <c r="AG84" s="112">
        <v>3851.44</v>
      </c>
      <c r="AH84" s="112">
        <v>0.284972</v>
      </c>
      <c r="AI84" s="112">
        <v>0.63258800000000004</v>
      </c>
      <c r="AJ84" s="112">
        <v>105</v>
      </c>
      <c r="AK84" s="112">
        <v>0.25448999999999999</v>
      </c>
      <c r="AL84" s="112">
        <v>124.377</v>
      </c>
      <c r="AM84" s="112">
        <v>9.6151599999999993E-3</v>
      </c>
      <c r="AN84" s="112">
        <v>1.09985</v>
      </c>
      <c r="AO84" s="112">
        <v>6.0824399999999997E-3</v>
      </c>
      <c r="AP84" s="112">
        <v>0.40409600000000001</v>
      </c>
      <c r="AQ84" s="112"/>
      <c r="AR84" s="112">
        <v>2.5001899999999999</v>
      </c>
      <c r="AS84" s="112">
        <v>98.326599999999999</v>
      </c>
      <c r="AT84" s="112">
        <v>1.66875</v>
      </c>
      <c r="AU84" s="112">
        <v>46.986899999999999</v>
      </c>
      <c r="AV84" s="112">
        <v>15.856400000000001</v>
      </c>
      <c r="AW84" s="112">
        <v>62.724899999999998</v>
      </c>
      <c r="AX84" s="112">
        <v>16.551400000000001</v>
      </c>
      <c r="AY84" s="112">
        <v>12.094799999999999</v>
      </c>
      <c r="AZ84" s="112">
        <v>12.094799999999999</v>
      </c>
      <c r="BA84" s="112">
        <v>0.46962500000000001</v>
      </c>
      <c r="BB84" s="112">
        <v>19.137499999999999</v>
      </c>
      <c r="BC84" s="112">
        <v>1.50393E-2</v>
      </c>
      <c r="BD84" s="112"/>
      <c r="BE84" s="112"/>
      <c r="BF84" s="112"/>
      <c r="BG84" s="112"/>
      <c r="BH84" s="112"/>
      <c r="BI84" s="112">
        <v>1253.95</v>
      </c>
      <c r="BJ84" s="112">
        <v>1250.03</v>
      </c>
      <c r="BK84" s="112">
        <v>975.71400000000006</v>
      </c>
      <c r="BL84" s="112">
        <v>2.49914E-2</v>
      </c>
      <c r="BM84" s="112">
        <v>3.8433999999999999E-3</v>
      </c>
      <c r="BN84" s="112">
        <v>102</v>
      </c>
      <c r="BO84" s="112">
        <v>0.29652299999999998</v>
      </c>
      <c r="BP84" s="112">
        <v>119.76600000000001</v>
      </c>
      <c r="BQ84" s="112">
        <v>1.8220000000000001</v>
      </c>
      <c r="BR84" s="112">
        <v>1.8220000000000001</v>
      </c>
      <c r="BS84" s="112">
        <v>7.00265E-3</v>
      </c>
      <c r="BT84" s="112">
        <v>1.8149900000000001</v>
      </c>
      <c r="BU84" s="112"/>
      <c r="BV84" s="112">
        <v>7.4135900000000001</v>
      </c>
      <c r="BW84" s="112">
        <v>193.96</v>
      </c>
      <c r="BX84" s="112">
        <v>3.7574999999999998</v>
      </c>
      <c r="BY84" s="112">
        <v>46.9054</v>
      </c>
      <c r="BZ84" s="112">
        <v>4.0295300000000003</v>
      </c>
      <c r="CA84">
        <v>62.193399999999997</v>
      </c>
      <c r="CB84">
        <v>4.2530700000000001</v>
      </c>
      <c r="CC84">
        <v>48.686100000000003</v>
      </c>
      <c r="CD84">
        <v>48.686100000000003</v>
      </c>
      <c r="CE84">
        <v>7.7716799999999999</v>
      </c>
      <c r="CF84">
        <v>18.744900000000001</v>
      </c>
      <c r="CG84">
        <v>3.823E-3</v>
      </c>
      <c r="CM84">
        <v>1256.8399999999999</v>
      </c>
      <c r="CN84">
        <v>1252.3599999999999</v>
      </c>
      <c r="CO84">
        <v>1011.18</v>
      </c>
      <c r="CP84">
        <v>2.4527199999999999E-2</v>
      </c>
      <c r="CQ84">
        <v>7.8598799999999996E-3</v>
      </c>
      <c r="CR84">
        <v>102</v>
      </c>
      <c r="CS84">
        <v>2.7071700000000001</v>
      </c>
      <c r="CT84">
        <v>120.477</v>
      </c>
      <c r="CU84">
        <v>5.9565799999999998</v>
      </c>
      <c r="CV84">
        <v>5.9565799999999998</v>
      </c>
      <c r="CW84">
        <v>4.6817999999999999E-2</v>
      </c>
      <c r="CX84">
        <v>5.9097600000000003</v>
      </c>
      <c r="CY84">
        <v>0</v>
      </c>
      <c r="CZ84">
        <v>7.6456799999999996</v>
      </c>
      <c r="DA84">
        <v>193.358</v>
      </c>
      <c r="DB84">
        <v>12.3224</v>
      </c>
      <c r="DC84">
        <v>46.8399</v>
      </c>
      <c r="DD84">
        <v>3.8214100000000002</v>
      </c>
      <c r="DE84">
        <v>62.105600000000003</v>
      </c>
      <c r="DF84">
        <v>4.2795100000000001</v>
      </c>
      <c r="DG84">
        <v>49.4328</v>
      </c>
      <c r="DH84">
        <v>49.4328</v>
      </c>
      <c r="DI84">
        <v>7.9961599999999997</v>
      </c>
      <c r="DJ84">
        <v>18.7179</v>
      </c>
      <c r="DK84">
        <v>7.78446E-3</v>
      </c>
      <c r="DQ84">
        <v>1262.79</v>
      </c>
      <c r="DR84">
        <v>1257.04</v>
      </c>
      <c r="DS84">
        <v>1337.12</v>
      </c>
      <c r="DT84">
        <v>0.26419900000000002</v>
      </c>
      <c r="DU84">
        <v>0.77228300000000005</v>
      </c>
      <c r="DV84">
        <v>105</v>
      </c>
      <c r="DW84">
        <v>0.48107100000000003</v>
      </c>
      <c r="DX84">
        <v>804.65300000000002</v>
      </c>
      <c r="DY84">
        <v>7.1467799999999998E-2</v>
      </c>
      <c r="DZ84">
        <v>4.4454799999999999</v>
      </c>
      <c r="EA84">
        <v>5.5193399999999997E-2</v>
      </c>
      <c r="EB84">
        <v>1.01231</v>
      </c>
      <c r="EC84">
        <v>0</v>
      </c>
      <c r="ED84">
        <v>5.9334899999999999</v>
      </c>
      <c r="EE84">
        <v>136.22999999999999</v>
      </c>
      <c r="EF84">
        <v>3.1353599999999999</v>
      </c>
      <c r="EG84">
        <v>46.917099999999998</v>
      </c>
      <c r="EH84">
        <v>5.7035799999999997</v>
      </c>
      <c r="EI84">
        <v>62.236199999999997</v>
      </c>
      <c r="EJ84">
        <v>8.6265000000000001</v>
      </c>
      <c r="EK84">
        <v>41.074100000000001</v>
      </c>
      <c r="EL84">
        <v>41.074100000000001</v>
      </c>
      <c r="EM84">
        <v>5.8232299999999997</v>
      </c>
      <c r="EN84">
        <v>18.7727</v>
      </c>
      <c r="EO84">
        <v>0.41977999999999999</v>
      </c>
    </row>
    <row r="85" spans="1:145" x14ac:dyDescent="0.2">
      <c r="A85" s="86"/>
      <c r="B85" s="442"/>
      <c r="C85" s="510"/>
      <c r="E85" s="394"/>
      <c r="F85" s="8"/>
      <c r="K85" s="1"/>
      <c r="L85" s="1"/>
      <c r="AD85" s="112"/>
      <c r="AE85" s="112">
        <v>1245.57</v>
      </c>
      <c r="AF85" s="112">
        <v>1242.9000000000001</v>
      </c>
      <c r="AG85" s="112">
        <v>3853.24</v>
      </c>
      <c r="AH85" s="112">
        <v>0.27700900000000001</v>
      </c>
      <c r="AI85" s="112">
        <v>0.637293</v>
      </c>
      <c r="AJ85" s="112">
        <v>105</v>
      </c>
      <c r="AK85" s="112">
        <v>0.25462600000000002</v>
      </c>
      <c r="AL85" s="112">
        <v>125.94799999999999</v>
      </c>
      <c r="AM85" s="112">
        <v>9.5442700000000005E-3</v>
      </c>
      <c r="AN85" s="112">
        <v>1.11388</v>
      </c>
      <c r="AO85" s="112">
        <v>6.0825000000000002E-3</v>
      </c>
      <c r="AP85" s="112">
        <v>0.40401300000000001</v>
      </c>
      <c r="AQ85" s="112"/>
      <c r="AR85" s="112">
        <v>2.49953</v>
      </c>
      <c r="AS85" s="112">
        <v>98.316500000000005</v>
      </c>
      <c r="AT85" s="112">
        <v>1.6685300000000001</v>
      </c>
      <c r="AU85" s="112">
        <v>46.986499999999999</v>
      </c>
      <c r="AV85" s="112">
        <v>15.858599999999999</v>
      </c>
      <c r="AW85" s="112">
        <v>62.724400000000003</v>
      </c>
      <c r="AX85" s="112">
        <v>16.553699999999999</v>
      </c>
      <c r="AY85" s="112">
        <v>12.0901</v>
      </c>
      <c r="AZ85" s="112">
        <v>12.0901</v>
      </c>
      <c r="BA85" s="112">
        <v>0.46919699999999998</v>
      </c>
      <c r="BB85" s="112">
        <v>19.137499999999999</v>
      </c>
      <c r="BC85" s="112">
        <v>1.6027099999999999E-2</v>
      </c>
      <c r="BD85" s="112"/>
      <c r="BE85" s="112"/>
      <c r="BF85" s="112"/>
      <c r="BG85" s="112"/>
      <c r="BH85" s="112"/>
      <c r="BI85" s="112">
        <v>1256.8399999999999</v>
      </c>
      <c r="BJ85" s="112">
        <v>1252.3599999999999</v>
      </c>
      <c r="BK85" s="112">
        <v>975.94</v>
      </c>
      <c r="BL85" s="112">
        <v>2.38219E-2</v>
      </c>
      <c r="BM85" s="112">
        <v>3.84359E-3</v>
      </c>
      <c r="BN85" s="112">
        <v>102</v>
      </c>
      <c r="BO85" s="112">
        <v>0.297182</v>
      </c>
      <c r="BP85" s="112">
        <v>119.94799999999999</v>
      </c>
      <c r="BQ85" s="112">
        <v>1.8219399999999999</v>
      </c>
      <c r="BR85" s="112">
        <v>1.8219399999999999</v>
      </c>
      <c r="BS85" s="112">
        <v>7.0027800000000001E-3</v>
      </c>
      <c r="BT85" s="112">
        <v>1.8149299999999999</v>
      </c>
      <c r="BU85" s="112"/>
      <c r="BV85" s="112">
        <v>7.4132600000000002</v>
      </c>
      <c r="BW85" s="112">
        <v>193.95699999999999</v>
      </c>
      <c r="BX85" s="112">
        <v>3.7574200000000002</v>
      </c>
      <c r="BY85" s="112">
        <v>46.904499999999999</v>
      </c>
      <c r="BZ85" s="112">
        <v>4.0296200000000004</v>
      </c>
      <c r="CA85">
        <v>62.1922</v>
      </c>
      <c r="CB85">
        <v>4.2531800000000004</v>
      </c>
      <c r="CC85">
        <v>48.682000000000002</v>
      </c>
      <c r="CD85">
        <v>48.682000000000002</v>
      </c>
      <c r="CE85">
        <v>7.7709400000000004</v>
      </c>
      <c r="CF85">
        <v>18.744599999999998</v>
      </c>
      <c r="CG85">
        <v>3.8230500000000001E-3</v>
      </c>
      <c r="CM85">
        <v>1259.74</v>
      </c>
      <c r="CN85">
        <v>1254.69</v>
      </c>
      <c r="CO85">
        <v>1011.41</v>
      </c>
      <c r="CP85">
        <v>2.4527299999999998E-2</v>
      </c>
      <c r="CQ85">
        <v>7.8600700000000003E-3</v>
      </c>
      <c r="CR85">
        <v>102</v>
      </c>
      <c r="CS85">
        <v>2.71312</v>
      </c>
      <c r="CT85">
        <v>120.66</v>
      </c>
      <c r="CU85">
        <v>5.9565700000000001</v>
      </c>
      <c r="CV85">
        <v>5.9565700000000001</v>
      </c>
      <c r="CW85">
        <v>4.6819E-2</v>
      </c>
      <c r="CX85">
        <v>5.9097499999999998</v>
      </c>
      <c r="CY85">
        <v>0</v>
      </c>
      <c r="CZ85">
        <v>7.6454599999999999</v>
      </c>
      <c r="DA85">
        <v>193.358</v>
      </c>
      <c r="DB85">
        <v>12.3224</v>
      </c>
      <c r="DC85">
        <v>46.838900000000002</v>
      </c>
      <c r="DD85">
        <v>3.8214199999999998</v>
      </c>
      <c r="DE85">
        <v>62.104199999999999</v>
      </c>
      <c r="DF85">
        <v>4.2795199999999998</v>
      </c>
      <c r="DG85">
        <v>49.4283</v>
      </c>
      <c r="DH85">
        <v>49.4283</v>
      </c>
      <c r="DI85">
        <v>7.9954200000000002</v>
      </c>
      <c r="DJ85">
        <v>18.717500000000001</v>
      </c>
      <c r="DK85">
        <v>7.7846399999999998E-3</v>
      </c>
      <c r="DQ85">
        <v>1265.83</v>
      </c>
      <c r="DR85">
        <v>1259.3900000000001</v>
      </c>
      <c r="DS85">
        <v>1339.77</v>
      </c>
      <c r="DT85">
        <v>0.26448100000000002</v>
      </c>
      <c r="DU85">
        <v>0.77318399999999998</v>
      </c>
      <c r="DV85">
        <v>105</v>
      </c>
      <c r="DW85">
        <v>0.48180800000000001</v>
      </c>
      <c r="DX85">
        <v>806.69100000000003</v>
      </c>
      <c r="DY85">
        <v>7.1385599999999994E-2</v>
      </c>
      <c r="DZ85">
        <v>4.4545199999999996</v>
      </c>
      <c r="EA85">
        <v>5.5194199999999999E-2</v>
      </c>
      <c r="EB85">
        <v>1.0103599999999999</v>
      </c>
      <c r="EC85">
        <v>0</v>
      </c>
      <c r="ED85">
        <v>5.9256500000000001</v>
      </c>
      <c r="EE85">
        <v>136.10599999999999</v>
      </c>
      <c r="EF85">
        <v>3.1324900000000002</v>
      </c>
      <c r="EG85">
        <v>46.9163</v>
      </c>
      <c r="EH85">
        <v>5.7145999999999999</v>
      </c>
      <c r="EI85">
        <v>62.235300000000002</v>
      </c>
      <c r="EJ85">
        <v>8.6422899999999991</v>
      </c>
      <c r="EK85">
        <v>41.023899999999998</v>
      </c>
      <c r="EL85">
        <v>41.023899999999998</v>
      </c>
      <c r="EM85">
        <v>5.8112399999999997</v>
      </c>
      <c r="EN85">
        <v>18.772600000000001</v>
      </c>
      <c r="EO85">
        <v>0.42062899999999998</v>
      </c>
    </row>
    <row r="86" spans="1:145" x14ac:dyDescent="0.2">
      <c r="A86" s="86"/>
      <c r="B86" s="442"/>
      <c r="C86" s="510"/>
      <c r="E86" s="394"/>
      <c r="F86" s="8"/>
      <c r="K86" s="1"/>
      <c r="L86" s="1"/>
      <c r="AD86" s="112"/>
      <c r="AE86" s="112">
        <v>1247.55</v>
      </c>
      <c r="AF86" s="112">
        <v>1244.6300000000001</v>
      </c>
      <c r="AG86" s="112">
        <v>3855.04</v>
      </c>
      <c r="AH86" s="112">
        <v>0.27703800000000001</v>
      </c>
      <c r="AI86" s="112">
        <v>0.63738499999999998</v>
      </c>
      <c r="AJ86" s="112">
        <v>105</v>
      </c>
      <c r="AK86" s="112">
        <v>0.25476100000000002</v>
      </c>
      <c r="AL86" s="112">
        <v>127.518</v>
      </c>
      <c r="AM86" s="112">
        <v>9.5429699999999996E-3</v>
      </c>
      <c r="AN86" s="112">
        <v>1.1140000000000001</v>
      </c>
      <c r="AO86" s="112">
        <v>6.0825499999999999E-3</v>
      </c>
      <c r="AP86" s="112">
        <v>0.40395399999999998</v>
      </c>
      <c r="AQ86" s="112"/>
      <c r="AR86" s="112">
        <v>2.4990700000000001</v>
      </c>
      <c r="AS86" s="112">
        <v>98.3095</v>
      </c>
      <c r="AT86" s="112">
        <v>1.6684099999999999</v>
      </c>
      <c r="AU86" s="112">
        <v>46.985999999999997</v>
      </c>
      <c r="AV86" s="112">
        <v>15.860900000000001</v>
      </c>
      <c r="AW86" s="112">
        <v>62.723999999999997</v>
      </c>
      <c r="AX86" s="112">
        <v>16.556100000000001</v>
      </c>
      <c r="AY86" s="112">
        <v>12.0855</v>
      </c>
      <c r="AZ86" s="112">
        <v>12.0855</v>
      </c>
      <c r="BA86" s="112">
        <v>0.46876899999999999</v>
      </c>
      <c r="BB86" s="112">
        <v>19.1374</v>
      </c>
      <c r="BC86" s="112">
        <v>1.7011999999999999E-2</v>
      </c>
      <c r="BD86" s="112"/>
      <c r="BE86" s="112"/>
      <c r="BF86" s="112"/>
      <c r="BG86" s="112"/>
      <c r="BH86" s="112"/>
      <c r="BI86" s="112">
        <v>1259.74</v>
      </c>
      <c r="BJ86" s="112">
        <v>1254.69</v>
      </c>
      <c r="BK86" s="112">
        <v>976.16700000000003</v>
      </c>
      <c r="BL86" s="112">
        <v>2.38225E-2</v>
      </c>
      <c r="BM86" s="112">
        <v>3.8437599999999999E-3</v>
      </c>
      <c r="BN86" s="112">
        <v>102</v>
      </c>
      <c r="BO86" s="112">
        <v>0.29783999999999999</v>
      </c>
      <c r="BP86" s="112">
        <v>120.129</v>
      </c>
      <c r="BQ86" s="112">
        <v>1.82189</v>
      </c>
      <c r="BR86" s="112">
        <v>1.82189</v>
      </c>
      <c r="BS86" s="112">
        <v>7.0029100000000002E-3</v>
      </c>
      <c r="BT86" s="112">
        <v>1.8148899999999999</v>
      </c>
      <c r="BU86" s="112"/>
      <c r="BV86" s="112">
        <v>7.4129800000000001</v>
      </c>
      <c r="BW86" s="112">
        <v>193.95500000000001</v>
      </c>
      <c r="BX86" s="112">
        <v>3.7573799999999999</v>
      </c>
      <c r="BY86" s="112">
        <v>46.903599999999997</v>
      </c>
      <c r="BZ86" s="112">
        <v>4.0297200000000002</v>
      </c>
      <c r="CA86">
        <v>62.191099999999999</v>
      </c>
      <c r="CB86">
        <v>4.2532800000000002</v>
      </c>
      <c r="CC86">
        <v>48.677900000000001</v>
      </c>
      <c r="CD86">
        <v>48.677900000000001</v>
      </c>
      <c r="CE86">
        <v>7.7702</v>
      </c>
      <c r="CF86">
        <v>18.744199999999999</v>
      </c>
      <c r="CG86">
        <v>3.8230899999999999E-3</v>
      </c>
      <c r="CM86">
        <v>1262.79</v>
      </c>
      <c r="CN86">
        <v>1257.04</v>
      </c>
      <c r="CO86">
        <v>1011.65</v>
      </c>
      <c r="CP86">
        <v>2.3525899999999999E-2</v>
      </c>
      <c r="CQ86">
        <v>7.8602199999999994E-3</v>
      </c>
      <c r="CR86">
        <v>102</v>
      </c>
      <c r="CS86">
        <v>2.7193900000000002</v>
      </c>
      <c r="CT86">
        <v>120.836</v>
      </c>
      <c r="CU86">
        <v>5.9565900000000003</v>
      </c>
      <c r="CV86">
        <v>5.9565900000000003</v>
      </c>
      <c r="CW86">
        <v>4.6820100000000003E-2</v>
      </c>
      <c r="CX86">
        <v>5.90977</v>
      </c>
      <c r="CY86">
        <v>0</v>
      </c>
      <c r="CZ86">
        <v>7.6452499999999999</v>
      </c>
      <c r="DA86">
        <v>193.358</v>
      </c>
      <c r="DB86">
        <v>12.3223</v>
      </c>
      <c r="DC86">
        <v>46.837800000000001</v>
      </c>
      <c r="DD86">
        <v>3.82138</v>
      </c>
      <c r="DE86">
        <v>62.102699999999999</v>
      </c>
      <c r="DF86">
        <v>4.2794800000000004</v>
      </c>
      <c r="DG86">
        <v>49.4238</v>
      </c>
      <c r="DH86">
        <v>49.4238</v>
      </c>
      <c r="DI86">
        <v>7.9946999999999999</v>
      </c>
      <c r="DJ86">
        <v>18.716999999999999</v>
      </c>
      <c r="DK86">
        <v>7.7848199999999996E-3</v>
      </c>
      <c r="DQ86">
        <v>1292.6600000000001</v>
      </c>
      <c r="DR86">
        <v>1279.5899999999999</v>
      </c>
      <c r="DS86">
        <v>1362.64</v>
      </c>
      <c r="DT86">
        <v>0.25989400000000001</v>
      </c>
      <c r="DU86">
        <v>0.77749900000000005</v>
      </c>
      <c r="DV86">
        <v>105</v>
      </c>
      <c r="DW86">
        <v>0.48824000000000001</v>
      </c>
      <c r="DX86">
        <v>823.91399999999999</v>
      </c>
      <c r="DY86">
        <v>7.0994199999999993E-2</v>
      </c>
      <c r="DZ86">
        <v>4.4992999999999999</v>
      </c>
      <c r="EA86">
        <v>5.5197999999999997E-2</v>
      </c>
      <c r="EB86">
        <v>1.0011000000000001</v>
      </c>
      <c r="EC86">
        <v>0</v>
      </c>
      <c r="ED86">
        <v>5.88828</v>
      </c>
      <c r="EE86">
        <v>135.51300000000001</v>
      </c>
      <c r="EF86">
        <v>3.1258699999999999</v>
      </c>
      <c r="EG86">
        <v>46.909399999999998</v>
      </c>
      <c r="EH86">
        <v>5.8090799999999998</v>
      </c>
      <c r="EI86">
        <v>62.227600000000002</v>
      </c>
      <c r="EJ86">
        <v>8.7573000000000008</v>
      </c>
      <c r="EK86">
        <v>40.593899999999998</v>
      </c>
      <c r="EL86">
        <v>40.593899999999998</v>
      </c>
      <c r="EM86">
        <v>5.7089499999999997</v>
      </c>
      <c r="EN86">
        <v>18.771000000000001</v>
      </c>
      <c r="EO86">
        <v>0.42802000000000001</v>
      </c>
    </row>
    <row r="87" spans="1:145" x14ac:dyDescent="0.2">
      <c r="A87" s="86"/>
      <c r="B87" s="442"/>
      <c r="C87" s="510"/>
      <c r="E87" s="394"/>
      <c r="F87" s="8"/>
      <c r="K87" s="1"/>
      <c r="L87" s="1"/>
      <c r="AD87" s="112"/>
      <c r="AE87" s="112">
        <v>1250.75</v>
      </c>
      <c r="AF87" s="112">
        <v>1247.33</v>
      </c>
      <c r="AG87" s="112">
        <v>3857.86</v>
      </c>
      <c r="AH87" s="112">
        <v>0.26847300000000002</v>
      </c>
      <c r="AI87" s="112">
        <v>0.63911300000000004</v>
      </c>
      <c r="AJ87" s="112">
        <v>105</v>
      </c>
      <c r="AK87" s="112">
        <v>0.25497900000000001</v>
      </c>
      <c r="AL87" s="112">
        <v>129.89699999999999</v>
      </c>
      <c r="AM87" s="112">
        <v>9.5172599999999996E-3</v>
      </c>
      <c r="AN87" s="112">
        <v>1.11914</v>
      </c>
      <c r="AO87" s="112">
        <v>6.0826099999999996E-3</v>
      </c>
      <c r="AP87" s="112">
        <v>0.40388099999999999</v>
      </c>
      <c r="AQ87" s="112"/>
      <c r="AR87" s="112">
        <v>2.4984999999999999</v>
      </c>
      <c r="AS87" s="112">
        <v>98.300799999999995</v>
      </c>
      <c r="AT87" s="112">
        <v>1.6682900000000001</v>
      </c>
      <c r="AU87" s="112">
        <v>46.985199999999999</v>
      </c>
      <c r="AV87" s="112">
        <v>15.8644</v>
      </c>
      <c r="AW87" s="112">
        <v>62.723199999999999</v>
      </c>
      <c r="AX87" s="112">
        <v>16.5596</v>
      </c>
      <c r="AY87" s="112">
        <v>12.0784</v>
      </c>
      <c r="AZ87" s="112">
        <v>12.0784</v>
      </c>
      <c r="BA87" s="112">
        <v>0.46811399999999997</v>
      </c>
      <c r="BB87" s="112">
        <v>19.1373</v>
      </c>
      <c r="BC87" s="112">
        <v>1.8600700000000001E-2</v>
      </c>
      <c r="BD87" s="112"/>
      <c r="BE87" s="112"/>
      <c r="BF87" s="112"/>
      <c r="BG87" s="112"/>
      <c r="BH87" s="112"/>
      <c r="BI87" s="112">
        <v>1262.79</v>
      </c>
      <c r="BJ87" s="112">
        <v>1257.04</v>
      </c>
      <c r="BK87" s="112">
        <v>976.39499999999998</v>
      </c>
      <c r="BL87" s="112">
        <v>2.2827799999999999E-2</v>
      </c>
      <c r="BM87" s="112">
        <v>3.8438999999999999E-3</v>
      </c>
      <c r="BN87" s="112">
        <v>102</v>
      </c>
      <c r="BO87" s="112">
        <v>0.29853400000000002</v>
      </c>
      <c r="BP87" s="112">
        <v>120.30500000000001</v>
      </c>
      <c r="BQ87" s="112">
        <v>1.82186</v>
      </c>
      <c r="BR87" s="112">
        <v>1.82186</v>
      </c>
      <c r="BS87" s="112">
        <v>7.0030400000000003E-3</v>
      </c>
      <c r="BT87" s="112">
        <v>1.8148500000000001</v>
      </c>
      <c r="BU87" s="112"/>
      <c r="BV87" s="112">
        <v>7.4127099999999997</v>
      </c>
      <c r="BW87" s="112">
        <v>193.953</v>
      </c>
      <c r="BX87" s="112">
        <v>3.7573300000000001</v>
      </c>
      <c r="BY87" s="112">
        <v>46.902700000000003</v>
      </c>
      <c r="BZ87" s="112">
        <v>4.0297799999999997</v>
      </c>
      <c r="CA87">
        <v>62.189900000000002</v>
      </c>
      <c r="CB87">
        <v>4.2533399999999997</v>
      </c>
      <c r="CC87">
        <v>48.6738</v>
      </c>
      <c r="CD87">
        <v>48.6738</v>
      </c>
      <c r="CE87">
        <v>7.7694700000000001</v>
      </c>
      <c r="CF87">
        <v>18.7439</v>
      </c>
      <c r="CG87">
        <v>3.82314E-3</v>
      </c>
      <c r="CM87">
        <v>1265.83</v>
      </c>
      <c r="CN87">
        <v>1259.3900000000001</v>
      </c>
      <c r="CO87">
        <v>1011.88</v>
      </c>
      <c r="CP87">
        <v>2.35257E-2</v>
      </c>
      <c r="CQ87">
        <v>7.8603300000000004E-3</v>
      </c>
      <c r="CR87">
        <v>102</v>
      </c>
      <c r="CS87">
        <v>2.7256499999999999</v>
      </c>
      <c r="CT87">
        <v>121.01300000000001</v>
      </c>
      <c r="CU87">
        <v>5.9566499999999998</v>
      </c>
      <c r="CV87">
        <v>5.9566400000000002</v>
      </c>
      <c r="CW87">
        <v>4.68212E-2</v>
      </c>
      <c r="CX87">
        <v>5.9098199999999999</v>
      </c>
      <c r="CY87">
        <v>0</v>
      </c>
      <c r="CZ87">
        <v>7.6450699999999996</v>
      </c>
      <c r="DA87">
        <v>193.35900000000001</v>
      </c>
      <c r="DB87">
        <v>12.3224</v>
      </c>
      <c r="DC87">
        <v>46.836799999999997</v>
      </c>
      <c r="DD87">
        <v>3.8213400000000002</v>
      </c>
      <c r="DE87">
        <v>62.101300000000002</v>
      </c>
      <c r="DF87">
        <v>4.2794400000000001</v>
      </c>
      <c r="DG87">
        <v>49.419400000000003</v>
      </c>
      <c r="DH87">
        <v>49.419400000000003</v>
      </c>
      <c r="DI87">
        <v>7.9939799999999996</v>
      </c>
      <c r="DJ87">
        <v>18.7165</v>
      </c>
      <c r="DK87">
        <v>7.7850000000000003E-3</v>
      </c>
      <c r="DQ87">
        <v>1319.48</v>
      </c>
      <c r="DR87">
        <v>1299.8</v>
      </c>
      <c r="DS87">
        <v>1385.72</v>
      </c>
      <c r="DT87">
        <v>0.26224199999999998</v>
      </c>
      <c r="DU87">
        <v>0.78520400000000001</v>
      </c>
      <c r="DV87">
        <v>105</v>
      </c>
      <c r="DW87">
        <v>0.49458000000000002</v>
      </c>
      <c r="DX87">
        <v>841.29300000000001</v>
      </c>
      <c r="DY87">
        <v>7.0306599999999997E-2</v>
      </c>
      <c r="DZ87">
        <v>4.5854799999999996</v>
      </c>
      <c r="EA87">
        <v>5.5204999999999997E-2</v>
      </c>
      <c r="EB87">
        <v>0.98494499999999996</v>
      </c>
      <c r="EC87">
        <v>0</v>
      </c>
      <c r="ED87">
        <v>5.8225199999999999</v>
      </c>
      <c r="EE87">
        <v>134.47399999999999</v>
      </c>
      <c r="EF87">
        <v>3.1017600000000001</v>
      </c>
      <c r="EG87">
        <v>46.902200000000001</v>
      </c>
      <c r="EH87">
        <v>5.9035799999999998</v>
      </c>
      <c r="EI87">
        <v>62.2194</v>
      </c>
      <c r="EJ87">
        <v>8.8925000000000001</v>
      </c>
      <c r="EK87">
        <v>40.165900000000001</v>
      </c>
      <c r="EL87">
        <v>40.165900000000001</v>
      </c>
      <c r="EM87">
        <v>5.6077899999999996</v>
      </c>
      <c r="EN87">
        <v>18.769300000000001</v>
      </c>
      <c r="EO87">
        <v>0.43526700000000002</v>
      </c>
    </row>
    <row r="88" spans="1:145" x14ac:dyDescent="0.2">
      <c r="A88" s="86"/>
      <c r="B88" s="442"/>
      <c r="C88" s="510"/>
      <c r="E88" s="394"/>
      <c r="F88" s="8"/>
      <c r="K88" s="1"/>
      <c r="L88" s="1"/>
      <c r="AD88" s="112"/>
      <c r="AE88" s="112">
        <v>1253.95</v>
      </c>
      <c r="AF88" s="112">
        <v>1250.03</v>
      </c>
      <c r="AG88" s="112">
        <v>3860.68</v>
      </c>
      <c r="AH88" s="112">
        <v>0.26851599999999998</v>
      </c>
      <c r="AI88" s="112">
        <v>0.63925299999999996</v>
      </c>
      <c r="AJ88" s="112">
        <v>105</v>
      </c>
      <c r="AK88" s="112">
        <v>0.25519700000000001</v>
      </c>
      <c r="AL88" s="112">
        <v>132.27600000000001</v>
      </c>
      <c r="AM88" s="112">
        <v>9.5153000000000008E-3</v>
      </c>
      <c r="AN88" s="112">
        <v>1.1193299999999999</v>
      </c>
      <c r="AO88" s="112">
        <v>6.08269E-3</v>
      </c>
      <c r="AP88" s="112">
        <v>0.40379300000000001</v>
      </c>
      <c r="AQ88" s="112"/>
      <c r="AR88" s="112">
        <v>2.4977999999999998</v>
      </c>
      <c r="AS88" s="112">
        <v>98.290199999999999</v>
      </c>
      <c r="AT88" s="112">
        <v>1.66811</v>
      </c>
      <c r="AU88" s="112">
        <v>46.984400000000001</v>
      </c>
      <c r="AV88" s="112">
        <v>15.867900000000001</v>
      </c>
      <c r="AW88" s="112">
        <v>62.7224</v>
      </c>
      <c r="AX88" s="112">
        <v>16.563199999999998</v>
      </c>
      <c r="AY88" s="112">
        <v>12.071300000000001</v>
      </c>
      <c r="AZ88" s="112">
        <v>12.071300000000001</v>
      </c>
      <c r="BA88" s="112">
        <v>0.46746100000000002</v>
      </c>
      <c r="BB88" s="112">
        <v>19.1372</v>
      </c>
      <c r="BC88" s="112">
        <v>2.01817E-2</v>
      </c>
      <c r="BD88" s="112"/>
      <c r="BE88" s="112"/>
      <c r="BF88" s="112"/>
      <c r="BG88" s="112"/>
      <c r="BH88" s="112"/>
      <c r="BI88" s="112">
        <v>1265.83</v>
      </c>
      <c r="BJ88" s="112">
        <v>1259.3900000000001</v>
      </c>
      <c r="BK88" s="112">
        <v>976.62300000000005</v>
      </c>
      <c r="BL88" s="112">
        <v>2.28281E-2</v>
      </c>
      <c r="BM88" s="112">
        <v>3.84403E-3</v>
      </c>
      <c r="BN88" s="112">
        <v>102</v>
      </c>
      <c r="BO88" s="112">
        <v>0.29922700000000002</v>
      </c>
      <c r="BP88" s="112">
        <v>120.48</v>
      </c>
      <c r="BQ88" s="112">
        <v>1.8218300000000001</v>
      </c>
      <c r="BR88" s="112">
        <v>1.8218300000000001</v>
      </c>
      <c r="BS88" s="112">
        <v>7.0031700000000004E-3</v>
      </c>
      <c r="BT88" s="112">
        <v>1.8148299999999999</v>
      </c>
      <c r="BU88" s="112"/>
      <c r="BV88" s="112">
        <v>7.4124699999999999</v>
      </c>
      <c r="BW88" s="112">
        <v>193.952</v>
      </c>
      <c r="BX88" s="112">
        <v>3.7572999999999999</v>
      </c>
      <c r="BY88" s="112">
        <v>46.901800000000001</v>
      </c>
      <c r="BZ88" s="112">
        <v>4.0298299999999996</v>
      </c>
      <c r="CA88">
        <v>62.188699999999997</v>
      </c>
      <c r="CB88">
        <v>4.2534000000000001</v>
      </c>
      <c r="CC88">
        <v>48.669699999999999</v>
      </c>
      <c r="CD88">
        <v>48.669699999999999</v>
      </c>
      <c r="CE88">
        <v>7.7687499999999998</v>
      </c>
      <c r="CF88">
        <v>18.743500000000001</v>
      </c>
      <c r="CG88">
        <v>3.8231900000000002E-3</v>
      </c>
      <c r="CM88">
        <v>1292.6600000000001</v>
      </c>
      <c r="CN88">
        <v>1279.5899999999999</v>
      </c>
      <c r="CO88">
        <v>1013.91</v>
      </c>
      <c r="CP88">
        <v>2.3012399999999999E-2</v>
      </c>
      <c r="CQ88">
        <v>7.8605800000000007E-3</v>
      </c>
      <c r="CR88">
        <v>102</v>
      </c>
      <c r="CS88">
        <v>2.7808000000000002</v>
      </c>
      <c r="CT88">
        <v>122.497</v>
      </c>
      <c r="CU88">
        <v>5.9571500000000004</v>
      </c>
      <c r="CV88">
        <v>5.9571500000000004</v>
      </c>
      <c r="CW88">
        <v>4.6826600000000003E-2</v>
      </c>
      <c r="CX88">
        <v>5.9103199999999996</v>
      </c>
      <c r="CY88">
        <v>0</v>
      </c>
      <c r="CZ88">
        <v>7.6443300000000001</v>
      </c>
      <c r="DA88">
        <v>193.36699999999999</v>
      </c>
      <c r="DB88">
        <v>12.3225</v>
      </c>
      <c r="DC88">
        <v>46.827500000000001</v>
      </c>
      <c r="DD88">
        <v>3.8207399999999998</v>
      </c>
      <c r="DE88">
        <v>62.088299999999997</v>
      </c>
      <c r="DF88">
        <v>4.2787600000000001</v>
      </c>
      <c r="DG88">
        <v>49.380499999999998</v>
      </c>
      <c r="DH88">
        <v>49.380499999999998</v>
      </c>
      <c r="DI88">
        <v>7.9879300000000004</v>
      </c>
      <c r="DJ88">
        <v>18.712299999999999</v>
      </c>
      <c r="DK88">
        <v>7.7865599999999997E-3</v>
      </c>
      <c r="DQ88">
        <v>1342.64</v>
      </c>
      <c r="DR88">
        <v>1316.7</v>
      </c>
      <c r="DS88">
        <v>1405.17</v>
      </c>
      <c r="DT88">
        <v>0.25602900000000001</v>
      </c>
      <c r="DU88">
        <v>0.79219899999999999</v>
      </c>
      <c r="DV88">
        <v>105</v>
      </c>
      <c r="DW88">
        <v>0.49998599999999999</v>
      </c>
      <c r="DX88">
        <v>855.48400000000004</v>
      </c>
      <c r="DY88">
        <v>6.9694699999999998E-2</v>
      </c>
      <c r="DZ88">
        <v>4.6710599999999998</v>
      </c>
      <c r="EA88">
        <v>5.52121E-2</v>
      </c>
      <c r="EB88">
        <v>0.97065000000000001</v>
      </c>
      <c r="EC88">
        <v>0</v>
      </c>
      <c r="ED88">
        <v>5.7636799999999999</v>
      </c>
      <c r="EE88">
        <v>133.547</v>
      </c>
      <c r="EF88">
        <v>3.0790000000000002</v>
      </c>
      <c r="EG88">
        <v>46.895699999999998</v>
      </c>
      <c r="EH88">
        <v>5.9819800000000001</v>
      </c>
      <c r="EI88">
        <v>62.2117</v>
      </c>
      <c r="EJ88">
        <v>9.0082799999999992</v>
      </c>
      <c r="EK88">
        <v>39.810899999999997</v>
      </c>
      <c r="EL88">
        <v>39.810899999999997</v>
      </c>
      <c r="EM88">
        <v>5.5245300000000004</v>
      </c>
      <c r="EN88">
        <v>18.767600000000002</v>
      </c>
      <c r="EO88">
        <v>0.44141399999999997</v>
      </c>
    </row>
    <row r="89" spans="1:145" x14ac:dyDescent="0.2">
      <c r="A89" s="86"/>
      <c r="B89" s="442"/>
      <c r="C89" s="510"/>
      <c r="E89" s="394"/>
      <c r="F89" s="8"/>
      <c r="K89" s="1"/>
      <c r="L89" s="1"/>
      <c r="AD89" s="112"/>
      <c r="AE89" s="112">
        <v>1256.8399999999999</v>
      </c>
      <c r="AF89" s="112">
        <v>1252.3599999999999</v>
      </c>
      <c r="AG89" s="112">
        <v>3863.11</v>
      </c>
      <c r="AH89" s="112">
        <v>0.25608199999999998</v>
      </c>
      <c r="AI89" s="112">
        <v>0.63990000000000002</v>
      </c>
      <c r="AJ89" s="112">
        <v>105</v>
      </c>
      <c r="AK89" s="112">
        <v>0.25539400000000001</v>
      </c>
      <c r="AL89" s="112">
        <v>134.232</v>
      </c>
      <c r="AM89" s="112">
        <v>9.5058E-3</v>
      </c>
      <c r="AN89" s="112">
        <v>1.1211100000000001</v>
      </c>
      <c r="AO89" s="112">
        <v>6.0827600000000004E-3</v>
      </c>
      <c r="AP89" s="112">
        <v>0.40371299999999999</v>
      </c>
      <c r="AQ89" s="112"/>
      <c r="AR89" s="112">
        <v>2.49716</v>
      </c>
      <c r="AS89" s="112">
        <v>98.280600000000007</v>
      </c>
      <c r="AT89" s="112">
        <v>1.6679299999999999</v>
      </c>
      <c r="AU89" s="112">
        <v>46.983699999999999</v>
      </c>
      <c r="AV89" s="112">
        <v>15.870699999999999</v>
      </c>
      <c r="AW89" s="112">
        <v>62.721600000000002</v>
      </c>
      <c r="AX89" s="112">
        <v>16.566099999999999</v>
      </c>
      <c r="AY89" s="112">
        <v>12.0654</v>
      </c>
      <c r="AZ89" s="112">
        <v>12.0654</v>
      </c>
      <c r="BA89" s="112">
        <v>0.466922</v>
      </c>
      <c r="BB89" s="112">
        <v>19.1371</v>
      </c>
      <c r="BC89" s="112">
        <v>2.16067E-2</v>
      </c>
      <c r="BD89" s="112"/>
      <c r="BE89" s="112"/>
      <c r="BF89" s="112"/>
      <c r="BG89" s="112"/>
      <c r="BH89" s="112"/>
      <c r="BI89" s="112">
        <v>1292.6600000000001</v>
      </c>
      <c r="BJ89" s="112">
        <v>1279.5899999999999</v>
      </c>
      <c r="BK89" s="112">
        <v>978.58699999999999</v>
      </c>
      <c r="BL89" s="112">
        <v>2.2320199999999998E-2</v>
      </c>
      <c r="BM89" s="112">
        <v>3.8444799999999999E-3</v>
      </c>
      <c r="BN89" s="112">
        <v>102</v>
      </c>
      <c r="BO89" s="112">
        <v>0.30532900000000002</v>
      </c>
      <c r="BP89" s="112">
        <v>121.955</v>
      </c>
      <c r="BQ89" s="112">
        <v>1.82179</v>
      </c>
      <c r="BR89" s="112">
        <v>1.82179</v>
      </c>
      <c r="BS89" s="112">
        <v>7.0038499999999998E-3</v>
      </c>
      <c r="BT89" s="112">
        <v>1.8147899999999999</v>
      </c>
      <c r="BU89" s="112"/>
      <c r="BV89" s="112">
        <v>7.4114399999999998</v>
      </c>
      <c r="BW89" s="112">
        <v>193.94900000000001</v>
      </c>
      <c r="BX89" s="112">
        <v>3.7572700000000001</v>
      </c>
      <c r="BY89" s="112">
        <v>46.893700000000003</v>
      </c>
      <c r="BZ89" s="112">
        <v>4.0299699999999996</v>
      </c>
      <c r="CA89">
        <v>62.177900000000001</v>
      </c>
      <c r="CB89">
        <v>4.25352</v>
      </c>
      <c r="CC89">
        <v>48.634700000000002</v>
      </c>
      <c r="CD89">
        <v>48.634700000000002</v>
      </c>
      <c r="CE89">
        <v>7.7627199999999998</v>
      </c>
      <c r="CF89">
        <v>18.740300000000001</v>
      </c>
      <c r="CG89">
        <v>3.8236300000000002E-3</v>
      </c>
      <c r="CM89">
        <v>1319.48</v>
      </c>
      <c r="CN89">
        <v>1299.8</v>
      </c>
      <c r="CO89">
        <v>1015.93</v>
      </c>
      <c r="CP89">
        <v>2.3008500000000001E-2</v>
      </c>
      <c r="CQ89">
        <v>7.8608199999999993E-3</v>
      </c>
      <c r="CR89">
        <v>102</v>
      </c>
      <c r="CS89">
        <v>2.8359700000000001</v>
      </c>
      <c r="CT89">
        <v>123.98</v>
      </c>
      <c r="CU89">
        <v>5.9582199999999998</v>
      </c>
      <c r="CV89">
        <v>5.9582199999999998</v>
      </c>
      <c r="CW89">
        <v>4.6836500000000003E-2</v>
      </c>
      <c r="CX89">
        <v>5.9113800000000003</v>
      </c>
      <c r="CY89">
        <v>0</v>
      </c>
      <c r="CZ89">
        <v>7.6430999999999996</v>
      </c>
      <c r="DA89">
        <v>193.38499999999999</v>
      </c>
      <c r="DB89">
        <v>12.323399999999999</v>
      </c>
      <c r="DC89">
        <v>46.817900000000002</v>
      </c>
      <c r="DD89">
        <v>3.8199700000000001</v>
      </c>
      <c r="DE89">
        <v>62.075000000000003</v>
      </c>
      <c r="DF89">
        <v>4.2778999999999998</v>
      </c>
      <c r="DG89">
        <v>49.3414</v>
      </c>
      <c r="DH89">
        <v>49.3414</v>
      </c>
      <c r="DI89">
        <v>7.9819500000000003</v>
      </c>
      <c r="DJ89">
        <v>18.707899999999999</v>
      </c>
      <c r="DK89">
        <v>7.7880700000000002E-3</v>
      </c>
      <c r="DQ89">
        <v>1365.81</v>
      </c>
      <c r="DR89">
        <v>1333.6</v>
      </c>
      <c r="DS89">
        <v>1424.77</v>
      </c>
      <c r="DT89">
        <v>0.25788699999999998</v>
      </c>
      <c r="DU89">
        <v>0.79855100000000001</v>
      </c>
      <c r="DV89">
        <v>105</v>
      </c>
      <c r="DW89">
        <v>0.50532999999999995</v>
      </c>
      <c r="DX89">
        <v>869.779</v>
      </c>
      <c r="DY89">
        <v>6.9149199999999994E-2</v>
      </c>
      <c r="DZ89">
        <v>4.7557600000000004</v>
      </c>
      <c r="EA89">
        <v>5.52191E-2</v>
      </c>
      <c r="EB89">
        <v>0.95804400000000001</v>
      </c>
      <c r="EC89">
        <v>0</v>
      </c>
      <c r="ED89">
        <v>5.7112299999999996</v>
      </c>
      <c r="EE89">
        <v>132.72399999999999</v>
      </c>
      <c r="EF89">
        <v>3.05992</v>
      </c>
      <c r="EG89">
        <v>46.888800000000003</v>
      </c>
      <c r="EH89">
        <v>6.0599600000000002</v>
      </c>
      <c r="EI89">
        <v>62.203499999999998</v>
      </c>
      <c r="EJ89">
        <v>9.1195799999999991</v>
      </c>
      <c r="EK89">
        <v>39.458300000000001</v>
      </c>
      <c r="EL89">
        <v>39.458300000000001</v>
      </c>
      <c r="EM89">
        <v>5.4424000000000001</v>
      </c>
      <c r="EN89">
        <v>18.765599999999999</v>
      </c>
      <c r="EO89">
        <v>0.447461</v>
      </c>
    </row>
    <row r="90" spans="1:145" x14ac:dyDescent="0.2">
      <c r="A90" s="86"/>
      <c r="B90" s="442"/>
      <c r="C90" s="510"/>
      <c r="E90" s="394"/>
      <c r="F90" s="8"/>
      <c r="K90" s="1"/>
      <c r="L90" s="1"/>
      <c r="AD90" s="112"/>
      <c r="AE90" s="112">
        <v>1259.74</v>
      </c>
      <c r="AF90" s="112">
        <v>1254.69</v>
      </c>
      <c r="AG90" s="112">
        <v>3865.54</v>
      </c>
      <c r="AH90" s="112">
        <v>0.25611499999999998</v>
      </c>
      <c r="AI90" s="112">
        <v>0.640015</v>
      </c>
      <c r="AJ90" s="112">
        <v>105</v>
      </c>
      <c r="AK90" s="112">
        <v>0.25559199999999999</v>
      </c>
      <c r="AL90" s="112">
        <v>136.18899999999999</v>
      </c>
      <c r="AM90" s="112">
        <v>9.5042000000000008E-3</v>
      </c>
      <c r="AN90" s="112">
        <v>1.12127</v>
      </c>
      <c r="AO90" s="112">
        <v>6.08283E-3</v>
      </c>
      <c r="AP90" s="112">
        <v>0.40364100000000003</v>
      </c>
      <c r="AQ90" s="112"/>
      <c r="AR90" s="112">
        <v>2.4965899999999999</v>
      </c>
      <c r="AS90" s="112">
        <v>98.272000000000006</v>
      </c>
      <c r="AT90" s="112">
        <v>1.66778</v>
      </c>
      <c r="AU90" s="112">
        <v>46.982999999999997</v>
      </c>
      <c r="AV90" s="112">
        <v>15.8735</v>
      </c>
      <c r="AW90" s="112">
        <v>62.7209</v>
      </c>
      <c r="AX90" s="112">
        <v>16.568999999999999</v>
      </c>
      <c r="AY90" s="112">
        <v>12.0595</v>
      </c>
      <c r="AZ90" s="112">
        <v>12.0595</v>
      </c>
      <c r="BA90" s="112">
        <v>0.46638600000000002</v>
      </c>
      <c r="BB90" s="112">
        <v>19.137</v>
      </c>
      <c r="BC90" s="112">
        <v>2.3025400000000001E-2</v>
      </c>
      <c r="BD90" s="112"/>
      <c r="BE90" s="112"/>
      <c r="BF90" s="112"/>
      <c r="BG90" s="112"/>
      <c r="BH90" s="112"/>
      <c r="BI90" s="112">
        <v>1319.48</v>
      </c>
      <c r="BJ90" s="112">
        <v>1299.8</v>
      </c>
      <c r="BK90" s="112">
        <v>980.55200000000002</v>
      </c>
      <c r="BL90" s="112">
        <v>2.2320099999999999E-2</v>
      </c>
      <c r="BM90" s="112">
        <v>3.8451399999999999E-3</v>
      </c>
      <c r="BN90" s="112">
        <v>102</v>
      </c>
      <c r="BO90" s="112">
        <v>0.31143300000000002</v>
      </c>
      <c r="BP90" s="112">
        <v>123.43</v>
      </c>
      <c r="BQ90" s="112">
        <v>1.8218099999999999</v>
      </c>
      <c r="BR90" s="112">
        <v>1.8218099999999999</v>
      </c>
      <c r="BS90" s="112">
        <v>7.0050900000000003E-3</v>
      </c>
      <c r="BT90" s="112">
        <v>1.8148</v>
      </c>
      <c r="BU90" s="112"/>
      <c r="BV90" s="112">
        <v>7.4097799999999996</v>
      </c>
      <c r="BW90" s="112">
        <v>193.95</v>
      </c>
      <c r="BX90" s="112">
        <v>3.7572199999999998</v>
      </c>
      <c r="BY90" s="112">
        <v>46.885199999999998</v>
      </c>
      <c r="BZ90" s="112">
        <v>4.0297799999999997</v>
      </c>
      <c r="CA90">
        <v>62.166600000000003</v>
      </c>
      <c r="CB90">
        <v>4.2533200000000004</v>
      </c>
      <c r="CC90">
        <v>48.599600000000002</v>
      </c>
      <c r="CD90">
        <v>48.599600000000002</v>
      </c>
      <c r="CE90">
        <v>7.7568799999999998</v>
      </c>
      <c r="CF90">
        <v>18.736799999999999</v>
      </c>
      <c r="CG90">
        <v>3.8240700000000002E-3</v>
      </c>
      <c r="CM90">
        <v>1342.64</v>
      </c>
      <c r="CN90">
        <v>1316.7</v>
      </c>
      <c r="CO90">
        <v>1017.63</v>
      </c>
      <c r="CP90">
        <v>2.2297600000000001E-2</v>
      </c>
      <c r="CQ90">
        <v>7.8605399999999992E-3</v>
      </c>
      <c r="CR90">
        <v>102</v>
      </c>
      <c r="CS90">
        <v>2.8836300000000001</v>
      </c>
      <c r="CT90">
        <v>125.182</v>
      </c>
      <c r="CU90">
        <v>5.9596400000000003</v>
      </c>
      <c r="CV90">
        <v>5.9596400000000003</v>
      </c>
      <c r="CW90">
        <v>4.6845999999999999E-2</v>
      </c>
      <c r="CX90">
        <v>5.9127999999999998</v>
      </c>
      <c r="CY90">
        <v>0</v>
      </c>
      <c r="CZ90">
        <v>7.6422299999999996</v>
      </c>
      <c r="DA90">
        <v>193.40799999999999</v>
      </c>
      <c r="DB90">
        <v>12.3247</v>
      </c>
      <c r="DC90">
        <v>46.8095</v>
      </c>
      <c r="DD90">
        <v>3.8189199999999999</v>
      </c>
      <c r="DE90">
        <v>62.063099999999999</v>
      </c>
      <c r="DF90">
        <v>4.2767499999999998</v>
      </c>
      <c r="DG90">
        <v>49.308500000000002</v>
      </c>
      <c r="DH90">
        <v>49.308500000000002</v>
      </c>
      <c r="DI90">
        <v>7.97715</v>
      </c>
      <c r="DJ90">
        <v>18.704000000000001</v>
      </c>
      <c r="DK90">
        <v>7.7893199999999998E-3</v>
      </c>
      <c r="DQ90">
        <v>1441.42</v>
      </c>
      <c r="DR90">
        <v>1409.21</v>
      </c>
      <c r="DS90">
        <v>1486.42</v>
      </c>
      <c r="DT90">
        <v>0.24851400000000001</v>
      </c>
      <c r="DU90">
        <v>0.52840799999999999</v>
      </c>
      <c r="DV90">
        <v>105</v>
      </c>
      <c r="DW90">
        <v>0.52276900000000004</v>
      </c>
      <c r="DX90">
        <v>931.41</v>
      </c>
      <c r="DY90">
        <v>0.104532</v>
      </c>
      <c r="DZ90">
        <v>1.97915</v>
      </c>
      <c r="EA90">
        <v>5.5235600000000003E-2</v>
      </c>
      <c r="EB90">
        <v>0.93335000000000001</v>
      </c>
      <c r="EC90">
        <v>0</v>
      </c>
      <c r="ED90">
        <v>5.6069300000000002</v>
      </c>
      <c r="EE90">
        <v>131.09800000000001</v>
      </c>
      <c r="EF90">
        <v>3.0343499999999999</v>
      </c>
      <c r="EG90">
        <v>46.865200000000002</v>
      </c>
      <c r="EH90">
        <v>6.2991999999999999</v>
      </c>
      <c r="EI90">
        <v>62.174500000000002</v>
      </c>
      <c r="EJ90">
        <v>9.4211299999999998</v>
      </c>
      <c r="EK90">
        <v>38.381</v>
      </c>
      <c r="EL90">
        <v>38.381</v>
      </c>
      <c r="EM90">
        <v>5.1947400000000004</v>
      </c>
      <c r="EN90">
        <v>18.757999999999999</v>
      </c>
      <c r="EO90">
        <v>0.45169999999999999</v>
      </c>
    </row>
    <row r="91" spans="1:145" x14ac:dyDescent="0.2">
      <c r="A91" s="86"/>
      <c r="B91" s="442"/>
      <c r="C91" s="510"/>
      <c r="E91" s="394"/>
      <c r="F91" s="8"/>
      <c r="K91" s="1"/>
      <c r="L91" s="1"/>
      <c r="AD91" s="112"/>
      <c r="AE91" s="112">
        <v>1262.79</v>
      </c>
      <c r="AF91" s="112">
        <v>1257.04</v>
      </c>
      <c r="AG91" s="112">
        <v>3868</v>
      </c>
      <c r="AH91" s="112">
        <v>0.245425</v>
      </c>
      <c r="AI91" s="112">
        <v>0.640158</v>
      </c>
      <c r="AJ91" s="112">
        <v>105</v>
      </c>
      <c r="AK91" s="112">
        <v>0.255799</v>
      </c>
      <c r="AL91" s="112">
        <v>138.07900000000001</v>
      </c>
      <c r="AM91" s="112">
        <v>9.5022000000000006E-3</v>
      </c>
      <c r="AN91" s="112">
        <v>1.1215200000000001</v>
      </c>
      <c r="AO91" s="112">
        <v>6.0829100000000004E-3</v>
      </c>
      <c r="AP91" s="112">
        <v>0.40357100000000001</v>
      </c>
      <c r="AQ91" s="112"/>
      <c r="AR91" s="112">
        <v>2.4960300000000002</v>
      </c>
      <c r="AS91" s="112">
        <v>98.263599999999997</v>
      </c>
      <c r="AT91" s="112">
        <v>1.66764</v>
      </c>
      <c r="AU91" s="112">
        <v>46.982300000000002</v>
      </c>
      <c r="AV91" s="112">
        <v>15.876200000000001</v>
      </c>
      <c r="AW91" s="112">
        <v>62.720100000000002</v>
      </c>
      <c r="AX91" s="112">
        <v>16.5718</v>
      </c>
      <c r="AY91" s="112">
        <v>12.053800000000001</v>
      </c>
      <c r="AZ91" s="112">
        <v>12.053800000000001</v>
      </c>
      <c r="BA91" s="112">
        <v>0.46587000000000001</v>
      </c>
      <c r="BB91" s="112">
        <v>19.136800000000001</v>
      </c>
      <c r="BC91" s="112">
        <v>2.4512200000000001E-2</v>
      </c>
      <c r="BD91" s="112"/>
      <c r="BE91" s="112"/>
      <c r="BF91" s="112"/>
      <c r="BG91" s="112"/>
      <c r="BH91" s="112"/>
      <c r="BI91" s="112">
        <v>1342.64</v>
      </c>
      <c r="BJ91" s="112">
        <v>1316.7</v>
      </c>
      <c r="BK91" s="112">
        <v>982.19399999999996</v>
      </c>
      <c r="BL91" s="112">
        <v>2.1615599999999999E-2</v>
      </c>
      <c r="BM91" s="112">
        <v>3.8453300000000001E-3</v>
      </c>
      <c r="BN91" s="112">
        <v>102</v>
      </c>
      <c r="BO91" s="112">
        <v>0.31670500000000001</v>
      </c>
      <c r="BP91" s="112">
        <v>124.625</v>
      </c>
      <c r="BQ91" s="112">
        <v>1.82203</v>
      </c>
      <c r="BR91" s="112">
        <v>1.82203</v>
      </c>
      <c r="BS91" s="112">
        <v>7.00631E-3</v>
      </c>
      <c r="BT91" s="112">
        <v>1.8150299999999999</v>
      </c>
      <c r="BU91" s="112"/>
      <c r="BV91" s="112">
        <v>7.40869</v>
      </c>
      <c r="BW91" s="112">
        <v>193.96199999999999</v>
      </c>
      <c r="BX91" s="112">
        <v>3.7573099999999999</v>
      </c>
      <c r="BY91" s="112">
        <v>46.877499999999998</v>
      </c>
      <c r="BZ91" s="112">
        <v>4.0289700000000002</v>
      </c>
      <c r="CA91">
        <v>62.156300000000002</v>
      </c>
      <c r="CB91">
        <v>4.2524899999999999</v>
      </c>
      <c r="CC91">
        <v>48.570500000000003</v>
      </c>
      <c r="CD91">
        <v>48.570500000000003</v>
      </c>
      <c r="CE91">
        <v>7.7523900000000001</v>
      </c>
      <c r="CF91">
        <v>18.733599999999999</v>
      </c>
      <c r="CG91">
        <v>3.8244400000000001E-3</v>
      </c>
      <c r="CM91">
        <v>1365.81</v>
      </c>
      <c r="CN91">
        <v>1333.6</v>
      </c>
      <c r="CO91">
        <v>1019.32</v>
      </c>
      <c r="CP91">
        <v>2.2291399999999999E-2</v>
      </c>
      <c r="CQ91">
        <v>7.8597300000000005E-3</v>
      </c>
      <c r="CR91">
        <v>102</v>
      </c>
      <c r="CS91">
        <v>2.9312999999999998</v>
      </c>
      <c r="CT91">
        <v>126.383</v>
      </c>
      <c r="CU91">
        <v>5.9614200000000004</v>
      </c>
      <c r="CV91">
        <v>5.9614200000000004</v>
      </c>
      <c r="CW91">
        <v>4.6855099999999997E-2</v>
      </c>
      <c r="CX91">
        <v>5.9145599999999998</v>
      </c>
      <c r="CY91">
        <v>0</v>
      </c>
      <c r="CZ91">
        <v>7.6417400000000004</v>
      </c>
      <c r="DA91">
        <v>193.43700000000001</v>
      </c>
      <c r="DB91">
        <v>12.3264</v>
      </c>
      <c r="DC91">
        <v>46.800800000000002</v>
      </c>
      <c r="DD91">
        <v>3.8176899999999998</v>
      </c>
      <c r="DE91">
        <v>62.050899999999999</v>
      </c>
      <c r="DF91">
        <v>4.2753800000000002</v>
      </c>
      <c r="DG91">
        <v>49.275199999999998</v>
      </c>
      <c r="DH91">
        <v>49.275199999999998</v>
      </c>
      <c r="DI91">
        <v>7.9724300000000001</v>
      </c>
      <c r="DJ91">
        <v>18.6999</v>
      </c>
      <c r="DK91">
        <v>7.7905099999999996E-3</v>
      </c>
      <c r="DQ91">
        <v>1517.03</v>
      </c>
      <c r="DR91">
        <v>1484.82</v>
      </c>
      <c r="DS91">
        <v>1549.45</v>
      </c>
      <c r="DT91">
        <v>0.25409100000000001</v>
      </c>
      <c r="DU91">
        <v>0.54106900000000002</v>
      </c>
      <c r="DV91">
        <v>105</v>
      </c>
      <c r="DW91">
        <v>0.53961999999999999</v>
      </c>
      <c r="DX91">
        <v>994.42499999999995</v>
      </c>
      <c r="DY91">
        <v>0.102134</v>
      </c>
      <c r="DZ91">
        <v>1.95767</v>
      </c>
      <c r="EA91">
        <v>5.5261600000000001E-2</v>
      </c>
      <c r="EB91">
        <v>0.89843700000000004</v>
      </c>
      <c r="EC91">
        <v>0</v>
      </c>
      <c r="ED91">
        <v>5.4562299999999997</v>
      </c>
      <c r="EE91">
        <v>128.76400000000001</v>
      </c>
      <c r="EF91">
        <v>2.9797799999999999</v>
      </c>
      <c r="EG91">
        <v>46.841700000000003</v>
      </c>
      <c r="EH91">
        <v>6.5401999999999996</v>
      </c>
      <c r="EI91">
        <v>62.144799999999996</v>
      </c>
      <c r="EJ91">
        <v>9.7621800000000007</v>
      </c>
      <c r="EK91">
        <v>37.316299999999998</v>
      </c>
      <c r="EL91">
        <v>37.316299999999998</v>
      </c>
      <c r="EM91">
        <v>4.9536800000000003</v>
      </c>
      <c r="EN91">
        <v>18.75</v>
      </c>
      <c r="EO91">
        <v>0.45614700000000002</v>
      </c>
    </row>
    <row r="92" spans="1:145" x14ac:dyDescent="0.2">
      <c r="A92" s="86"/>
      <c r="B92" s="442"/>
      <c r="C92" s="510"/>
      <c r="E92" s="394"/>
      <c r="F92" s="8"/>
      <c r="K92" s="1"/>
      <c r="L92" s="1"/>
      <c r="AD92" s="112"/>
      <c r="AE92" s="112">
        <v>1265.83</v>
      </c>
      <c r="AF92" s="112">
        <v>1259.3900000000001</v>
      </c>
      <c r="AG92" s="112">
        <v>3870.45</v>
      </c>
      <c r="AH92" s="112">
        <v>0.24545500000000001</v>
      </c>
      <c r="AI92" s="112">
        <v>0.64026799999999995</v>
      </c>
      <c r="AJ92" s="112">
        <v>105</v>
      </c>
      <c r="AK92" s="112">
        <v>0.25600699999999998</v>
      </c>
      <c r="AL92" s="112">
        <v>139.971</v>
      </c>
      <c r="AM92" s="112">
        <v>9.5006899999999991E-3</v>
      </c>
      <c r="AN92" s="112">
        <v>1.12168</v>
      </c>
      <c r="AO92" s="112">
        <v>6.08298E-3</v>
      </c>
      <c r="AP92" s="112">
        <v>0.403503</v>
      </c>
      <c r="AQ92" s="112"/>
      <c r="AR92" s="112">
        <v>2.4954800000000001</v>
      </c>
      <c r="AS92" s="112">
        <v>98.255499999999998</v>
      </c>
      <c r="AT92" s="112">
        <v>1.6675</v>
      </c>
      <c r="AU92" s="112">
        <v>46.9816</v>
      </c>
      <c r="AV92" s="112">
        <v>15.8788</v>
      </c>
      <c r="AW92" s="112">
        <v>62.719299999999997</v>
      </c>
      <c r="AX92" s="112">
        <v>16.5745</v>
      </c>
      <c r="AY92" s="112">
        <v>12.0482</v>
      </c>
      <c r="AZ92" s="112">
        <v>12.0482</v>
      </c>
      <c r="BA92" s="112">
        <v>0.46535700000000002</v>
      </c>
      <c r="BB92" s="112">
        <v>19.136700000000001</v>
      </c>
      <c r="BC92" s="112">
        <v>2.5992000000000001E-2</v>
      </c>
      <c r="BD92" s="112"/>
      <c r="BE92" s="112"/>
      <c r="BF92" s="112"/>
      <c r="BG92" s="112"/>
      <c r="BH92" s="112"/>
      <c r="BI92" s="112">
        <v>1365.81</v>
      </c>
      <c r="BJ92" s="112">
        <v>1333.6</v>
      </c>
      <c r="BK92" s="112">
        <v>983.83699999999999</v>
      </c>
      <c r="BL92" s="112">
        <v>2.1609900000000001E-2</v>
      </c>
      <c r="BM92" s="112">
        <v>3.8449600000000001E-3</v>
      </c>
      <c r="BN92" s="112">
        <v>102</v>
      </c>
      <c r="BO92" s="112">
        <v>0.32197999999999999</v>
      </c>
      <c r="BP92" s="112">
        <v>125.819</v>
      </c>
      <c r="BQ92" s="112">
        <v>1.8225199999999999</v>
      </c>
      <c r="BR92" s="112">
        <v>1.8225199999999999</v>
      </c>
      <c r="BS92" s="112">
        <v>7.0075299999999997E-3</v>
      </c>
      <c r="BT92" s="112">
        <v>1.81552</v>
      </c>
      <c r="BU92" s="112"/>
      <c r="BV92" s="112">
        <v>7.4082800000000004</v>
      </c>
      <c r="BW92" s="112">
        <v>193.988</v>
      </c>
      <c r="BX92" s="112">
        <v>3.7576999999999998</v>
      </c>
      <c r="BY92" s="112">
        <v>46.869199999999999</v>
      </c>
      <c r="BZ92" s="112">
        <v>4.0275999999999996</v>
      </c>
      <c r="CA92">
        <v>62.145099999999999</v>
      </c>
      <c r="CB92">
        <v>4.2510599999999998</v>
      </c>
      <c r="CC92">
        <v>48.541699999999999</v>
      </c>
      <c r="CD92">
        <v>48.541699999999999</v>
      </c>
      <c r="CE92">
        <v>7.7482100000000003</v>
      </c>
      <c r="CF92">
        <v>18.7302</v>
      </c>
      <c r="CG92">
        <v>3.8247799999999998E-3</v>
      </c>
      <c r="CM92">
        <v>1441.42</v>
      </c>
      <c r="CN92">
        <v>1409.21</v>
      </c>
      <c r="CO92">
        <v>1026.8399999999999</v>
      </c>
      <c r="CP92">
        <v>3.03323E-2</v>
      </c>
      <c r="CQ92">
        <v>7.8655600000000006E-3</v>
      </c>
      <c r="CR92">
        <v>102</v>
      </c>
      <c r="CS92">
        <v>3.08691</v>
      </c>
      <c r="CT92">
        <v>133.751</v>
      </c>
      <c r="CU92">
        <v>5.95953</v>
      </c>
      <c r="CV92">
        <v>5.95953</v>
      </c>
      <c r="CW92">
        <v>4.6875E-2</v>
      </c>
      <c r="CX92">
        <v>5.9126599999999998</v>
      </c>
      <c r="CY92">
        <v>0</v>
      </c>
      <c r="CZ92">
        <v>7.6360799999999998</v>
      </c>
      <c r="DA92">
        <v>193.40600000000001</v>
      </c>
      <c r="DB92">
        <v>12.3279</v>
      </c>
      <c r="DC92">
        <v>46.772199999999998</v>
      </c>
      <c r="DD92">
        <v>3.8214399999999999</v>
      </c>
      <c r="DE92">
        <v>62.010199999999998</v>
      </c>
      <c r="DF92">
        <v>4.2791300000000003</v>
      </c>
      <c r="DG92">
        <v>49.125900000000001</v>
      </c>
      <c r="DH92">
        <v>49.125900000000001</v>
      </c>
      <c r="DI92">
        <v>7.9466000000000001</v>
      </c>
      <c r="DJ92">
        <v>18.6861</v>
      </c>
      <c r="DK92">
        <v>7.7944399999999997E-3</v>
      </c>
      <c r="DQ92">
        <v>1592.64</v>
      </c>
      <c r="DR92">
        <v>1560.43</v>
      </c>
      <c r="DS92">
        <v>1613.86</v>
      </c>
      <c r="DT92">
        <v>0.25960800000000001</v>
      </c>
      <c r="DU92">
        <v>0.55369000000000002</v>
      </c>
      <c r="DV92">
        <v>105</v>
      </c>
      <c r="DW92">
        <v>0.555921</v>
      </c>
      <c r="DX92">
        <v>1058.81</v>
      </c>
      <c r="DY92">
        <v>9.9854299999999993E-2</v>
      </c>
      <c r="DZ92">
        <v>1.94</v>
      </c>
      <c r="EA92">
        <v>5.5288299999999999E-2</v>
      </c>
      <c r="EB92">
        <v>0.86584300000000003</v>
      </c>
      <c r="EC92">
        <v>0</v>
      </c>
      <c r="ED92">
        <v>5.31203</v>
      </c>
      <c r="EE92">
        <v>126.54600000000001</v>
      </c>
      <c r="EF92">
        <v>2.9279299999999999</v>
      </c>
      <c r="EG92">
        <v>46.817999999999998</v>
      </c>
      <c r="EH92">
        <v>6.7824900000000001</v>
      </c>
      <c r="EI92">
        <v>62.114400000000003</v>
      </c>
      <c r="EJ92">
        <v>10.1036</v>
      </c>
      <c r="EK92">
        <v>36.266399999999997</v>
      </c>
      <c r="EL92">
        <v>36.266399999999997</v>
      </c>
      <c r="EM92">
        <v>4.7196499999999997</v>
      </c>
      <c r="EN92">
        <v>18.741399999999999</v>
      </c>
      <c r="EO92">
        <v>0.46077099999999999</v>
      </c>
    </row>
    <row r="93" spans="1:145" x14ac:dyDescent="0.2">
      <c r="A93" s="86"/>
      <c r="B93" s="442"/>
      <c r="C93" s="510"/>
      <c r="E93" s="394"/>
      <c r="F93" s="8"/>
      <c r="K93" s="1"/>
      <c r="L93" s="1"/>
      <c r="AD93" s="112"/>
      <c r="AE93" s="112">
        <v>1292.6600000000001</v>
      </c>
      <c r="AF93" s="112">
        <v>1279.5899999999999</v>
      </c>
      <c r="AG93" s="112">
        <v>3891.58</v>
      </c>
      <c r="AH93" s="112">
        <v>0.24010400000000001</v>
      </c>
      <c r="AI93" s="112">
        <v>0.64077200000000001</v>
      </c>
      <c r="AJ93" s="112">
        <v>105</v>
      </c>
      <c r="AK93" s="112">
        <v>0.25783299999999998</v>
      </c>
      <c r="AL93" s="112">
        <v>155.886</v>
      </c>
      <c r="AM93" s="112">
        <v>9.4938399999999999E-3</v>
      </c>
      <c r="AN93" s="112">
        <v>1.1224000000000001</v>
      </c>
      <c r="AO93" s="112">
        <v>6.0833800000000002E-3</v>
      </c>
      <c r="AP93" s="112">
        <v>0.403196</v>
      </c>
      <c r="AQ93" s="112"/>
      <c r="AR93" s="112">
        <v>2.4929600000000001</v>
      </c>
      <c r="AS93" s="112">
        <v>98.218699999999998</v>
      </c>
      <c r="AT93" s="112">
        <v>1.66734</v>
      </c>
      <c r="AU93" s="112">
        <v>46.974899999999998</v>
      </c>
      <c r="AV93" s="112">
        <v>15.900399999999999</v>
      </c>
      <c r="AW93" s="112">
        <v>62.7119</v>
      </c>
      <c r="AX93" s="112">
        <v>16.5962</v>
      </c>
      <c r="AY93" s="112">
        <v>12.0014</v>
      </c>
      <c r="AZ93" s="112">
        <v>12.0014</v>
      </c>
      <c r="BA93" s="112">
        <v>0.46116400000000002</v>
      </c>
      <c r="BB93" s="112">
        <v>19.135200000000001</v>
      </c>
      <c r="BC93" s="112">
        <v>3.8724700000000001E-2</v>
      </c>
      <c r="BD93" s="112"/>
      <c r="BE93" s="112"/>
      <c r="BF93" s="112"/>
      <c r="BG93" s="112"/>
      <c r="BH93" s="112"/>
      <c r="BI93" s="112">
        <v>1441.42</v>
      </c>
      <c r="BJ93" s="112">
        <v>1409.21</v>
      </c>
      <c r="BK93" s="112">
        <v>991.18</v>
      </c>
      <c r="BL93" s="112">
        <v>2.9602699999999999E-2</v>
      </c>
      <c r="BM93" s="112">
        <v>3.8474099999999999E-3</v>
      </c>
      <c r="BN93" s="112">
        <v>102</v>
      </c>
      <c r="BO93" s="112">
        <v>0.339198</v>
      </c>
      <c r="BP93" s="112">
        <v>133.14500000000001</v>
      </c>
      <c r="BQ93" s="112">
        <v>1.8220799999999999</v>
      </c>
      <c r="BR93" s="112">
        <v>1.8220799999999999</v>
      </c>
      <c r="BS93" s="112">
        <v>7.0102999999999997E-3</v>
      </c>
      <c r="BT93" s="112">
        <v>1.81507</v>
      </c>
      <c r="BU93" s="112"/>
      <c r="BV93" s="112">
        <v>7.4034000000000004</v>
      </c>
      <c r="BW93" s="112">
        <v>193.965</v>
      </c>
      <c r="BX93" s="112">
        <v>3.7582800000000001</v>
      </c>
      <c r="BY93" s="112">
        <v>46.841200000000001</v>
      </c>
      <c r="BZ93" s="112">
        <v>4.0310100000000002</v>
      </c>
      <c r="CA93">
        <v>62.106900000000003</v>
      </c>
      <c r="CB93">
        <v>4.2544500000000003</v>
      </c>
      <c r="CC93">
        <v>48.403799999999997</v>
      </c>
      <c r="CD93">
        <v>48.403799999999997</v>
      </c>
      <c r="CE93">
        <v>7.7237400000000003</v>
      </c>
      <c r="CF93">
        <v>18.7181</v>
      </c>
      <c r="CG93">
        <v>3.8259700000000002E-3</v>
      </c>
      <c r="CM93">
        <v>1517.03</v>
      </c>
      <c r="CN93">
        <v>1484.82</v>
      </c>
      <c r="CO93">
        <v>1034.3800000000001</v>
      </c>
      <c r="CP93">
        <v>3.0360499999999999E-2</v>
      </c>
      <c r="CQ93">
        <v>7.8783499999999992E-3</v>
      </c>
      <c r="CR93">
        <v>102</v>
      </c>
      <c r="CS93">
        <v>3.24241</v>
      </c>
      <c r="CT93">
        <v>141.12700000000001</v>
      </c>
      <c r="CU93">
        <v>5.9538099999999998</v>
      </c>
      <c r="CV93">
        <v>5.9538099999999998</v>
      </c>
      <c r="CW93">
        <v>4.6906200000000002E-2</v>
      </c>
      <c r="CX93">
        <v>5.9069000000000003</v>
      </c>
      <c r="CY93">
        <v>0</v>
      </c>
      <c r="CZ93">
        <v>7.6250400000000003</v>
      </c>
      <c r="DA93">
        <v>193.31299999999999</v>
      </c>
      <c r="DB93">
        <v>12.321899999999999</v>
      </c>
      <c r="DC93">
        <v>46.743400000000001</v>
      </c>
      <c r="DD93">
        <v>3.8251300000000001</v>
      </c>
      <c r="DE93">
        <v>61.968499999999999</v>
      </c>
      <c r="DF93">
        <v>4.2832100000000004</v>
      </c>
      <c r="DG93">
        <v>48.973999999999997</v>
      </c>
      <c r="DH93">
        <v>48.973999999999997</v>
      </c>
      <c r="DI93">
        <v>7.9207400000000003</v>
      </c>
      <c r="DJ93">
        <v>18.671600000000002</v>
      </c>
      <c r="DK93">
        <v>7.79862E-3</v>
      </c>
      <c r="DQ93">
        <v>1668.26</v>
      </c>
      <c r="DR93">
        <v>1636.04</v>
      </c>
      <c r="DS93">
        <v>1679.61</v>
      </c>
      <c r="DT93">
        <v>0.26505600000000001</v>
      </c>
      <c r="DU93">
        <v>0.56625499999999995</v>
      </c>
      <c r="DV93">
        <v>105</v>
      </c>
      <c r="DW93">
        <v>0.57170500000000002</v>
      </c>
      <c r="DX93">
        <v>1124.55</v>
      </c>
      <c r="DY93">
        <v>9.7686899999999993E-2</v>
      </c>
      <c r="DZ93">
        <v>1.9260299999999999</v>
      </c>
      <c r="EA93">
        <v>5.5315700000000002E-2</v>
      </c>
      <c r="EB93">
        <v>0.83540499999999995</v>
      </c>
      <c r="EC93">
        <v>0</v>
      </c>
      <c r="ED93">
        <v>5.1741000000000001</v>
      </c>
      <c r="EE93">
        <v>124.44</v>
      </c>
      <c r="EF93">
        <v>2.8786700000000001</v>
      </c>
      <c r="EG93">
        <v>46.794199999999996</v>
      </c>
      <c r="EH93">
        <v>7.0255700000000001</v>
      </c>
      <c r="EI93">
        <v>62.083399999999997</v>
      </c>
      <c r="EJ93">
        <v>10.444800000000001</v>
      </c>
      <c r="EK93">
        <v>35.233400000000003</v>
      </c>
      <c r="EL93">
        <v>35.233400000000003</v>
      </c>
      <c r="EM93">
        <v>4.4930300000000001</v>
      </c>
      <c r="EN93">
        <v>18.732299999999999</v>
      </c>
      <c r="EO93">
        <v>0.46554499999999999</v>
      </c>
    </row>
    <row r="94" spans="1:145" x14ac:dyDescent="0.2">
      <c r="A94" s="86"/>
      <c r="B94" s="442"/>
      <c r="C94" s="510"/>
      <c r="E94" s="394"/>
      <c r="F94" s="8"/>
      <c r="K94" s="1"/>
      <c r="L94" s="1"/>
      <c r="AD94" s="112"/>
      <c r="AE94" s="112">
        <v>1319.48</v>
      </c>
      <c r="AF94" s="112">
        <v>1299.8</v>
      </c>
      <c r="AG94" s="112">
        <v>3912.73</v>
      </c>
      <c r="AH94" s="112">
        <v>0.24033199999999999</v>
      </c>
      <c r="AI94" s="112">
        <v>0.64164699999999997</v>
      </c>
      <c r="AJ94" s="112">
        <v>105</v>
      </c>
      <c r="AK94" s="112">
        <v>0.259656</v>
      </c>
      <c r="AL94" s="112">
        <v>171.816</v>
      </c>
      <c r="AM94" s="112">
        <v>9.4820400000000006E-3</v>
      </c>
      <c r="AN94" s="112">
        <v>1.1236699999999999</v>
      </c>
      <c r="AO94" s="112">
        <v>6.0841200000000002E-3</v>
      </c>
      <c r="AP94" s="112">
        <v>0.40266999999999997</v>
      </c>
      <c r="AQ94" s="112"/>
      <c r="AR94" s="112">
        <v>2.4885799999999998</v>
      </c>
      <c r="AS94" s="112">
        <v>98.155600000000007</v>
      </c>
      <c r="AT94" s="112">
        <v>1.6662300000000001</v>
      </c>
      <c r="AU94" s="112">
        <v>46.968000000000004</v>
      </c>
      <c r="AV94" s="112">
        <v>15.920400000000001</v>
      </c>
      <c r="AW94" s="112">
        <v>62.704000000000001</v>
      </c>
      <c r="AX94" s="112">
        <v>16.616800000000001</v>
      </c>
      <c r="AY94" s="112">
        <v>11.956899999999999</v>
      </c>
      <c r="AZ94" s="112">
        <v>11.956899999999999</v>
      </c>
      <c r="BA94" s="112">
        <v>0.45721600000000001</v>
      </c>
      <c r="BB94" s="112">
        <v>19.133600000000001</v>
      </c>
      <c r="BC94" s="112">
        <v>5.0958400000000001E-2</v>
      </c>
      <c r="BD94" s="112"/>
      <c r="BE94" s="112"/>
      <c r="BF94" s="112"/>
      <c r="BG94" s="112"/>
      <c r="BH94" s="112"/>
      <c r="BI94" s="112">
        <v>1517.03</v>
      </c>
      <c r="BJ94" s="112">
        <v>1484.82</v>
      </c>
      <c r="BK94" s="112">
        <v>998.53</v>
      </c>
      <c r="BL94" s="112">
        <v>2.9627500000000001E-2</v>
      </c>
      <c r="BM94" s="112">
        <v>3.8530299999999999E-3</v>
      </c>
      <c r="BN94" s="112">
        <v>102</v>
      </c>
      <c r="BO94" s="112">
        <v>0.35641200000000001</v>
      </c>
      <c r="BP94" s="112">
        <v>140.47800000000001</v>
      </c>
      <c r="BQ94" s="112">
        <v>1.82056</v>
      </c>
      <c r="BR94" s="112">
        <v>1.82056</v>
      </c>
      <c r="BS94" s="112">
        <v>7.0146599999999998E-3</v>
      </c>
      <c r="BT94" s="112">
        <v>1.8135399999999999</v>
      </c>
      <c r="BU94" s="112"/>
      <c r="BV94" s="112">
        <v>7.3936200000000003</v>
      </c>
      <c r="BW94" s="112">
        <v>193.88399999999999</v>
      </c>
      <c r="BX94" s="112">
        <v>3.75671</v>
      </c>
      <c r="BY94" s="112">
        <v>46.813000000000002</v>
      </c>
      <c r="BZ94" s="112">
        <v>4.0343999999999998</v>
      </c>
      <c r="CA94">
        <v>62.067799999999998</v>
      </c>
      <c r="CB94">
        <v>4.2580099999999996</v>
      </c>
      <c r="CC94">
        <v>48.263199999999998</v>
      </c>
      <c r="CD94">
        <v>48.263199999999998</v>
      </c>
      <c r="CE94">
        <v>7.6992200000000004</v>
      </c>
      <c r="CF94">
        <v>18.705400000000001</v>
      </c>
      <c r="CG94">
        <v>3.8273199999999999E-3</v>
      </c>
      <c r="CM94">
        <v>1592.64</v>
      </c>
      <c r="CN94">
        <v>1560.43</v>
      </c>
      <c r="CO94">
        <v>1041.9100000000001</v>
      </c>
      <c r="CP94">
        <v>3.0388100000000001E-2</v>
      </c>
      <c r="CQ94">
        <v>7.8911499999999996E-3</v>
      </c>
      <c r="CR94">
        <v>102</v>
      </c>
      <c r="CS94">
        <v>3.3978199999999998</v>
      </c>
      <c r="CT94">
        <v>148.51</v>
      </c>
      <c r="CU94">
        <v>5.9481999999999999</v>
      </c>
      <c r="CV94">
        <v>5.9481999999999999</v>
      </c>
      <c r="CW94">
        <v>4.6938100000000003E-2</v>
      </c>
      <c r="CX94">
        <v>5.9012599999999997</v>
      </c>
      <c r="CY94">
        <v>0</v>
      </c>
      <c r="CZ94">
        <v>7.6139400000000004</v>
      </c>
      <c r="DA94">
        <v>193.22200000000001</v>
      </c>
      <c r="DB94">
        <v>12.3161</v>
      </c>
      <c r="DC94">
        <v>46.714399999999998</v>
      </c>
      <c r="DD94">
        <v>3.8287499999999999</v>
      </c>
      <c r="DE94">
        <v>61.925800000000002</v>
      </c>
      <c r="DF94">
        <v>4.2872000000000003</v>
      </c>
      <c r="DG94">
        <v>48.819499999999998</v>
      </c>
      <c r="DH94">
        <v>48.819499999999998</v>
      </c>
      <c r="DI94">
        <v>7.8948799999999997</v>
      </c>
      <c r="DJ94">
        <v>18.656400000000001</v>
      </c>
      <c r="DK94">
        <v>7.803E-3</v>
      </c>
      <c r="DQ94">
        <v>1743.87</v>
      </c>
      <c r="DR94">
        <v>1711.66</v>
      </c>
      <c r="DS94">
        <v>1746.69</v>
      </c>
      <c r="DT94">
        <v>0.27042699999999997</v>
      </c>
      <c r="DU94">
        <v>0.57874599999999998</v>
      </c>
      <c r="DV94">
        <v>105</v>
      </c>
      <c r="DW94">
        <v>0.58700699999999995</v>
      </c>
      <c r="DX94">
        <v>1191.6199999999999</v>
      </c>
      <c r="DY94">
        <v>9.5626799999999998E-2</v>
      </c>
      <c r="DZ94">
        <v>1.91564</v>
      </c>
      <c r="EA94">
        <v>5.53436E-2</v>
      </c>
      <c r="EB94">
        <v>0.80697200000000002</v>
      </c>
      <c r="EC94">
        <v>0</v>
      </c>
      <c r="ED94">
        <v>5.0421800000000001</v>
      </c>
      <c r="EE94">
        <v>122.44</v>
      </c>
      <c r="EF94">
        <v>2.83188</v>
      </c>
      <c r="EG94">
        <v>46.770200000000003</v>
      </c>
      <c r="EH94">
        <v>7.2689700000000004</v>
      </c>
      <c r="EI94">
        <v>62.051699999999997</v>
      </c>
      <c r="EJ94">
        <v>10.7849</v>
      </c>
      <c r="EK94">
        <v>34.219099999999997</v>
      </c>
      <c r="EL94">
        <v>34.219099999999997</v>
      </c>
      <c r="EM94">
        <v>4.2741100000000003</v>
      </c>
      <c r="EN94">
        <v>18.722799999999999</v>
      </c>
      <c r="EO94">
        <v>0.47044599999999998</v>
      </c>
    </row>
    <row r="95" spans="1:145" x14ac:dyDescent="0.2">
      <c r="A95" s="86"/>
      <c r="B95" s="442"/>
      <c r="C95" s="510"/>
      <c r="E95" s="394"/>
      <c r="F95" s="8"/>
      <c r="K95" s="1"/>
      <c r="L95" s="1"/>
      <c r="AD95" s="112"/>
      <c r="AE95" s="112">
        <v>1342.64</v>
      </c>
      <c r="AF95" s="112">
        <v>1316.7</v>
      </c>
      <c r="AG95" s="112">
        <v>3930.43</v>
      </c>
      <c r="AH95" s="112">
        <v>0.232928</v>
      </c>
      <c r="AI95" s="112">
        <v>0.64236300000000002</v>
      </c>
      <c r="AJ95" s="112">
        <v>105</v>
      </c>
      <c r="AK95" s="112">
        <v>0.26122899999999999</v>
      </c>
      <c r="AL95" s="112">
        <v>184.72900000000001</v>
      </c>
      <c r="AM95" s="112">
        <v>9.4726299999999992E-3</v>
      </c>
      <c r="AN95" s="112">
        <v>1.1247199999999999</v>
      </c>
      <c r="AO95" s="112">
        <v>6.08487E-3</v>
      </c>
      <c r="AP95" s="112">
        <v>0.40223999999999999</v>
      </c>
      <c r="AQ95" s="112"/>
      <c r="AR95" s="112">
        <v>2.4849100000000002</v>
      </c>
      <c r="AS95" s="112">
        <v>98.104100000000003</v>
      </c>
      <c r="AT95" s="112">
        <v>1.6652100000000001</v>
      </c>
      <c r="AU95" s="112">
        <v>46.9617</v>
      </c>
      <c r="AV95" s="112">
        <v>15.9344</v>
      </c>
      <c r="AW95" s="112">
        <v>62.6965</v>
      </c>
      <c r="AX95" s="112">
        <v>16.6312</v>
      </c>
      <c r="AY95" s="112">
        <v>11.9236</v>
      </c>
      <c r="AZ95" s="112">
        <v>11.9236</v>
      </c>
      <c r="BA95" s="112">
        <v>0.45434600000000003</v>
      </c>
      <c r="BB95" s="112">
        <v>19.131799999999998</v>
      </c>
      <c r="BC95" s="112">
        <v>6.1143599999999999E-2</v>
      </c>
      <c r="BD95" s="112"/>
      <c r="BE95" s="112"/>
      <c r="BF95" s="112"/>
      <c r="BG95" s="112"/>
      <c r="BH95" s="112"/>
      <c r="BI95" s="112">
        <v>1592.64</v>
      </c>
      <c r="BJ95" s="112">
        <v>1560.43</v>
      </c>
      <c r="BK95" s="112">
        <v>1005.89</v>
      </c>
      <c r="BL95" s="112">
        <v>2.9652100000000001E-2</v>
      </c>
      <c r="BM95" s="112">
        <v>3.8587000000000001E-3</v>
      </c>
      <c r="BN95" s="112">
        <v>102</v>
      </c>
      <c r="BO95" s="112">
        <v>0.37362099999999998</v>
      </c>
      <c r="BP95" s="112">
        <v>147.816</v>
      </c>
      <c r="BQ95" s="112">
        <v>1.81904</v>
      </c>
      <c r="BR95" s="112">
        <v>1.81904</v>
      </c>
      <c r="BS95" s="112">
        <v>7.0191300000000002E-3</v>
      </c>
      <c r="BT95" s="112">
        <v>1.81202</v>
      </c>
      <c r="BU95" s="112"/>
      <c r="BV95" s="112">
        <v>7.3837200000000003</v>
      </c>
      <c r="BW95" s="112">
        <v>193.803</v>
      </c>
      <c r="BX95" s="112">
        <v>3.7551399999999999</v>
      </c>
      <c r="BY95" s="112">
        <v>46.784500000000001</v>
      </c>
      <c r="BZ95" s="112">
        <v>4.0377799999999997</v>
      </c>
      <c r="CA95">
        <v>62.027799999999999</v>
      </c>
      <c r="CB95">
        <v>4.2615499999999997</v>
      </c>
      <c r="CC95">
        <v>48.12</v>
      </c>
      <c r="CD95">
        <v>48.12</v>
      </c>
      <c r="CE95">
        <v>7.67462</v>
      </c>
      <c r="CF95">
        <v>18.6921</v>
      </c>
      <c r="CG95">
        <v>3.8287999999999998E-3</v>
      </c>
      <c r="CM95">
        <v>1668.26</v>
      </c>
      <c r="CN95">
        <v>1636.04</v>
      </c>
      <c r="CO95">
        <v>1049.46</v>
      </c>
      <c r="CP95">
        <v>3.04151E-2</v>
      </c>
      <c r="CQ95">
        <v>7.90393E-3</v>
      </c>
      <c r="CR95">
        <v>102</v>
      </c>
      <c r="CS95">
        <v>3.55314</v>
      </c>
      <c r="CT95">
        <v>155.899</v>
      </c>
      <c r="CU95">
        <v>5.9427300000000001</v>
      </c>
      <c r="CV95">
        <v>5.9427300000000001</v>
      </c>
      <c r="CW95">
        <v>4.6970900000000003E-2</v>
      </c>
      <c r="CX95">
        <v>5.8957600000000001</v>
      </c>
      <c r="CY95">
        <v>0</v>
      </c>
      <c r="CZ95">
        <v>7.6027899999999997</v>
      </c>
      <c r="DA95">
        <v>193.13300000000001</v>
      </c>
      <c r="DB95">
        <v>12.3103</v>
      </c>
      <c r="DC95">
        <v>46.685099999999998</v>
      </c>
      <c r="DD95">
        <v>3.8322699999999998</v>
      </c>
      <c r="DE95">
        <v>61.881999999999998</v>
      </c>
      <c r="DF95">
        <v>4.2910899999999996</v>
      </c>
      <c r="DG95">
        <v>48.662500000000001</v>
      </c>
      <c r="DH95">
        <v>48.662500000000001</v>
      </c>
      <c r="DI95">
        <v>7.8689999999999998</v>
      </c>
      <c r="DJ95">
        <v>18.640499999999999</v>
      </c>
      <c r="DK95">
        <v>7.8075699999999998E-3</v>
      </c>
      <c r="DQ95">
        <v>1819.48</v>
      </c>
      <c r="DR95">
        <v>1787.27</v>
      </c>
      <c r="DS95">
        <v>1815.09</v>
      </c>
      <c r="DT95">
        <v>0.27571499999999999</v>
      </c>
      <c r="DU95">
        <v>0.59114699999999998</v>
      </c>
      <c r="DV95">
        <v>105</v>
      </c>
      <c r="DW95">
        <v>0.60185599999999995</v>
      </c>
      <c r="DX95">
        <v>1260</v>
      </c>
      <c r="DY95">
        <v>9.3669000000000002E-2</v>
      </c>
      <c r="DZ95">
        <v>1.9087700000000001</v>
      </c>
      <c r="EA95">
        <v>5.5372200000000003E-2</v>
      </c>
      <c r="EB95">
        <v>0.78040399999999999</v>
      </c>
      <c r="EC95">
        <v>0</v>
      </c>
      <c r="ED95">
        <v>4.9160599999999999</v>
      </c>
      <c r="EE95">
        <v>120.541</v>
      </c>
      <c r="EF95">
        <v>2.7874599999999998</v>
      </c>
      <c r="EG95">
        <v>46.746200000000002</v>
      </c>
      <c r="EH95">
        <v>7.5121799999999999</v>
      </c>
      <c r="EI95">
        <v>62.019399999999997</v>
      </c>
      <c r="EJ95">
        <v>11.1234</v>
      </c>
      <c r="EK95">
        <v>33.225299999999997</v>
      </c>
      <c r="EL95">
        <v>33.225299999999997</v>
      </c>
      <c r="EM95">
        <v>4.0631500000000003</v>
      </c>
      <c r="EN95">
        <v>18.712800000000001</v>
      </c>
      <c r="EO95">
        <v>0.47545500000000002</v>
      </c>
    </row>
    <row r="96" spans="1:145" x14ac:dyDescent="0.2">
      <c r="A96" s="86"/>
      <c r="B96" s="442"/>
      <c r="C96" s="510"/>
      <c r="E96" s="394"/>
      <c r="F96" s="8"/>
      <c r="K96" s="1"/>
      <c r="L96" s="1"/>
      <c r="AD96" s="112"/>
      <c r="AE96" s="112">
        <v>1365.81</v>
      </c>
      <c r="AF96" s="112">
        <v>1333.6</v>
      </c>
      <c r="AG96" s="112">
        <v>3948.15</v>
      </c>
      <c r="AH96" s="112">
        <v>0.23306199999999999</v>
      </c>
      <c r="AI96" s="112">
        <v>0.64293999999999996</v>
      </c>
      <c r="AJ96" s="112">
        <v>105</v>
      </c>
      <c r="AK96" s="112">
        <v>0.26279999999999998</v>
      </c>
      <c r="AL96" s="112">
        <v>197.65</v>
      </c>
      <c r="AM96" s="112">
        <v>9.4653199999999993E-3</v>
      </c>
      <c r="AN96" s="112">
        <v>1.12564</v>
      </c>
      <c r="AO96" s="112">
        <v>6.0856399999999998E-3</v>
      </c>
      <c r="AP96" s="112">
        <v>0.40192099999999997</v>
      </c>
      <c r="AQ96" s="112"/>
      <c r="AR96" s="112">
        <v>2.4820000000000002</v>
      </c>
      <c r="AS96" s="112">
        <v>98.065799999999996</v>
      </c>
      <c r="AT96" s="112">
        <v>1.66449</v>
      </c>
      <c r="AU96" s="112">
        <v>46.954900000000002</v>
      </c>
      <c r="AV96" s="112">
        <v>15.9457</v>
      </c>
      <c r="AW96" s="112">
        <v>62.688099999999999</v>
      </c>
      <c r="AX96" s="112">
        <v>16.642900000000001</v>
      </c>
      <c r="AY96" s="112">
        <v>11.8939</v>
      </c>
      <c r="AZ96" s="112">
        <v>11.8939</v>
      </c>
      <c r="BA96" s="112">
        <v>0.45186199999999999</v>
      </c>
      <c r="BB96" s="112">
        <v>19.1296</v>
      </c>
      <c r="BC96" s="112">
        <v>7.0993600000000004E-2</v>
      </c>
      <c r="BD96" s="112"/>
      <c r="BE96" s="112"/>
      <c r="BF96" s="112"/>
      <c r="BG96" s="112"/>
      <c r="BH96" s="112"/>
      <c r="BI96" s="112">
        <v>1668.26</v>
      </c>
      <c r="BJ96" s="112">
        <v>1636.04</v>
      </c>
      <c r="BK96" s="112">
        <v>1013.25</v>
      </c>
      <c r="BL96" s="112">
        <v>2.96767E-2</v>
      </c>
      <c r="BM96" s="112">
        <v>3.8644299999999999E-3</v>
      </c>
      <c r="BN96" s="112">
        <v>102</v>
      </c>
      <c r="BO96" s="112">
        <v>0.390824</v>
      </c>
      <c r="BP96" s="112">
        <v>155.161</v>
      </c>
      <c r="BQ96" s="112">
        <v>1.8175300000000001</v>
      </c>
      <c r="BR96" s="112">
        <v>1.8175300000000001</v>
      </c>
      <c r="BS96" s="112">
        <v>7.0237199999999998E-3</v>
      </c>
      <c r="BT96" s="112">
        <v>1.8105</v>
      </c>
      <c r="BU96" s="112"/>
      <c r="BV96" s="112">
        <v>7.3736899999999999</v>
      </c>
      <c r="BW96" s="112">
        <v>193.72200000000001</v>
      </c>
      <c r="BX96" s="112">
        <v>3.7535699999999999</v>
      </c>
      <c r="BY96" s="112">
        <v>46.756</v>
      </c>
      <c r="BZ96" s="112">
        <v>4.04115</v>
      </c>
      <c r="CA96">
        <v>61.986800000000002</v>
      </c>
      <c r="CB96">
        <v>4.2650800000000002</v>
      </c>
      <c r="CC96">
        <v>47.974200000000003</v>
      </c>
      <c r="CD96">
        <v>47.974200000000003</v>
      </c>
      <c r="CE96">
        <v>7.6499699999999997</v>
      </c>
      <c r="CF96">
        <v>18.678000000000001</v>
      </c>
      <c r="CG96">
        <v>3.8304200000000002E-3</v>
      </c>
      <c r="CM96">
        <v>1743.87</v>
      </c>
      <c r="CN96">
        <v>1711.66</v>
      </c>
      <c r="CO96">
        <v>1057.01</v>
      </c>
      <c r="CP96">
        <v>3.0441300000000001E-2</v>
      </c>
      <c r="CQ96">
        <v>7.9166400000000008E-3</v>
      </c>
      <c r="CR96">
        <v>102</v>
      </c>
      <c r="CS96">
        <v>3.7083699999999999</v>
      </c>
      <c r="CT96">
        <v>163.29599999999999</v>
      </c>
      <c r="CU96">
        <v>5.9374399999999996</v>
      </c>
      <c r="CV96">
        <v>5.9374399999999996</v>
      </c>
      <c r="CW96">
        <v>4.7004600000000001E-2</v>
      </c>
      <c r="CX96">
        <v>5.8904399999999999</v>
      </c>
      <c r="CY96">
        <v>0</v>
      </c>
      <c r="CZ96">
        <v>7.5916199999999998</v>
      </c>
      <c r="DA96">
        <v>193.047</v>
      </c>
      <c r="DB96">
        <v>12.3048</v>
      </c>
      <c r="DC96">
        <v>46.655500000000004</v>
      </c>
      <c r="DD96">
        <v>3.8356699999999999</v>
      </c>
      <c r="DE96">
        <v>61.8371</v>
      </c>
      <c r="DF96">
        <v>4.2948500000000003</v>
      </c>
      <c r="DG96">
        <v>48.502899999999997</v>
      </c>
      <c r="DH96">
        <v>48.502899999999997</v>
      </c>
      <c r="DI96">
        <v>7.8431199999999999</v>
      </c>
      <c r="DJ96">
        <v>18.623899999999999</v>
      </c>
      <c r="DK96">
        <v>7.8122900000000004E-3</v>
      </c>
      <c r="DQ96">
        <v>1895.09</v>
      </c>
      <c r="DR96">
        <v>1862.88</v>
      </c>
      <c r="DS96">
        <v>1884.78</v>
      </c>
      <c r="DT96">
        <v>0.28091100000000002</v>
      </c>
      <c r="DU96">
        <v>0.60344299999999995</v>
      </c>
      <c r="DV96">
        <v>105</v>
      </c>
      <c r="DW96">
        <v>0.61628000000000005</v>
      </c>
      <c r="DX96">
        <v>1329.67</v>
      </c>
      <c r="DY96">
        <v>9.1808899999999999E-2</v>
      </c>
      <c r="DZ96">
        <v>1.90533</v>
      </c>
      <c r="EA96">
        <v>5.5401400000000003E-2</v>
      </c>
      <c r="EB96">
        <v>0.75557200000000002</v>
      </c>
      <c r="EC96">
        <v>0</v>
      </c>
      <c r="ED96">
        <v>4.7955100000000002</v>
      </c>
      <c r="EE96">
        <v>118.739</v>
      </c>
      <c r="EF96">
        <v>2.7452999999999999</v>
      </c>
      <c r="EG96">
        <v>46.722000000000001</v>
      </c>
      <c r="EH96">
        <v>7.7547300000000003</v>
      </c>
      <c r="EI96">
        <v>61.9863</v>
      </c>
      <c r="EJ96">
        <v>11.4595</v>
      </c>
      <c r="EK96">
        <v>32.253500000000003</v>
      </c>
      <c r="EL96">
        <v>32.253500000000003</v>
      </c>
      <c r="EM96">
        <v>3.8603299999999998</v>
      </c>
      <c r="EN96">
        <v>18.702300000000001</v>
      </c>
      <c r="EO96">
        <v>0.48055500000000001</v>
      </c>
    </row>
    <row r="97" spans="1:145" x14ac:dyDescent="0.2">
      <c r="A97" s="86"/>
      <c r="B97" s="442"/>
      <c r="C97" s="510"/>
      <c r="E97" s="394"/>
      <c r="F97" s="8"/>
      <c r="K97" s="1"/>
      <c r="L97" s="1"/>
      <c r="AD97" s="112"/>
      <c r="AE97" s="112">
        <v>1441.42</v>
      </c>
      <c r="AF97" s="112">
        <v>1409.21</v>
      </c>
      <c r="AG97" s="112">
        <v>4007.04</v>
      </c>
      <c r="AH97" s="112">
        <v>0.23741399999999999</v>
      </c>
      <c r="AI97" s="112">
        <v>0.390096</v>
      </c>
      <c r="AJ97" s="112">
        <v>105</v>
      </c>
      <c r="AK97" s="112">
        <v>0.26799899999999999</v>
      </c>
      <c r="AL97" s="112">
        <v>256.54000000000002</v>
      </c>
      <c r="AM97" s="112">
        <v>1.5605000000000001E-2</v>
      </c>
      <c r="AN97" s="112">
        <v>0.65804200000000002</v>
      </c>
      <c r="AO97" s="112">
        <v>6.0874700000000002E-3</v>
      </c>
      <c r="AP97" s="112">
        <v>0.40134199999999998</v>
      </c>
      <c r="AQ97" s="112"/>
      <c r="AR97" s="112">
        <v>2.4764300000000001</v>
      </c>
      <c r="AS97" s="112">
        <v>97.996499999999997</v>
      </c>
      <c r="AT97" s="112">
        <v>1.6638599999999999</v>
      </c>
      <c r="AU97" s="112">
        <v>46.9315</v>
      </c>
      <c r="AV97" s="112">
        <v>15.98</v>
      </c>
      <c r="AW97" s="112">
        <v>62.658700000000003</v>
      </c>
      <c r="AX97" s="112">
        <v>16.677399999999999</v>
      </c>
      <c r="AY97" s="112">
        <v>11.8001</v>
      </c>
      <c r="AZ97" s="112">
        <v>11.8001</v>
      </c>
      <c r="BA97" s="112">
        <v>0.44419399999999998</v>
      </c>
      <c r="BB97" s="112">
        <v>19.121500000000001</v>
      </c>
      <c r="BC97" s="112">
        <v>8.7704500000000005E-2</v>
      </c>
      <c r="BD97" s="112"/>
      <c r="BE97" s="112"/>
      <c r="BF97" s="112"/>
      <c r="BG97" s="112"/>
      <c r="BH97" s="112"/>
      <c r="BI97" s="112">
        <v>1743.87</v>
      </c>
      <c r="BJ97" s="112">
        <v>1711.66</v>
      </c>
      <c r="BK97" s="112">
        <v>1020.62</v>
      </c>
      <c r="BL97" s="112">
        <v>2.9701200000000001E-2</v>
      </c>
      <c r="BM97" s="112">
        <v>3.8702200000000002E-3</v>
      </c>
      <c r="BN97" s="112">
        <v>102</v>
      </c>
      <c r="BO97" s="112">
        <v>0.40802300000000002</v>
      </c>
      <c r="BP97" s="112">
        <v>162.512</v>
      </c>
      <c r="BQ97" s="112">
        <v>1.81603</v>
      </c>
      <c r="BR97" s="112">
        <v>1.81603</v>
      </c>
      <c r="BS97" s="112">
        <v>7.0284099999999997E-3</v>
      </c>
      <c r="BT97" s="112">
        <v>1.8089999999999999</v>
      </c>
      <c r="BU97" s="112"/>
      <c r="BV97" s="112">
        <v>7.3635599999999997</v>
      </c>
      <c r="BW97" s="112">
        <v>193.642</v>
      </c>
      <c r="BX97" s="112">
        <v>3.7520199999999999</v>
      </c>
      <c r="BY97" s="112">
        <v>46.727200000000003</v>
      </c>
      <c r="BZ97" s="112">
        <v>4.0445200000000003</v>
      </c>
      <c r="CA97">
        <v>61.945</v>
      </c>
      <c r="CB97">
        <v>4.2686000000000002</v>
      </c>
      <c r="CC97">
        <v>47.826000000000001</v>
      </c>
      <c r="CD97">
        <v>47.826000000000001</v>
      </c>
      <c r="CE97">
        <v>7.6252599999999999</v>
      </c>
      <c r="CF97">
        <v>18.663399999999999</v>
      </c>
      <c r="CG97">
        <v>3.8321399999999999E-3</v>
      </c>
      <c r="CM97">
        <v>1819.48</v>
      </c>
      <c r="CN97">
        <v>1787.27</v>
      </c>
      <c r="CO97">
        <v>1064.57</v>
      </c>
      <c r="CP97">
        <v>3.0466500000000001E-2</v>
      </c>
      <c r="CQ97">
        <v>7.9292400000000006E-3</v>
      </c>
      <c r="CR97">
        <v>102</v>
      </c>
      <c r="CS97">
        <v>3.8635100000000002</v>
      </c>
      <c r="CT97">
        <v>170.69800000000001</v>
      </c>
      <c r="CU97">
        <v>5.9323699999999997</v>
      </c>
      <c r="CV97">
        <v>5.9323699999999997</v>
      </c>
      <c r="CW97">
        <v>4.7039200000000003E-2</v>
      </c>
      <c r="CX97">
        <v>5.8853299999999997</v>
      </c>
      <c r="CY97">
        <v>0</v>
      </c>
      <c r="CZ97">
        <v>7.5804400000000003</v>
      </c>
      <c r="DA97">
        <v>192.965</v>
      </c>
      <c r="DB97">
        <v>12.2994</v>
      </c>
      <c r="DC97">
        <v>46.625599999999999</v>
      </c>
      <c r="DD97">
        <v>3.8389199999999999</v>
      </c>
      <c r="DE97">
        <v>61.7911</v>
      </c>
      <c r="DF97">
        <v>4.2984400000000003</v>
      </c>
      <c r="DG97">
        <v>48.340699999999998</v>
      </c>
      <c r="DH97">
        <v>48.340699999999998</v>
      </c>
      <c r="DI97">
        <v>7.8172600000000001</v>
      </c>
      <c r="DJ97">
        <v>18.6065</v>
      </c>
      <c r="DK97">
        <v>7.8171500000000001E-3</v>
      </c>
      <c r="DQ97">
        <v>1970.7</v>
      </c>
      <c r="DR97">
        <v>1938.49</v>
      </c>
      <c r="DS97">
        <v>1955.73</v>
      </c>
      <c r="DT97">
        <v>0.28600900000000001</v>
      </c>
      <c r="DU97">
        <v>0.61561600000000005</v>
      </c>
      <c r="DV97">
        <v>105</v>
      </c>
      <c r="DW97">
        <v>0.63030699999999995</v>
      </c>
      <c r="DX97">
        <v>1400.6</v>
      </c>
      <c r="DY97">
        <v>9.0041800000000005E-2</v>
      </c>
      <c r="DZ97">
        <v>1.9052800000000001</v>
      </c>
      <c r="EA97">
        <v>5.54312E-2</v>
      </c>
      <c r="EB97">
        <v>0.73235700000000004</v>
      </c>
      <c r="EC97">
        <v>0</v>
      </c>
      <c r="ED97">
        <v>4.6803100000000004</v>
      </c>
      <c r="EE97">
        <v>117.029</v>
      </c>
      <c r="EF97">
        <v>2.7052999999999998</v>
      </c>
      <c r="EG97">
        <v>46.697699999999998</v>
      </c>
      <c r="EH97">
        <v>7.9961200000000003</v>
      </c>
      <c r="EI97">
        <v>61.952599999999997</v>
      </c>
      <c r="EJ97">
        <v>11.7927</v>
      </c>
      <c r="EK97">
        <v>31.305</v>
      </c>
      <c r="EL97">
        <v>31.305</v>
      </c>
      <c r="EM97">
        <v>3.6657600000000001</v>
      </c>
      <c r="EN97">
        <v>18.691299999999998</v>
      </c>
      <c r="EO97">
        <v>0.48573100000000002</v>
      </c>
    </row>
    <row r="98" spans="1:145" x14ac:dyDescent="0.2">
      <c r="A98" s="86"/>
      <c r="B98" s="442"/>
      <c r="C98" s="510"/>
      <c r="E98" s="394"/>
      <c r="F98" s="8"/>
      <c r="K98" s="1"/>
      <c r="L98" s="1"/>
      <c r="AD98" s="112"/>
      <c r="AE98" s="112">
        <v>1517.03</v>
      </c>
      <c r="AF98" s="112">
        <v>1484.82</v>
      </c>
      <c r="AG98" s="112">
        <v>4066.03</v>
      </c>
      <c r="AH98" s="112">
        <v>0.23777000000000001</v>
      </c>
      <c r="AI98" s="112">
        <v>0.39100099999999999</v>
      </c>
      <c r="AJ98" s="112">
        <v>105</v>
      </c>
      <c r="AK98" s="112">
        <v>0.27318300000000001</v>
      </c>
      <c r="AL98" s="112">
        <v>315.51900000000001</v>
      </c>
      <c r="AM98" s="112">
        <v>1.55763E-2</v>
      </c>
      <c r="AN98" s="112">
        <v>0.65762699999999996</v>
      </c>
      <c r="AO98" s="112">
        <v>6.0903700000000003E-3</v>
      </c>
      <c r="AP98" s="112">
        <v>0.40049400000000002</v>
      </c>
      <c r="AQ98" s="112"/>
      <c r="AR98" s="112">
        <v>2.4680900000000001</v>
      </c>
      <c r="AS98" s="112">
        <v>97.894800000000004</v>
      </c>
      <c r="AT98" s="112">
        <v>1.66211</v>
      </c>
      <c r="AU98" s="112">
        <v>46.908000000000001</v>
      </c>
      <c r="AV98" s="112">
        <v>16.013400000000001</v>
      </c>
      <c r="AW98" s="112">
        <v>62.628399999999999</v>
      </c>
      <c r="AX98" s="112">
        <v>16.711600000000001</v>
      </c>
      <c r="AY98" s="112">
        <v>11.7074</v>
      </c>
      <c r="AZ98" s="112">
        <v>11.7074</v>
      </c>
      <c r="BA98" s="112">
        <v>0.43674000000000002</v>
      </c>
      <c r="BB98" s="112">
        <v>19.113</v>
      </c>
      <c r="BC98" s="112">
        <v>0.102797</v>
      </c>
      <c r="BD98" s="112"/>
      <c r="BE98" s="112"/>
      <c r="BF98" s="112"/>
      <c r="BG98" s="112"/>
      <c r="BH98" s="112"/>
      <c r="BI98" s="112">
        <v>1819.48</v>
      </c>
      <c r="BJ98" s="112">
        <v>1787.27</v>
      </c>
      <c r="BK98" s="112">
        <v>1027.99</v>
      </c>
      <c r="BL98" s="112">
        <v>2.9725600000000001E-2</v>
      </c>
      <c r="BM98" s="112">
        <v>3.8760499999999998E-3</v>
      </c>
      <c r="BN98" s="112">
        <v>102</v>
      </c>
      <c r="BO98" s="112">
        <v>0.42521700000000001</v>
      </c>
      <c r="BP98" s="112">
        <v>169.869</v>
      </c>
      <c r="BQ98" s="112">
        <v>1.81453</v>
      </c>
      <c r="BR98" s="112">
        <v>1.81453</v>
      </c>
      <c r="BS98" s="112">
        <v>7.0332199999999997E-3</v>
      </c>
      <c r="BT98" s="112">
        <v>1.8075000000000001</v>
      </c>
      <c r="BU98" s="112"/>
      <c r="BV98" s="112">
        <v>7.3532999999999999</v>
      </c>
      <c r="BW98" s="112">
        <v>193.56200000000001</v>
      </c>
      <c r="BX98" s="112">
        <v>3.75047</v>
      </c>
      <c r="BY98" s="112">
        <v>46.6982</v>
      </c>
      <c r="BZ98" s="112">
        <v>4.04786</v>
      </c>
      <c r="CA98">
        <v>61.902200000000001</v>
      </c>
      <c r="CB98">
        <v>4.2721099999999996</v>
      </c>
      <c r="CC98">
        <v>47.675199999999997</v>
      </c>
      <c r="CD98">
        <v>47.675199999999997</v>
      </c>
      <c r="CE98">
        <v>7.6004899999999997</v>
      </c>
      <c r="CF98">
        <v>18.648099999999999</v>
      </c>
      <c r="CG98">
        <v>3.83396E-3</v>
      </c>
      <c r="CM98">
        <v>1895.09</v>
      </c>
      <c r="CN98">
        <v>1862.88</v>
      </c>
      <c r="CO98">
        <v>1072.1300000000001</v>
      </c>
      <c r="CP98">
        <v>3.0490300000000001E-2</v>
      </c>
      <c r="CQ98">
        <v>7.9416499999999998E-3</v>
      </c>
      <c r="CR98">
        <v>102</v>
      </c>
      <c r="CS98">
        <v>4.0185899999999997</v>
      </c>
      <c r="CT98">
        <v>178.10599999999999</v>
      </c>
      <c r="CU98">
        <v>5.9275700000000002</v>
      </c>
      <c r="CV98">
        <v>5.9275700000000002</v>
      </c>
      <c r="CW98">
        <v>4.7074699999999997E-2</v>
      </c>
      <c r="CX98">
        <v>5.8804999999999996</v>
      </c>
      <c r="CY98">
        <v>0</v>
      </c>
      <c r="CZ98">
        <v>7.5693000000000001</v>
      </c>
      <c r="DA98">
        <v>192.887</v>
      </c>
      <c r="DB98">
        <v>12.2943</v>
      </c>
      <c r="DC98">
        <v>46.595199999999998</v>
      </c>
      <c r="DD98">
        <v>3.84198</v>
      </c>
      <c r="DE98">
        <v>61.7438</v>
      </c>
      <c r="DF98">
        <v>4.3018099999999997</v>
      </c>
      <c r="DG98">
        <v>48.175899999999999</v>
      </c>
      <c r="DH98">
        <v>48.175899999999999</v>
      </c>
      <c r="DI98">
        <v>7.7914399999999997</v>
      </c>
      <c r="DJ98">
        <v>18.5883</v>
      </c>
      <c r="DK98">
        <v>7.8221100000000002E-3</v>
      </c>
      <c r="DQ98">
        <v>2046.31</v>
      </c>
      <c r="DR98">
        <v>2014.1</v>
      </c>
      <c r="DS98">
        <v>2027.91</v>
      </c>
      <c r="DT98">
        <v>0.29100199999999998</v>
      </c>
      <c r="DU98">
        <v>0.62765199999999999</v>
      </c>
      <c r="DV98">
        <v>105</v>
      </c>
      <c r="DW98">
        <v>0.64395999999999998</v>
      </c>
      <c r="DX98">
        <v>1472.78</v>
      </c>
      <c r="DY98">
        <v>8.8363800000000006E-2</v>
      </c>
      <c r="DZ98">
        <v>1.90856</v>
      </c>
      <c r="EA98">
        <v>5.5461700000000003E-2</v>
      </c>
      <c r="EB98">
        <v>0.71065</v>
      </c>
      <c r="EC98">
        <v>0</v>
      </c>
      <c r="ED98">
        <v>4.5702600000000002</v>
      </c>
      <c r="EE98">
        <v>115.408</v>
      </c>
      <c r="EF98">
        <v>2.66736</v>
      </c>
      <c r="EG98">
        <v>46.673200000000001</v>
      </c>
      <c r="EH98">
        <v>8.2358399999999996</v>
      </c>
      <c r="EI98">
        <v>61.918100000000003</v>
      </c>
      <c r="EJ98">
        <v>12.1221</v>
      </c>
      <c r="EK98">
        <v>30.3812</v>
      </c>
      <c r="EL98">
        <v>30.3812</v>
      </c>
      <c r="EM98">
        <v>3.4795600000000002</v>
      </c>
      <c r="EN98">
        <v>18.6799</v>
      </c>
      <c r="EO98">
        <v>0.49096899999999999</v>
      </c>
    </row>
    <row r="99" spans="1:145" x14ac:dyDescent="0.2">
      <c r="A99" s="86"/>
      <c r="B99" s="442"/>
      <c r="C99" s="510"/>
      <c r="E99" s="394"/>
      <c r="F99" s="8"/>
      <c r="K99" s="1"/>
      <c r="L99" s="1"/>
      <c r="AD99" s="112"/>
      <c r="AE99" s="112">
        <v>1592.64</v>
      </c>
      <c r="AF99" s="112">
        <v>1560.43</v>
      </c>
      <c r="AG99" s="112">
        <v>4125.09</v>
      </c>
      <c r="AH99" s="112">
        <v>0.23811499999999999</v>
      </c>
      <c r="AI99" s="112">
        <v>0.39189499999999999</v>
      </c>
      <c r="AJ99" s="112">
        <v>105</v>
      </c>
      <c r="AK99" s="112">
        <v>0.27835399999999999</v>
      </c>
      <c r="AL99" s="112">
        <v>374.58300000000003</v>
      </c>
      <c r="AM99" s="112">
        <v>1.55484E-2</v>
      </c>
      <c r="AN99" s="112">
        <v>0.65724000000000005</v>
      </c>
      <c r="AO99" s="112">
        <v>6.09334E-3</v>
      </c>
      <c r="AP99" s="112">
        <v>0.399671</v>
      </c>
      <c r="AQ99" s="112"/>
      <c r="AR99" s="112">
        <v>2.45987</v>
      </c>
      <c r="AS99" s="112">
        <v>97.796000000000006</v>
      </c>
      <c r="AT99" s="112">
        <v>1.6604099999999999</v>
      </c>
      <c r="AU99" s="112">
        <v>46.8842</v>
      </c>
      <c r="AV99" s="112">
        <v>16.0459</v>
      </c>
      <c r="AW99" s="112">
        <v>62.5974</v>
      </c>
      <c r="AX99" s="112">
        <v>16.745000000000001</v>
      </c>
      <c r="AY99" s="112">
        <v>11.6159</v>
      </c>
      <c r="AZ99" s="112">
        <v>11.6159</v>
      </c>
      <c r="BA99" s="112">
        <v>0.42949100000000001</v>
      </c>
      <c r="BB99" s="112">
        <v>19.103899999999999</v>
      </c>
      <c r="BC99" s="112">
        <v>0.11650099999999999</v>
      </c>
      <c r="BD99" s="112"/>
      <c r="BE99" s="112"/>
      <c r="BF99" s="112"/>
      <c r="BG99" s="112"/>
      <c r="BH99" s="112"/>
      <c r="BI99" s="112">
        <v>1895.09</v>
      </c>
      <c r="BJ99" s="112">
        <v>1862.88</v>
      </c>
      <c r="BK99" s="112">
        <v>1035.3699999999999</v>
      </c>
      <c r="BL99" s="112">
        <v>2.9749899999999999E-2</v>
      </c>
      <c r="BM99" s="112">
        <v>3.8819499999999999E-3</v>
      </c>
      <c r="BN99" s="112">
        <v>102</v>
      </c>
      <c r="BO99" s="112">
        <v>0.44240699999999999</v>
      </c>
      <c r="BP99" s="112">
        <v>177.23099999999999</v>
      </c>
      <c r="BQ99" s="112">
        <v>1.81304</v>
      </c>
      <c r="BR99" s="112">
        <v>1.81304</v>
      </c>
      <c r="BS99" s="112">
        <v>7.0381300000000001E-3</v>
      </c>
      <c r="BT99" s="112">
        <v>1.806</v>
      </c>
      <c r="BU99" s="112"/>
      <c r="BV99" s="112">
        <v>7.34293</v>
      </c>
      <c r="BW99" s="112">
        <v>193.483</v>
      </c>
      <c r="BX99" s="112">
        <v>3.74892</v>
      </c>
      <c r="BY99" s="112">
        <v>46.6691</v>
      </c>
      <c r="BZ99" s="112">
        <v>4.0511999999999997</v>
      </c>
      <c r="CA99">
        <v>61.858499999999999</v>
      </c>
      <c r="CB99">
        <v>4.2756100000000004</v>
      </c>
      <c r="CC99">
        <v>47.521999999999998</v>
      </c>
      <c r="CD99">
        <v>47.521999999999998</v>
      </c>
      <c r="CE99">
        <v>7.5756800000000002</v>
      </c>
      <c r="CF99">
        <v>18.632100000000001</v>
      </c>
      <c r="CG99">
        <v>3.8358699999999999E-3</v>
      </c>
      <c r="CM99">
        <v>1970.7</v>
      </c>
      <c r="CN99">
        <v>1938.49</v>
      </c>
      <c r="CO99">
        <v>1079.7</v>
      </c>
      <c r="CP99">
        <v>3.0512399999999999E-2</v>
      </c>
      <c r="CQ99">
        <v>7.9537900000000005E-3</v>
      </c>
      <c r="CR99">
        <v>102</v>
      </c>
      <c r="CS99">
        <v>4.1735899999999999</v>
      </c>
      <c r="CT99">
        <v>185.52</v>
      </c>
      <c r="CU99">
        <v>5.9231299999999996</v>
      </c>
      <c r="CV99">
        <v>5.9231299999999996</v>
      </c>
      <c r="CW99">
        <v>4.7111300000000002E-2</v>
      </c>
      <c r="CX99">
        <v>5.8760199999999996</v>
      </c>
      <c r="CY99">
        <v>0</v>
      </c>
      <c r="CZ99">
        <v>7.55823</v>
      </c>
      <c r="DA99">
        <v>192.815</v>
      </c>
      <c r="DB99">
        <v>12.2895</v>
      </c>
      <c r="DC99">
        <v>46.564500000000002</v>
      </c>
      <c r="DD99">
        <v>3.8447800000000001</v>
      </c>
      <c r="DE99">
        <v>61.695099999999996</v>
      </c>
      <c r="DF99">
        <v>4.3049099999999996</v>
      </c>
      <c r="DG99">
        <v>48.008400000000002</v>
      </c>
      <c r="DH99">
        <v>48.008400000000002</v>
      </c>
      <c r="DI99">
        <v>7.7656799999999997</v>
      </c>
      <c r="DJ99">
        <v>18.569299999999998</v>
      </c>
      <c r="DK99">
        <v>7.8271499999999997E-3</v>
      </c>
      <c r="DQ99">
        <v>2121.9299999999998</v>
      </c>
      <c r="DR99">
        <v>2089.71</v>
      </c>
      <c r="DS99">
        <v>2101.31</v>
      </c>
      <c r="DT99">
        <v>0.29588300000000001</v>
      </c>
      <c r="DU99">
        <v>0.63953300000000002</v>
      </c>
      <c r="DV99">
        <v>105</v>
      </c>
      <c r="DW99">
        <v>0.65726300000000004</v>
      </c>
      <c r="DX99">
        <v>1546.17</v>
      </c>
      <c r="DY99">
        <v>8.6771100000000004E-2</v>
      </c>
      <c r="DZ99">
        <v>1.91516</v>
      </c>
      <c r="EA99">
        <v>5.5493000000000001E-2</v>
      </c>
      <c r="EB99">
        <v>0.69035400000000002</v>
      </c>
      <c r="EC99">
        <v>0</v>
      </c>
      <c r="ED99">
        <v>4.4652000000000003</v>
      </c>
      <c r="EE99">
        <v>113.871</v>
      </c>
      <c r="EF99">
        <v>2.6313900000000001</v>
      </c>
      <c r="EG99">
        <v>46.648400000000002</v>
      </c>
      <c r="EH99">
        <v>8.4733199999999993</v>
      </c>
      <c r="EI99">
        <v>61.882899999999999</v>
      </c>
      <c r="EJ99">
        <v>12.447100000000001</v>
      </c>
      <c r="EK99">
        <v>29.4831</v>
      </c>
      <c r="EL99">
        <v>29.4831</v>
      </c>
      <c r="EM99">
        <v>3.3017799999999999</v>
      </c>
      <c r="EN99">
        <v>18.667899999999999</v>
      </c>
      <c r="EO99">
        <v>0.496257</v>
      </c>
    </row>
    <row r="100" spans="1:145" x14ac:dyDescent="0.2">
      <c r="A100" s="86"/>
      <c r="B100" s="442"/>
      <c r="C100" s="510"/>
      <c r="E100" s="394"/>
      <c r="F100" s="8"/>
      <c r="K100" s="1"/>
      <c r="L100" s="1"/>
      <c r="AD100" s="112"/>
      <c r="AE100" s="112">
        <v>1668.26</v>
      </c>
      <c r="AF100" s="112">
        <v>1636.04</v>
      </c>
      <c r="AG100" s="112">
        <v>4184.25</v>
      </c>
      <c r="AH100" s="112">
        <v>0.238451</v>
      </c>
      <c r="AI100" s="112">
        <v>0.39277899999999999</v>
      </c>
      <c r="AJ100" s="112">
        <v>105</v>
      </c>
      <c r="AK100" s="112">
        <v>0.28351100000000001</v>
      </c>
      <c r="AL100" s="112">
        <v>433.73</v>
      </c>
      <c r="AM100" s="112">
        <v>1.5521200000000001E-2</v>
      </c>
      <c r="AN100" s="112">
        <v>0.65687899999999999</v>
      </c>
      <c r="AO100" s="112">
        <v>6.0964000000000001E-3</v>
      </c>
      <c r="AP100" s="112">
        <v>0.39887099999999998</v>
      </c>
      <c r="AQ100" s="112"/>
      <c r="AR100" s="112">
        <v>2.4517600000000002</v>
      </c>
      <c r="AS100" s="112">
        <v>97.6999</v>
      </c>
      <c r="AT100" s="112">
        <v>1.65876</v>
      </c>
      <c r="AU100" s="112">
        <v>46.860300000000002</v>
      </c>
      <c r="AV100" s="112">
        <v>16.0777</v>
      </c>
      <c r="AW100" s="112">
        <v>62.565600000000003</v>
      </c>
      <c r="AX100" s="112">
        <v>16.7775</v>
      </c>
      <c r="AY100" s="112">
        <v>11.525399999999999</v>
      </c>
      <c r="AZ100" s="112">
        <v>11.525399999999999</v>
      </c>
      <c r="BA100" s="112">
        <v>0.42243700000000001</v>
      </c>
      <c r="BB100" s="112">
        <v>19.0943</v>
      </c>
      <c r="BC100" s="112">
        <v>0.12900500000000001</v>
      </c>
      <c r="BD100" s="112"/>
      <c r="BE100" s="112"/>
      <c r="BF100" s="112"/>
      <c r="BG100" s="112"/>
      <c r="BH100" s="112"/>
      <c r="BI100" s="112">
        <v>1970.7</v>
      </c>
      <c r="BJ100" s="112">
        <v>1938.49</v>
      </c>
      <c r="BK100" s="112">
        <v>1042.76</v>
      </c>
      <c r="BL100" s="112">
        <v>2.9774100000000001E-2</v>
      </c>
      <c r="BM100" s="112">
        <v>3.8878900000000002E-3</v>
      </c>
      <c r="BN100" s="112">
        <v>102</v>
      </c>
      <c r="BO100" s="112">
        <v>0.45959100000000003</v>
      </c>
      <c r="BP100" s="112">
        <v>184.6</v>
      </c>
      <c r="BQ100" s="112">
        <v>1.8115600000000001</v>
      </c>
      <c r="BR100" s="112">
        <v>1.8115600000000001</v>
      </c>
      <c r="BS100" s="112">
        <v>7.0431499999999998E-3</v>
      </c>
      <c r="BT100" s="112">
        <v>1.8045199999999999</v>
      </c>
      <c r="BU100" s="112"/>
      <c r="BV100" s="112">
        <v>7.3324499999999997</v>
      </c>
      <c r="BW100" s="112">
        <v>193.404</v>
      </c>
      <c r="BX100" s="112">
        <v>3.7473900000000002</v>
      </c>
      <c r="BY100" s="112">
        <v>46.639800000000001</v>
      </c>
      <c r="BZ100" s="112">
        <v>4.0545200000000001</v>
      </c>
      <c r="CA100">
        <v>61.813899999999997</v>
      </c>
      <c r="CB100">
        <v>4.2790900000000001</v>
      </c>
      <c r="CC100">
        <v>47.366500000000002</v>
      </c>
      <c r="CD100">
        <v>47.366500000000002</v>
      </c>
      <c r="CE100">
        <v>7.5508300000000004</v>
      </c>
      <c r="CF100">
        <v>18.615500000000001</v>
      </c>
      <c r="CG100">
        <v>3.8378700000000002E-3</v>
      </c>
      <c r="CM100">
        <v>2046.31</v>
      </c>
      <c r="CN100">
        <v>2014.1</v>
      </c>
      <c r="CO100">
        <v>1087.28</v>
      </c>
      <c r="CP100">
        <v>3.0532400000000001E-2</v>
      </c>
      <c r="CQ100">
        <v>7.9655400000000001E-3</v>
      </c>
      <c r="CR100">
        <v>102</v>
      </c>
      <c r="CS100">
        <v>4.3285499999999999</v>
      </c>
      <c r="CT100">
        <v>192.93899999999999</v>
      </c>
      <c r="CU100">
        <v>5.91913</v>
      </c>
      <c r="CV100">
        <v>5.91913</v>
      </c>
      <c r="CW100">
        <v>4.7149099999999999E-2</v>
      </c>
      <c r="CX100">
        <v>5.8719799999999998</v>
      </c>
      <c r="CY100">
        <v>0</v>
      </c>
      <c r="CZ100">
        <v>7.5472900000000003</v>
      </c>
      <c r="DA100">
        <v>192.75</v>
      </c>
      <c r="DB100">
        <v>12.2851</v>
      </c>
      <c r="DC100">
        <v>46.533099999999997</v>
      </c>
      <c r="DD100">
        <v>3.8472599999999999</v>
      </c>
      <c r="DE100">
        <v>61.6449</v>
      </c>
      <c r="DF100">
        <v>4.3076499999999998</v>
      </c>
      <c r="DG100">
        <v>47.838000000000001</v>
      </c>
      <c r="DH100">
        <v>47.838000000000001</v>
      </c>
      <c r="DI100">
        <v>7.7400099999999998</v>
      </c>
      <c r="DJ100">
        <v>18.549399999999999</v>
      </c>
      <c r="DK100">
        <v>7.8322600000000006E-3</v>
      </c>
      <c r="DQ100">
        <v>2197.54</v>
      </c>
      <c r="DR100">
        <v>2165.33</v>
      </c>
      <c r="DS100">
        <v>2175.89</v>
      </c>
      <c r="DT100">
        <v>0.30064299999999999</v>
      </c>
      <c r="DU100">
        <v>0.65123600000000004</v>
      </c>
      <c r="DV100">
        <v>105</v>
      </c>
      <c r="DW100">
        <v>0.670238</v>
      </c>
      <c r="DX100">
        <v>1620.73</v>
      </c>
      <c r="DY100">
        <v>8.5261000000000003E-2</v>
      </c>
      <c r="DZ100">
        <v>1.9250499999999999</v>
      </c>
      <c r="EA100">
        <v>5.5525100000000001E-2</v>
      </c>
      <c r="EB100">
        <v>0.67138799999999998</v>
      </c>
      <c r="EC100">
        <v>0</v>
      </c>
      <c r="ED100">
        <v>4.3649699999999996</v>
      </c>
      <c r="EE100">
        <v>112.416</v>
      </c>
      <c r="EF100">
        <v>2.5973099999999998</v>
      </c>
      <c r="EG100">
        <v>46.623199999999997</v>
      </c>
      <c r="EH100">
        <v>8.7078799999999994</v>
      </c>
      <c r="EI100">
        <v>61.846499999999999</v>
      </c>
      <c r="EJ100">
        <v>12.7669</v>
      </c>
      <c r="EK100">
        <v>28.611999999999998</v>
      </c>
      <c r="EL100">
        <v>28.611999999999998</v>
      </c>
      <c r="EM100">
        <v>3.13252</v>
      </c>
      <c r="EN100">
        <v>18.6554</v>
      </c>
      <c r="EO100">
        <v>0.501583</v>
      </c>
    </row>
    <row r="101" spans="1:145" x14ac:dyDescent="0.2">
      <c r="A101" s="86"/>
      <c r="B101" s="442"/>
      <c r="C101" s="510"/>
      <c r="E101" s="394"/>
      <c r="F101" s="8"/>
      <c r="K101" s="1"/>
      <c r="L101" s="1"/>
      <c r="AD101" s="112"/>
      <c r="AE101" s="112">
        <v>1743.87</v>
      </c>
      <c r="AF101" s="112">
        <v>1711.66</v>
      </c>
      <c r="AG101" s="112">
        <v>4243.4799999999996</v>
      </c>
      <c r="AH101" s="112">
        <v>0.23877699999999999</v>
      </c>
      <c r="AI101" s="112">
        <v>0.39365299999999998</v>
      </c>
      <c r="AJ101" s="112">
        <v>105</v>
      </c>
      <c r="AK101" s="112">
        <v>0.28865499999999999</v>
      </c>
      <c r="AL101" s="112">
        <v>492.95800000000003</v>
      </c>
      <c r="AM101" s="112">
        <v>1.54947E-2</v>
      </c>
      <c r="AN101" s="112">
        <v>0.65654400000000002</v>
      </c>
      <c r="AO101" s="112">
        <v>6.0995399999999996E-3</v>
      </c>
      <c r="AP101" s="112">
        <v>0.39809299999999997</v>
      </c>
      <c r="AQ101" s="112"/>
      <c r="AR101" s="112">
        <v>2.4437600000000002</v>
      </c>
      <c r="AS101" s="112">
        <v>97.606499999999997</v>
      </c>
      <c r="AT101" s="112">
        <v>1.6571499999999999</v>
      </c>
      <c r="AU101" s="112">
        <v>46.836100000000002</v>
      </c>
      <c r="AV101" s="112">
        <v>16.108699999999999</v>
      </c>
      <c r="AW101" s="112">
        <v>62.533000000000001</v>
      </c>
      <c r="AX101" s="112">
        <v>16.809200000000001</v>
      </c>
      <c r="AY101" s="112">
        <v>11.4358</v>
      </c>
      <c r="AZ101" s="112">
        <v>11.4358</v>
      </c>
      <c r="BA101" s="112">
        <v>0.41556999999999999</v>
      </c>
      <c r="BB101" s="112">
        <v>19.084199999999999</v>
      </c>
      <c r="BC101" s="112">
        <v>0.14046400000000001</v>
      </c>
      <c r="BD101" s="112"/>
      <c r="BE101" s="112"/>
      <c r="BF101" s="112"/>
      <c r="BG101" s="112"/>
      <c r="BH101" s="112"/>
      <c r="BI101" s="112">
        <v>2046.31</v>
      </c>
      <c r="BJ101" s="112">
        <v>2014.1</v>
      </c>
      <c r="BK101" s="112">
        <v>1050.1500000000001</v>
      </c>
      <c r="BL101" s="112">
        <v>2.97982E-2</v>
      </c>
      <c r="BM101" s="112">
        <v>3.8938800000000002E-3</v>
      </c>
      <c r="BN101" s="112">
        <v>102</v>
      </c>
      <c r="BO101" s="112">
        <v>0.476771</v>
      </c>
      <c r="BP101" s="112">
        <v>191.97499999999999</v>
      </c>
      <c r="BQ101" s="112">
        <v>1.81009</v>
      </c>
      <c r="BR101" s="112">
        <v>1.81009</v>
      </c>
      <c r="BS101" s="112">
        <v>7.0482899999999996E-3</v>
      </c>
      <c r="BT101" s="112">
        <v>1.80305</v>
      </c>
      <c r="BU101" s="112"/>
      <c r="BV101" s="112">
        <v>7.32186</v>
      </c>
      <c r="BW101" s="112">
        <v>193.32599999999999</v>
      </c>
      <c r="BX101" s="112">
        <v>3.74586</v>
      </c>
      <c r="BY101" s="112">
        <v>46.610399999999998</v>
      </c>
      <c r="BZ101" s="112">
        <v>4.05783</v>
      </c>
      <c r="CA101">
        <v>61.7684</v>
      </c>
      <c r="CB101">
        <v>4.2825499999999996</v>
      </c>
      <c r="CC101">
        <v>47.208599999999997</v>
      </c>
      <c r="CD101">
        <v>47.208599999999997</v>
      </c>
      <c r="CE101">
        <v>7.5259400000000003</v>
      </c>
      <c r="CF101">
        <v>18.598299999999998</v>
      </c>
      <c r="CG101">
        <v>3.8399300000000001E-3</v>
      </c>
      <c r="CM101">
        <v>2121.9299999999998</v>
      </c>
      <c r="CN101">
        <v>2089.71</v>
      </c>
      <c r="CO101">
        <v>1094.8499999999999</v>
      </c>
      <c r="CP101">
        <v>3.05495E-2</v>
      </c>
      <c r="CQ101">
        <v>7.9767499999999995E-3</v>
      </c>
      <c r="CR101">
        <v>102</v>
      </c>
      <c r="CS101">
        <v>4.48346</v>
      </c>
      <c r="CT101">
        <v>200.363</v>
      </c>
      <c r="CU101">
        <v>5.9157200000000003</v>
      </c>
      <c r="CV101">
        <v>5.9157200000000003</v>
      </c>
      <c r="CW101">
        <v>4.71882E-2</v>
      </c>
      <c r="CX101">
        <v>5.8685299999999998</v>
      </c>
      <c r="CY101">
        <v>0</v>
      </c>
      <c r="CZ101">
        <v>7.5365500000000001</v>
      </c>
      <c r="DA101">
        <v>192.69399999999999</v>
      </c>
      <c r="DB101">
        <v>12.2812</v>
      </c>
      <c r="DC101">
        <v>46.501100000000001</v>
      </c>
      <c r="DD101">
        <v>3.8492999999999999</v>
      </c>
      <c r="DE101">
        <v>61.592799999999997</v>
      </c>
      <c r="DF101">
        <v>4.3099100000000004</v>
      </c>
      <c r="DG101">
        <v>47.664499999999997</v>
      </c>
      <c r="DH101">
        <v>47.664499999999997</v>
      </c>
      <c r="DI101">
        <v>7.7144500000000003</v>
      </c>
      <c r="DJ101">
        <v>18.528500000000001</v>
      </c>
      <c r="DK101">
        <v>7.8373999999999996E-3</v>
      </c>
      <c r="DQ101">
        <v>2273.15</v>
      </c>
      <c r="DR101">
        <v>2240.94</v>
      </c>
      <c r="DS101">
        <v>2251.62</v>
      </c>
      <c r="DT101">
        <v>0.30526999999999999</v>
      </c>
      <c r="DU101">
        <v>0.66273499999999996</v>
      </c>
      <c r="DV101">
        <v>105</v>
      </c>
      <c r="DW101">
        <v>0.68290399999999996</v>
      </c>
      <c r="DX101">
        <v>1696.45</v>
      </c>
      <c r="DY101">
        <v>8.3831900000000001E-2</v>
      </c>
      <c r="DZ101">
        <v>1.9381999999999999</v>
      </c>
      <c r="EA101">
        <v>5.5558400000000001E-2</v>
      </c>
      <c r="EB101">
        <v>0.65368800000000005</v>
      </c>
      <c r="EC101">
        <v>0</v>
      </c>
      <c r="ED101">
        <v>4.2695100000000004</v>
      </c>
      <c r="EE101">
        <v>111.042</v>
      </c>
      <c r="EF101">
        <v>2.5650900000000001</v>
      </c>
      <c r="EG101">
        <v>46.5974</v>
      </c>
      <c r="EH101">
        <v>8.9385499999999993</v>
      </c>
      <c r="EI101">
        <v>61.808700000000002</v>
      </c>
      <c r="EJ101">
        <v>13.0801</v>
      </c>
      <c r="EK101">
        <v>27.769400000000001</v>
      </c>
      <c r="EL101">
        <v>27.769400000000001</v>
      </c>
      <c r="EM101">
        <v>2.9719500000000001</v>
      </c>
      <c r="EN101">
        <v>18.641999999999999</v>
      </c>
      <c r="EO101">
        <v>0.506938</v>
      </c>
    </row>
    <row r="102" spans="1:145" x14ac:dyDescent="0.2">
      <c r="A102" s="86"/>
      <c r="B102" s="442"/>
      <c r="C102" s="510"/>
      <c r="E102" s="394"/>
      <c r="F102" s="8"/>
      <c r="K102" s="1"/>
      <c r="L102" s="1"/>
      <c r="AD102" s="112"/>
      <c r="AE102" s="112">
        <v>1819.48</v>
      </c>
      <c r="AF102" s="112">
        <v>1787.27</v>
      </c>
      <c r="AG102" s="112">
        <v>4302.79</v>
      </c>
      <c r="AH102" s="112">
        <v>0.239094</v>
      </c>
      <c r="AI102" s="112">
        <v>0.39451799999999998</v>
      </c>
      <c r="AJ102" s="112">
        <v>105</v>
      </c>
      <c r="AK102" s="112">
        <v>0.29378700000000002</v>
      </c>
      <c r="AL102" s="112">
        <v>552.26499999999999</v>
      </c>
      <c r="AM102" s="112">
        <v>1.5468900000000001E-2</v>
      </c>
      <c r="AN102" s="112">
        <v>0.65623399999999998</v>
      </c>
      <c r="AO102" s="112">
        <v>6.1027599999999996E-3</v>
      </c>
      <c r="AP102" s="112">
        <v>0.39733800000000002</v>
      </c>
      <c r="AQ102" s="112"/>
      <c r="AR102" s="112">
        <v>2.4358499999999998</v>
      </c>
      <c r="AS102" s="112">
        <v>97.515600000000006</v>
      </c>
      <c r="AT102" s="112">
        <v>1.6555899999999999</v>
      </c>
      <c r="AU102" s="112">
        <v>46.811799999999998</v>
      </c>
      <c r="AV102" s="112">
        <v>16.1389</v>
      </c>
      <c r="AW102" s="112">
        <v>62.499600000000001</v>
      </c>
      <c r="AX102" s="112">
        <v>16.840199999999999</v>
      </c>
      <c r="AY102" s="112">
        <v>11.347099999999999</v>
      </c>
      <c r="AZ102" s="112">
        <v>11.347099999999999</v>
      </c>
      <c r="BA102" s="112">
        <v>0.40888000000000002</v>
      </c>
      <c r="BB102" s="112">
        <v>19.073499999999999</v>
      </c>
      <c r="BC102" s="112">
        <v>0.151008</v>
      </c>
      <c r="BD102" s="112"/>
      <c r="BE102" s="112"/>
      <c r="BF102" s="112"/>
      <c r="BG102" s="112"/>
      <c r="BH102" s="112"/>
      <c r="BI102" s="112">
        <v>2121.9299999999998</v>
      </c>
      <c r="BJ102" s="112">
        <v>2089.71</v>
      </c>
      <c r="BK102" s="112">
        <v>1057.55</v>
      </c>
      <c r="BL102" s="112">
        <v>2.9822100000000001E-2</v>
      </c>
      <c r="BM102" s="112">
        <v>3.8999099999999999E-3</v>
      </c>
      <c r="BN102" s="112">
        <v>102</v>
      </c>
      <c r="BO102" s="112">
        <v>0.493946</v>
      </c>
      <c r="BP102" s="112">
        <v>199.35599999999999</v>
      </c>
      <c r="BQ102" s="112">
        <v>1.80864</v>
      </c>
      <c r="BR102" s="112">
        <v>1.80864</v>
      </c>
      <c r="BS102" s="112">
        <v>7.0535299999999997E-3</v>
      </c>
      <c r="BT102" s="112">
        <v>1.80159</v>
      </c>
      <c r="BU102" s="112"/>
      <c r="BV102" s="112">
        <v>7.3111800000000002</v>
      </c>
      <c r="BW102" s="112">
        <v>193.24799999999999</v>
      </c>
      <c r="BX102" s="112">
        <v>3.7443499999999998</v>
      </c>
      <c r="BY102" s="112">
        <v>46.5807</v>
      </c>
      <c r="BZ102" s="112">
        <v>4.0610900000000001</v>
      </c>
      <c r="CA102">
        <v>61.722000000000001</v>
      </c>
      <c r="CB102">
        <v>4.2859600000000002</v>
      </c>
      <c r="CC102">
        <v>47.048400000000001</v>
      </c>
      <c r="CD102">
        <v>47.048400000000001</v>
      </c>
      <c r="CE102">
        <v>7.5010300000000001</v>
      </c>
      <c r="CF102">
        <v>18.580400000000001</v>
      </c>
      <c r="CG102">
        <v>3.8420699999999999E-3</v>
      </c>
      <c r="CM102">
        <v>2197.54</v>
      </c>
      <c r="CN102">
        <v>2165.33</v>
      </c>
      <c r="CO102">
        <v>1102.44</v>
      </c>
      <c r="CP102">
        <v>3.0562800000000001E-2</v>
      </c>
      <c r="CQ102">
        <v>7.9872099999999998E-3</v>
      </c>
      <c r="CR102">
        <v>102</v>
      </c>
      <c r="CS102">
        <v>4.6383599999999996</v>
      </c>
      <c r="CT102">
        <v>207.78899999999999</v>
      </c>
      <c r="CU102">
        <v>5.9130599999999998</v>
      </c>
      <c r="CV102">
        <v>5.9130599999999998</v>
      </c>
      <c r="CW102">
        <v>4.7228899999999997E-2</v>
      </c>
      <c r="CX102">
        <v>5.8658400000000004</v>
      </c>
      <c r="CY102">
        <v>0</v>
      </c>
      <c r="CZ102">
        <v>7.5261100000000001</v>
      </c>
      <c r="DA102">
        <v>192.65100000000001</v>
      </c>
      <c r="DB102">
        <v>12.2781</v>
      </c>
      <c r="DC102">
        <v>46.468200000000003</v>
      </c>
      <c r="DD102">
        <v>3.8508</v>
      </c>
      <c r="DE102">
        <v>61.538699999999999</v>
      </c>
      <c r="DF102">
        <v>4.3115600000000001</v>
      </c>
      <c r="DG102">
        <v>47.4876</v>
      </c>
      <c r="DH102">
        <v>47.4876</v>
      </c>
      <c r="DI102">
        <v>7.6890499999999999</v>
      </c>
      <c r="DJ102">
        <v>18.506399999999999</v>
      </c>
      <c r="DK102">
        <v>7.8425500000000002E-3</v>
      </c>
      <c r="DQ102">
        <v>2348.7600000000002</v>
      </c>
      <c r="DR102">
        <v>2316.5500000000002</v>
      </c>
      <c r="DS102">
        <v>2328.46</v>
      </c>
      <c r="DT102">
        <v>0.30974400000000002</v>
      </c>
      <c r="DU102">
        <v>0.67398400000000003</v>
      </c>
      <c r="DV102">
        <v>105</v>
      </c>
      <c r="DW102">
        <v>0.69528199999999996</v>
      </c>
      <c r="DX102">
        <v>1773.27</v>
      </c>
      <c r="DY102">
        <v>8.2484699999999994E-2</v>
      </c>
      <c r="DZ102">
        <v>1.95458</v>
      </c>
      <c r="EA102">
        <v>5.5593400000000001E-2</v>
      </c>
      <c r="EB102">
        <v>0.63722299999999998</v>
      </c>
      <c r="EC102">
        <v>0</v>
      </c>
      <c r="ED102">
        <v>4.1788400000000001</v>
      </c>
      <c r="EE102">
        <v>109.748</v>
      </c>
      <c r="EF102">
        <v>2.5347</v>
      </c>
      <c r="EG102">
        <v>46.570599999999999</v>
      </c>
      <c r="EH102">
        <v>9.1638500000000001</v>
      </c>
      <c r="EI102">
        <v>61.768700000000003</v>
      </c>
      <c r="EJ102">
        <v>13.385</v>
      </c>
      <c r="EK102">
        <v>26.9574</v>
      </c>
      <c r="EL102">
        <v>26.9574</v>
      </c>
      <c r="EM102">
        <v>2.8203999999999998</v>
      </c>
      <c r="EN102">
        <v>18.627400000000002</v>
      </c>
      <c r="EO102">
        <v>0.51231000000000004</v>
      </c>
    </row>
    <row r="103" spans="1:145" x14ac:dyDescent="0.2">
      <c r="A103" s="86"/>
      <c r="B103" s="442"/>
      <c r="C103" s="510"/>
      <c r="E103" s="394"/>
      <c r="F103" s="8"/>
      <c r="K103" s="1"/>
      <c r="L103" s="1"/>
      <c r="AD103" s="112"/>
      <c r="AE103" s="112">
        <v>1895.09</v>
      </c>
      <c r="AF103" s="112">
        <v>1862.88</v>
      </c>
      <c r="AG103" s="112">
        <v>4362.18</v>
      </c>
      <c r="AH103" s="112">
        <v>0.239403</v>
      </c>
      <c r="AI103" s="112">
        <v>0.39537499999999998</v>
      </c>
      <c r="AJ103" s="112">
        <v>105</v>
      </c>
      <c r="AK103" s="112">
        <v>0.29890699999999998</v>
      </c>
      <c r="AL103" s="112">
        <v>611.64800000000002</v>
      </c>
      <c r="AM103" s="112">
        <v>1.5443699999999999E-2</v>
      </c>
      <c r="AN103" s="112">
        <v>0.65594799999999998</v>
      </c>
      <c r="AO103" s="112">
        <v>6.10606E-3</v>
      </c>
      <c r="AP103" s="112">
        <v>0.39660299999999998</v>
      </c>
      <c r="AQ103" s="112"/>
      <c r="AR103" s="112">
        <v>2.4280400000000002</v>
      </c>
      <c r="AS103" s="112">
        <v>97.427099999999996</v>
      </c>
      <c r="AT103" s="112">
        <v>1.6540699999999999</v>
      </c>
      <c r="AU103" s="112">
        <v>46.787199999999999</v>
      </c>
      <c r="AV103" s="112">
        <v>16.168399999999998</v>
      </c>
      <c r="AW103" s="112">
        <v>62.465499999999999</v>
      </c>
      <c r="AX103" s="112">
        <v>16.8704</v>
      </c>
      <c r="AY103" s="112">
        <v>11.2593</v>
      </c>
      <c r="AZ103" s="112">
        <v>11.2593</v>
      </c>
      <c r="BA103" s="112">
        <v>0.40236100000000002</v>
      </c>
      <c r="BB103" s="112">
        <v>19.0623</v>
      </c>
      <c r="BC103" s="112">
        <v>0.160745</v>
      </c>
      <c r="BD103" s="112"/>
      <c r="BE103" s="112"/>
      <c r="BF103" s="112"/>
      <c r="BG103" s="112"/>
      <c r="BH103" s="112"/>
      <c r="BI103" s="112">
        <v>2197.54</v>
      </c>
      <c r="BJ103" s="112">
        <v>2165.33</v>
      </c>
      <c r="BK103" s="112">
        <v>1064.95</v>
      </c>
      <c r="BL103" s="112">
        <v>2.9845500000000001E-2</v>
      </c>
      <c r="BM103" s="112">
        <v>3.90595E-3</v>
      </c>
      <c r="BN103" s="112">
        <v>102</v>
      </c>
      <c r="BO103" s="112">
        <v>0.51111700000000004</v>
      </c>
      <c r="BP103" s="112">
        <v>206.74199999999999</v>
      </c>
      <c r="BQ103" s="112">
        <v>1.80722</v>
      </c>
      <c r="BR103" s="112">
        <v>1.80722</v>
      </c>
      <c r="BS103" s="112">
        <v>7.05889E-3</v>
      </c>
      <c r="BT103" s="112">
        <v>1.80016</v>
      </c>
      <c r="BU103" s="112"/>
      <c r="BV103" s="112">
        <v>7.3004199999999999</v>
      </c>
      <c r="BW103" s="112">
        <v>193.172</v>
      </c>
      <c r="BX103" s="112">
        <v>3.7428599999999999</v>
      </c>
      <c r="BY103" s="112">
        <v>46.550800000000002</v>
      </c>
      <c r="BZ103" s="112">
        <v>4.0642800000000001</v>
      </c>
      <c r="CA103">
        <v>61.674599999999998</v>
      </c>
      <c r="CB103">
        <v>4.2892999999999999</v>
      </c>
      <c r="CC103">
        <v>46.885899999999999</v>
      </c>
      <c r="CD103">
        <v>46.885899999999999</v>
      </c>
      <c r="CE103">
        <v>7.4761199999999999</v>
      </c>
      <c r="CF103">
        <v>18.561800000000002</v>
      </c>
      <c r="CG103">
        <v>3.84426E-3</v>
      </c>
      <c r="CM103">
        <v>2273.15</v>
      </c>
      <c r="CN103">
        <v>2240.94</v>
      </c>
      <c r="CO103">
        <v>1110.02</v>
      </c>
      <c r="CP103">
        <v>3.0571299999999999E-2</v>
      </c>
      <c r="CQ103">
        <v>7.9966599999999992E-3</v>
      </c>
      <c r="CR103">
        <v>102</v>
      </c>
      <c r="CS103">
        <v>4.7932699999999997</v>
      </c>
      <c r="CT103">
        <v>215.21799999999999</v>
      </c>
      <c r="CU103">
        <v>5.9114000000000004</v>
      </c>
      <c r="CV103">
        <v>5.9114000000000004</v>
      </c>
      <c r="CW103">
        <v>4.7271399999999998E-2</v>
      </c>
      <c r="CX103">
        <v>5.8641199999999998</v>
      </c>
      <c r="CY103">
        <v>0</v>
      </c>
      <c r="CZ103">
        <v>7.5160900000000002</v>
      </c>
      <c r="DA103">
        <v>192.624</v>
      </c>
      <c r="DB103">
        <v>12.2758</v>
      </c>
      <c r="DC103">
        <v>46.434199999999997</v>
      </c>
      <c r="DD103">
        <v>3.8515600000000001</v>
      </c>
      <c r="DE103">
        <v>61.481999999999999</v>
      </c>
      <c r="DF103">
        <v>4.3124099999999999</v>
      </c>
      <c r="DG103">
        <v>47.306600000000003</v>
      </c>
      <c r="DH103">
        <v>47.306600000000003</v>
      </c>
      <c r="DI103">
        <v>7.6638599999999997</v>
      </c>
      <c r="DJ103">
        <v>18.482900000000001</v>
      </c>
      <c r="DK103">
        <v>7.8476699999999993E-3</v>
      </c>
      <c r="DQ103">
        <v>2424.37</v>
      </c>
      <c r="DR103">
        <v>2392.16</v>
      </c>
      <c r="DS103">
        <v>2406.36</v>
      </c>
      <c r="DT103">
        <v>0.314027</v>
      </c>
      <c r="DU103">
        <v>0.68490600000000001</v>
      </c>
      <c r="DV103">
        <v>105</v>
      </c>
      <c r="DW103">
        <v>0.70739099999999999</v>
      </c>
      <c r="DX103">
        <v>1851.16</v>
      </c>
      <c r="DY103">
        <v>8.1224500000000005E-2</v>
      </c>
      <c r="DZ103">
        <v>1.9740599999999999</v>
      </c>
      <c r="EA103">
        <v>5.5631199999999999E-2</v>
      </c>
      <c r="EB103">
        <v>0.62201300000000004</v>
      </c>
      <c r="EC103">
        <v>0</v>
      </c>
      <c r="ED103">
        <v>4.0932300000000001</v>
      </c>
      <c r="EE103">
        <v>108.54</v>
      </c>
      <c r="EF103">
        <v>2.5062199999999999</v>
      </c>
      <c r="EG103">
        <v>46.541899999999998</v>
      </c>
      <c r="EH103">
        <v>9.3812200000000008</v>
      </c>
      <c r="EI103">
        <v>61.724800000000002</v>
      </c>
      <c r="EJ103">
        <v>13.6784</v>
      </c>
      <c r="EK103">
        <v>26.1799</v>
      </c>
      <c r="EL103">
        <v>26.1799</v>
      </c>
      <c r="EM103">
        <v>2.6786699999999999</v>
      </c>
      <c r="EN103">
        <v>18.611000000000001</v>
      </c>
      <c r="EO103">
        <v>0.51768700000000001</v>
      </c>
    </row>
    <row r="104" spans="1:145" x14ac:dyDescent="0.2">
      <c r="A104" s="86"/>
      <c r="B104" s="442"/>
      <c r="C104" s="510"/>
      <c r="E104" s="394"/>
      <c r="F104" s="8"/>
      <c r="K104" s="1"/>
      <c r="L104" s="1"/>
      <c r="AD104" s="112"/>
      <c r="AE104" s="112">
        <v>1970.7</v>
      </c>
      <c r="AF104" s="112">
        <v>1938.49</v>
      </c>
      <c r="AG104" s="112">
        <v>4421.6400000000003</v>
      </c>
      <c r="AH104" s="112">
        <v>0.239703</v>
      </c>
      <c r="AI104" s="112">
        <v>0.39622299999999999</v>
      </c>
      <c r="AJ104" s="112">
        <v>105</v>
      </c>
      <c r="AK104" s="112">
        <v>0.30401499999999998</v>
      </c>
      <c r="AL104" s="112">
        <v>671.10699999999997</v>
      </c>
      <c r="AM104" s="112">
        <v>1.5419199999999999E-2</v>
      </c>
      <c r="AN104" s="112">
        <v>0.65568599999999999</v>
      </c>
      <c r="AO104" s="112">
        <v>6.1094399999999998E-3</v>
      </c>
      <c r="AP104" s="112">
        <v>0.39588800000000002</v>
      </c>
      <c r="AQ104" s="112"/>
      <c r="AR104" s="112">
        <v>2.4203100000000002</v>
      </c>
      <c r="AS104" s="112">
        <v>97.340999999999994</v>
      </c>
      <c r="AT104" s="112">
        <v>1.65259</v>
      </c>
      <c r="AU104" s="112">
        <v>46.762500000000003</v>
      </c>
      <c r="AV104" s="112">
        <v>16.197299999999998</v>
      </c>
      <c r="AW104" s="112">
        <v>62.430500000000002</v>
      </c>
      <c r="AX104" s="112">
        <v>16.899899999999999</v>
      </c>
      <c r="AY104" s="112">
        <v>11.1723</v>
      </c>
      <c r="AZ104" s="112">
        <v>11.1723</v>
      </c>
      <c r="BA104" s="112">
        <v>0.39600600000000002</v>
      </c>
      <c r="BB104" s="112">
        <v>19.050599999999999</v>
      </c>
      <c r="BC104" s="112">
        <v>0.169769</v>
      </c>
      <c r="BD104" s="112"/>
      <c r="BE104" s="112"/>
      <c r="BF104" s="112"/>
      <c r="BG104" s="112"/>
      <c r="BH104" s="112"/>
      <c r="BI104" s="112">
        <v>2273.15</v>
      </c>
      <c r="BJ104" s="112">
        <v>2240.94</v>
      </c>
      <c r="BK104" s="112">
        <v>1072.3599999999999</v>
      </c>
      <c r="BL104" s="112">
        <v>2.9867899999999999E-2</v>
      </c>
      <c r="BM104" s="112">
        <v>3.91194E-3</v>
      </c>
      <c r="BN104" s="112">
        <v>102</v>
      </c>
      <c r="BO104" s="112">
        <v>0.528285</v>
      </c>
      <c r="BP104" s="112">
        <v>214.13499999999999</v>
      </c>
      <c r="BQ104" s="112">
        <v>1.80585</v>
      </c>
      <c r="BR104" s="112">
        <v>1.80585</v>
      </c>
      <c r="BS104" s="112">
        <v>7.0643900000000003E-3</v>
      </c>
      <c r="BT104" s="112">
        <v>1.7987899999999999</v>
      </c>
      <c r="BU104" s="112"/>
      <c r="BV104" s="112">
        <v>7.2896700000000001</v>
      </c>
      <c r="BW104" s="112">
        <v>193.09899999999999</v>
      </c>
      <c r="BX104" s="112">
        <v>3.7414000000000001</v>
      </c>
      <c r="BY104" s="112">
        <v>46.520600000000002</v>
      </c>
      <c r="BZ104" s="112">
        <v>4.0672699999999997</v>
      </c>
      <c r="CA104">
        <v>61.625999999999998</v>
      </c>
      <c r="CB104">
        <v>4.2924300000000004</v>
      </c>
      <c r="CC104">
        <v>46.7211</v>
      </c>
      <c r="CD104">
        <v>46.7211</v>
      </c>
      <c r="CE104">
        <v>7.4512700000000001</v>
      </c>
      <c r="CF104">
        <v>18.5425</v>
      </c>
      <c r="CG104">
        <v>3.84651E-3</v>
      </c>
      <c r="CM104">
        <v>2348.7600000000002</v>
      </c>
      <c r="CN104">
        <v>2316.5500000000002</v>
      </c>
      <c r="CO104">
        <v>1117.5999999999999</v>
      </c>
      <c r="CP104">
        <v>3.0573400000000001E-2</v>
      </c>
      <c r="CQ104">
        <v>8.0047599999999997E-3</v>
      </c>
      <c r="CR104">
        <v>102</v>
      </c>
      <c r="CS104">
        <v>4.9482200000000001</v>
      </c>
      <c r="CT104">
        <v>222.64699999999999</v>
      </c>
      <c r="CU104">
        <v>5.9110100000000001</v>
      </c>
      <c r="CV104">
        <v>5.9110100000000001</v>
      </c>
      <c r="CW104">
        <v>4.7316299999999999E-2</v>
      </c>
      <c r="CX104">
        <v>5.8636999999999997</v>
      </c>
      <c r="CY104">
        <v>0</v>
      </c>
      <c r="CZ104">
        <v>7.5066300000000004</v>
      </c>
      <c r="DA104">
        <v>192.61699999999999</v>
      </c>
      <c r="DB104">
        <v>12.274699999999999</v>
      </c>
      <c r="DC104">
        <v>46.398800000000001</v>
      </c>
      <c r="DD104">
        <v>3.8513600000000001</v>
      </c>
      <c r="DE104">
        <v>61.422199999999997</v>
      </c>
      <c r="DF104">
        <v>4.3121999999999998</v>
      </c>
      <c r="DG104">
        <v>47.121000000000002</v>
      </c>
      <c r="DH104">
        <v>47.121000000000002</v>
      </c>
      <c r="DI104">
        <v>7.6389300000000002</v>
      </c>
      <c r="DJ104">
        <v>18.457899999999999</v>
      </c>
      <c r="DK104">
        <v>7.8527200000000005E-3</v>
      </c>
      <c r="DQ104">
        <v>2499.98</v>
      </c>
      <c r="DR104">
        <v>2467.77</v>
      </c>
      <c r="DS104">
        <v>2485.2600000000002</v>
      </c>
      <c r="DT104">
        <v>0.31805499999999998</v>
      </c>
      <c r="DU104">
        <v>0.69536600000000004</v>
      </c>
      <c r="DV104">
        <v>105</v>
      </c>
      <c r="DW104">
        <v>0.71924999999999994</v>
      </c>
      <c r="DX104">
        <v>1930.05</v>
      </c>
      <c r="DY104">
        <v>8.0064200000000002E-2</v>
      </c>
      <c r="DZ104">
        <v>1.9963900000000001</v>
      </c>
      <c r="EA104">
        <v>5.5673899999999998E-2</v>
      </c>
      <c r="EB104">
        <v>0.60816800000000004</v>
      </c>
      <c r="EC104">
        <v>0</v>
      </c>
      <c r="ED104">
        <v>4.0133200000000002</v>
      </c>
      <c r="EE104">
        <v>107.429</v>
      </c>
      <c r="EF104">
        <v>2.4798300000000002</v>
      </c>
      <c r="EG104">
        <v>46.509799999999998</v>
      </c>
      <c r="EH104">
        <v>9.5860500000000002</v>
      </c>
      <c r="EI104">
        <v>61.673900000000003</v>
      </c>
      <c r="EJ104">
        <v>13.954499999999999</v>
      </c>
      <c r="EK104">
        <v>25.443300000000001</v>
      </c>
      <c r="EL104">
        <v>25.443300000000001</v>
      </c>
      <c r="EM104">
        <v>2.5482900000000002</v>
      </c>
      <c r="EN104">
        <v>18.591100000000001</v>
      </c>
      <c r="EO104">
        <v>0.52305599999999997</v>
      </c>
    </row>
    <row r="105" spans="1:145" x14ac:dyDescent="0.2">
      <c r="A105" s="86"/>
      <c r="B105" s="442"/>
      <c r="C105" s="510"/>
      <c r="E105" s="394"/>
      <c r="F105" s="8"/>
      <c r="K105" s="1"/>
      <c r="L105" s="1"/>
      <c r="AD105" s="112"/>
      <c r="AE105" s="112">
        <v>2046.31</v>
      </c>
      <c r="AF105" s="112">
        <v>2014.1</v>
      </c>
      <c r="AG105" s="112">
        <v>4481.18</v>
      </c>
      <c r="AH105" s="112">
        <v>0.23999500000000001</v>
      </c>
      <c r="AI105" s="112">
        <v>0.39706399999999997</v>
      </c>
      <c r="AJ105" s="112">
        <v>105</v>
      </c>
      <c r="AK105" s="112">
        <v>0.30911100000000002</v>
      </c>
      <c r="AL105" s="112">
        <v>730.63699999999994</v>
      </c>
      <c r="AM105" s="112">
        <v>1.53952E-2</v>
      </c>
      <c r="AN105" s="112">
        <v>0.65544599999999997</v>
      </c>
      <c r="AO105" s="112">
        <v>6.1129000000000001E-3</v>
      </c>
      <c r="AP105" s="112">
        <v>0.39519199999999999</v>
      </c>
      <c r="AQ105" s="112"/>
      <c r="AR105" s="112">
        <v>2.4126699999999999</v>
      </c>
      <c r="AS105" s="112">
        <v>97.257099999999994</v>
      </c>
      <c r="AT105" s="112">
        <v>1.6511499999999999</v>
      </c>
      <c r="AU105" s="112">
        <v>46.7376</v>
      </c>
      <c r="AV105" s="112">
        <v>16.2254</v>
      </c>
      <c r="AW105" s="112">
        <v>62.394799999999996</v>
      </c>
      <c r="AX105" s="112">
        <v>16.928699999999999</v>
      </c>
      <c r="AY105" s="112">
        <v>11.0861</v>
      </c>
      <c r="AZ105" s="112">
        <v>11.0861</v>
      </c>
      <c r="BA105" s="112">
        <v>0.38980799999999999</v>
      </c>
      <c r="BB105" s="112">
        <v>19.0383</v>
      </c>
      <c r="BC105" s="112">
        <v>0.17815800000000001</v>
      </c>
      <c r="BD105" s="112"/>
      <c r="BE105" s="112"/>
      <c r="BF105" s="112"/>
      <c r="BG105" s="112"/>
      <c r="BH105" s="112"/>
      <c r="BI105" s="112">
        <v>2348.7600000000002</v>
      </c>
      <c r="BJ105" s="112">
        <v>2316.5500000000002</v>
      </c>
      <c r="BK105" s="112">
        <v>1079.77</v>
      </c>
      <c r="BL105" s="112">
        <v>2.9887799999999999E-2</v>
      </c>
      <c r="BM105" s="112">
        <v>3.9176899999999997E-3</v>
      </c>
      <c r="BN105" s="112">
        <v>102</v>
      </c>
      <c r="BO105" s="112">
        <v>0.54544999999999999</v>
      </c>
      <c r="BP105" s="112">
        <v>221.53200000000001</v>
      </c>
      <c r="BQ105" s="112">
        <v>1.8046500000000001</v>
      </c>
      <c r="BR105" s="112">
        <v>1.8046500000000001</v>
      </c>
      <c r="BS105" s="112">
        <v>7.0700600000000004E-3</v>
      </c>
      <c r="BT105" s="112">
        <v>1.79758</v>
      </c>
      <c r="BU105" s="112"/>
      <c r="BV105" s="112">
        <v>7.2790900000000001</v>
      </c>
      <c r="BW105" s="112">
        <v>193.035</v>
      </c>
      <c r="BX105" s="112">
        <v>3.74004</v>
      </c>
      <c r="BY105" s="112">
        <v>46.489600000000003</v>
      </c>
      <c r="BZ105" s="112">
        <v>4.06975</v>
      </c>
      <c r="CA105">
        <v>61.575600000000001</v>
      </c>
      <c r="CB105">
        <v>4.2950400000000002</v>
      </c>
      <c r="CC105">
        <v>46.553600000000003</v>
      </c>
      <c r="CD105">
        <v>46.553600000000003</v>
      </c>
      <c r="CE105">
        <v>7.4266100000000002</v>
      </c>
      <c r="CF105">
        <v>18.522200000000002</v>
      </c>
      <c r="CG105">
        <v>3.8487999999999999E-3</v>
      </c>
      <c r="CM105">
        <v>2424.37</v>
      </c>
      <c r="CN105">
        <v>2392.16</v>
      </c>
      <c r="CO105">
        <v>1125.19</v>
      </c>
      <c r="CP105">
        <v>3.0567199999999999E-2</v>
      </c>
      <c r="CQ105">
        <v>8.0110500000000005E-3</v>
      </c>
      <c r="CR105">
        <v>102</v>
      </c>
      <c r="CS105">
        <v>5.1032599999999997</v>
      </c>
      <c r="CT105">
        <v>230.07499999999999</v>
      </c>
      <c r="CU105">
        <v>5.9123200000000002</v>
      </c>
      <c r="CV105">
        <v>5.9123200000000002</v>
      </c>
      <c r="CW105">
        <v>4.73639E-2</v>
      </c>
      <c r="CX105">
        <v>5.8649500000000003</v>
      </c>
      <c r="CY105">
        <v>0</v>
      </c>
      <c r="CZ105">
        <v>7.4979500000000003</v>
      </c>
      <c r="DA105">
        <v>192.63900000000001</v>
      </c>
      <c r="DB105">
        <v>12.2752</v>
      </c>
      <c r="DC105">
        <v>46.361400000000003</v>
      </c>
      <c r="DD105">
        <v>3.8499099999999999</v>
      </c>
      <c r="DE105">
        <v>61.358400000000003</v>
      </c>
      <c r="DF105">
        <v>4.3106099999999996</v>
      </c>
      <c r="DG105">
        <v>46.929600000000001</v>
      </c>
      <c r="DH105">
        <v>46.929600000000001</v>
      </c>
      <c r="DI105">
        <v>7.6143099999999997</v>
      </c>
      <c r="DJ105">
        <v>18.430800000000001</v>
      </c>
      <c r="DK105">
        <v>7.8576600000000007E-3</v>
      </c>
      <c r="DQ105">
        <v>2571.41</v>
      </c>
      <c r="DR105">
        <v>2539.1999999999998</v>
      </c>
      <c r="DS105">
        <v>2551.4299999999998</v>
      </c>
      <c r="DT105">
        <v>0.28233200000000003</v>
      </c>
      <c r="DU105">
        <v>0.59549099999999999</v>
      </c>
      <c r="DV105">
        <v>105</v>
      </c>
      <c r="DW105">
        <v>0.76438399999999995</v>
      </c>
      <c r="DX105">
        <v>1996.17</v>
      </c>
      <c r="DY105">
        <v>0.166329</v>
      </c>
      <c r="DZ105">
        <v>2.6206900000000002</v>
      </c>
      <c r="EA105">
        <v>9.9047399999999994E-2</v>
      </c>
      <c r="EB105">
        <v>1.06009</v>
      </c>
      <c r="EC105">
        <v>0</v>
      </c>
      <c r="ED105">
        <v>3.9435899999999999</v>
      </c>
      <c r="EE105">
        <v>106.468</v>
      </c>
      <c r="EF105">
        <v>4.3667600000000002</v>
      </c>
      <c r="EG105">
        <v>46.485500000000002</v>
      </c>
      <c r="EH105">
        <v>9.7593700000000005</v>
      </c>
      <c r="EI105">
        <v>61.6357</v>
      </c>
      <c r="EJ105">
        <v>14.1922</v>
      </c>
      <c r="EK105">
        <v>24.8414</v>
      </c>
      <c r="EL105">
        <v>24.8414</v>
      </c>
      <c r="EM105">
        <v>2.44252</v>
      </c>
      <c r="EN105">
        <v>18.5763</v>
      </c>
      <c r="EO105">
        <v>0.52420100000000003</v>
      </c>
    </row>
    <row r="106" spans="1:145" x14ac:dyDescent="0.2">
      <c r="A106" s="86"/>
      <c r="B106" s="442"/>
      <c r="C106" s="510"/>
      <c r="E106" s="394"/>
      <c r="F106" s="8"/>
      <c r="K106" s="1"/>
      <c r="L106" s="1"/>
      <c r="AD106" s="112"/>
      <c r="AE106" s="112">
        <v>2121.9299999999998</v>
      </c>
      <c r="AF106" s="112">
        <v>2089.71</v>
      </c>
      <c r="AG106" s="112">
        <v>4540.79</v>
      </c>
      <c r="AH106" s="112">
        <v>0.24027899999999999</v>
      </c>
      <c r="AI106" s="112">
        <v>0.39789799999999997</v>
      </c>
      <c r="AJ106" s="112">
        <v>105</v>
      </c>
      <c r="AK106" s="112">
        <v>0.314197</v>
      </c>
      <c r="AL106" s="112">
        <v>790.23800000000006</v>
      </c>
      <c r="AM106" s="112">
        <v>1.5371900000000001E-2</v>
      </c>
      <c r="AN106" s="112">
        <v>0.65522899999999995</v>
      </c>
      <c r="AO106" s="112">
        <v>6.11643E-3</v>
      </c>
      <c r="AP106" s="112">
        <v>0.394515</v>
      </c>
      <c r="AQ106" s="112"/>
      <c r="AR106" s="112">
        <v>2.4051100000000001</v>
      </c>
      <c r="AS106" s="112">
        <v>97.1755</v>
      </c>
      <c r="AT106" s="112">
        <v>1.64975</v>
      </c>
      <c r="AU106" s="112">
        <v>46.712499999999999</v>
      </c>
      <c r="AV106" s="112">
        <v>16.2529</v>
      </c>
      <c r="AW106" s="112">
        <v>62.3583</v>
      </c>
      <c r="AX106" s="112">
        <v>16.956800000000001</v>
      </c>
      <c r="AY106" s="112">
        <v>11.0006</v>
      </c>
      <c r="AZ106" s="112">
        <v>11.0006</v>
      </c>
      <c r="BA106" s="112">
        <v>0.383766</v>
      </c>
      <c r="BB106" s="112">
        <v>19.025600000000001</v>
      </c>
      <c r="BC106" s="112">
        <v>0.18597900000000001</v>
      </c>
      <c r="BD106" s="112"/>
      <c r="BE106" s="112"/>
      <c r="BF106" s="112"/>
      <c r="BG106" s="112"/>
      <c r="BH106" s="112"/>
      <c r="BI106" s="112">
        <v>2424.37</v>
      </c>
      <c r="BJ106" s="112">
        <v>2392.16</v>
      </c>
      <c r="BK106" s="112">
        <v>1087.19</v>
      </c>
      <c r="BL106" s="112">
        <v>2.9901E-2</v>
      </c>
      <c r="BM106" s="112">
        <v>3.9227400000000001E-3</v>
      </c>
      <c r="BN106" s="112">
        <v>102</v>
      </c>
      <c r="BO106" s="112">
        <v>0.56261700000000003</v>
      </c>
      <c r="BP106" s="112">
        <v>228.93199999999999</v>
      </c>
      <c r="BQ106" s="112">
        <v>1.80385</v>
      </c>
      <c r="BR106" s="112">
        <v>1.80385</v>
      </c>
      <c r="BS106" s="112">
        <v>7.0760500000000004E-3</v>
      </c>
      <c r="BT106" s="112">
        <v>1.79678</v>
      </c>
      <c r="BU106" s="112"/>
      <c r="BV106" s="112">
        <v>7.2691400000000002</v>
      </c>
      <c r="BW106" s="112">
        <v>192.99199999999999</v>
      </c>
      <c r="BX106" s="112">
        <v>3.7389299999999999</v>
      </c>
      <c r="BY106" s="112">
        <v>46.457000000000001</v>
      </c>
      <c r="BZ106" s="112">
        <v>4.0709099999999996</v>
      </c>
      <c r="CA106">
        <v>61.521799999999999</v>
      </c>
      <c r="CB106">
        <v>4.2962699999999998</v>
      </c>
      <c r="CC106">
        <v>46.382199999999997</v>
      </c>
      <c r="CD106">
        <v>46.382199999999997</v>
      </c>
      <c r="CE106">
        <v>7.4024799999999997</v>
      </c>
      <c r="CF106">
        <v>18.5002</v>
      </c>
      <c r="CG106">
        <v>3.85111E-3</v>
      </c>
      <c r="CM106">
        <v>2499.98</v>
      </c>
      <c r="CN106">
        <v>2467.77</v>
      </c>
      <c r="CO106">
        <v>1132.77</v>
      </c>
      <c r="CP106">
        <v>3.0550000000000001E-2</v>
      </c>
      <c r="CQ106">
        <v>8.0149499999999999E-3</v>
      </c>
      <c r="CR106">
        <v>102</v>
      </c>
      <c r="CS106">
        <v>5.2584499999999998</v>
      </c>
      <c r="CT106">
        <v>237.49799999999999</v>
      </c>
      <c r="CU106">
        <v>5.9158299999999997</v>
      </c>
      <c r="CV106">
        <v>5.9158299999999997</v>
      </c>
      <c r="CW106">
        <v>4.7415100000000002E-2</v>
      </c>
      <c r="CX106">
        <v>5.8684200000000004</v>
      </c>
      <c r="CY106">
        <v>0</v>
      </c>
      <c r="CZ106">
        <v>7.4902899999999999</v>
      </c>
      <c r="DA106">
        <v>192.696</v>
      </c>
      <c r="DB106">
        <v>12.2776</v>
      </c>
      <c r="DC106">
        <v>46.321599999999997</v>
      </c>
      <c r="DD106">
        <v>3.8468200000000001</v>
      </c>
      <c r="DE106">
        <v>61.289499999999997</v>
      </c>
      <c r="DF106">
        <v>4.30722</v>
      </c>
      <c r="DG106">
        <v>46.730899999999998</v>
      </c>
      <c r="DH106">
        <v>46.730899999999998</v>
      </c>
      <c r="DI106">
        <v>7.5901100000000001</v>
      </c>
      <c r="DJ106">
        <v>18.401199999999999</v>
      </c>
      <c r="DK106">
        <v>7.8624100000000002E-3</v>
      </c>
      <c r="DQ106">
        <v>2642.84</v>
      </c>
      <c r="DR106">
        <v>2610.63</v>
      </c>
      <c r="DS106">
        <v>2618.27</v>
      </c>
      <c r="DT106">
        <v>0.28525699999999998</v>
      </c>
      <c r="DU106">
        <v>0.60273500000000002</v>
      </c>
      <c r="DV106">
        <v>105</v>
      </c>
      <c r="DW106">
        <v>0.80879100000000004</v>
      </c>
      <c r="DX106">
        <v>2062.9699999999998</v>
      </c>
      <c r="DY106">
        <v>0.164433</v>
      </c>
      <c r="DZ106">
        <v>2.6218599999999999</v>
      </c>
      <c r="EA106">
        <v>9.9109299999999997E-2</v>
      </c>
      <c r="EB106">
        <v>1.0415700000000001</v>
      </c>
      <c r="EC106">
        <v>0</v>
      </c>
      <c r="ED106">
        <v>3.8818000000000001</v>
      </c>
      <c r="EE106">
        <v>105.617</v>
      </c>
      <c r="EF106">
        <v>4.3314599999999999</v>
      </c>
      <c r="EG106">
        <v>46.461100000000002</v>
      </c>
      <c r="EH106">
        <v>9.9299900000000001</v>
      </c>
      <c r="EI106">
        <v>61.596899999999998</v>
      </c>
      <c r="EJ106">
        <v>14.4191</v>
      </c>
      <c r="EK106">
        <v>24.256799999999998</v>
      </c>
      <c r="EL106">
        <v>24.256799999999998</v>
      </c>
      <c r="EM106">
        <v>2.3414000000000001</v>
      </c>
      <c r="EN106">
        <v>18.5611</v>
      </c>
      <c r="EO106">
        <v>0.52542199999999994</v>
      </c>
    </row>
    <row r="107" spans="1:145" x14ac:dyDescent="0.2">
      <c r="A107" s="86"/>
      <c r="B107" s="442"/>
      <c r="C107" s="510"/>
      <c r="E107" s="394"/>
      <c r="F107" s="8"/>
      <c r="K107" s="1"/>
      <c r="L107" s="1"/>
      <c r="AD107" s="112"/>
      <c r="AE107" s="112">
        <v>2197.54</v>
      </c>
      <c r="AF107" s="112">
        <v>2165.33</v>
      </c>
      <c r="AG107" s="112">
        <v>4600.46</v>
      </c>
      <c r="AH107" s="112">
        <v>0.24055399999999999</v>
      </c>
      <c r="AI107" s="112">
        <v>0.39872299999999999</v>
      </c>
      <c r="AJ107" s="112">
        <v>105</v>
      </c>
      <c r="AK107" s="112">
        <v>0.319272</v>
      </c>
      <c r="AL107" s="112">
        <v>849.90700000000004</v>
      </c>
      <c r="AM107" s="112">
        <v>1.5349099999999999E-2</v>
      </c>
      <c r="AN107" s="112">
        <v>0.65503599999999995</v>
      </c>
      <c r="AO107" s="112">
        <v>6.1200500000000001E-3</v>
      </c>
      <c r="AP107" s="112">
        <v>0.39385799999999999</v>
      </c>
      <c r="AQ107" s="112"/>
      <c r="AR107" s="112">
        <v>2.39764</v>
      </c>
      <c r="AS107" s="112">
        <v>97.096199999999996</v>
      </c>
      <c r="AT107" s="112">
        <v>1.64838</v>
      </c>
      <c r="AU107" s="112">
        <v>46.687199999999997</v>
      </c>
      <c r="AV107" s="112">
        <v>16.279599999999999</v>
      </c>
      <c r="AW107" s="112">
        <v>62.321100000000001</v>
      </c>
      <c r="AX107" s="112">
        <v>16.984100000000002</v>
      </c>
      <c r="AY107" s="112">
        <v>10.9161</v>
      </c>
      <c r="AZ107" s="112">
        <v>10.9161</v>
      </c>
      <c r="BA107" s="112">
        <v>0.377888</v>
      </c>
      <c r="BB107" s="112">
        <v>19.0123</v>
      </c>
      <c r="BC107" s="112">
        <v>0.19329099999999999</v>
      </c>
      <c r="BD107" s="112"/>
      <c r="BE107" s="112"/>
      <c r="BF107" s="112"/>
      <c r="BG107" s="112"/>
      <c r="BH107" s="112"/>
      <c r="BI107" s="112">
        <v>2499.98</v>
      </c>
      <c r="BJ107" s="112">
        <v>2467.77</v>
      </c>
      <c r="BK107" s="112">
        <v>1094.6099999999999</v>
      </c>
      <c r="BL107" s="112">
        <v>2.9896499999999999E-2</v>
      </c>
      <c r="BM107" s="112">
        <v>3.92582E-3</v>
      </c>
      <c r="BN107" s="112">
        <v>102</v>
      </c>
      <c r="BO107" s="112">
        <v>0.57979599999999998</v>
      </c>
      <c r="BP107" s="112">
        <v>236.33099999999999</v>
      </c>
      <c r="BQ107" s="112">
        <v>1.80413</v>
      </c>
      <c r="BR107" s="112">
        <v>1.80413</v>
      </c>
      <c r="BS107" s="112">
        <v>7.08269E-3</v>
      </c>
      <c r="BT107" s="112">
        <v>1.79705</v>
      </c>
      <c r="BU107" s="112"/>
      <c r="BV107" s="112">
        <v>7.2610299999999999</v>
      </c>
      <c r="BW107" s="112">
        <v>193.00700000000001</v>
      </c>
      <c r="BX107" s="112">
        <v>3.7384499999999998</v>
      </c>
      <c r="BY107" s="112">
        <v>46.419899999999998</v>
      </c>
      <c r="BZ107" s="112">
        <v>4.0685500000000001</v>
      </c>
      <c r="CA107">
        <v>61.460099999999997</v>
      </c>
      <c r="CB107">
        <v>4.2938599999999996</v>
      </c>
      <c r="CC107">
        <v>46.203600000000002</v>
      </c>
      <c r="CD107">
        <v>46.203600000000002</v>
      </c>
      <c r="CE107">
        <v>7.3797600000000001</v>
      </c>
      <c r="CF107">
        <v>18.474699999999999</v>
      </c>
      <c r="CG107">
        <v>3.8533600000000001E-3</v>
      </c>
      <c r="CM107">
        <v>2571.41</v>
      </c>
      <c r="CN107">
        <v>2539.1999999999998</v>
      </c>
      <c r="CO107">
        <v>1140.4100000000001</v>
      </c>
      <c r="CP107">
        <v>3.2624199999999999E-2</v>
      </c>
      <c r="CQ107">
        <v>8.0250300000000007E-3</v>
      </c>
      <c r="CR107">
        <v>102</v>
      </c>
      <c r="CS107">
        <v>5.8887099999999997</v>
      </c>
      <c r="CT107">
        <v>244.512</v>
      </c>
      <c r="CU107">
        <v>10.514099999999999</v>
      </c>
      <c r="CV107">
        <v>10.514099999999999</v>
      </c>
      <c r="CW107">
        <v>8.4376000000000007E-2</v>
      </c>
      <c r="CX107">
        <v>10.4297</v>
      </c>
      <c r="CY107">
        <v>0</v>
      </c>
      <c r="CZ107">
        <v>7.4795800000000003</v>
      </c>
      <c r="DA107">
        <v>192.66900000000001</v>
      </c>
      <c r="DB107">
        <v>21.834499999999998</v>
      </c>
      <c r="DC107">
        <v>46.2928</v>
      </c>
      <c r="DD107">
        <v>3.8521000000000001</v>
      </c>
      <c r="DE107">
        <v>61.238700000000001</v>
      </c>
      <c r="DF107">
        <v>4.3126300000000004</v>
      </c>
      <c r="DG107">
        <v>46.548699999999997</v>
      </c>
      <c r="DH107">
        <v>46.548699999999997</v>
      </c>
      <c r="DI107">
        <v>7.5630499999999996</v>
      </c>
      <c r="DJ107">
        <v>18.379000000000001</v>
      </c>
      <c r="DK107">
        <v>7.8649800000000006E-3</v>
      </c>
      <c r="DQ107">
        <v>2714.27</v>
      </c>
      <c r="DR107">
        <v>2682.06</v>
      </c>
      <c r="DS107">
        <v>2685.79</v>
      </c>
      <c r="DT107">
        <v>0.28811100000000001</v>
      </c>
      <c r="DU107">
        <v>0.60986600000000002</v>
      </c>
      <c r="DV107">
        <v>105</v>
      </c>
      <c r="DW107">
        <v>0.85250300000000001</v>
      </c>
      <c r="DX107">
        <v>2130.4499999999998</v>
      </c>
      <c r="DY107">
        <v>0.16261300000000001</v>
      </c>
      <c r="DZ107">
        <v>2.6246700000000001</v>
      </c>
      <c r="EA107">
        <v>9.9172099999999999E-2</v>
      </c>
      <c r="EB107">
        <v>1.02397</v>
      </c>
      <c r="EC107">
        <v>0</v>
      </c>
      <c r="ED107">
        <v>3.8222299999999998</v>
      </c>
      <c r="EE107">
        <v>104.80200000000001</v>
      </c>
      <c r="EF107">
        <v>4.29765</v>
      </c>
      <c r="EG107">
        <v>46.436500000000002</v>
      </c>
      <c r="EH107">
        <v>10.097799999999999</v>
      </c>
      <c r="EI107">
        <v>61.557600000000001</v>
      </c>
      <c r="EJ107">
        <v>14.6417</v>
      </c>
      <c r="EK107">
        <v>23.689399999999999</v>
      </c>
      <c r="EL107">
        <v>23.689399999999999</v>
      </c>
      <c r="EM107">
        <v>2.2447699999999999</v>
      </c>
      <c r="EN107">
        <v>18.5456</v>
      </c>
      <c r="EO107">
        <v>0.52671599999999996</v>
      </c>
    </row>
    <row r="108" spans="1:145" x14ac:dyDescent="0.2">
      <c r="A108" s="86"/>
      <c r="B108" s="442"/>
      <c r="C108" s="510"/>
      <c r="E108" s="394"/>
      <c r="F108" s="8"/>
      <c r="K108" s="1"/>
      <c r="L108" s="1"/>
      <c r="AD108" s="112"/>
      <c r="AE108" s="112">
        <v>2273.15</v>
      </c>
      <c r="AF108" s="112">
        <v>2240.94</v>
      </c>
      <c r="AG108" s="112">
        <v>4660.2</v>
      </c>
      <c r="AH108" s="112">
        <v>0.24081900000000001</v>
      </c>
      <c r="AI108" s="112">
        <v>0.39953499999999997</v>
      </c>
      <c r="AJ108" s="112">
        <v>105</v>
      </c>
      <c r="AK108" s="112">
        <v>0.32433800000000002</v>
      </c>
      <c r="AL108" s="112">
        <v>909.64200000000005</v>
      </c>
      <c r="AM108" s="112">
        <v>1.5327199999999999E-2</v>
      </c>
      <c r="AN108" s="112">
        <v>0.65486900000000003</v>
      </c>
      <c r="AO108" s="112">
        <v>6.1237599999999998E-3</v>
      </c>
      <c r="AP108" s="112">
        <v>0.39322600000000002</v>
      </c>
      <c r="AQ108" s="112"/>
      <c r="AR108" s="112">
        <v>2.3902800000000002</v>
      </c>
      <c r="AS108" s="112">
        <v>97.019900000000007</v>
      </c>
      <c r="AT108" s="112">
        <v>1.64706</v>
      </c>
      <c r="AU108" s="112">
        <v>46.661700000000003</v>
      </c>
      <c r="AV108" s="112">
        <v>16.305199999999999</v>
      </c>
      <c r="AW108" s="112">
        <v>62.282800000000002</v>
      </c>
      <c r="AX108" s="112">
        <v>17.010300000000001</v>
      </c>
      <c r="AY108" s="112">
        <v>10.832800000000001</v>
      </c>
      <c r="AZ108" s="112">
        <v>10.832800000000001</v>
      </c>
      <c r="BA108" s="112">
        <v>0.372201</v>
      </c>
      <c r="BB108" s="112">
        <v>18.9984</v>
      </c>
      <c r="BC108" s="112">
        <v>0.20014399999999999</v>
      </c>
      <c r="BD108" s="112"/>
      <c r="BE108" s="112"/>
      <c r="BF108" s="112"/>
      <c r="BG108" s="112"/>
      <c r="BH108" s="112"/>
      <c r="BI108" s="112">
        <v>2499.98</v>
      </c>
      <c r="BJ108" s="112">
        <v>2467.77</v>
      </c>
      <c r="BK108" s="112">
        <v>4834.25</v>
      </c>
      <c r="BL108" s="112">
        <v>2.9896499999999999E-2</v>
      </c>
      <c r="BM108" s="112"/>
      <c r="BN108" s="112">
        <v>-30</v>
      </c>
      <c r="BO108" s="112">
        <v>0.57979599999999998</v>
      </c>
      <c r="BP108" s="112">
        <v>236.33099999999999</v>
      </c>
      <c r="BQ108" s="112"/>
      <c r="BR108" s="112"/>
      <c r="BS108" s="112">
        <v>11.212999999999999</v>
      </c>
      <c r="BT108" s="112">
        <v>716.78599999999994</v>
      </c>
      <c r="BU108" s="112"/>
      <c r="BV108" s="112"/>
      <c r="BW108" s="112"/>
      <c r="BX108" s="112">
        <v>3004.32</v>
      </c>
      <c r="BY108" s="112">
        <v>46.572400000000002</v>
      </c>
      <c r="BZ108" s="112">
        <v>16.3249</v>
      </c>
      <c r="CA108">
        <v>62.140599999999999</v>
      </c>
      <c r="CB108">
        <v>17.0306</v>
      </c>
      <c r="CC108">
        <v>10.6495</v>
      </c>
      <c r="CD108">
        <v>10.6495</v>
      </c>
      <c r="CE108">
        <v>0.36246800000000001</v>
      </c>
      <c r="CF108">
        <v>18.942399999999999</v>
      </c>
      <c r="CG108">
        <v>3.8533600000000001E-3</v>
      </c>
      <c r="CM108">
        <v>2642.84</v>
      </c>
      <c r="CN108">
        <v>2610.63</v>
      </c>
      <c r="CO108">
        <v>1148.07</v>
      </c>
      <c r="CP108">
        <v>3.2661700000000002E-2</v>
      </c>
      <c r="CQ108">
        <v>8.0426100000000004E-3</v>
      </c>
      <c r="CR108">
        <v>102</v>
      </c>
      <c r="CS108">
        <v>6.5182500000000001</v>
      </c>
      <c r="CT108">
        <v>251.536</v>
      </c>
      <c r="CU108">
        <v>10.4999</v>
      </c>
      <c r="CV108">
        <v>10.4999</v>
      </c>
      <c r="CW108">
        <v>8.4446400000000005E-2</v>
      </c>
      <c r="CX108">
        <v>10.4154</v>
      </c>
      <c r="CY108">
        <v>0</v>
      </c>
      <c r="CZ108">
        <v>7.4652799999999999</v>
      </c>
      <c r="DA108">
        <v>192.53800000000001</v>
      </c>
      <c r="DB108">
        <v>21.819700000000001</v>
      </c>
      <c r="DC108">
        <v>46.2639</v>
      </c>
      <c r="DD108">
        <v>3.85738</v>
      </c>
      <c r="DE108">
        <v>61.1873</v>
      </c>
      <c r="DF108">
        <v>4.31846</v>
      </c>
      <c r="DG108">
        <v>46.365099999999998</v>
      </c>
      <c r="DH108">
        <v>46.365099999999998</v>
      </c>
      <c r="DI108">
        <v>7.5360199999999997</v>
      </c>
      <c r="DJ108">
        <v>18.356300000000001</v>
      </c>
      <c r="DK108">
        <v>7.8677399999999998E-3</v>
      </c>
      <c r="DQ108">
        <v>2785.7</v>
      </c>
      <c r="DR108">
        <v>2753.49</v>
      </c>
      <c r="DS108">
        <v>2753.96</v>
      </c>
      <c r="DT108">
        <v>0.29089399999999999</v>
      </c>
      <c r="DU108">
        <v>0.61688299999999996</v>
      </c>
      <c r="DV108">
        <v>105</v>
      </c>
      <c r="DW108">
        <v>0.89555499999999999</v>
      </c>
      <c r="DX108">
        <v>2198.5700000000002</v>
      </c>
      <c r="DY108">
        <v>0.16086600000000001</v>
      </c>
      <c r="DZ108">
        <v>2.6290499999999999</v>
      </c>
      <c r="EA108">
        <v>9.9235799999999999E-2</v>
      </c>
      <c r="EB108">
        <v>1.0072300000000001</v>
      </c>
      <c r="EC108">
        <v>0</v>
      </c>
      <c r="ED108">
        <v>3.7647900000000001</v>
      </c>
      <c r="EE108">
        <v>104.021</v>
      </c>
      <c r="EF108">
        <v>4.2652599999999996</v>
      </c>
      <c r="EG108">
        <v>46.411799999999999</v>
      </c>
      <c r="EH108">
        <v>10.2629</v>
      </c>
      <c r="EI108">
        <v>61.517800000000001</v>
      </c>
      <c r="EJ108">
        <v>14.8598</v>
      </c>
      <c r="EK108">
        <v>23.1387</v>
      </c>
      <c r="EL108">
        <v>23.1387</v>
      </c>
      <c r="EM108">
        <v>2.1524800000000002</v>
      </c>
      <c r="EN108">
        <v>18.529699999999998</v>
      </c>
      <c r="EO108">
        <v>0.52807599999999999</v>
      </c>
    </row>
    <row r="109" spans="1:145" x14ac:dyDescent="0.2">
      <c r="A109" s="86"/>
      <c r="B109" s="442"/>
      <c r="C109" s="510"/>
      <c r="E109" s="394"/>
      <c r="F109" s="8"/>
      <c r="K109" s="1"/>
      <c r="L109" s="1"/>
      <c r="AD109" s="112"/>
      <c r="AE109" s="112">
        <v>2348.7600000000002</v>
      </c>
      <c r="AF109" s="112">
        <v>2316.5500000000002</v>
      </c>
      <c r="AG109" s="112">
        <v>4720</v>
      </c>
      <c r="AH109" s="112">
        <v>0.241065</v>
      </c>
      <c r="AI109" s="112">
        <v>0.40032600000000002</v>
      </c>
      <c r="AJ109" s="112">
        <v>105</v>
      </c>
      <c r="AK109" s="112">
        <v>0.32939299999999999</v>
      </c>
      <c r="AL109" s="112">
        <v>969.43799999999999</v>
      </c>
      <c r="AM109" s="112">
        <v>1.5306500000000001E-2</v>
      </c>
      <c r="AN109" s="112">
        <v>0.65474200000000005</v>
      </c>
      <c r="AO109" s="112">
        <v>6.1275899999999996E-3</v>
      </c>
      <c r="AP109" s="112">
        <v>0.39263199999999998</v>
      </c>
      <c r="AQ109" s="112"/>
      <c r="AR109" s="112">
        <v>2.38313</v>
      </c>
      <c r="AS109" s="112">
        <v>96.9482</v>
      </c>
      <c r="AT109" s="112">
        <v>1.6457900000000001</v>
      </c>
      <c r="AU109" s="112">
        <v>46.6355</v>
      </c>
      <c r="AV109" s="112">
        <v>16.328900000000001</v>
      </c>
      <c r="AW109" s="112">
        <v>62.243200000000002</v>
      </c>
      <c r="AX109" s="112">
        <v>17.034400000000002</v>
      </c>
      <c r="AY109" s="112">
        <v>10.7517</v>
      </c>
      <c r="AZ109" s="112">
        <v>10.7517</v>
      </c>
      <c r="BA109" s="112">
        <v>0.36681399999999997</v>
      </c>
      <c r="BB109" s="112">
        <v>18.983699999999999</v>
      </c>
      <c r="BC109" s="112">
        <v>0.20658099999999999</v>
      </c>
      <c r="BD109" s="112"/>
      <c r="BE109" s="112"/>
      <c r="BF109" s="112"/>
      <c r="BG109" s="112"/>
      <c r="BH109" s="112"/>
      <c r="BI109" s="112">
        <v>2571.4299999999998</v>
      </c>
      <c r="BJ109" s="112">
        <v>2539.1999999999998</v>
      </c>
      <c r="BK109" s="112">
        <v>4885.8</v>
      </c>
      <c r="BL109" s="112">
        <v>0.21998300000000001</v>
      </c>
      <c r="BM109" s="112">
        <v>0.33480900000000002</v>
      </c>
      <c r="BN109" s="112">
        <v>105</v>
      </c>
      <c r="BO109" s="112">
        <v>0.60474700000000003</v>
      </c>
      <c r="BP109" s="112">
        <v>287.858</v>
      </c>
      <c r="BQ109" s="112">
        <v>3.7226599999999999E-2</v>
      </c>
      <c r="BR109" s="112">
        <v>1.1968099999999999</v>
      </c>
      <c r="BS109" s="112">
        <v>1.2463800000000001E-2</v>
      </c>
      <c r="BT109" s="112">
        <v>0.79610800000000004</v>
      </c>
      <c r="BU109" s="112"/>
      <c r="BV109" s="112">
        <v>2.37039</v>
      </c>
      <c r="BW109" s="112">
        <v>96.908000000000001</v>
      </c>
      <c r="BX109" s="112">
        <v>3.3380800000000002</v>
      </c>
      <c r="BY109" s="112">
        <v>46.547699999999999</v>
      </c>
      <c r="BZ109" s="112">
        <v>16.338000000000001</v>
      </c>
      <c r="CA109">
        <v>62.100999999999999</v>
      </c>
      <c r="CB109">
        <v>17.043399999999998</v>
      </c>
      <c r="CC109">
        <v>10.586600000000001</v>
      </c>
      <c r="CD109">
        <v>10.586600000000001</v>
      </c>
      <c r="CE109">
        <v>0.35875400000000002</v>
      </c>
      <c r="CF109">
        <v>18.9267</v>
      </c>
      <c r="CG109">
        <v>9.0830900000000003E-3</v>
      </c>
      <c r="CM109">
        <v>2714.27</v>
      </c>
      <c r="CN109">
        <v>2682.06</v>
      </c>
      <c r="CO109">
        <v>1155.73</v>
      </c>
      <c r="CP109">
        <v>3.2699199999999998E-2</v>
      </c>
      <c r="CQ109">
        <v>8.0602999999999994E-3</v>
      </c>
      <c r="CR109">
        <v>102</v>
      </c>
      <c r="CS109">
        <v>7.1470900000000004</v>
      </c>
      <c r="CT109">
        <v>258.57</v>
      </c>
      <c r="CU109">
        <v>10.4857</v>
      </c>
      <c r="CV109">
        <v>10.4857</v>
      </c>
      <c r="CW109">
        <v>8.4517900000000007E-2</v>
      </c>
      <c r="CX109">
        <v>10.401199999999999</v>
      </c>
      <c r="CY109">
        <v>0</v>
      </c>
      <c r="CZ109">
        <v>7.4509100000000004</v>
      </c>
      <c r="DA109">
        <v>192.40799999999999</v>
      </c>
      <c r="DB109">
        <v>21.8049</v>
      </c>
      <c r="DC109">
        <v>46.234900000000003</v>
      </c>
      <c r="DD109">
        <v>3.86267</v>
      </c>
      <c r="DE109">
        <v>61.135300000000001</v>
      </c>
      <c r="DF109">
        <v>4.3243</v>
      </c>
      <c r="DG109">
        <v>46.180300000000003</v>
      </c>
      <c r="DH109">
        <v>46.180300000000003</v>
      </c>
      <c r="DI109">
        <v>7.5090199999999996</v>
      </c>
      <c r="DJ109">
        <v>18.333100000000002</v>
      </c>
      <c r="DK109">
        <v>7.8706899999999996E-3</v>
      </c>
      <c r="DQ109">
        <v>2857.13</v>
      </c>
      <c r="DR109">
        <v>2824.92</v>
      </c>
      <c r="DS109">
        <v>2822.77</v>
      </c>
      <c r="DT109">
        <v>0.29360599999999998</v>
      </c>
      <c r="DU109">
        <v>0.62378599999999995</v>
      </c>
      <c r="DV109">
        <v>105</v>
      </c>
      <c r="DW109">
        <v>0.93797699999999995</v>
      </c>
      <c r="DX109">
        <v>2267.33</v>
      </c>
      <c r="DY109">
        <v>0.15919</v>
      </c>
      <c r="DZ109">
        <v>2.63496</v>
      </c>
      <c r="EA109">
        <v>9.9300600000000003E-2</v>
      </c>
      <c r="EB109">
        <v>0.991309</v>
      </c>
      <c r="EC109">
        <v>0</v>
      </c>
      <c r="ED109">
        <v>3.7094</v>
      </c>
      <c r="EE109">
        <v>103.273</v>
      </c>
      <c r="EF109">
        <v>4.2342199999999997</v>
      </c>
      <c r="EG109">
        <v>46.387</v>
      </c>
      <c r="EH109">
        <v>10.425000000000001</v>
      </c>
      <c r="EI109">
        <v>61.477400000000003</v>
      </c>
      <c r="EJ109">
        <v>15.0733</v>
      </c>
      <c r="EK109">
        <v>22.604600000000001</v>
      </c>
      <c r="EL109">
        <v>22.604600000000001</v>
      </c>
      <c r="EM109">
        <v>2.0643699999999998</v>
      </c>
      <c r="EN109">
        <v>18.513400000000001</v>
      </c>
      <c r="EO109">
        <v>0.52949900000000005</v>
      </c>
    </row>
    <row r="110" spans="1:145" x14ac:dyDescent="0.2">
      <c r="A110" s="86"/>
      <c r="B110" s="442"/>
      <c r="C110" s="510"/>
      <c r="E110" s="394"/>
      <c r="F110" s="8"/>
      <c r="K110" s="1"/>
      <c r="L110" s="1"/>
      <c r="AD110" s="112"/>
      <c r="AE110" s="112">
        <v>2424.37</v>
      </c>
      <c r="AF110" s="112">
        <v>2392.16</v>
      </c>
      <c r="AG110" s="112">
        <v>4779.8500000000004</v>
      </c>
      <c r="AH110" s="112">
        <v>0.24127299999999999</v>
      </c>
      <c r="AI110" s="112">
        <v>0.401059</v>
      </c>
      <c r="AJ110" s="112">
        <v>105</v>
      </c>
      <c r="AK110" s="112">
        <v>0.33444000000000002</v>
      </c>
      <c r="AL110" s="112">
        <v>1029.29</v>
      </c>
      <c r="AM110" s="112">
        <v>1.5288599999999999E-2</v>
      </c>
      <c r="AN110" s="112">
        <v>0.65469299999999997</v>
      </c>
      <c r="AO110" s="112">
        <v>6.1316399999999998E-3</v>
      </c>
      <c r="AP110" s="112">
        <v>0.392123</v>
      </c>
      <c r="AQ110" s="112"/>
      <c r="AR110" s="112">
        <v>2.3764400000000001</v>
      </c>
      <c r="AS110" s="112">
        <v>96.886799999999994</v>
      </c>
      <c r="AT110" s="112">
        <v>1.64463</v>
      </c>
      <c r="AU110" s="112">
        <v>46.6081</v>
      </c>
      <c r="AV110" s="112">
        <v>16.3476</v>
      </c>
      <c r="AW110" s="112">
        <v>62.200600000000001</v>
      </c>
      <c r="AX110" s="112">
        <v>17.053599999999999</v>
      </c>
      <c r="AY110" s="112">
        <v>10.6759</v>
      </c>
      <c r="AZ110" s="112">
        <v>10.6759</v>
      </c>
      <c r="BA110" s="112">
        <v>0.362064</v>
      </c>
      <c r="BB110" s="112">
        <v>18.967400000000001</v>
      </c>
      <c r="BC110" s="112">
        <v>0.212641</v>
      </c>
      <c r="BD110" s="112"/>
      <c r="BE110" s="112"/>
      <c r="BF110" s="112"/>
      <c r="BG110" s="112"/>
      <c r="BH110" s="112"/>
      <c r="BI110" s="112">
        <v>2642.86</v>
      </c>
      <c r="BJ110" s="112">
        <v>2610.63</v>
      </c>
      <c r="BK110" s="112">
        <v>4937.38</v>
      </c>
      <c r="BL110" s="112">
        <v>0.22009799999999999</v>
      </c>
      <c r="BM110" s="112">
        <v>0.33527499999999999</v>
      </c>
      <c r="BN110" s="112">
        <v>105</v>
      </c>
      <c r="BO110" s="112">
        <v>0.62966999999999995</v>
      </c>
      <c r="BP110" s="112">
        <v>339.411</v>
      </c>
      <c r="BQ110" s="112">
        <v>3.7198700000000001E-2</v>
      </c>
      <c r="BR110" s="112">
        <v>1.1967000000000001</v>
      </c>
      <c r="BS110" s="112">
        <v>1.24718E-2</v>
      </c>
      <c r="BT110" s="112">
        <v>0.79547800000000002</v>
      </c>
      <c r="BU110" s="112"/>
      <c r="BV110" s="112">
        <v>2.3652500000000001</v>
      </c>
      <c r="BW110" s="112">
        <v>96.870699999999999</v>
      </c>
      <c r="BX110" s="112">
        <v>3.3367800000000001</v>
      </c>
      <c r="BY110" s="112">
        <v>46.5229</v>
      </c>
      <c r="BZ110" s="112">
        <v>16.3508</v>
      </c>
      <c r="CA110">
        <v>62.0608</v>
      </c>
      <c r="CB110">
        <v>17.0564</v>
      </c>
      <c r="CC110">
        <v>10.5237</v>
      </c>
      <c r="CD110">
        <v>10.5237</v>
      </c>
      <c r="CE110">
        <v>0.35509200000000002</v>
      </c>
      <c r="CF110">
        <v>18.910599999999999</v>
      </c>
      <c r="CG110">
        <v>1.4157400000000001E-2</v>
      </c>
      <c r="CM110">
        <v>2785.7</v>
      </c>
      <c r="CN110">
        <v>2753.49</v>
      </c>
      <c r="CO110">
        <v>1163.4000000000001</v>
      </c>
      <c r="CP110">
        <v>3.2736700000000001E-2</v>
      </c>
      <c r="CQ110">
        <v>8.0781099999999995E-3</v>
      </c>
      <c r="CR110">
        <v>102</v>
      </c>
      <c r="CS110">
        <v>7.7752100000000004</v>
      </c>
      <c r="CT110">
        <v>265.613</v>
      </c>
      <c r="CU110">
        <v>10.471500000000001</v>
      </c>
      <c r="CV110">
        <v>10.471500000000001</v>
      </c>
      <c r="CW110">
        <v>8.4590200000000004E-2</v>
      </c>
      <c r="CX110">
        <v>10.386900000000001</v>
      </c>
      <c r="CY110">
        <v>0</v>
      </c>
      <c r="CZ110">
        <v>7.4364699999999999</v>
      </c>
      <c r="DA110">
        <v>192.27799999999999</v>
      </c>
      <c r="DB110">
        <v>21.790199999999999</v>
      </c>
      <c r="DC110">
        <v>46.206000000000003</v>
      </c>
      <c r="DD110">
        <v>3.8679600000000001</v>
      </c>
      <c r="DE110">
        <v>61.082700000000003</v>
      </c>
      <c r="DF110">
        <v>4.3301499999999997</v>
      </c>
      <c r="DG110">
        <v>45.994100000000003</v>
      </c>
      <c r="DH110">
        <v>45.994100000000003</v>
      </c>
      <c r="DI110">
        <v>7.4820599999999997</v>
      </c>
      <c r="DJ110">
        <v>18.3095</v>
      </c>
      <c r="DK110">
        <v>7.8738200000000001E-3</v>
      </c>
      <c r="DQ110">
        <v>2928.56</v>
      </c>
      <c r="DR110">
        <v>2896.34</v>
      </c>
      <c r="DS110">
        <v>2892.19</v>
      </c>
      <c r="DT110">
        <v>0.29624800000000001</v>
      </c>
      <c r="DU110">
        <v>0.63057099999999999</v>
      </c>
      <c r="DV110">
        <v>105</v>
      </c>
      <c r="DW110">
        <v>0.97979700000000003</v>
      </c>
      <c r="DX110">
        <v>2336.7199999999998</v>
      </c>
      <c r="DY110">
        <v>0.157582</v>
      </c>
      <c r="DZ110">
        <v>2.6423399999999999</v>
      </c>
      <c r="EA110">
        <v>9.9366399999999994E-2</v>
      </c>
      <c r="EB110">
        <v>0.97615600000000002</v>
      </c>
      <c r="EC110">
        <v>0</v>
      </c>
      <c r="ED110">
        <v>3.6559900000000001</v>
      </c>
      <c r="EE110">
        <v>102.556</v>
      </c>
      <c r="EF110">
        <v>4.2044800000000002</v>
      </c>
      <c r="EG110">
        <v>46.361899999999999</v>
      </c>
      <c r="EH110">
        <v>10.584099999999999</v>
      </c>
      <c r="EI110">
        <v>61.436300000000003</v>
      </c>
      <c r="EJ110">
        <v>15.2822</v>
      </c>
      <c r="EK110">
        <v>22.0867</v>
      </c>
      <c r="EL110">
        <v>22.0867</v>
      </c>
      <c r="EM110">
        <v>1.9803200000000001</v>
      </c>
      <c r="EN110">
        <v>18.496700000000001</v>
      </c>
      <c r="EO110">
        <v>0.53097899999999998</v>
      </c>
    </row>
    <row r="111" spans="1:145" x14ac:dyDescent="0.2">
      <c r="A111" s="86"/>
      <c r="B111" s="442"/>
      <c r="C111" s="510"/>
      <c r="E111" s="394"/>
      <c r="F111" s="8"/>
      <c r="K111" s="1"/>
      <c r="L111" s="1"/>
      <c r="AD111" s="112"/>
      <c r="AE111" s="112">
        <v>2499.98</v>
      </c>
      <c r="AF111" s="112">
        <v>2467.77</v>
      </c>
      <c r="AG111" s="112">
        <v>4839.7299999999996</v>
      </c>
      <c r="AH111" s="112">
        <v>0.24137400000000001</v>
      </c>
      <c r="AI111" s="112">
        <v>0.40162999999999999</v>
      </c>
      <c r="AJ111" s="112">
        <v>105</v>
      </c>
      <c r="AK111" s="112">
        <v>0.33948099999999998</v>
      </c>
      <c r="AL111" s="112">
        <v>1089.1600000000001</v>
      </c>
      <c r="AM111" s="112">
        <v>1.52783E-2</v>
      </c>
      <c r="AN111" s="112">
        <v>0.65484399999999998</v>
      </c>
      <c r="AO111" s="112">
        <v>6.1362200000000004E-3</v>
      </c>
      <c r="AP111" s="112">
        <v>0.39184000000000002</v>
      </c>
      <c r="AQ111" s="112"/>
      <c r="AR111" s="112">
        <v>2.3710200000000001</v>
      </c>
      <c r="AS111" s="112">
        <v>96.852900000000005</v>
      </c>
      <c r="AT111" s="112">
        <v>1.6437299999999999</v>
      </c>
      <c r="AU111" s="112">
        <v>46.576900000000002</v>
      </c>
      <c r="AV111" s="112">
        <v>16.352599999999999</v>
      </c>
      <c r="AW111" s="112">
        <v>62.150300000000001</v>
      </c>
      <c r="AX111" s="112">
        <v>17.058700000000002</v>
      </c>
      <c r="AY111" s="112">
        <v>10.614699999999999</v>
      </c>
      <c r="AZ111" s="112">
        <v>10.614699999999999</v>
      </c>
      <c r="BA111" s="112">
        <v>0.35897200000000001</v>
      </c>
      <c r="BB111" s="112">
        <v>18.947299999999998</v>
      </c>
      <c r="BC111" s="112">
        <v>0.21835099999999999</v>
      </c>
      <c r="BD111" s="112"/>
      <c r="BE111" s="112"/>
      <c r="BF111" s="112"/>
      <c r="BG111" s="112"/>
      <c r="BH111" s="112"/>
      <c r="BI111" s="112">
        <v>2714.28</v>
      </c>
      <c r="BJ111" s="112">
        <v>2682.06</v>
      </c>
      <c r="BK111" s="112">
        <v>4988.99</v>
      </c>
      <c r="BL111" s="112">
        <v>0.22020999999999999</v>
      </c>
      <c r="BM111" s="112">
        <v>0.33574199999999998</v>
      </c>
      <c r="BN111" s="112">
        <v>105</v>
      </c>
      <c r="BO111" s="112">
        <v>0.65456700000000001</v>
      </c>
      <c r="BP111" s="112">
        <v>390.99</v>
      </c>
      <c r="BQ111" s="112">
        <v>3.7171299999999997E-2</v>
      </c>
      <c r="BR111" s="112">
        <v>1.19661</v>
      </c>
      <c r="BS111" s="112">
        <v>1.248E-2</v>
      </c>
      <c r="BT111" s="112">
        <v>0.79486100000000004</v>
      </c>
      <c r="BU111" s="112"/>
      <c r="BV111" s="112">
        <v>2.3601200000000002</v>
      </c>
      <c r="BW111" s="112">
        <v>96.834199999999996</v>
      </c>
      <c r="BX111" s="112">
        <v>3.3355100000000002</v>
      </c>
      <c r="BY111" s="112">
        <v>46.497900000000001</v>
      </c>
      <c r="BZ111" s="112">
        <v>16.363299999999999</v>
      </c>
      <c r="CA111">
        <v>62.0199</v>
      </c>
      <c r="CB111">
        <v>17.069099999999999</v>
      </c>
      <c r="CC111">
        <v>10.460800000000001</v>
      </c>
      <c r="CD111">
        <v>10.460800000000001</v>
      </c>
      <c r="CE111">
        <v>0.35148000000000001</v>
      </c>
      <c r="CF111">
        <v>18.893999999999998</v>
      </c>
      <c r="CG111">
        <v>1.9083300000000001E-2</v>
      </c>
      <c r="CM111">
        <v>2857.13</v>
      </c>
      <c r="CN111">
        <v>2824.92</v>
      </c>
      <c r="CO111">
        <v>1171.08</v>
      </c>
      <c r="CP111">
        <v>3.2774400000000002E-2</v>
      </c>
      <c r="CQ111">
        <v>8.0960600000000004E-3</v>
      </c>
      <c r="CR111">
        <v>102</v>
      </c>
      <c r="CS111">
        <v>8.4026099999999992</v>
      </c>
      <c r="CT111">
        <v>272.66500000000002</v>
      </c>
      <c r="CU111">
        <v>10.4574</v>
      </c>
      <c r="CV111">
        <v>10.4574</v>
      </c>
      <c r="CW111">
        <v>8.46634E-2</v>
      </c>
      <c r="CX111">
        <v>10.3727</v>
      </c>
      <c r="CY111">
        <v>0</v>
      </c>
      <c r="CZ111">
        <v>7.4219400000000002</v>
      </c>
      <c r="DA111">
        <v>192.148</v>
      </c>
      <c r="DB111">
        <v>21.775500000000001</v>
      </c>
      <c r="DC111">
        <v>46.176900000000003</v>
      </c>
      <c r="DD111">
        <v>3.8732799999999998</v>
      </c>
      <c r="DE111">
        <v>61.029499999999999</v>
      </c>
      <c r="DF111">
        <v>4.3360200000000004</v>
      </c>
      <c r="DG111">
        <v>45.806800000000003</v>
      </c>
      <c r="DH111">
        <v>45.806800000000003</v>
      </c>
      <c r="DI111">
        <v>7.4551299999999996</v>
      </c>
      <c r="DJ111">
        <v>18.285399999999999</v>
      </c>
      <c r="DK111">
        <v>7.8771299999999995E-3</v>
      </c>
      <c r="DQ111">
        <v>2999.98</v>
      </c>
      <c r="DR111">
        <v>2967.77</v>
      </c>
      <c r="DS111">
        <v>2962.22</v>
      </c>
      <c r="DT111">
        <v>0.29881799999999997</v>
      </c>
      <c r="DU111">
        <v>0.637239</v>
      </c>
      <c r="DV111">
        <v>105</v>
      </c>
      <c r="DW111">
        <v>1.0210399999999999</v>
      </c>
      <c r="DX111">
        <v>2406.6999999999998</v>
      </c>
      <c r="DY111">
        <v>0.15603800000000001</v>
      </c>
      <c r="DZ111">
        <v>2.6511499999999999</v>
      </c>
      <c r="EA111">
        <v>9.9433300000000002E-2</v>
      </c>
      <c r="EB111">
        <v>0.96173500000000001</v>
      </c>
      <c r="EC111">
        <v>0</v>
      </c>
      <c r="ED111">
        <v>3.6044800000000001</v>
      </c>
      <c r="EE111">
        <v>101.869</v>
      </c>
      <c r="EF111">
        <v>4.1759899999999996</v>
      </c>
      <c r="EG111">
        <v>46.3367</v>
      </c>
      <c r="EH111">
        <v>10.74</v>
      </c>
      <c r="EI111">
        <v>61.394599999999997</v>
      </c>
      <c r="EJ111">
        <v>15.4864</v>
      </c>
      <c r="EK111">
        <v>21.584800000000001</v>
      </c>
      <c r="EL111">
        <v>21.584800000000001</v>
      </c>
      <c r="EM111">
        <v>1.9001699999999999</v>
      </c>
      <c r="EN111">
        <v>18.479600000000001</v>
      </c>
      <c r="EO111">
        <v>0.53251199999999999</v>
      </c>
    </row>
    <row r="112" spans="1:145" x14ac:dyDescent="0.2">
      <c r="A112" s="86"/>
      <c r="B112" s="442"/>
      <c r="C112" s="510"/>
      <c r="E112" s="394"/>
      <c r="F112" s="8"/>
      <c r="K112" s="1"/>
      <c r="L112" s="1"/>
      <c r="AD112" s="112"/>
      <c r="AE112" s="112">
        <v>2571.41</v>
      </c>
      <c r="AF112" s="112">
        <v>2539.1999999999998</v>
      </c>
      <c r="AG112" s="112">
        <v>4891.8100000000004</v>
      </c>
      <c r="AH112" s="112">
        <v>0.22223599999999999</v>
      </c>
      <c r="AI112" s="112">
        <v>0.34149099999999999</v>
      </c>
      <c r="AJ112" s="112">
        <v>105</v>
      </c>
      <c r="AK112" s="112">
        <v>0.35898200000000002</v>
      </c>
      <c r="AL112" s="112">
        <v>1141.22</v>
      </c>
      <c r="AM112" s="112">
        <v>3.1967799999999998E-2</v>
      </c>
      <c r="AN112" s="112">
        <v>1.05724</v>
      </c>
      <c r="AO112" s="112">
        <v>1.09167E-2</v>
      </c>
      <c r="AP112" s="112">
        <v>0.69620300000000002</v>
      </c>
      <c r="AQ112" s="112"/>
      <c r="AR112" s="112">
        <v>2.3661500000000002</v>
      </c>
      <c r="AS112" s="112">
        <v>96.825999999999993</v>
      </c>
      <c r="AT112" s="112">
        <v>2.9217499999999998</v>
      </c>
      <c r="AU112" s="112">
        <v>46.552199999999999</v>
      </c>
      <c r="AV112" s="112">
        <v>16.366399999999999</v>
      </c>
      <c r="AW112" s="112">
        <v>62.110799999999998</v>
      </c>
      <c r="AX112" s="112">
        <v>17.072600000000001</v>
      </c>
      <c r="AY112" s="112">
        <v>10.5509</v>
      </c>
      <c r="AZ112" s="112">
        <v>10.5509</v>
      </c>
      <c r="BA112" s="112">
        <v>0.35518100000000002</v>
      </c>
      <c r="BB112" s="112">
        <v>18.931799999999999</v>
      </c>
      <c r="BC112" s="112">
        <v>0.22029699999999999</v>
      </c>
      <c r="BD112" s="112"/>
      <c r="BE112" s="112"/>
      <c r="BF112" s="112"/>
      <c r="BG112" s="112"/>
      <c r="BH112" s="112"/>
      <c r="BI112" s="112">
        <v>2785.71</v>
      </c>
      <c r="BJ112" s="112">
        <v>2753.48</v>
      </c>
      <c r="BK112" s="112">
        <v>5040.62</v>
      </c>
      <c r="BL112" s="112">
        <v>0.22031899999999999</v>
      </c>
      <c r="BM112" s="112">
        <v>0.33620800000000001</v>
      </c>
      <c r="BN112" s="112">
        <v>105</v>
      </c>
      <c r="BO112" s="112">
        <v>0.67943699999999996</v>
      </c>
      <c r="BP112" s="112">
        <v>442.59500000000003</v>
      </c>
      <c r="BQ112" s="112">
        <v>3.7144400000000001E-2</v>
      </c>
      <c r="BR112" s="112">
        <v>1.19655</v>
      </c>
      <c r="BS112" s="112">
        <v>1.24882E-2</v>
      </c>
      <c r="BT112" s="112">
        <v>0.79425699999999999</v>
      </c>
      <c r="BU112" s="112"/>
      <c r="BV112" s="112">
        <v>2.3549899999999999</v>
      </c>
      <c r="BW112" s="112">
        <v>96.798500000000004</v>
      </c>
      <c r="BX112" s="112">
        <v>3.3342700000000001</v>
      </c>
      <c r="BY112" s="112">
        <v>46.472799999999999</v>
      </c>
      <c r="BZ112" s="112">
        <v>16.375599999999999</v>
      </c>
      <c r="CA112">
        <v>61.978499999999997</v>
      </c>
      <c r="CB112">
        <v>17.081600000000002</v>
      </c>
      <c r="CC112">
        <v>10.398</v>
      </c>
      <c r="CD112">
        <v>10.398</v>
      </c>
      <c r="CE112">
        <v>0.34792000000000001</v>
      </c>
      <c r="CF112">
        <v>18.877099999999999</v>
      </c>
      <c r="CG112">
        <v>2.3867699999999999E-2</v>
      </c>
      <c r="CM112">
        <v>2928.56</v>
      </c>
      <c r="CN112">
        <v>2896.34</v>
      </c>
      <c r="CO112">
        <v>1178.77</v>
      </c>
      <c r="CP112">
        <v>3.28122E-2</v>
      </c>
      <c r="CQ112">
        <v>8.1141500000000005E-3</v>
      </c>
      <c r="CR112">
        <v>102</v>
      </c>
      <c r="CS112">
        <v>9.0293100000000006</v>
      </c>
      <c r="CT112">
        <v>279.72699999999998</v>
      </c>
      <c r="CU112">
        <v>10.443199999999999</v>
      </c>
      <c r="CV112">
        <v>10.443199999999999</v>
      </c>
      <c r="CW112">
        <v>8.4737499999999993E-2</v>
      </c>
      <c r="CX112">
        <v>10.3584</v>
      </c>
      <c r="CY112">
        <v>0</v>
      </c>
      <c r="CZ112">
        <v>7.4073399999999996</v>
      </c>
      <c r="DA112">
        <v>192.018</v>
      </c>
      <c r="DB112">
        <v>21.7607</v>
      </c>
      <c r="DC112">
        <v>46.1479</v>
      </c>
      <c r="DD112">
        <v>3.8786200000000002</v>
      </c>
      <c r="DE112">
        <v>60.975900000000003</v>
      </c>
      <c r="DF112">
        <v>4.3419100000000004</v>
      </c>
      <c r="DG112">
        <v>45.618499999999997</v>
      </c>
      <c r="DH112">
        <v>45.618499999999997</v>
      </c>
      <c r="DI112">
        <v>7.4282300000000001</v>
      </c>
      <c r="DJ112">
        <v>18.260999999999999</v>
      </c>
      <c r="DK112">
        <v>7.8805999999999998E-3</v>
      </c>
      <c r="DQ112">
        <v>3071.41</v>
      </c>
      <c r="DR112">
        <v>3039.2</v>
      </c>
      <c r="DS112">
        <v>3032.83</v>
      </c>
      <c r="DT112">
        <v>0.301317</v>
      </c>
      <c r="DU112">
        <v>0.64378500000000005</v>
      </c>
      <c r="DV112">
        <v>105</v>
      </c>
      <c r="DW112">
        <v>1.0617399999999999</v>
      </c>
      <c r="DX112">
        <v>2477.27</v>
      </c>
      <c r="DY112">
        <v>0.154557</v>
      </c>
      <c r="DZ112">
        <v>2.6613600000000002</v>
      </c>
      <c r="EA112">
        <v>9.9501599999999996E-2</v>
      </c>
      <c r="EB112">
        <v>0.94801500000000005</v>
      </c>
      <c r="EC112">
        <v>0</v>
      </c>
      <c r="ED112">
        <v>3.5548099999999998</v>
      </c>
      <c r="EE112">
        <v>101.212</v>
      </c>
      <c r="EF112">
        <v>4.1487100000000003</v>
      </c>
      <c r="EG112">
        <v>46.311199999999999</v>
      </c>
      <c r="EH112">
        <v>10.8927</v>
      </c>
      <c r="EI112">
        <v>61.3521</v>
      </c>
      <c r="EJ112">
        <v>15.685700000000001</v>
      </c>
      <c r="EK112">
        <v>21.098600000000001</v>
      </c>
      <c r="EL112">
        <v>21.098600000000001</v>
      </c>
      <c r="EM112">
        <v>1.82382</v>
      </c>
      <c r="EN112">
        <v>18.462</v>
      </c>
      <c r="EO112">
        <v>0.53409600000000002</v>
      </c>
    </row>
    <row r="113" spans="1:145" x14ac:dyDescent="0.2">
      <c r="A113" s="86"/>
      <c r="B113" s="442"/>
      <c r="C113" s="510"/>
      <c r="E113" s="394"/>
      <c r="F113" s="8"/>
      <c r="K113" s="1"/>
      <c r="L113" s="1"/>
      <c r="AD113" s="112"/>
      <c r="AE113" s="112">
        <v>2642.84</v>
      </c>
      <c r="AF113" s="112">
        <v>2610.63</v>
      </c>
      <c r="AG113" s="112">
        <v>4943.92</v>
      </c>
      <c r="AH113" s="112">
        <v>0.22236</v>
      </c>
      <c r="AI113" s="112">
        <v>0.34198099999999998</v>
      </c>
      <c r="AJ113" s="112">
        <v>105</v>
      </c>
      <c r="AK113" s="112">
        <v>0.37846099999999999</v>
      </c>
      <c r="AL113" s="112">
        <v>1193.31</v>
      </c>
      <c r="AM113" s="112">
        <v>3.1942400000000003E-2</v>
      </c>
      <c r="AN113" s="112">
        <v>1.05714</v>
      </c>
      <c r="AO113" s="112">
        <v>1.09237E-2</v>
      </c>
      <c r="AP113" s="112">
        <v>0.69562100000000004</v>
      </c>
      <c r="AQ113" s="112"/>
      <c r="AR113" s="112">
        <v>2.3609</v>
      </c>
      <c r="AS113" s="112">
        <v>96.786600000000007</v>
      </c>
      <c r="AT113" s="112">
        <v>2.92055</v>
      </c>
      <c r="AU113" s="112">
        <v>46.5274</v>
      </c>
      <c r="AV113" s="112">
        <v>16.38</v>
      </c>
      <c r="AW113" s="112">
        <v>62.070799999999998</v>
      </c>
      <c r="AX113" s="112">
        <v>17.086400000000001</v>
      </c>
      <c r="AY113" s="112">
        <v>10.4871</v>
      </c>
      <c r="AZ113" s="112">
        <v>10.4871</v>
      </c>
      <c r="BA113" s="112">
        <v>0.35144700000000001</v>
      </c>
      <c r="BB113" s="112">
        <v>18.915800000000001</v>
      </c>
      <c r="BC113" s="112">
        <v>0.22219</v>
      </c>
      <c r="BD113" s="112"/>
      <c r="BE113" s="112"/>
      <c r="BF113" s="112"/>
      <c r="BG113" s="112"/>
      <c r="BH113" s="112"/>
      <c r="BI113" s="112">
        <v>2857.14</v>
      </c>
      <c r="BJ113" s="112">
        <v>2824.91</v>
      </c>
      <c r="BK113" s="112">
        <v>5092.2700000000004</v>
      </c>
      <c r="BL113" s="112">
        <v>0.22042500000000001</v>
      </c>
      <c r="BM113" s="112">
        <v>0.33667399999999997</v>
      </c>
      <c r="BN113" s="112">
        <v>105</v>
      </c>
      <c r="BO113" s="112">
        <v>0.70428299999999999</v>
      </c>
      <c r="BP113" s="112">
        <v>494.22500000000002</v>
      </c>
      <c r="BQ113" s="112">
        <v>3.7117999999999998E-2</v>
      </c>
      <c r="BR113" s="112">
        <v>1.1964999999999999</v>
      </c>
      <c r="BS113" s="112">
        <v>1.24966E-2</v>
      </c>
      <c r="BT113" s="112">
        <v>0.79366700000000001</v>
      </c>
      <c r="BU113" s="112"/>
      <c r="BV113" s="112">
        <v>2.3498700000000001</v>
      </c>
      <c r="BW113" s="112">
        <v>96.763599999999997</v>
      </c>
      <c r="BX113" s="112">
        <v>3.3330500000000001</v>
      </c>
      <c r="BY113" s="112">
        <v>46.447600000000001</v>
      </c>
      <c r="BZ113" s="112">
        <v>16.387699999999999</v>
      </c>
      <c r="CA113">
        <v>61.936500000000002</v>
      </c>
      <c r="CB113">
        <v>17.093800000000002</v>
      </c>
      <c r="CC113">
        <v>10.3353</v>
      </c>
      <c r="CD113">
        <v>10.3353</v>
      </c>
      <c r="CE113">
        <v>0.34440900000000002</v>
      </c>
      <c r="CF113">
        <v>18.8597</v>
      </c>
      <c r="CG113">
        <v>2.8516799999999998E-2</v>
      </c>
      <c r="CM113">
        <v>2999.98</v>
      </c>
      <c r="CN113">
        <v>2967.77</v>
      </c>
      <c r="CO113">
        <v>1186.47</v>
      </c>
      <c r="CP113">
        <v>3.2850200000000003E-2</v>
      </c>
      <c r="CQ113">
        <v>8.1324099999999996E-3</v>
      </c>
      <c r="CR113">
        <v>102</v>
      </c>
      <c r="CS113">
        <v>9.6552799999999994</v>
      </c>
      <c r="CT113">
        <v>286.79899999999998</v>
      </c>
      <c r="CU113">
        <v>10.428900000000001</v>
      </c>
      <c r="CV113">
        <v>10.428900000000001</v>
      </c>
      <c r="CW113">
        <v>8.4812299999999993E-2</v>
      </c>
      <c r="CX113">
        <v>10.344099999999999</v>
      </c>
      <c r="CY113">
        <v>0</v>
      </c>
      <c r="CZ113">
        <v>7.3926400000000001</v>
      </c>
      <c r="DA113">
        <v>191.887</v>
      </c>
      <c r="DB113">
        <v>21.745899999999999</v>
      </c>
      <c r="DC113">
        <v>46.119</v>
      </c>
      <c r="DD113">
        <v>3.88401</v>
      </c>
      <c r="DE113">
        <v>60.921900000000001</v>
      </c>
      <c r="DF113">
        <v>4.3478599999999998</v>
      </c>
      <c r="DG113">
        <v>45.429099999999998</v>
      </c>
      <c r="DH113">
        <v>45.429099999999998</v>
      </c>
      <c r="DI113">
        <v>7.4013799999999996</v>
      </c>
      <c r="DJ113">
        <v>18.2361</v>
      </c>
      <c r="DK113">
        <v>7.8842300000000008E-3</v>
      </c>
      <c r="DQ113">
        <v>3142.84</v>
      </c>
      <c r="DR113">
        <v>3110.63</v>
      </c>
      <c r="DS113">
        <v>3104.01</v>
      </c>
      <c r="DT113">
        <v>0.30374000000000001</v>
      </c>
      <c r="DU113">
        <v>0.650204</v>
      </c>
      <c r="DV113">
        <v>105</v>
      </c>
      <c r="DW113">
        <v>1.10192</v>
      </c>
      <c r="DX113">
        <v>2548.41</v>
      </c>
      <c r="DY113">
        <v>0.153139</v>
      </c>
      <c r="DZ113">
        <v>2.6729099999999999</v>
      </c>
      <c r="EA113">
        <v>9.9571400000000004E-2</v>
      </c>
      <c r="EB113">
        <v>0.93497300000000005</v>
      </c>
      <c r="EC113">
        <v>0</v>
      </c>
      <c r="ED113">
        <v>3.5069599999999999</v>
      </c>
      <c r="EE113">
        <v>100.583</v>
      </c>
      <c r="EF113">
        <v>4.1226099999999999</v>
      </c>
      <c r="EG113">
        <v>46.285299999999999</v>
      </c>
      <c r="EH113">
        <v>11.0418</v>
      </c>
      <c r="EI113">
        <v>61.308500000000002</v>
      </c>
      <c r="EJ113">
        <v>15.879799999999999</v>
      </c>
      <c r="EK113">
        <v>20.628</v>
      </c>
      <c r="EL113">
        <v>20.628</v>
      </c>
      <c r="EM113">
        <v>1.7512000000000001</v>
      </c>
      <c r="EN113">
        <v>18.4438</v>
      </c>
      <c r="EO113">
        <v>0.53572500000000001</v>
      </c>
    </row>
    <row r="114" spans="1:145" x14ac:dyDescent="0.2">
      <c r="A114" s="86"/>
      <c r="B114" s="442"/>
      <c r="C114" s="510"/>
      <c r="E114" s="394"/>
      <c r="F114" s="8"/>
      <c r="K114" s="1"/>
      <c r="L114" s="1"/>
      <c r="AD114" s="112"/>
      <c r="AE114" s="112">
        <v>2714.27</v>
      </c>
      <c r="AF114" s="112">
        <v>2682.06</v>
      </c>
      <c r="AG114" s="112">
        <v>4996.0600000000004</v>
      </c>
      <c r="AH114" s="112">
        <v>0.22248000000000001</v>
      </c>
      <c r="AI114" s="112">
        <v>0.34247100000000003</v>
      </c>
      <c r="AJ114" s="112">
        <v>105</v>
      </c>
      <c r="AK114" s="112">
        <v>0.39791700000000002</v>
      </c>
      <c r="AL114" s="112">
        <v>1245.43</v>
      </c>
      <c r="AM114" s="112">
        <v>3.1917500000000001E-2</v>
      </c>
      <c r="AN114" s="112">
        <v>1.0570600000000001</v>
      </c>
      <c r="AO114" s="112">
        <v>1.0930799999999999E-2</v>
      </c>
      <c r="AP114" s="112">
        <v>0.69505099999999997</v>
      </c>
      <c r="AQ114" s="112"/>
      <c r="AR114" s="112">
        <v>2.3556599999999999</v>
      </c>
      <c r="AS114" s="112">
        <v>96.748000000000005</v>
      </c>
      <c r="AT114" s="112">
        <v>2.9193799999999999</v>
      </c>
      <c r="AU114" s="112">
        <v>46.502499999999998</v>
      </c>
      <c r="AV114" s="112">
        <v>16.3933</v>
      </c>
      <c r="AW114" s="112">
        <v>62.030200000000001</v>
      </c>
      <c r="AX114" s="112">
        <v>17.099900000000002</v>
      </c>
      <c r="AY114" s="112">
        <v>10.423500000000001</v>
      </c>
      <c r="AZ114" s="112">
        <v>10.423500000000001</v>
      </c>
      <c r="BA114" s="112">
        <v>0.34776499999999999</v>
      </c>
      <c r="BB114" s="112">
        <v>18.8994</v>
      </c>
      <c r="BC114" s="112">
        <v>0.22403200000000001</v>
      </c>
      <c r="BD114" s="112"/>
      <c r="BE114" s="112"/>
      <c r="BF114" s="112"/>
      <c r="BG114" s="112"/>
      <c r="BH114" s="112"/>
      <c r="BI114" s="112">
        <v>2928.56</v>
      </c>
      <c r="BJ114" s="112">
        <v>2896.34</v>
      </c>
      <c r="BK114" s="112">
        <v>5143.95</v>
      </c>
      <c r="BL114" s="112">
        <v>0.220528</v>
      </c>
      <c r="BM114" s="112">
        <v>0.33713900000000002</v>
      </c>
      <c r="BN114" s="112">
        <v>105</v>
      </c>
      <c r="BO114" s="112">
        <v>0.72910399999999997</v>
      </c>
      <c r="BP114" s="112">
        <v>545.88</v>
      </c>
      <c r="BQ114" s="112">
        <v>3.7092100000000003E-2</v>
      </c>
      <c r="BR114" s="112">
        <v>1.1964699999999999</v>
      </c>
      <c r="BS114" s="112">
        <v>1.2505199999999999E-2</v>
      </c>
      <c r="BT114" s="112">
        <v>0.79308999999999996</v>
      </c>
      <c r="BU114" s="112"/>
      <c r="BV114" s="112">
        <v>2.34476</v>
      </c>
      <c r="BW114" s="112">
        <v>96.729500000000002</v>
      </c>
      <c r="BX114" s="112">
        <v>3.3318599999999998</v>
      </c>
      <c r="BY114" s="112">
        <v>46.422199999999997</v>
      </c>
      <c r="BZ114" s="112">
        <v>16.3995</v>
      </c>
      <c r="CA114">
        <v>61.893999999999998</v>
      </c>
      <c r="CB114">
        <v>17.105699999999999</v>
      </c>
      <c r="CC114">
        <v>10.2727</v>
      </c>
      <c r="CD114">
        <v>10.2727</v>
      </c>
      <c r="CE114">
        <v>0.34095199999999998</v>
      </c>
      <c r="CF114">
        <v>18.841999999999999</v>
      </c>
      <c r="CG114">
        <v>3.3036500000000003E-2</v>
      </c>
      <c r="CM114">
        <v>3071.41</v>
      </c>
      <c r="CN114">
        <v>3039.2</v>
      </c>
      <c r="CO114">
        <v>1194.18</v>
      </c>
      <c r="CP114">
        <v>3.28887E-2</v>
      </c>
      <c r="CQ114">
        <v>8.1508499999999994E-3</v>
      </c>
      <c r="CR114">
        <v>102</v>
      </c>
      <c r="CS114">
        <v>10.2805</v>
      </c>
      <c r="CT114">
        <v>293.88</v>
      </c>
      <c r="CU114">
        <v>10.4146</v>
      </c>
      <c r="CV114">
        <v>10.4146</v>
      </c>
      <c r="CW114">
        <v>8.4887900000000002E-2</v>
      </c>
      <c r="CX114">
        <v>10.329700000000001</v>
      </c>
      <c r="CY114">
        <v>0</v>
      </c>
      <c r="CZ114">
        <v>7.3778499999999996</v>
      </c>
      <c r="DA114">
        <v>191.755</v>
      </c>
      <c r="DB114">
        <v>21.731000000000002</v>
      </c>
      <c r="DC114">
        <v>46.09</v>
      </c>
      <c r="DD114">
        <v>3.8894500000000001</v>
      </c>
      <c r="DE114">
        <v>60.867400000000004</v>
      </c>
      <c r="DF114">
        <v>4.3538699999999997</v>
      </c>
      <c r="DG114">
        <v>45.238900000000001</v>
      </c>
      <c r="DH114">
        <v>45.238900000000001</v>
      </c>
      <c r="DI114">
        <v>7.3745399999999997</v>
      </c>
      <c r="DJ114">
        <v>18.210899999999999</v>
      </c>
      <c r="DK114">
        <v>7.8880200000000008E-3</v>
      </c>
      <c r="DQ114">
        <v>3214.27</v>
      </c>
      <c r="DR114">
        <v>3182.06</v>
      </c>
      <c r="DS114">
        <v>3175.74</v>
      </c>
      <c r="DT114">
        <v>0.306085</v>
      </c>
      <c r="DU114">
        <v>0.65648600000000001</v>
      </c>
      <c r="DV114">
        <v>105</v>
      </c>
      <c r="DW114">
        <v>1.1415999999999999</v>
      </c>
      <c r="DX114">
        <v>2620.1</v>
      </c>
      <c r="DY114">
        <v>0.151783</v>
      </c>
      <c r="DZ114">
        <v>2.6857600000000001</v>
      </c>
      <c r="EA114">
        <v>9.9643200000000001E-2</v>
      </c>
      <c r="EB114">
        <v>0.92259599999999997</v>
      </c>
      <c r="EC114">
        <v>0</v>
      </c>
      <c r="ED114">
        <v>3.4609000000000001</v>
      </c>
      <c r="EE114">
        <v>99.983099999999993</v>
      </c>
      <c r="EF114">
        <v>4.0976699999999999</v>
      </c>
      <c r="EG114">
        <v>46.258899999999997</v>
      </c>
      <c r="EH114">
        <v>11.186999999999999</v>
      </c>
      <c r="EI114">
        <v>61.2637</v>
      </c>
      <c r="EJ114">
        <v>16.068200000000001</v>
      </c>
      <c r="EK114">
        <v>20.173100000000002</v>
      </c>
      <c r="EL114">
        <v>20.173100000000002</v>
      </c>
      <c r="EM114">
        <v>1.6822600000000001</v>
      </c>
      <c r="EN114">
        <v>18.424800000000001</v>
      </c>
      <c r="EO114">
        <v>0.53739499999999996</v>
      </c>
    </row>
    <row r="115" spans="1:145" x14ac:dyDescent="0.2">
      <c r="A115" s="86"/>
      <c r="B115" s="442"/>
      <c r="C115" s="510"/>
      <c r="E115" s="394"/>
      <c r="F115" s="8"/>
      <c r="K115" s="1"/>
      <c r="L115" s="1"/>
      <c r="AD115" s="112"/>
      <c r="AE115" s="112">
        <v>2785.7</v>
      </c>
      <c r="AF115" s="112">
        <v>2753.49</v>
      </c>
      <c r="AG115" s="112">
        <v>5048.22</v>
      </c>
      <c r="AH115" s="112">
        <v>0.22259799999999999</v>
      </c>
      <c r="AI115" s="112">
        <v>0.34295999999999999</v>
      </c>
      <c r="AJ115" s="112">
        <v>105</v>
      </c>
      <c r="AK115" s="112">
        <v>0.417352</v>
      </c>
      <c r="AL115" s="112">
        <v>1297.57</v>
      </c>
      <c r="AM115" s="112">
        <v>3.1892999999999998E-2</v>
      </c>
      <c r="AN115" s="112">
        <v>1.0569999999999999</v>
      </c>
      <c r="AO115" s="112">
        <v>1.0938E-2</v>
      </c>
      <c r="AP115" s="112">
        <v>0.69449300000000003</v>
      </c>
      <c r="AQ115" s="112"/>
      <c r="AR115" s="112">
        <v>2.3504299999999998</v>
      </c>
      <c r="AS115" s="112">
        <v>96.710300000000004</v>
      </c>
      <c r="AT115" s="112">
        <v>2.9182199999999998</v>
      </c>
      <c r="AU115" s="112">
        <v>46.477400000000003</v>
      </c>
      <c r="AV115" s="112">
        <v>16.406300000000002</v>
      </c>
      <c r="AW115" s="112">
        <v>61.988999999999997</v>
      </c>
      <c r="AX115" s="112">
        <v>17.113099999999999</v>
      </c>
      <c r="AY115" s="112">
        <v>10.3599</v>
      </c>
      <c r="AZ115" s="112">
        <v>10.3599</v>
      </c>
      <c r="BA115" s="112">
        <v>0.344136</v>
      </c>
      <c r="BB115" s="112">
        <v>18.8826</v>
      </c>
      <c r="BC115" s="112">
        <v>0.225827</v>
      </c>
      <c r="BD115" s="112"/>
      <c r="BE115" s="112"/>
      <c r="BF115" s="112"/>
      <c r="BG115" s="112"/>
      <c r="BH115" s="112"/>
      <c r="BI115" s="112">
        <v>2999.99</v>
      </c>
      <c r="BJ115" s="112">
        <v>2967.77</v>
      </c>
      <c r="BK115" s="112">
        <v>5195.6499999999996</v>
      </c>
      <c r="BL115" s="112">
        <v>0.22062799999999999</v>
      </c>
      <c r="BM115" s="112">
        <v>0.33760400000000002</v>
      </c>
      <c r="BN115" s="112">
        <v>105</v>
      </c>
      <c r="BO115" s="112">
        <v>0.75390199999999996</v>
      </c>
      <c r="BP115" s="112">
        <v>597.55700000000002</v>
      </c>
      <c r="BQ115" s="112">
        <v>3.7066700000000001E-2</v>
      </c>
      <c r="BR115" s="112">
        <v>1.1964600000000001</v>
      </c>
      <c r="BS115" s="112">
        <v>1.25138E-2</v>
      </c>
      <c r="BT115" s="112">
        <v>0.79252800000000001</v>
      </c>
      <c r="BU115" s="112"/>
      <c r="BV115" s="112">
        <v>2.3396699999999999</v>
      </c>
      <c r="BW115" s="112">
        <v>96.696299999999994</v>
      </c>
      <c r="BX115" s="112">
        <v>3.3307000000000002</v>
      </c>
      <c r="BY115" s="112">
        <v>46.396700000000003</v>
      </c>
      <c r="BZ115" s="112">
        <v>16.410900000000002</v>
      </c>
      <c r="CA115">
        <v>61.8508</v>
      </c>
      <c r="CB115">
        <v>17.1173</v>
      </c>
      <c r="CC115">
        <v>10.2103</v>
      </c>
      <c r="CD115">
        <v>10.2103</v>
      </c>
      <c r="CE115">
        <v>0.33755000000000002</v>
      </c>
      <c r="CF115">
        <v>18.823899999999998</v>
      </c>
      <c r="CG115">
        <v>3.7432399999999998E-2</v>
      </c>
      <c r="CM115">
        <v>3142.84</v>
      </c>
      <c r="CN115">
        <v>3110.63</v>
      </c>
      <c r="CO115">
        <v>1201.8900000000001</v>
      </c>
      <c r="CP115">
        <v>3.2927600000000001E-2</v>
      </c>
      <c r="CQ115">
        <v>8.1695199999999996E-3</v>
      </c>
      <c r="CR115">
        <v>102</v>
      </c>
      <c r="CS115">
        <v>10.904999999999999</v>
      </c>
      <c r="CT115">
        <v>300.971</v>
      </c>
      <c r="CU115">
        <v>10.4001</v>
      </c>
      <c r="CV115">
        <v>10.4001</v>
      </c>
      <c r="CW115">
        <v>8.4963999999999998E-2</v>
      </c>
      <c r="CX115">
        <v>10.315200000000001</v>
      </c>
      <c r="CY115">
        <v>0</v>
      </c>
      <c r="CZ115">
        <v>7.3629499999999997</v>
      </c>
      <c r="DA115">
        <v>191.62200000000001</v>
      </c>
      <c r="DB115">
        <v>21.716000000000001</v>
      </c>
      <c r="DC115">
        <v>46.061199999999999</v>
      </c>
      <c r="DD115">
        <v>3.8949699999999998</v>
      </c>
      <c r="DE115">
        <v>60.8127</v>
      </c>
      <c r="DF115">
        <v>4.3599600000000001</v>
      </c>
      <c r="DG115">
        <v>45.048000000000002</v>
      </c>
      <c r="DH115">
        <v>45.048000000000002</v>
      </c>
      <c r="DI115">
        <v>7.3477499999999996</v>
      </c>
      <c r="DJ115">
        <v>18.185300000000002</v>
      </c>
      <c r="DK115">
        <v>7.8919699999999999E-3</v>
      </c>
      <c r="DQ115">
        <v>3285.7</v>
      </c>
      <c r="DR115">
        <v>3253.49</v>
      </c>
      <c r="DS115">
        <v>3248</v>
      </c>
      <c r="DT115">
        <v>0.30834299999999998</v>
      </c>
      <c r="DU115">
        <v>0.66261700000000001</v>
      </c>
      <c r="DV115">
        <v>105</v>
      </c>
      <c r="DW115">
        <v>1.1808099999999999</v>
      </c>
      <c r="DX115">
        <v>2692.32</v>
      </c>
      <c r="DY115">
        <v>0.15049100000000001</v>
      </c>
      <c r="DZ115">
        <v>2.6998700000000002</v>
      </c>
      <c r="EA115">
        <v>9.9717799999999995E-2</v>
      </c>
      <c r="EB115">
        <v>0.91088800000000003</v>
      </c>
      <c r="EC115">
        <v>0</v>
      </c>
      <c r="ED115">
        <v>3.4166599999999998</v>
      </c>
      <c r="EE115">
        <v>99.412499999999994</v>
      </c>
      <c r="EF115">
        <v>4.0739099999999997</v>
      </c>
      <c r="EG115">
        <v>46.2318</v>
      </c>
      <c r="EH115">
        <v>11.3276</v>
      </c>
      <c r="EI115">
        <v>61.216900000000003</v>
      </c>
      <c r="EJ115">
        <v>16.2502</v>
      </c>
      <c r="EK115">
        <v>19.734200000000001</v>
      </c>
      <c r="EL115">
        <v>19.734200000000001</v>
      </c>
      <c r="EM115">
        <v>1.6170199999999999</v>
      </c>
      <c r="EN115">
        <v>18.404900000000001</v>
      </c>
      <c r="EO115">
        <v>0.53910400000000003</v>
      </c>
    </row>
    <row r="116" spans="1:145" x14ac:dyDescent="0.2">
      <c r="A116" s="86"/>
      <c r="B116" s="442"/>
      <c r="C116" s="510"/>
      <c r="E116" s="394"/>
      <c r="F116" s="8"/>
      <c r="K116" s="1"/>
      <c r="L116" s="1"/>
      <c r="AD116" s="112"/>
      <c r="AE116" s="112">
        <v>2857.13</v>
      </c>
      <c r="AF116" s="112">
        <v>2824.92</v>
      </c>
      <c r="AG116" s="112">
        <v>5100.42</v>
      </c>
      <c r="AH116" s="112">
        <v>0.22271299999999999</v>
      </c>
      <c r="AI116" s="112">
        <v>0.34344799999999998</v>
      </c>
      <c r="AJ116" s="112">
        <v>105</v>
      </c>
      <c r="AK116" s="112">
        <v>0.43676700000000002</v>
      </c>
      <c r="AL116" s="112">
        <v>1349.74</v>
      </c>
      <c r="AM116" s="112">
        <v>3.1868899999999999E-2</v>
      </c>
      <c r="AN116" s="112">
        <v>1.0569599999999999</v>
      </c>
      <c r="AO116" s="112">
        <v>1.09453E-2</v>
      </c>
      <c r="AP116" s="112">
        <v>0.69394599999999995</v>
      </c>
      <c r="AQ116" s="112"/>
      <c r="AR116" s="112">
        <v>2.3452000000000002</v>
      </c>
      <c r="AS116" s="112">
        <v>96.673299999999998</v>
      </c>
      <c r="AT116" s="112">
        <v>2.9171</v>
      </c>
      <c r="AU116" s="112">
        <v>46.452199999999998</v>
      </c>
      <c r="AV116" s="112">
        <v>16.4191</v>
      </c>
      <c r="AW116" s="112">
        <v>61.947200000000002</v>
      </c>
      <c r="AX116" s="112">
        <v>17.126000000000001</v>
      </c>
      <c r="AY116" s="112">
        <v>10.2965</v>
      </c>
      <c r="AZ116" s="112">
        <v>10.2965</v>
      </c>
      <c r="BA116" s="112">
        <v>0.34055999999999997</v>
      </c>
      <c r="BB116" s="112">
        <v>18.865500000000001</v>
      </c>
      <c r="BC116" s="112">
        <v>0.227575</v>
      </c>
      <c r="BD116" s="112"/>
      <c r="BE116" s="112"/>
      <c r="BF116" s="112"/>
      <c r="BG116" s="112"/>
      <c r="BH116" s="112"/>
      <c r="BI116" s="112">
        <v>3071.42</v>
      </c>
      <c r="BJ116" s="112">
        <v>3039.19</v>
      </c>
      <c r="BK116" s="112">
        <v>5247.38</v>
      </c>
      <c r="BL116" s="112">
        <v>0.220723</v>
      </c>
      <c r="BM116" s="112">
        <v>0.33806599999999998</v>
      </c>
      <c r="BN116" s="112">
        <v>105</v>
      </c>
      <c r="BO116" s="112">
        <v>0.77867699999999995</v>
      </c>
      <c r="BP116" s="112">
        <v>649.25699999999995</v>
      </c>
      <c r="BQ116" s="112">
        <v>3.7041999999999999E-2</v>
      </c>
      <c r="BR116" s="112">
        <v>1.1964699999999999</v>
      </c>
      <c r="BS116" s="112">
        <v>1.2522699999999999E-2</v>
      </c>
      <c r="BT116" s="112">
        <v>0.79198500000000005</v>
      </c>
      <c r="BU116" s="112"/>
      <c r="BV116" s="112">
        <v>2.3346</v>
      </c>
      <c r="BW116" s="112">
        <v>96.664100000000005</v>
      </c>
      <c r="BX116" s="112">
        <v>3.32958</v>
      </c>
      <c r="BY116" s="112">
        <v>46.371000000000002</v>
      </c>
      <c r="BZ116" s="112">
        <v>16.422000000000001</v>
      </c>
      <c r="CA116">
        <v>61.806899999999999</v>
      </c>
      <c r="CB116">
        <v>17.128399999999999</v>
      </c>
      <c r="CC116">
        <v>10.148099999999999</v>
      </c>
      <c r="CD116">
        <v>10.148099999999999</v>
      </c>
      <c r="CE116">
        <v>0.33421400000000001</v>
      </c>
      <c r="CF116">
        <v>18.805299999999999</v>
      </c>
      <c r="CG116">
        <v>4.1709900000000001E-2</v>
      </c>
      <c r="CM116">
        <v>3214.27</v>
      </c>
      <c r="CN116">
        <v>3182.06</v>
      </c>
      <c r="CO116">
        <v>1209.6199999999999</v>
      </c>
      <c r="CP116">
        <v>3.2967099999999999E-2</v>
      </c>
      <c r="CQ116">
        <v>8.1884499999999999E-3</v>
      </c>
      <c r="CR116">
        <v>102</v>
      </c>
      <c r="CS116">
        <v>11.5288</v>
      </c>
      <c r="CT116">
        <v>308.07299999999998</v>
      </c>
      <c r="CU116">
        <v>10.3855</v>
      </c>
      <c r="CV116">
        <v>10.3855</v>
      </c>
      <c r="CW116">
        <v>8.50408E-2</v>
      </c>
      <c r="CX116">
        <v>10.3004</v>
      </c>
      <c r="CY116">
        <v>0</v>
      </c>
      <c r="CZ116">
        <v>7.3479299999999999</v>
      </c>
      <c r="DA116">
        <v>191.48699999999999</v>
      </c>
      <c r="DB116">
        <v>21.700800000000001</v>
      </c>
      <c r="DC116">
        <v>46.032400000000003</v>
      </c>
      <c r="DD116">
        <v>3.9005899999999998</v>
      </c>
      <c r="DE116">
        <v>60.7577</v>
      </c>
      <c r="DF116">
        <v>4.3661599999999998</v>
      </c>
      <c r="DG116">
        <v>44.856499999999997</v>
      </c>
      <c r="DH116">
        <v>44.856499999999997</v>
      </c>
      <c r="DI116">
        <v>7.3209900000000001</v>
      </c>
      <c r="DJ116">
        <v>18.159400000000002</v>
      </c>
      <c r="DK116">
        <v>7.8960799999999998E-3</v>
      </c>
      <c r="DQ116">
        <v>3357.13</v>
      </c>
      <c r="DR116">
        <v>3324.92</v>
      </c>
      <c r="DS116">
        <v>3320.76</v>
      </c>
      <c r="DT116">
        <v>0.310502</v>
      </c>
      <c r="DU116">
        <v>0.66857299999999997</v>
      </c>
      <c r="DV116">
        <v>105</v>
      </c>
      <c r="DW116">
        <v>1.21956</v>
      </c>
      <c r="DX116">
        <v>2765.05</v>
      </c>
      <c r="DY116">
        <v>0.14926700000000001</v>
      </c>
      <c r="DZ116">
        <v>2.71515</v>
      </c>
      <c r="EA116">
        <v>9.9796099999999999E-2</v>
      </c>
      <c r="EB116">
        <v>0.89987399999999995</v>
      </c>
      <c r="EC116">
        <v>0</v>
      </c>
      <c r="ED116">
        <v>3.37432</v>
      </c>
      <c r="EE116">
        <v>98.873199999999997</v>
      </c>
      <c r="EF116">
        <v>4.0513899999999996</v>
      </c>
      <c r="EG116">
        <v>46.203400000000002</v>
      </c>
      <c r="EH116">
        <v>11.4626</v>
      </c>
      <c r="EI116">
        <v>61.167499999999997</v>
      </c>
      <c r="EJ116">
        <v>16.424600000000002</v>
      </c>
      <c r="EK116">
        <v>19.311800000000002</v>
      </c>
      <c r="EL116">
        <v>19.311800000000002</v>
      </c>
      <c r="EM116">
        <v>1.5556300000000001</v>
      </c>
      <c r="EN116">
        <v>18.383500000000002</v>
      </c>
      <c r="EO116">
        <v>0.54084699999999997</v>
      </c>
    </row>
    <row r="117" spans="1:145" x14ac:dyDescent="0.2">
      <c r="A117" s="86"/>
      <c r="B117" s="442"/>
      <c r="C117" s="510"/>
      <c r="E117" s="394"/>
      <c r="F117" s="8"/>
      <c r="K117" s="1"/>
      <c r="L117" s="1"/>
      <c r="AD117" s="112"/>
      <c r="AE117" s="112">
        <v>2928.56</v>
      </c>
      <c r="AF117" s="112">
        <v>2896.34</v>
      </c>
      <c r="AG117" s="112">
        <v>5152.63</v>
      </c>
      <c r="AH117" s="112">
        <v>0.22282399999999999</v>
      </c>
      <c r="AI117" s="112">
        <v>0.34393699999999999</v>
      </c>
      <c r="AJ117" s="112">
        <v>105</v>
      </c>
      <c r="AK117" s="112">
        <v>0.45616200000000001</v>
      </c>
      <c r="AL117" s="112">
        <v>1401.94</v>
      </c>
      <c r="AM117" s="112">
        <v>3.18453E-2</v>
      </c>
      <c r="AN117" s="112">
        <v>1.0569299999999999</v>
      </c>
      <c r="AO117" s="112">
        <v>1.09528E-2</v>
      </c>
      <c r="AP117" s="112">
        <v>0.69341200000000003</v>
      </c>
      <c r="AQ117" s="112"/>
      <c r="AR117" s="112">
        <v>2.3399899999999998</v>
      </c>
      <c r="AS117" s="112">
        <v>96.637200000000007</v>
      </c>
      <c r="AT117" s="112">
        <v>2.9159899999999999</v>
      </c>
      <c r="AU117" s="112">
        <v>46.426900000000003</v>
      </c>
      <c r="AV117" s="112">
        <v>16.4316</v>
      </c>
      <c r="AW117" s="112">
        <v>61.904899999999998</v>
      </c>
      <c r="AX117" s="112">
        <v>17.1387</v>
      </c>
      <c r="AY117" s="112">
        <v>10.2331</v>
      </c>
      <c r="AZ117" s="112">
        <v>10.2331</v>
      </c>
      <c r="BA117" s="112">
        <v>0.337036</v>
      </c>
      <c r="BB117" s="112">
        <v>18.847899999999999</v>
      </c>
      <c r="BC117" s="112">
        <v>0.22927900000000001</v>
      </c>
      <c r="BD117" s="112"/>
      <c r="BE117" s="112"/>
      <c r="BF117" s="112"/>
      <c r="BG117" s="112"/>
      <c r="BH117" s="112"/>
      <c r="BI117" s="112">
        <v>3142.85</v>
      </c>
      <c r="BJ117" s="112">
        <v>3110.62</v>
      </c>
      <c r="BK117" s="112">
        <v>5299.12</v>
      </c>
      <c r="BL117" s="112">
        <v>0.22081300000000001</v>
      </c>
      <c r="BM117" s="112">
        <v>0.33852500000000002</v>
      </c>
      <c r="BN117" s="112">
        <v>105</v>
      </c>
      <c r="BO117" s="112">
        <v>0.80342999999999998</v>
      </c>
      <c r="BP117" s="112">
        <v>700.97799999999995</v>
      </c>
      <c r="BQ117" s="112">
        <v>3.70184E-2</v>
      </c>
      <c r="BR117" s="112">
        <v>1.19652</v>
      </c>
      <c r="BS117" s="112">
        <v>1.25316E-2</v>
      </c>
      <c r="BT117" s="112">
        <v>0.79146700000000003</v>
      </c>
      <c r="BU117" s="112"/>
      <c r="BV117" s="112">
        <v>2.3295699999999999</v>
      </c>
      <c r="BW117" s="112">
        <v>96.633600000000001</v>
      </c>
      <c r="BX117" s="112">
        <v>3.3284899999999999</v>
      </c>
      <c r="BY117" s="112">
        <v>46.344999999999999</v>
      </c>
      <c r="BZ117" s="112">
        <v>16.432400000000001</v>
      </c>
      <c r="CA117">
        <v>61.7622</v>
      </c>
      <c r="CB117">
        <v>17.138999999999999</v>
      </c>
      <c r="CC117">
        <v>10.0863</v>
      </c>
      <c r="CD117">
        <v>10.0863</v>
      </c>
      <c r="CE117">
        <v>0.33096399999999998</v>
      </c>
      <c r="CF117">
        <v>18.786200000000001</v>
      </c>
      <c r="CG117">
        <v>4.5873700000000003E-2</v>
      </c>
      <c r="CM117">
        <v>3285.7</v>
      </c>
      <c r="CN117">
        <v>3253.49</v>
      </c>
      <c r="CO117">
        <v>1217.3499999999999</v>
      </c>
      <c r="CP117">
        <v>3.3007399999999999E-2</v>
      </c>
      <c r="CQ117">
        <v>8.2076700000000002E-3</v>
      </c>
      <c r="CR117">
        <v>102</v>
      </c>
      <c r="CS117">
        <v>12.1518</v>
      </c>
      <c r="CT117">
        <v>315.18400000000003</v>
      </c>
      <c r="CU117">
        <v>10.3705</v>
      </c>
      <c r="CV117">
        <v>10.3705</v>
      </c>
      <c r="CW117">
        <v>8.5117899999999996E-2</v>
      </c>
      <c r="CX117">
        <v>10.285399999999999</v>
      </c>
      <c r="CY117">
        <v>0</v>
      </c>
      <c r="CZ117">
        <v>7.33277</v>
      </c>
      <c r="DA117">
        <v>191.34899999999999</v>
      </c>
      <c r="DB117">
        <v>21.685300000000002</v>
      </c>
      <c r="DC117">
        <v>46.003900000000002</v>
      </c>
      <c r="DD117">
        <v>3.9063400000000001</v>
      </c>
      <c r="DE117">
        <v>60.702599999999997</v>
      </c>
      <c r="DF117">
        <v>4.3724999999999996</v>
      </c>
      <c r="DG117">
        <v>44.664499999999997</v>
      </c>
      <c r="DH117">
        <v>44.664499999999997</v>
      </c>
      <c r="DI117">
        <v>7.2942499999999999</v>
      </c>
      <c r="DJ117">
        <v>18.133400000000002</v>
      </c>
      <c r="DK117">
        <v>7.9003300000000005E-3</v>
      </c>
      <c r="DQ117">
        <v>3428.56</v>
      </c>
      <c r="DR117">
        <v>3396.34</v>
      </c>
      <c r="DS117">
        <v>3394.01</v>
      </c>
      <c r="DT117">
        <v>0.31254199999999999</v>
      </c>
      <c r="DU117">
        <v>0.67431399999999997</v>
      </c>
      <c r="DV117">
        <v>105</v>
      </c>
      <c r="DW117">
        <v>1.2579</v>
      </c>
      <c r="DX117">
        <v>2838.25</v>
      </c>
      <c r="DY117">
        <v>0.148121</v>
      </c>
      <c r="DZ117">
        <v>2.7315100000000001</v>
      </c>
      <c r="EA117">
        <v>9.9880099999999999E-2</v>
      </c>
      <c r="EB117">
        <v>0.88961400000000002</v>
      </c>
      <c r="EC117">
        <v>0</v>
      </c>
      <c r="ED117">
        <v>3.33406</v>
      </c>
      <c r="EE117">
        <v>98.368700000000004</v>
      </c>
      <c r="EF117">
        <v>4.0302199999999999</v>
      </c>
      <c r="EG117">
        <v>46.173299999999998</v>
      </c>
      <c r="EH117">
        <v>11.5905</v>
      </c>
      <c r="EI117">
        <v>61.113999999999997</v>
      </c>
      <c r="EJ117">
        <v>16.589400000000001</v>
      </c>
      <c r="EK117">
        <v>18.9072</v>
      </c>
      <c r="EL117">
        <v>18.9072</v>
      </c>
      <c r="EM117">
        <v>1.49834</v>
      </c>
      <c r="EN117">
        <v>18.3599</v>
      </c>
      <c r="EO117">
        <v>0.54261999999999999</v>
      </c>
    </row>
    <row r="118" spans="1:145" x14ac:dyDescent="0.2">
      <c r="A118" s="86"/>
      <c r="B118" s="442"/>
      <c r="C118" s="510"/>
      <c r="E118" s="394"/>
      <c r="F118" s="8"/>
      <c r="K118" s="1"/>
      <c r="L118" s="1"/>
      <c r="AD118" s="112"/>
      <c r="AE118" s="112">
        <v>2999.98</v>
      </c>
      <c r="AF118" s="112">
        <v>2967.77</v>
      </c>
      <c r="AG118" s="112">
        <v>5204.88</v>
      </c>
      <c r="AH118" s="112">
        <v>0.22293299999999999</v>
      </c>
      <c r="AI118" s="112">
        <v>0.34442400000000001</v>
      </c>
      <c r="AJ118" s="112">
        <v>105</v>
      </c>
      <c r="AK118" s="112">
        <v>0.47553800000000002</v>
      </c>
      <c r="AL118" s="112">
        <v>1454.17</v>
      </c>
      <c r="AM118" s="112">
        <v>3.1822099999999999E-2</v>
      </c>
      <c r="AN118" s="112">
        <v>1.0569200000000001</v>
      </c>
      <c r="AO118" s="112">
        <v>1.0960299999999999E-2</v>
      </c>
      <c r="AP118" s="112">
        <v>0.69289000000000001</v>
      </c>
      <c r="AQ118" s="112"/>
      <c r="AR118" s="112">
        <v>2.3347899999999999</v>
      </c>
      <c r="AS118" s="112">
        <v>96.601900000000001</v>
      </c>
      <c r="AT118" s="112">
        <v>2.91492</v>
      </c>
      <c r="AU118" s="112">
        <v>46.401400000000002</v>
      </c>
      <c r="AV118" s="112">
        <v>16.443899999999999</v>
      </c>
      <c r="AW118" s="112">
        <v>61.862000000000002</v>
      </c>
      <c r="AX118" s="112">
        <v>17.1511</v>
      </c>
      <c r="AY118" s="112">
        <v>10.1699</v>
      </c>
      <c r="AZ118" s="112">
        <v>10.1699</v>
      </c>
      <c r="BA118" s="112">
        <v>0.333565</v>
      </c>
      <c r="BB118" s="112">
        <v>18.829899999999999</v>
      </c>
      <c r="BC118" s="112">
        <v>0.23094100000000001</v>
      </c>
      <c r="BD118" s="112"/>
      <c r="BE118" s="112"/>
      <c r="BF118" s="112"/>
      <c r="BG118" s="112"/>
      <c r="BH118" s="112"/>
      <c r="BI118" s="112">
        <v>3214.27</v>
      </c>
      <c r="BJ118" s="112">
        <v>3182.05</v>
      </c>
      <c r="BK118" s="112">
        <v>5350.89</v>
      </c>
      <c r="BL118" s="112">
        <v>0.22089400000000001</v>
      </c>
      <c r="BM118" s="112">
        <v>0.33897500000000003</v>
      </c>
      <c r="BN118" s="112">
        <v>105</v>
      </c>
      <c r="BO118" s="112">
        <v>0.82816400000000001</v>
      </c>
      <c r="BP118" s="112">
        <v>752.71799999999996</v>
      </c>
      <c r="BQ118" s="112">
        <v>3.6996300000000003E-2</v>
      </c>
      <c r="BR118" s="112">
        <v>1.19661</v>
      </c>
      <c r="BS118" s="112">
        <v>1.25408E-2</v>
      </c>
      <c r="BT118" s="112">
        <v>0.79098800000000002</v>
      </c>
      <c r="BU118" s="112"/>
      <c r="BV118" s="112">
        <v>2.3246099999999998</v>
      </c>
      <c r="BW118" s="112">
        <v>96.605400000000003</v>
      </c>
      <c r="BX118" s="112">
        <v>3.3274699999999999</v>
      </c>
      <c r="BY118" s="112">
        <v>46.3187</v>
      </c>
      <c r="BZ118" s="112">
        <v>16.4419</v>
      </c>
      <c r="CA118">
        <v>61.716500000000003</v>
      </c>
      <c r="CB118">
        <v>17.148499999999999</v>
      </c>
      <c r="CC118">
        <v>10.0253</v>
      </c>
      <c r="CD118">
        <v>10.0253</v>
      </c>
      <c r="CE118">
        <v>0.32784000000000002</v>
      </c>
      <c r="CF118">
        <v>18.766400000000001</v>
      </c>
      <c r="CG118">
        <v>4.9928599999999997E-2</v>
      </c>
      <c r="CM118">
        <v>3357.13</v>
      </c>
      <c r="CN118">
        <v>3324.92</v>
      </c>
      <c r="CO118">
        <v>1225.0999999999999</v>
      </c>
      <c r="CP118">
        <v>3.3048800000000003E-2</v>
      </c>
      <c r="CQ118">
        <v>8.2272400000000002E-3</v>
      </c>
      <c r="CR118">
        <v>102</v>
      </c>
      <c r="CS118">
        <v>12.773999999999999</v>
      </c>
      <c r="CT118">
        <v>322.30599999999998</v>
      </c>
      <c r="CU118">
        <v>10.3553</v>
      </c>
      <c r="CV118">
        <v>10.3553</v>
      </c>
      <c r="CW118">
        <v>8.5195199999999999E-2</v>
      </c>
      <c r="CX118">
        <v>10.270099999999999</v>
      </c>
      <c r="CY118">
        <v>0</v>
      </c>
      <c r="CZ118">
        <v>7.3174700000000001</v>
      </c>
      <c r="DA118">
        <v>191.208</v>
      </c>
      <c r="DB118">
        <v>21.669599999999999</v>
      </c>
      <c r="DC118">
        <v>45.975499999999997</v>
      </c>
      <c r="DD118">
        <v>3.9122499999999998</v>
      </c>
      <c r="DE118">
        <v>60.647399999999998</v>
      </c>
      <c r="DF118">
        <v>4.3790300000000002</v>
      </c>
      <c r="DG118">
        <v>44.4724</v>
      </c>
      <c r="DH118">
        <v>44.4724</v>
      </c>
      <c r="DI118">
        <v>7.2675299999999998</v>
      </c>
      <c r="DJ118">
        <v>18.107099999999999</v>
      </c>
      <c r="DK118">
        <v>7.9047300000000004E-3</v>
      </c>
      <c r="DQ118">
        <v>3499.98</v>
      </c>
      <c r="DR118">
        <v>3467.77</v>
      </c>
      <c r="DS118">
        <v>3467.69</v>
      </c>
      <c r="DT118">
        <v>0.31442999999999999</v>
      </c>
      <c r="DU118">
        <v>0.67978099999999997</v>
      </c>
      <c r="DV118">
        <v>105</v>
      </c>
      <c r="DW118">
        <v>1.29583</v>
      </c>
      <c r="DX118">
        <v>2911.9</v>
      </c>
      <c r="DY118">
        <v>0.147066</v>
      </c>
      <c r="DZ118">
        <v>2.7488000000000001</v>
      </c>
      <c r="EA118">
        <v>9.9972599999999995E-2</v>
      </c>
      <c r="EB118">
        <v>0.88021700000000003</v>
      </c>
      <c r="EC118">
        <v>0</v>
      </c>
      <c r="ED118">
        <v>3.29616</v>
      </c>
      <c r="EE118">
        <v>97.905100000000004</v>
      </c>
      <c r="EF118">
        <v>4.0106000000000002</v>
      </c>
      <c r="EG118">
        <v>46.1404</v>
      </c>
      <c r="EH118">
        <v>11.7088</v>
      </c>
      <c r="EI118">
        <v>61.054400000000001</v>
      </c>
      <c r="EJ118">
        <v>16.741700000000002</v>
      </c>
      <c r="EK118">
        <v>18.522400000000001</v>
      </c>
      <c r="EL118">
        <v>18.522400000000001</v>
      </c>
      <c r="EM118">
        <v>1.44567</v>
      </c>
      <c r="EN118">
        <v>18.333100000000002</v>
      </c>
      <c r="EO118">
        <v>0.54441799999999996</v>
      </c>
    </row>
    <row r="119" spans="1:145" x14ac:dyDescent="0.2">
      <c r="A119" s="86"/>
      <c r="B119" s="442"/>
      <c r="C119" s="510"/>
      <c r="E119" s="394"/>
      <c r="F119" s="8"/>
      <c r="K119" s="1"/>
      <c r="L119" s="1"/>
      <c r="AD119" s="112"/>
      <c r="AE119" s="112">
        <v>3071.41</v>
      </c>
      <c r="AF119" s="112">
        <v>3039.2</v>
      </c>
      <c r="AG119" s="112">
        <v>5257.14</v>
      </c>
      <c r="AH119" s="112">
        <v>0.22303799999999999</v>
      </c>
      <c r="AI119" s="112">
        <v>0.34491100000000002</v>
      </c>
      <c r="AJ119" s="112">
        <v>105</v>
      </c>
      <c r="AK119" s="112">
        <v>0.494894</v>
      </c>
      <c r="AL119" s="112">
        <v>1506.41</v>
      </c>
      <c r="AM119" s="112">
        <v>3.1799500000000001E-2</v>
      </c>
      <c r="AN119" s="112">
        <v>1.0569299999999999</v>
      </c>
      <c r="AO119" s="112">
        <v>1.0968E-2</v>
      </c>
      <c r="AP119" s="112">
        <v>0.69238200000000005</v>
      </c>
      <c r="AQ119" s="112"/>
      <c r="AR119" s="112">
        <v>2.3296100000000002</v>
      </c>
      <c r="AS119" s="112">
        <v>96.567499999999995</v>
      </c>
      <c r="AT119" s="112">
        <v>2.9138700000000002</v>
      </c>
      <c r="AU119" s="112">
        <v>46.375799999999998</v>
      </c>
      <c r="AV119" s="112">
        <v>16.4558</v>
      </c>
      <c r="AW119" s="112">
        <v>61.818399999999997</v>
      </c>
      <c r="AX119" s="112">
        <v>17.1631</v>
      </c>
      <c r="AY119" s="112">
        <v>10.1069</v>
      </c>
      <c r="AZ119" s="112">
        <v>10.1069</v>
      </c>
      <c r="BA119" s="112">
        <v>0.33015499999999998</v>
      </c>
      <c r="BB119" s="112">
        <v>18.811499999999999</v>
      </c>
      <c r="BC119" s="112">
        <v>0.23256199999999999</v>
      </c>
      <c r="BD119" s="112"/>
      <c r="BE119" s="112"/>
      <c r="BF119" s="112"/>
      <c r="BG119" s="112"/>
      <c r="BH119" s="112"/>
      <c r="BI119" s="112">
        <v>3285.7</v>
      </c>
      <c r="BJ119" s="112">
        <v>3253.48</v>
      </c>
      <c r="BK119" s="112">
        <v>5402.67</v>
      </c>
      <c r="BL119" s="112">
        <v>0.22095999999999999</v>
      </c>
      <c r="BM119" s="112">
        <v>0.33940799999999999</v>
      </c>
      <c r="BN119" s="112">
        <v>105</v>
      </c>
      <c r="BO119" s="112">
        <v>0.85287900000000005</v>
      </c>
      <c r="BP119" s="112">
        <v>804.47400000000005</v>
      </c>
      <c r="BQ119" s="112">
        <v>3.69769E-2</v>
      </c>
      <c r="BR119" s="112">
        <v>1.1967699999999999</v>
      </c>
      <c r="BS119" s="112">
        <v>1.25503E-2</v>
      </c>
      <c r="BT119" s="112">
        <v>0.790578</v>
      </c>
      <c r="BU119" s="112"/>
      <c r="BV119" s="112">
        <v>2.3198099999999999</v>
      </c>
      <c r="BW119" s="112">
        <v>96.581199999999995</v>
      </c>
      <c r="BX119" s="112">
        <v>3.3265500000000001</v>
      </c>
      <c r="BY119" s="112">
        <v>46.291800000000002</v>
      </c>
      <c r="BZ119" s="112">
        <v>16.4495</v>
      </c>
      <c r="CA119">
        <v>61.669199999999996</v>
      </c>
      <c r="CB119">
        <v>17.156199999999998</v>
      </c>
      <c r="CC119">
        <v>9.9656800000000008</v>
      </c>
      <c r="CD119">
        <v>9.9656800000000008</v>
      </c>
      <c r="CE119">
        <v>0.32492399999999999</v>
      </c>
      <c r="CF119">
        <v>18.745799999999999</v>
      </c>
      <c r="CG119">
        <v>5.3878700000000002E-2</v>
      </c>
      <c r="CM119">
        <v>3428.56</v>
      </c>
      <c r="CN119">
        <v>3396.34</v>
      </c>
      <c r="CO119">
        <v>1232.8499999999999</v>
      </c>
      <c r="CP119">
        <v>3.30914E-2</v>
      </c>
      <c r="CQ119">
        <v>8.2472199999999996E-3</v>
      </c>
      <c r="CR119">
        <v>102</v>
      </c>
      <c r="CS119">
        <v>13.3954</v>
      </c>
      <c r="CT119">
        <v>329.43900000000002</v>
      </c>
      <c r="CU119">
        <v>10.339600000000001</v>
      </c>
      <c r="CV119">
        <v>10.339600000000001</v>
      </c>
      <c r="CW119">
        <v>8.5272700000000007E-2</v>
      </c>
      <c r="CX119">
        <v>10.254300000000001</v>
      </c>
      <c r="CY119">
        <v>0</v>
      </c>
      <c r="CZ119">
        <v>7.30199</v>
      </c>
      <c r="DA119">
        <v>191.06299999999999</v>
      </c>
      <c r="DB119">
        <v>21.653400000000001</v>
      </c>
      <c r="DC119">
        <v>45.947499999999998</v>
      </c>
      <c r="DD119">
        <v>3.9183699999999999</v>
      </c>
      <c r="DE119">
        <v>60.592399999999998</v>
      </c>
      <c r="DF119">
        <v>4.3857699999999999</v>
      </c>
      <c r="DG119">
        <v>44.280299999999997</v>
      </c>
      <c r="DH119">
        <v>44.280299999999997</v>
      </c>
      <c r="DI119">
        <v>7.2408400000000004</v>
      </c>
      <c r="DJ119">
        <v>18.0807</v>
      </c>
      <c r="DK119">
        <v>7.9092799999999994E-3</v>
      </c>
      <c r="DQ119">
        <v>3566.65</v>
      </c>
      <c r="DR119">
        <v>3534.44</v>
      </c>
      <c r="DS119">
        <v>3521.3</v>
      </c>
      <c r="DT119">
        <v>0.24509</v>
      </c>
      <c r="DU119">
        <v>0.47406199999999998</v>
      </c>
      <c r="DV119">
        <v>106</v>
      </c>
      <c r="DW119">
        <v>1.5626500000000001</v>
      </c>
      <c r="DX119">
        <v>2965.24</v>
      </c>
      <c r="DY119">
        <v>0.47486899999999999</v>
      </c>
      <c r="DZ119">
        <v>3.7321200000000001</v>
      </c>
      <c r="EA119">
        <v>0.22511700000000001</v>
      </c>
      <c r="EB119">
        <v>1.96286</v>
      </c>
      <c r="EC119">
        <v>0</v>
      </c>
      <c r="ED119">
        <v>3.2642899999999999</v>
      </c>
      <c r="EE119">
        <v>97.517099999999999</v>
      </c>
      <c r="EF119">
        <v>8.9851100000000006</v>
      </c>
      <c r="EG119">
        <v>46.119399999999999</v>
      </c>
      <c r="EH119">
        <v>11.8002</v>
      </c>
      <c r="EI119">
        <v>61.0169</v>
      </c>
      <c r="EJ119">
        <v>16.864000000000001</v>
      </c>
      <c r="EK119">
        <v>18.2425</v>
      </c>
      <c r="EL119">
        <v>18.2425</v>
      </c>
      <c r="EM119">
        <v>1.40683</v>
      </c>
      <c r="EN119">
        <v>18.316600000000001</v>
      </c>
      <c r="EO119">
        <v>0.54403699999999999</v>
      </c>
    </row>
    <row r="120" spans="1:145" x14ac:dyDescent="0.2">
      <c r="A120" s="86"/>
      <c r="B120" s="442"/>
      <c r="C120" s="510"/>
      <c r="E120" s="394"/>
      <c r="F120" s="8"/>
      <c r="K120" s="1"/>
      <c r="L120" s="1"/>
      <c r="AD120" s="112"/>
      <c r="AE120" s="112">
        <v>3142.84</v>
      </c>
      <c r="AF120" s="112">
        <v>3110.63</v>
      </c>
      <c r="AG120" s="112">
        <v>5309.44</v>
      </c>
      <c r="AH120" s="112">
        <v>0.223138</v>
      </c>
      <c r="AI120" s="112">
        <v>0.34539500000000001</v>
      </c>
      <c r="AJ120" s="112">
        <v>105</v>
      </c>
      <c r="AK120" s="112">
        <v>0.51423300000000005</v>
      </c>
      <c r="AL120" s="112">
        <v>1558.69</v>
      </c>
      <c r="AM120" s="112">
        <v>3.17775E-2</v>
      </c>
      <c r="AN120" s="112">
        <v>1.0569599999999999</v>
      </c>
      <c r="AO120" s="112">
        <v>1.0975800000000001E-2</v>
      </c>
      <c r="AP120" s="112">
        <v>0.69189100000000003</v>
      </c>
      <c r="AQ120" s="112"/>
      <c r="AR120" s="112">
        <v>2.3244500000000001</v>
      </c>
      <c r="AS120" s="112">
        <v>96.534400000000005</v>
      </c>
      <c r="AT120" s="112">
        <v>2.9128500000000002</v>
      </c>
      <c r="AU120" s="112">
        <v>46.35</v>
      </c>
      <c r="AV120" s="112">
        <v>16.467199999999998</v>
      </c>
      <c r="AW120" s="112">
        <v>61.7742</v>
      </c>
      <c r="AX120" s="112">
        <v>17.174700000000001</v>
      </c>
      <c r="AY120" s="112">
        <v>10.0442</v>
      </c>
      <c r="AZ120" s="112">
        <v>10.0442</v>
      </c>
      <c r="BA120" s="112">
        <v>0.32681700000000002</v>
      </c>
      <c r="BB120" s="112">
        <v>18.7927</v>
      </c>
      <c r="BC120" s="112">
        <v>0.23414499999999999</v>
      </c>
      <c r="BD120" s="112"/>
      <c r="BE120" s="112"/>
      <c r="BF120" s="112"/>
      <c r="BG120" s="112"/>
      <c r="BH120" s="112"/>
      <c r="BI120" s="112">
        <v>3357.13</v>
      </c>
      <c r="BJ120" s="112">
        <v>3324.9</v>
      </c>
      <c r="BK120" s="112">
        <v>5454.46</v>
      </c>
      <c r="BL120" s="112">
        <v>0.220998</v>
      </c>
      <c r="BM120" s="112">
        <v>0.339808</v>
      </c>
      <c r="BN120" s="112">
        <v>105</v>
      </c>
      <c r="BO120" s="112">
        <v>0.877579</v>
      </c>
      <c r="BP120" s="112">
        <v>856.23800000000006</v>
      </c>
      <c r="BQ120" s="112">
        <v>3.6962500000000002E-2</v>
      </c>
      <c r="BR120" s="112">
        <v>1.19706</v>
      </c>
      <c r="BS120" s="112">
        <v>1.2560200000000001E-2</v>
      </c>
      <c r="BT120" s="112">
        <v>0.79029199999999999</v>
      </c>
      <c r="BU120" s="112"/>
      <c r="BV120" s="112">
        <v>2.3153100000000002</v>
      </c>
      <c r="BW120" s="112">
        <v>96.564700000000002</v>
      </c>
      <c r="BX120" s="112">
        <v>3.3258200000000002</v>
      </c>
      <c r="BY120" s="112">
        <v>46.2637</v>
      </c>
      <c r="BZ120" s="112">
        <v>16.453800000000001</v>
      </c>
      <c r="CA120">
        <v>61.619100000000003</v>
      </c>
      <c r="CB120">
        <v>17.160399999999999</v>
      </c>
      <c r="CC120">
        <v>9.9088200000000004</v>
      </c>
      <c r="CD120">
        <v>9.9088200000000004</v>
      </c>
      <c r="CE120">
        <v>0.32237700000000002</v>
      </c>
      <c r="CF120">
        <v>18.723700000000001</v>
      </c>
      <c r="CG120">
        <v>5.7727899999999999E-2</v>
      </c>
      <c r="CM120">
        <v>3499.98</v>
      </c>
      <c r="CN120">
        <v>3467.77</v>
      </c>
      <c r="CO120">
        <v>1240.6199999999999</v>
      </c>
      <c r="CP120">
        <v>3.3135699999999997E-2</v>
      </c>
      <c r="CQ120">
        <v>8.2676799999999995E-3</v>
      </c>
      <c r="CR120">
        <v>102</v>
      </c>
      <c r="CS120">
        <v>14.016</v>
      </c>
      <c r="CT120">
        <v>336.58300000000003</v>
      </c>
      <c r="CU120">
        <v>10.3233</v>
      </c>
      <c r="CV120">
        <v>10.3233</v>
      </c>
      <c r="CW120">
        <v>8.5349900000000006E-2</v>
      </c>
      <c r="CX120">
        <v>10.238</v>
      </c>
      <c r="CY120">
        <v>0</v>
      </c>
      <c r="CZ120">
        <v>7.2863100000000003</v>
      </c>
      <c r="DA120">
        <v>190.91300000000001</v>
      </c>
      <c r="DB120">
        <v>21.636700000000001</v>
      </c>
      <c r="DC120">
        <v>45.919800000000002</v>
      </c>
      <c r="DD120">
        <v>3.9247399999999999</v>
      </c>
      <c r="DE120">
        <v>60.537700000000001</v>
      </c>
      <c r="DF120">
        <v>4.3928000000000003</v>
      </c>
      <c r="DG120">
        <v>44.088500000000003</v>
      </c>
      <c r="DH120">
        <v>44.088500000000003</v>
      </c>
      <c r="DI120">
        <v>7.2141700000000002</v>
      </c>
      <c r="DJ120">
        <v>18.054300000000001</v>
      </c>
      <c r="DK120">
        <v>7.9139799999999993E-3</v>
      </c>
      <c r="DQ120">
        <v>3633.32</v>
      </c>
      <c r="DR120">
        <v>3601.11</v>
      </c>
      <c r="DS120">
        <v>3575.16</v>
      </c>
      <c r="DT120">
        <v>0.24626100000000001</v>
      </c>
      <c r="DU120">
        <v>0.47688199999999997</v>
      </c>
      <c r="DV120">
        <v>106</v>
      </c>
      <c r="DW120">
        <v>1.82751</v>
      </c>
      <c r="DX120">
        <v>3018.84</v>
      </c>
      <c r="DY120">
        <v>0.47234199999999998</v>
      </c>
      <c r="DZ120">
        <v>3.7230300000000001</v>
      </c>
      <c r="EA120">
        <v>0.22525100000000001</v>
      </c>
      <c r="EB120">
        <v>1.9475800000000001</v>
      </c>
      <c r="EC120">
        <v>0</v>
      </c>
      <c r="ED120">
        <v>3.23706</v>
      </c>
      <c r="EE120">
        <v>97.179000000000002</v>
      </c>
      <c r="EF120">
        <v>8.9541000000000004</v>
      </c>
      <c r="EG120">
        <v>46.099600000000002</v>
      </c>
      <c r="EH120">
        <v>11.8932</v>
      </c>
      <c r="EI120">
        <v>60.9818</v>
      </c>
      <c r="EJ120">
        <v>16.982099999999999</v>
      </c>
      <c r="EK120">
        <v>17.965199999999999</v>
      </c>
      <c r="EL120">
        <v>17.965199999999999</v>
      </c>
      <c r="EM120">
        <v>1.3683799999999999</v>
      </c>
      <c r="EN120">
        <v>18.301100000000002</v>
      </c>
      <c r="EO120">
        <v>0.54367600000000005</v>
      </c>
    </row>
    <row r="121" spans="1:145" x14ac:dyDescent="0.2">
      <c r="A121" s="86"/>
      <c r="B121" s="442"/>
      <c r="C121" s="510"/>
      <c r="E121" s="394"/>
      <c r="F121" s="8"/>
      <c r="K121" s="1"/>
      <c r="L121" s="1"/>
      <c r="AD121" s="112"/>
      <c r="AE121" s="112">
        <v>3214.27</v>
      </c>
      <c r="AF121" s="112">
        <v>3182.06</v>
      </c>
      <c r="AG121" s="112">
        <v>5361.75</v>
      </c>
      <c r="AH121" s="112">
        <v>0.22323000000000001</v>
      </c>
      <c r="AI121" s="112">
        <v>0.34587200000000001</v>
      </c>
      <c r="AJ121" s="112">
        <v>105</v>
      </c>
      <c r="AK121" s="112">
        <v>0.533555</v>
      </c>
      <c r="AL121" s="112">
        <v>1610.98</v>
      </c>
      <c r="AM121" s="112">
        <v>3.1756600000000003E-2</v>
      </c>
      <c r="AN121" s="112">
        <v>1.0570200000000001</v>
      </c>
      <c r="AO121" s="112">
        <v>1.0983700000000001E-2</v>
      </c>
      <c r="AP121" s="112">
        <v>0.69142899999999996</v>
      </c>
      <c r="AQ121" s="112"/>
      <c r="AR121" s="112">
        <v>2.3193600000000001</v>
      </c>
      <c r="AS121" s="112">
        <v>96.503200000000007</v>
      </c>
      <c r="AT121" s="112">
        <v>2.91187</v>
      </c>
      <c r="AU121" s="112">
        <v>46.323900000000002</v>
      </c>
      <c r="AV121" s="112">
        <v>16.477799999999998</v>
      </c>
      <c r="AW121" s="112">
        <v>61.728999999999999</v>
      </c>
      <c r="AX121" s="112">
        <v>17.185400000000001</v>
      </c>
      <c r="AY121" s="112">
        <v>9.9820899999999995</v>
      </c>
      <c r="AZ121" s="112">
        <v>9.9820899999999995</v>
      </c>
      <c r="BA121" s="112">
        <v>0.32358599999999998</v>
      </c>
      <c r="BB121" s="112">
        <v>18.773299999999999</v>
      </c>
      <c r="BC121" s="112">
        <v>0.23569100000000001</v>
      </c>
      <c r="BD121" s="112"/>
      <c r="BE121" s="112"/>
      <c r="BF121" s="112"/>
      <c r="BG121" s="112"/>
      <c r="BH121" s="112"/>
      <c r="BI121" s="112">
        <v>3428.56</v>
      </c>
      <c r="BJ121" s="112">
        <v>3396.33</v>
      </c>
      <c r="BK121" s="112">
        <v>5506.24</v>
      </c>
      <c r="BL121" s="112">
        <v>0.22098200000000001</v>
      </c>
      <c r="BM121" s="112">
        <v>0.34014100000000003</v>
      </c>
      <c r="BN121" s="112">
        <v>105</v>
      </c>
      <c r="BO121" s="112">
        <v>0.90227100000000005</v>
      </c>
      <c r="BP121" s="112">
        <v>907.99900000000002</v>
      </c>
      <c r="BQ121" s="112">
        <v>3.6957900000000002E-2</v>
      </c>
      <c r="BR121" s="112">
        <v>1.1976</v>
      </c>
      <c r="BS121" s="112">
        <v>1.2570899999999999E-2</v>
      </c>
      <c r="BT121" s="112">
        <v>0.79024700000000003</v>
      </c>
      <c r="BU121" s="112"/>
      <c r="BV121" s="112">
        <v>2.3113899999999998</v>
      </c>
      <c r="BW121" s="112">
        <v>96.562600000000003</v>
      </c>
      <c r="BX121" s="112">
        <v>3.3254299999999999</v>
      </c>
      <c r="BY121" s="112">
        <v>46.2333</v>
      </c>
      <c r="BZ121" s="112">
        <v>16.451499999999999</v>
      </c>
      <c r="CA121">
        <v>61.563899999999997</v>
      </c>
      <c r="CB121">
        <v>17.157800000000002</v>
      </c>
      <c r="CC121">
        <v>9.8572299999999995</v>
      </c>
      <c r="CD121">
        <v>9.8572299999999995</v>
      </c>
      <c r="CE121">
        <v>0.320521</v>
      </c>
      <c r="CF121">
        <v>18.698899999999998</v>
      </c>
      <c r="CG121">
        <v>6.1479199999999998E-2</v>
      </c>
      <c r="CM121">
        <v>3499.98</v>
      </c>
      <c r="CN121">
        <v>3467.77</v>
      </c>
      <c r="CO121">
        <v>4430.45</v>
      </c>
      <c r="CP121">
        <v>3.3135699999999997E-2</v>
      </c>
      <c r="CQ121">
        <v>0</v>
      </c>
      <c r="CR121">
        <v>-30</v>
      </c>
      <c r="CS121">
        <v>14.016</v>
      </c>
      <c r="CT121">
        <v>336.58300000000003</v>
      </c>
      <c r="CU121">
        <v>0</v>
      </c>
      <c r="CV121">
        <v>0</v>
      </c>
      <c r="CW121">
        <v>19.021599999999999</v>
      </c>
      <c r="CX121">
        <v>691.90800000000002</v>
      </c>
      <c r="CY121">
        <v>0</v>
      </c>
      <c r="CZ121">
        <v>0</v>
      </c>
      <c r="DA121">
        <v>0</v>
      </c>
      <c r="DB121">
        <v>2692.39</v>
      </c>
      <c r="DC121">
        <v>46.116100000000003</v>
      </c>
      <c r="DD121">
        <v>13.0558</v>
      </c>
      <c r="DE121">
        <v>61.140300000000003</v>
      </c>
      <c r="DF121">
        <v>14.3424</v>
      </c>
      <c r="DG121">
        <v>15.569699999999999</v>
      </c>
      <c r="DH121">
        <v>15.569699999999999</v>
      </c>
      <c r="DI121">
        <v>0.99158800000000002</v>
      </c>
      <c r="DJ121">
        <v>18.423999999999999</v>
      </c>
      <c r="DK121">
        <v>7.9139799999999993E-3</v>
      </c>
      <c r="DQ121">
        <v>3699.98</v>
      </c>
      <c r="DR121">
        <v>3667.77</v>
      </c>
      <c r="DS121">
        <v>3629.29</v>
      </c>
      <c r="DT121">
        <v>0.24746099999999999</v>
      </c>
      <c r="DU121">
        <v>0.47975400000000001</v>
      </c>
      <c r="DV121">
        <v>106</v>
      </c>
      <c r="DW121">
        <v>2.0903999999999998</v>
      </c>
      <c r="DX121">
        <v>3072.7</v>
      </c>
      <c r="DY121">
        <v>0.469773</v>
      </c>
      <c r="DZ121">
        <v>3.714</v>
      </c>
      <c r="EA121">
        <v>0.22537599999999999</v>
      </c>
      <c r="EB121">
        <v>1.9321900000000001</v>
      </c>
      <c r="EC121">
        <v>0</v>
      </c>
      <c r="ED121">
        <v>3.2097699999999998</v>
      </c>
      <c r="EE121">
        <v>96.837000000000003</v>
      </c>
      <c r="EF121">
        <v>8.92286</v>
      </c>
      <c r="EG121">
        <v>46.081299999999999</v>
      </c>
      <c r="EH121">
        <v>11.988899999999999</v>
      </c>
      <c r="EI121">
        <v>60.9497</v>
      </c>
      <c r="EJ121">
        <v>17.103200000000001</v>
      </c>
      <c r="EK121">
        <v>17.689599999999999</v>
      </c>
      <c r="EL121">
        <v>17.689599999999999</v>
      </c>
      <c r="EM121">
        <v>1.33005</v>
      </c>
      <c r="EN121">
        <v>18.287199999999999</v>
      </c>
      <c r="EO121">
        <v>0.54333399999999998</v>
      </c>
    </row>
    <row r="122" spans="1:145" x14ac:dyDescent="0.2">
      <c r="A122" s="86"/>
      <c r="B122" s="442"/>
      <c r="C122" s="510"/>
      <c r="E122" s="394"/>
      <c r="F122" s="8"/>
      <c r="K122" s="1"/>
      <c r="L122" s="1"/>
      <c r="AD122" s="112"/>
      <c r="AE122" s="112">
        <v>3285.7</v>
      </c>
      <c r="AF122" s="112">
        <v>3253.49</v>
      </c>
      <c r="AG122" s="112">
        <v>5414.08</v>
      </c>
      <c r="AH122" s="112">
        <v>0.22331100000000001</v>
      </c>
      <c r="AI122" s="112">
        <v>0.34633599999999998</v>
      </c>
      <c r="AJ122" s="112">
        <v>105</v>
      </c>
      <c r="AK122" s="112">
        <v>0.55286100000000005</v>
      </c>
      <c r="AL122" s="112">
        <v>1663.29</v>
      </c>
      <c r="AM122" s="112">
        <v>3.1737599999999998E-2</v>
      </c>
      <c r="AN122" s="112">
        <v>1.05714</v>
      </c>
      <c r="AO122" s="112">
        <v>1.0991900000000001E-2</v>
      </c>
      <c r="AP122" s="112">
        <v>0.69101699999999999</v>
      </c>
      <c r="AQ122" s="112"/>
      <c r="AR122" s="112">
        <v>2.3143799999999999</v>
      </c>
      <c r="AS122" s="112">
        <v>96.475399999999993</v>
      </c>
      <c r="AT122" s="112">
        <v>2.9109699999999998</v>
      </c>
      <c r="AU122" s="112">
        <v>46.297199999999997</v>
      </c>
      <c r="AV122" s="112">
        <v>16.486899999999999</v>
      </c>
      <c r="AW122" s="112">
        <v>61.682400000000001</v>
      </c>
      <c r="AX122" s="112">
        <v>17.194500000000001</v>
      </c>
      <c r="AY122" s="112">
        <v>9.9212199999999999</v>
      </c>
      <c r="AZ122" s="112">
        <v>9.9212199999999999</v>
      </c>
      <c r="BA122" s="112">
        <v>0.32053500000000001</v>
      </c>
      <c r="BB122" s="112">
        <v>18.7531</v>
      </c>
      <c r="BC122" s="112">
        <v>0.237201</v>
      </c>
      <c r="BD122" s="112"/>
      <c r="BE122" s="112"/>
      <c r="BF122" s="112"/>
      <c r="BG122" s="112"/>
      <c r="BH122" s="112"/>
      <c r="BI122" s="112">
        <v>3499.98</v>
      </c>
      <c r="BJ122" s="112">
        <v>3467.76</v>
      </c>
      <c r="BK122" s="112">
        <v>5558</v>
      </c>
      <c r="BL122" s="112">
        <v>0.220862</v>
      </c>
      <c r="BM122" s="112">
        <v>0.340341</v>
      </c>
      <c r="BN122" s="112">
        <v>105</v>
      </c>
      <c r="BO122" s="112">
        <v>0.92696599999999996</v>
      </c>
      <c r="BP122" s="112">
        <v>959.73099999999999</v>
      </c>
      <c r="BQ122" s="112">
        <v>3.69723E-2</v>
      </c>
      <c r="BR122" s="112">
        <v>1.1986000000000001</v>
      </c>
      <c r="BS122" s="112">
        <v>1.2583199999999999E-2</v>
      </c>
      <c r="BT122" s="112">
        <v>0.79066999999999998</v>
      </c>
      <c r="BU122" s="112"/>
      <c r="BV122" s="112">
        <v>2.30864</v>
      </c>
      <c r="BW122" s="112">
        <v>96.588800000000006</v>
      </c>
      <c r="BX122" s="112">
        <v>3.32572</v>
      </c>
      <c r="BY122" s="112">
        <v>46.198500000000003</v>
      </c>
      <c r="BZ122" s="112">
        <v>16.436199999999999</v>
      </c>
      <c r="CA122">
        <v>61.498899999999999</v>
      </c>
      <c r="CB122">
        <v>17.142099999999999</v>
      </c>
      <c r="CC122">
        <v>9.8158399999999997</v>
      </c>
      <c r="CD122">
        <v>9.8158399999999997</v>
      </c>
      <c r="CE122">
        <v>0.31999699999999998</v>
      </c>
      <c r="CF122">
        <v>18.668900000000001</v>
      </c>
      <c r="CG122">
        <v>6.5134800000000007E-2</v>
      </c>
      <c r="CM122">
        <v>3575</v>
      </c>
      <c r="CN122">
        <v>3542.77</v>
      </c>
      <c r="CO122">
        <v>4475.1099999999997</v>
      </c>
      <c r="CP122">
        <v>0.18151700000000001</v>
      </c>
      <c r="CQ122">
        <v>0.243004</v>
      </c>
      <c r="CR122">
        <v>106</v>
      </c>
      <c r="CS122">
        <v>16.3736</v>
      </c>
      <c r="CT122">
        <v>378.88499999999999</v>
      </c>
      <c r="CU122">
        <v>0.78300599999999998</v>
      </c>
      <c r="CV122">
        <v>9.1218400000000006</v>
      </c>
      <c r="CW122">
        <v>0.190274</v>
      </c>
      <c r="CX122">
        <v>6.9051999999999998</v>
      </c>
      <c r="CY122">
        <v>0</v>
      </c>
      <c r="CZ122">
        <v>2.9460899999999999</v>
      </c>
      <c r="DA122">
        <v>105.518</v>
      </c>
      <c r="DB122">
        <v>26.921099999999999</v>
      </c>
      <c r="DC122">
        <v>46.1</v>
      </c>
      <c r="DD122">
        <v>13.1081</v>
      </c>
      <c r="DE122">
        <v>61.1126</v>
      </c>
      <c r="DF122">
        <v>14.3954</v>
      </c>
      <c r="DG122">
        <v>15.419600000000001</v>
      </c>
      <c r="DH122">
        <v>15.419600000000001</v>
      </c>
      <c r="DI122">
        <v>0.97399999999999998</v>
      </c>
      <c r="DJ122">
        <v>18.412099999999999</v>
      </c>
      <c r="DK122">
        <v>9.3433400000000003E-3</v>
      </c>
      <c r="DQ122">
        <v>3699.98</v>
      </c>
      <c r="DR122">
        <v>3667.77</v>
      </c>
      <c r="DS122">
        <v>5608.83</v>
      </c>
      <c r="DT122">
        <v>0.24746099999999999</v>
      </c>
      <c r="DU122">
        <v>0</v>
      </c>
      <c r="DV122">
        <v>-30</v>
      </c>
      <c r="DW122">
        <v>2.0903999999999998</v>
      </c>
      <c r="DX122">
        <v>3072.7</v>
      </c>
      <c r="DY122">
        <v>0</v>
      </c>
      <c r="DZ122">
        <v>0</v>
      </c>
      <c r="EA122">
        <v>89.610200000000006</v>
      </c>
      <c r="EB122">
        <v>566.93899999999996</v>
      </c>
      <c r="EC122">
        <v>0</v>
      </c>
      <c r="ED122">
        <v>0</v>
      </c>
      <c r="EE122">
        <v>0</v>
      </c>
      <c r="EF122">
        <v>3109.27</v>
      </c>
      <c r="EG122">
        <v>46.114899999999999</v>
      </c>
      <c r="EH122">
        <v>16.2789</v>
      </c>
      <c r="EI122">
        <v>61.328699999999998</v>
      </c>
      <c r="EJ122">
        <v>22.427600000000002</v>
      </c>
      <c r="EK122">
        <v>9.8877400000000009</v>
      </c>
      <c r="EL122">
        <v>9.8877400000000009</v>
      </c>
      <c r="EM122">
        <v>0.33432200000000001</v>
      </c>
      <c r="EN122">
        <v>18.584900000000001</v>
      </c>
      <c r="EO122">
        <v>0.54333399999999998</v>
      </c>
    </row>
    <row r="123" spans="1:145" x14ac:dyDescent="0.2">
      <c r="A123" s="86"/>
      <c r="B123" s="442"/>
      <c r="C123" s="510"/>
      <c r="E123" s="394"/>
      <c r="F123" s="8"/>
      <c r="K123" s="1"/>
      <c r="L123" s="1"/>
      <c r="AD123" s="112"/>
      <c r="AE123" s="112">
        <v>3357.13</v>
      </c>
      <c r="AF123" s="112">
        <v>3324.92</v>
      </c>
      <c r="AG123" s="112">
        <v>5466.43</v>
      </c>
      <c r="AH123" s="112">
        <v>0.22336600000000001</v>
      </c>
      <c r="AI123" s="112">
        <v>0.34677000000000002</v>
      </c>
      <c r="AJ123" s="112">
        <v>105</v>
      </c>
      <c r="AK123" s="112">
        <v>0.57215400000000005</v>
      </c>
      <c r="AL123" s="112">
        <v>1715.62</v>
      </c>
      <c r="AM123" s="112">
        <v>3.1722500000000001E-2</v>
      </c>
      <c r="AN123" s="112">
        <v>1.0573600000000001</v>
      </c>
      <c r="AO123" s="112">
        <v>1.10004E-2</v>
      </c>
      <c r="AP123" s="112">
        <v>0.69070100000000001</v>
      </c>
      <c r="AQ123" s="112"/>
      <c r="AR123" s="112">
        <v>2.3096800000000002</v>
      </c>
      <c r="AS123" s="112">
        <v>96.454300000000003</v>
      </c>
      <c r="AT123" s="112">
        <v>2.9102000000000001</v>
      </c>
      <c r="AU123" s="112">
        <v>46.269500000000001</v>
      </c>
      <c r="AV123" s="112">
        <v>16.492799999999999</v>
      </c>
      <c r="AW123" s="112">
        <v>61.633400000000002</v>
      </c>
      <c r="AX123" s="112">
        <v>17.200500000000002</v>
      </c>
      <c r="AY123" s="112">
        <v>9.8628599999999995</v>
      </c>
      <c r="AZ123" s="112">
        <v>9.8628599999999995</v>
      </c>
      <c r="BA123" s="112">
        <v>0.31782100000000002</v>
      </c>
      <c r="BB123" s="112">
        <v>18.7315</v>
      </c>
      <c r="BC123" s="112">
        <v>0.238676</v>
      </c>
      <c r="BD123" s="112"/>
      <c r="BE123" s="112"/>
      <c r="BF123" s="112"/>
      <c r="BG123" s="112"/>
      <c r="BH123" s="112"/>
      <c r="BI123" s="112">
        <v>3574.98</v>
      </c>
      <c r="BJ123" s="112">
        <v>3542.76</v>
      </c>
      <c r="BK123" s="112">
        <v>5607.02</v>
      </c>
      <c r="BL123" s="112">
        <v>0.19923099999999999</v>
      </c>
      <c r="BM123" s="112">
        <v>0.26946199999999998</v>
      </c>
      <c r="BN123" s="112">
        <v>105</v>
      </c>
      <c r="BO123" s="112">
        <v>1.1228199999999999</v>
      </c>
      <c r="BP123" s="112">
        <v>1008.56</v>
      </c>
      <c r="BQ123" s="112">
        <v>0.105166</v>
      </c>
      <c r="BR123" s="112">
        <v>2.4359099999999998</v>
      </c>
      <c r="BS123" s="112">
        <v>2.8338200000000001E-2</v>
      </c>
      <c r="BT123" s="112">
        <v>1.77952</v>
      </c>
      <c r="BU123" s="112"/>
      <c r="BV123" s="112">
        <v>2.3054399999999999</v>
      </c>
      <c r="BW123" s="112">
        <v>96.603200000000001</v>
      </c>
      <c r="BX123" s="112">
        <v>7.4862700000000002</v>
      </c>
      <c r="BY123" s="112">
        <v>46.1721</v>
      </c>
      <c r="BZ123" s="112">
        <v>16.442</v>
      </c>
      <c r="CA123">
        <v>61.451000000000001</v>
      </c>
      <c r="CB123">
        <v>17.147500000000001</v>
      </c>
      <c r="CC123">
        <v>9.7594600000000007</v>
      </c>
      <c r="CD123">
        <v>9.7594600000000007</v>
      </c>
      <c r="CE123">
        <v>0.31741000000000003</v>
      </c>
      <c r="CF123">
        <v>18.647400000000001</v>
      </c>
      <c r="CG123">
        <v>6.6377199999999997E-2</v>
      </c>
      <c r="CM123">
        <v>3649.99</v>
      </c>
      <c r="CN123">
        <v>3617.77</v>
      </c>
      <c r="CO123">
        <v>4519.88</v>
      </c>
      <c r="CP123">
        <v>0.18196899999999999</v>
      </c>
      <c r="CQ123">
        <v>0.243751</v>
      </c>
      <c r="CR123">
        <v>106</v>
      </c>
      <c r="CS123">
        <v>18.721900000000002</v>
      </c>
      <c r="CT123">
        <v>421.30799999999999</v>
      </c>
      <c r="CU123">
        <v>0.78093599999999996</v>
      </c>
      <c r="CV123">
        <v>9.0931300000000004</v>
      </c>
      <c r="CW123">
        <v>0.190354</v>
      </c>
      <c r="CX123">
        <v>6.8766699999999998</v>
      </c>
      <c r="CY123">
        <v>0</v>
      </c>
      <c r="CZ123">
        <v>2.9315699999999998</v>
      </c>
      <c r="DA123">
        <v>105.306</v>
      </c>
      <c r="DB123">
        <v>26.8689</v>
      </c>
      <c r="DC123">
        <v>46.085799999999999</v>
      </c>
      <c r="DD123">
        <v>13.164400000000001</v>
      </c>
      <c r="DE123">
        <v>61.088700000000003</v>
      </c>
      <c r="DF123">
        <v>14.455299999999999</v>
      </c>
      <c r="DG123">
        <v>15.267300000000001</v>
      </c>
      <c r="DH123">
        <v>15.267300000000001</v>
      </c>
      <c r="DI123">
        <v>0.95577999999999996</v>
      </c>
      <c r="DJ123">
        <v>18.402200000000001</v>
      </c>
      <c r="DK123">
        <v>1.076E-2</v>
      </c>
      <c r="DQ123">
        <v>3749.99</v>
      </c>
      <c r="DR123">
        <v>3717.77</v>
      </c>
      <c r="DS123">
        <v>5658.51</v>
      </c>
      <c r="DT123">
        <v>0.30293700000000001</v>
      </c>
      <c r="DU123">
        <v>0.60389000000000004</v>
      </c>
      <c r="DV123">
        <v>106</v>
      </c>
      <c r="DW123">
        <v>2.2440199999999999</v>
      </c>
      <c r="DX123">
        <v>3122.23</v>
      </c>
      <c r="DY123">
        <v>0.37105500000000002</v>
      </c>
      <c r="DZ123">
        <v>3.5728800000000001</v>
      </c>
      <c r="EA123">
        <v>0.224076</v>
      </c>
      <c r="EB123">
        <v>1.4152499999999999</v>
      </c>
      <c r="EC123">
        <v>0</v>
      </c>
      <c r="ED123">
        <v>2.31793</v>
      </c>
      <c r="EE123">
        <v>84.409599999999998</v>
      </c>
      <c r="EF123">
        <v>7.7718100000000003</v>
      </c>
      <c r="EG123">
        <v>46.1023</v>
      </c>
      <c r="EH123">
        <v>16.327100000000002</v>
      </c>
      <c r="EI123">
        <v>61.309800000000003</v>
      </c>
      <c r="EJ123">
        <v>22.4757</v>
      </c>
      <c r="EK123">
        <v>9.7949300000000008</v>
      </c>
      <c r="EL123">
        <v>9.7949300000000008</v>
      </c>
      <c r="EM123">
        <v>0.32713599999999998</v>
      </c>
      <c r="EN123">
        <v>18.578099999999999</v>
      </c>
      <c r="EO123">
        <v>0.54357599999999995</v>
      </c>
    </row>
    <row r="124" spans="1:145" x14ac:dyDescent="0.2">
      <c r="A124" s="86"/>
      <c r="B124" s="442"/>
      <c r="C124" s="510"/>
      <c r="E124" s="394"/>
      <c r="F124" s="8"/>
      <c r="K124" s="1"/>
      <c r="L124" s="1"/>
      <c r="AD124" s="112"/>
      <c r="AE124" s="112">
        <v>3428.56</v>
      </c>
      <c r="AF124" s="112">
        <v>3396.34</v>
      </c>
      <c r="AG124" s="112">
        <v>5518.77</v>
      </c>
      <c r="AH124" s="112">
        <v>0.22336900000000001</v>
      </c>
      <c r="AI124" s="112">
        <v>0.347138</v>
      </c>
      <c r="AJ124" s="112">
        <v>105</v>
      </c>
      <c r="AK124" s="112">
        <v>0.59143900000000005</v>
      </c>
      <c r="AL124" s="112">
        <v>1767.94</v>
      </c>
      <c r="AM124" s="112">
        <v>3.1715399999999998E-2</v>
      </c>
      <c r="AN124" s="112">
        <v>1.05779</v>
      </c>
      <c r="AO124" s="112">
        <v>1.10096E-2</v>
      </c>
      <c r="AP124" s="112">
        <v>0.69058799999999998</v>
      </c>
      <c r="AQ124" s="112"/>
      <c r="AR124" s="112">
        <v>2.3055400000000001</v>
      </c>
      <c r="AS124" s="112">
        <v>96.447199999999995</v>
      </c>
      <c r="AT124" s="112">
        <v>2.90971</v>
      </c>
      <c r="AU124" s="112">
        <v>46.2395</v>
      </c>
      <c r="AV124" s="112">
        <v>16.4923</v>
      </c>
      <c r="AW124" s="112">
        <v>61.5792</v>
      </c>
      <c r="AX124" s="112">
        <v>17.1998</v>
      </c>
      <c r="AY124" s="112">
        <v>9.8098100000000006</v>
      </c>
      <c r="AZ124" s="112">
        <v>9.8098100000000006</v>
      </c>
      <c r="BA124" s="112">
        <v>0.31579200000000002</v>
      </c>
      <c r="BB124" s="112">
        <v>18.7073</v>
      </c>
      <c r="BC124" s="112">
        <v>0.240117</v>
      </c>
      <c r="BD124" s="112"/>
      <c r="BE124" s="112"/>
      <c r="BF124" s="112"/>
      <c r="BG124" s="112"/>
      <c r="BH124" s="112"/>
      <c r="BI124" s="112">
        <v>3649.98</v>
      </c>
      <c r="BJ124" s="112">
        <v>3617.76</v>
      </c>
      <c r="BK124" s="112">
        <v>5656.06</v>
      </c>
      <c r="BL124" s="112">
        <v>0.19928299999999999</v>
      </c>
      <c r="BM124" s="112">
        <v>0.26979799999999998</v>
      </c>
      <c r="BN124" s="112">
        <v>105</v>
      </c>
      <c r="BO124" s="112">
        <v>1.31857</v>
      </c>
      <c r="BP124" s="112">
        <v>1057.4000000000001</v>
      </c>
      <c r="BQ124" s="112">
        <v>0.105115</v>
      </c>
      <c r="BR124" s="112">
        <v>2.4359899999999999</v>
      </c>
      <c r="BS124" s="112">
        <v>2.836E-2</v>
      </c>
      <c r="BT124" s="112">
        <v>1.7787599999999999</v>
      </c>
      <c r="BU124" s="112"/>
      <c r="BV124" s="112">
        <v>2.3008600000000001</v>
      </c>
      <c r="BW124" s="112">
        <v>96.583500000000001</v>
      </c>
      <c r="BX124" s="112">
        <v>7.4850099999999999</v>
      </c>
      <c r="BY124" s="112">
        <v>46.146500000000003</v>
      </c>
      <c r="BZ124" s="112">
        <v>16.450199999999999</v>
      </c>
      <c r="CA124">
        <v>61.404499999999999</v>
      </c>
      <c r="CB124">
        <v>17.1557</v>
      </c>
      <c r="CC124">
        <v>9.7009399999999992</v>
      </c>
      <c r="CD124">
        <v>9.7009399999999992</v>
      </c>
      <c r="CE124">
        <v>0.314581</v>
      </c>
      <c r="CF124">
        <v>18.6265</v>
      </c>
      <c r="CG124">
        <v>6.7606600000000003E-2</v>
      </c>
      <c r="CM124">
        <v>3724.99</v>
      </c>
      <c r="CN124">
        <v>3692.76</v>
      </c>
      <c r="CO124">
        <v>4564.78</v>
      </c>
      <c r="CP124">
        <v>0.18246799999999999</v>
      </c>
      <c r="CQ124">
        <v>0.24456</v>
      </c>
      <c r="CR124">
        <v>106</v>
      </c>
      <c r="CS124">
        <v>21.06</v>
      </c>
      <c r="CT124">
        <v>463.86399999999998</v>
      </c>
      <c r="CU124">
        <v>0.77862900000000002</v>
      </c>
      <c r="CV124">
        <v>9.0623699999999996</v>
      </c>
      <c r="CW124">
        <v>0.19042100000000001</v>
      </c>
      <c r="CX124">
        <v>6.8460799999999997</v>
      </c>
      <c r="CY124">
        <v>0</v>
      </c>
      <c r="CZ124">
        <v>2.9164699999999999</v>
      </c>
      <c r="DA124">
        <v>105.078</v>
      </c>
      <c r="DB124">
        <v>26.812899999999999</v>
      </c>
      <c r="DC124">
        <v>46.073599999999999</v>
      </c>
      <c r="DD124">
        <v>13.2255</v>
      </c>
      <c r="DE124">
        <v>61.069400000000002</v>
      </c>
      <c r="DF124">
        <v>14.520200000000001</v>
      </c>
      <c r="DG124">
        <v>15.1122</v>
      </c>
      <c r="DH124">
        <v>15.1122</v>
      </c>
      <c r="DI124">
        <v>0.93680799999999997</v>
      </c>
      <c r="DJ124">
        <v>18.394500000000001</v>
      </c>
      <c r="DK124">
        <v>1.2164400000000001E-2</v>
      </c>
      <c r="DQ124">
        <v>3799.98</v>
      </c>
      <c r="DR124">
        <v>3767.76</v>
      </c>
      <c r="DS124">
        <v>5708.29</v>
      </c>
      <c r="DT124">
        <v>0.30348700000000001</v>
      </c>
      <c r="DU124">
        <v>0.60545400000000005</v>
      </c>
      <c r="DV124">
        <v>106</v>
      </c>
      <c r="DW124">
        <v>2.3971900000000002</v>
      </c>
      <c r="DX124">
        <v>3171.86</v>
      </c>
      <c r="DY124">
        <v>0.37020199999999998</v>
      </c>
      <c r="DZ124">
        <v>3.5760900000000002</v>
      </c>
      <c r="EA124">
        <v>0.22414000000000001</v>
      </c>
      <c r="EB124">
        <v>1.41093</v>
      </c>
      <c r="EC124">
        <v>0</v>
      </c>
      <c r="ED124">
        <v>2.3079999999999998</v>
      </c>
      <c r="EE124">
        <v>84.299899999999994</v>
      </c>
      <c r="EF124">
        <v>7.7619999999999996</v>
      </c>
      <c r="EG124">
        <v>46.091099999999997</v>
      </c>
      <c r="EH124">
        <v>16.378699999999998</v>
      </c>
      <c r="EI124">
        <v>61.293900000000001</v>
      </c>
      <c r="EJ124">
        <v>22.535799999999998</v>
      </c>
      <c r="EK124">
        <v>9.7004400000000004</v>
      </c>
      <c r="EL124">
        <v>9.7004400000000004</v>
      </c>
      <c r="EM124">
        <v>0.31972099999999998</v>
      </c>
      <c r="EN124">
        <v>18.572700000000001</v>
      </c>
      <c r="EO124">
        <v>0.54382200000000003</v>
      </c>
    </row>
    <row r="125" spans="1:145" x14ac:dyDescent="0.2">
      <c r="A125" s="86"/>
      <c r="B125" s="442"/>
      <c r="C125" s="510"/>
      <c r="E125" s="394"/>
      <c r="F125" s="8"/>
      <c r="K125" s="1"/>
      <c r="L125" s="1"/>
      <c r="AD125" s="112"/>
      <c r="AE125" s="112">
        <v>3499.98</v>
      </c>
      <c r="AF125" s="112">
        <v>3467.77</v>
      </c>
      <c r="AG125" s="112">
        <v>5571.09</v>
      </c>
      <c r="AH125" s="112">
        <v>0.22325999999999999</v>
      </c>
      <c r="AI125" s="112">
        <v>0.34736</v>
      </c>
      <c r="AJ125" s="112">
        <v>105</v>
      </c>
      <c r="AK125" s="112">
        <v>0.61072499999999996</v>
      </c>
      <c r="AL125" s="112">
        <v>1820.25</v>
      </c>
      <c r="AM125" s="112">
        <v>3.1725799999999998E-2</v>
      </c>
      <c r="AN125" s="112">
        <v>1.05864</v>
      </c>
      <c r="AO125" s="112">
        <v>1.1020200000000001E-2</v>
      </c>
      <c r="AP125" s="112">
        <v>0.69091100000000005</v>
      </c>
      <c r="AQ125" s="112"/>
      <c r="AR125" s="112">
        <v>2.3026399999999998</v>
      </c>
      <c r="AS125" s="112">
        <v>96.470100000000002</v>
      </c>
      <c r="AT125" s="112">
        <v>2.9098099999999998</v>
      </c>
      <c r="AU125" s="112">
        <v>46.204799999999999</v>
      </c>
      <c r="AV125" s="112">
        <v>16.477499999999999</v>
      </c>
      <c r="AW125" s="112">
        <v>61.514499999999998</v>
      </c>
      <c r="AX125" s="112">
        <v>17.1846</v>
      </c>
      <c r="AY125" s="112">
        <v>9.7681000000000004</v>
      </c>
      <c r="AZ125" s="112">
        <v>9.7681000000000004</v>
      </c>
      <c r="BA125" s="112">
        <v>0.31521900000000003</v>
      </c>
      <c r="BB125" s="112">
        <v>18.677600000000002</v>
      </c>
      <c r="BC125" s="112">
        <v>0.24152299999999999</v>
      </c>
      <c r="BD125" s="112"/>
      <c r="BE125" s="112"/>
      <c r="BF125" s="112"/>
      <c r="BG125" s="112"/>
      <c r="BH125" s="112"/>
      <c r="BI125" s="112">
        <v>3724.98</v>
      </c>
      <c r="BJ125" s="112">
        <v>3692.76</v>
      </c>
      <c r="BK125" s="112">
        <v>5705.12</v>
      </c>
      <c r="BL125" s="112">
        <v>0.19936599999999999</v>
      </c>
      <c r="BM125" s="112">
        <v>0.270173</v>
      </c>
      <c r="BN125" s="112">
        <v>105</v>
      </c>
      <c r="BO125" s="112">
        <v>1.51417</v>
      </c>
      <c r="BP125" s="112">
        <v>1106.26</v>
      </c>
      <c r="BQ125" s="112">
        <v>0.105047</v>
      </c>
      <c r="BR125" s="112">
        <v>2.4357199999999999</v>
      </c>
      <c r="BS125" s="112">
        <v>2.8380800000000001E-2</v>
      </c>
      <c r="BT125" s="112">
        <v>1.77766</v>
      </c>
      <c r="BU125" s="112"/>
      <c r="BV125" s="112">
        <v>2.2958699999999999</v>
      </c>
      <c r="BW125" s="112">
        <v>96.554500000000004</v>
      </c>
      <c r="BX125" s="112">
        <v>7.4831899999999996</v>
      </c>
      <c r="BY125" s="112">
        <v>46.122300000000003</v>
      </c>
      <c r="BZ125" s="112">
        <v>16.462499999999999</v>
      </c>
      <c r="CA125">
        <v>61.360700000000001</v>
      </c>
      <c r="CB125">
        <v>17.167999999999999</v>
      </c>
      <c r="CC125">
        <v>9.6392299999999995</v>
      </c>
      <c r="CD125">
        <v>9.6392299999999995</v>
      </c>
      <c r="CE125">
        <v>0.31136200000000003</v>
      </c>
      <c r="CF125">
        <v>18.6069</v>
      </c>
      <c r="CG125">
        <v>6.8823499999999996E-2</v>
      </c>
      <c r="CM125">
        <v>3799.98</v>
      </c>
      <c r="CN125">
        <v>3767.76</v>
      </c>
      <c r="CO125">
        <v>4609.8100000000004</v>
      </c>
      <c r="CP125">
        <v>0.18302299999999999</v>
      </c>
      <c r="CQ125">
        <v>0.24543999999999999</v>
      </c>
      <c r="CR125">
        <v>106</v>
      </c>
      <c r="CS125">
        <v>23.3873</v>
      </c>
      <c r="CT125">
        <v>506.56700000000001</v>
      </c>
      <c r="CU125">
        <v>0.77605000000000002</v>
      </c>
      <c r="CV125">
        <v>9.0292300000000001</v>
      </c>
      <c r="CW125">
        <v>0.190474</v>
      </c>
      <c r="CX125">
        <v>6.8131000000000004</v>
      </c>
      <c r="CY125">
        <v>0</v>
      </c>
      <c r="CZ125">
        <v>2.9006699999999999</v>
      </c>
      <c r="DA125">
        <v>104.83199999999999</v>
      </c>
      <c r="DB125">
        <v>26.752500000000001</v>
      </c>
      <c r="DC125">
        <v>46.063899999999997</v>
      </c>
      <c r="DD125">
        <v>13.2921</v>
      </c>
      <c r="DE125">
        <v>61.055300000000003</v>
      </c>
      <c r="DF125">
        <v>14.591100000000001</v>
      </c>
      <c r="DG125">
        <v>14.9537</v>
      </c>
      <c r="DH125">
        <v>14.9537</v>
      </c>
      <c r="DI125">
        <v>0.91695099999999996</v>
      </c>
      <c r="DJ125">
        <v>18.389600000000002</v>
      </c>
      <c r="DK125">
        <v>1.35573E-2</v>
      </c>
    </row>
    <row r="126" spans="1:145" x14ac:dyDescent="0.2">
      <c r="A126" s="86"/>
      <c r="B126" s="442"/>
      <c r="C126" s="510"/>
      <c r="E126" s="394"/>
      <c r="F126" s="8"/>
      <c r="K126" s="1"/>
      <c r="L126" s="1"/>
      <c r="AD126" s="112"/>
      <c r="AE126" s="112">
        <v>3574.98</v>
      </c>
      <c r="AF126" s="112">
        <v>3542.77</v>
      </c>
      <c r="AG126" s="112">
        <v>5620.52</v>
      </c>
      <c r="AH126" s="112">
        <v>0.20088400000000001</v>
      </c>
      <c r="AI126" s="112">
        <v>0.27456799999999998</v>
      </c>
      <c r="AJ126" s="112">
        <v>105</v>
      </c>
      <c r="AK126" s="112">
        <v>0.76284600000000002</v>
      </c>
      <c r="AL126" s="112">
        <v>1869.52</v>
      </c>
      <c r="AM126" s="112">
        <v>9.0390999999999999E-2</v>
      </c>
      <c r="AN126" s="112">
        <v>2.1435900000000001</v>
      </c>
      <c r="AO126" s="112">
        <v>2.48185E-2</v>
      </c>
      <c r="AP126" s="112">
        <v>1.5550299999999999</v>
      </c>
      <c r="AQ126" s="112"/>
      <c r="AR126" s="112">
        <v>2.29948</v>
      </c>
      <c r="AS126" s="112">
        <v>96.485500000000002</v>
      </c>
      <c r="AT126" s="112">
        <v>6.5499599999999996</v>
      </c>
      <c r="AU126" s="112">
        <v>46.177900000000001</v>
      </c>
      <c r="AV126" s="112">
        <v>16.482199999999999</v>
      </c>
      <c r="AW126" s="112">
        <v>61.465699999999998</v>
      </c>
      <c r="AX126" s="112">
        <v>17.188800000000001</v>
      </c>
      <c r="AY126" s="112">
        <v>9.71279</v>
      </c>
      <c r="AZ126" s="112">
        <v>9.71279</v>
      </c>
      <c r="BA126" s="112">
        <v>0.31276700000000002</v>
      </c>
      <c r="BB126" s="112">
        <v>18.6557</v>
      </c>
      <c r="BC126" s="112">
        <v>0.24172299999999999</v>
      </c>
      <c r="BD126" s="112"/>
      <c r="BE126" s="112"/>
      <c r="BF126" s="112"/>
      <c r="BG126" s="112"/>
      <c r="BH126" s="112"/>
      <c r="BI126" s="112">
        <v>3799.98</v>
      </c>
      <c r="BJ126" s="112">
        <v>3767.76</v>
      </c>
      <c r="BK126" s="112">
        <v>5754.21</v>
      </c>
      <c r="BL126" s="112">
        <v>0.19950300000000001</v>
      </c>
      <c r="BM126" s="112">
        <v>0.27060899999999999</v>
      </c>
      <c r="BN126" s="112">
        <v>105</v>
      </c>
      <c r="BO126" s="112">
        <v>1.7095899999999999</v>
      </c>
      <c r="BP126" s="112">
        <v>1155.1500000000001</v>
      </c>
      <c r="BQ126" s="112">
        <v>0.104948</v>
      </c>
      <c r="BR126" s="112">
        <v>2.4348800000000002</v>
      </c>
      <c r="BS126" s="112">
        <v>2.8400000000000002E-2</v>
      </c>
      <c r="BT126" s="112">
        <v>1.7759799999999999</v>
      </c>
      <c r="BU126" s="112"/>
      <c r="BV126" s="112">
        <v>2.2902399999999998</v>
      </c>
      <c r="BW126" s="112">
        <v>96.510099999999994</v>
      </c>
      <c r="BX126" s="112">
        <v>7.4804599999999999</v>
      </c>
      <c r="BY126" s="112">
        <v>46.100299999999997</v>
      </c>
      <c r="BZ126" s="112">
        <v>16.481300000000001</v>
      </c>
      <c r="CA126">
        <v>61.3217</v>
      </c>
      <c r="CB126">
        <v>17.187100000000001</v>
      </c>
      <c r="CC126">
        <v>9.57254</v>
      </c>
      <c r="CD126">
        <v>9.57254</v>
      </c>
      <c r="CE126">
        <v>0.30751200000000001</v>
      </c>
      <c r="CF126">
        <v>18.589600000000001</v>
      </c>
      <c r="CG126">
        <v>7.0028499999999994E-2</v>
      </c>
      <c r="CM126">
        <v>3866.65</v>
      </c>
      <c r="CN126">
        <v>3834.42</v>
      </c>
      <c r="CO126">
        <v>4649.97</v>
      </c>
      <c r="CP126">
        <v>0.18360299999999999</v>
      </c>
      <c r="CQ126">
        <v>0.24634400000000001</v>
      </c>
      <c r="CR126">
        <v>106</v>
      </c>
      <c r="CS126">
        <v>25.446400000000001</v>
      </c>
      <c r="CT126">
        <v>544.66300000000001</v>
      </c>
      <c r="CU126">
        <v>0.77333799999999997</v>
      </c>
      <c r="CV126">
        <v>8.9955599999999993</v>
      </c>
      <c r="CW126">
        <v>0.19050700000000001</v>
      </c>
      <c r="CX126">
        <v>6.77956</v>
      </c>
      <c r="CY126">
        <v>0</v>
      </c>
      <c r="CZ126">
        <v>2.8850699999999998</v>
      </c>
      <c r="DA126">
        <v>104.581</v>
      </c>
      <c r="DB126">
        <v>26.6876</v>
      </c>
      <c r="DC126">
        <v>46.057600000000001</v>
      </c>
      <c r="DD126">
        <v>13.3569</v>
      </c>
      <c r="DE126">
        <v>61.047800000000002</v>
      </c>
      <c r="DF126">
        <v>14.660399999999999</v>
      </c>
      <c r="DG126">
        <v>14.8094</v>
      </c>
      <c r="DH126">
        <v>14.8094</v>
      </c>
      <c r="DI126">
        <v>0.89843799999999996</v>
      </c>
      <c r="DJ126">
        <v>18.387899999999998</v>
      </c>
      <c r="DK126">
        <v>1.47864E-2</v>
      </c>
      <c r="EA126">
        <v>0.22525100000000001</v>
      </c>
      <c r="EB126">
        <v>1.9475800000000001</v>
      </c>
      <c r="EC126">
        <v>0</v>
      </c>
      <c r="ED126">
        <v>3.23706</v>
      </c>
      <c r="EE126">
        <v>97.179000000000002</v>
      </c>
      <c r="EF126">
        <v>8.9541000000000004</v>
      </c>
      <c r="EG126">
        <v>46.099600000000002</v>
      </c>
      <c r="EH126">
        <v>11.8932</v>
      </c>
      <c r="EI126">
        <v>60.9818</v>
      </c>
      <c r="EJ126">
        <v>16.982099999999999</v>
      </c>
      <c r="EK126">
        <v>17.965199999999999</v>
      </c>
      <c r="EL126">
        <v>17.965199999999999</v>
      </c>
      <c r="EM126">
        <v>1.3683799999999999</v>
      </c>
      <c r="EN126">
        <v>18.301100000000002</v>
      </c>
      <c r="EO126">
        <v>0.54367600000000005</v>
      </c>
    </row>
    <row r="127" spans="1:145" x14ac:dyDescent="0.2">
      <c r="A127" s="86"/>
      <c r="B127" s="442"/>
      <c r="C127" s="510"/>
      <c r="E127" s="394"/>
      <c r="F127" s="8"/>
      <c r="K127" s="1"/>
      <c r="L127" s="1"/>
      <c r="AD127" s="112"/>
      <c r="AE127" s="112">
        <v>3649.98</v>
      </c>
      <c r="AF127" s="112">
        <v>3617.77</v>
      </c>
      <c r="AG127" s="112">
        <v>5669.96</v>
      </c>
      <c r="AH127" s="112">
        <v>0.20092199999999999</v>
      </c>
      <c r="AI127" s="112">
        <v>0.27489599999999997</v>
      </c>
      <c r="AJ127" s="112">
        <v>105</v>
      </c>
      <c r="AK127" s="112">
        <v>0.91489299999999996</v>
      </c>
      <c r="AL127" s="112">
        <v>1918.81</v>
      </c>
      <c r="AM127" s="112">
        <v>9.0354000000000004E-2</v>
      </c>
      <c r="AN127" s="112">
        <v>2.1438299999999999</v>
      </c>
      <c r="AO127" s="112">
        <v>2.4837999999999999E-2</v>
      </c>
      <c r="AP127" s="112">
        <v>1.5545</v>
      </c>
      <c r="AQ127" s="112"/>
      <c r="AR127" s="112">
        <v>2.29508</v>
      </c>
      <c r="AS127" s="112">
        <v>96.469899999999996</v>
      </c>
      <c r="AT127" s="112">
        <v>6.54908</v>
      </c>
      <c r="AU127" s="112">
        <v>46.151699999999998</v>
      </c>
      <c r="AV127" s="112">
        <v>16.488700000000001</v>
      </c>
      <c r="AW127" s="112">
        <v>61.417999999999999</v>
      </c>
      <c r="AX127" s="112">
        <v>17.1953</v>
      </c>
      <c r="AY127" s="112">
        <v>9.6557600000000008</v>
      </c>
      <c r="AZ127" s="112">
        <v>9.6557600000000008</v>
      </c>
      <c r="BA127" s="112">
        <v>0.31013099999999999</v>
      </c>
      <c r="BB127" s="112">
        <v>18.6341</v>
      </c>
      <c r="BC127" s="112">
        <v>0.241924</v>
      </c>
      <c r="BD127" s="112"/>
      <c r="BE127" s="112"/>
      <c r="BF127" s="112"/>
      <c r="BG127" s="112"/>
      <c r="BH127" s="112"/>
      <c r="BI127" s="112">
        <v>3866.65</v>
      </c>
      <c r="BJ127" s="112">
        <v>3834.43</v>
      </c>
      <c r="BK127" s="112">
        <v>5797.89</v>
      </c>
      <c r="BL127" s="112">
        <v>0.19970599999999999</v>
      </c>
      <c r="BM127" s="112">
        <v>0.27110600000000001</v>
      </c>
      <c r="BN127" s="112">
        <v>105</v>
      </c>
      <c r="BO127" s="112">
        <v>1.88306</v>
      </c>
      <c r="BP127" s="112">
        <v>1198.6600000000001</v>
      </c>
      <c r="BQ127" s="112">
        <v>0.104813</v>
      </c>
      <c r="BR127" s="112">
        <v>2.4332500000000001</v>
      </c>
      <c r="BS127" s="112">
        <v>2.84155E-2</v>
      </c>
      <c r="BT127" s="112">
        <v>1.7735799999999999</v>
      </c>
      <c r="BU127" s="112"/>
      <c r="BV127" s="112">
        <v>2.28403</v>
      </c>
      <c r="BW127" s="112">
        <v>96.4465</v>
      </c>
      <c r="BX127" s="112">
        <v>7.4762599999999999</v>
      </c>
      <c r="BY127" s="112">
        <v>46.0839</v>
      </c>
      <c r="BZ127" s="112">
        <v>16.506900000000002</v>
      </c>
      <c r="CA127">
        <v>61.293599999999998</v>
      </c>
      <c r="CB127">
        <v>17.213100000000001</v>
      </c>
      <c r="CC127">
        <v>9.50685</v>
      </c>
      <c r="CD127">
        <v>9.50685</v>
      </c>
      <c r="CE127">
        <v>0.303255</v>
      </c>
      <c r="CF127">
        <v>18.5777</v>
      </c>
      <c r="CG127">
        <v>7.1090200000000006E-2</v>
      </c>
      <c r="CM127">
        <v>3933.32</v>
      </c>
      <c r="CN127">
        <v>3901.09</v>
      </c>
      <c r="CO127">
        <v>4690.26</v>
      </c>
      <c r="CP127">
        <v>0.18421199999999999</v>
      </c>
      <c r="CQ127">
        <v>0.247277</v>
      </c>
      <c r="CR127">
        <v>106</v>
      </c>
      <c r="CS127">
        <v>27.4954</v>
      </c>
      <c r="CT127">
        <v>582.904</v>
      </c>
      <c r="CU127">
        <v>0.77048000000000005</v>
      </c>
      <c r="CV127">
        <v>8.9611699999999992</v>
      </c>
      <c r="CW127">
        <v>0.190522</v>
      </c>
      <c r="CX127">
        <v>6.7452800000000002</v>
      </c>
      <c r="CY127">
        <v>0</v>
      </c>
      <c r="CZ127">
        <v>2.86958</v>
      </c>
      <c r="DA127">
        <v>104.324</v>
      </c>
      <c r="DB127">
        <v>26.624500000000001</v>
      </c>
      <c r="DC127">
        <v>46.053800000000003</v>
      </c>
      <c r="DD127">
        <v>13.4275</v>
      </c>
      <c r="DE127">
        <v>61.045900000000003</v>
      </c>
      <c r="DF127">
        <v>14.7356</v>
      </c>
      <c r="DG127">
        <v>14.661300000000001</v>
      </c>
      <c r="DH127">
        <v>14.661300000000001</v>
      </c>
      <c r="DI127">
        <v>0.87899000000000005</v>
      </c>
      <c r="DJ127">
        <v>18.388999999999999</v>
      </c>
      <c r="DK127">
        <v>1.6007500000000001E-2</v>
      </c>
      <c r="EA127">
        <v>0.22537599999999999</v>
      </c>
      <c r="EB127">
        <v>1.9321900000000001</v>
      </c>
      <c r="EC127">
        <v>0</v>
      </c>
      <c r="ED127">
        <v>3.2097699999999998</v>
      </c>
      <c r="EE127">
        <v>96.837000000000003</v>
      </c>
      <c r="EF127">
        <v>8.92286</v>
      </c>
      <c r="EG127">
        <v>46.081299999999999</v>
      </c>
      <c r="EH127">
        <v>11.988899999999999</v>
      </c>
      <c r="EI127">
        <v>60.9497</v>
      </c>
      <c r="EJ127">
        <v>17.103200000000001</v>
      </c>
      <c r="EK127">
        <v>17.689599999999999</v>
      </c>
      <c r="EL127">
        <v>17.689599999999999</v>
      </c>
      <c r="EM127">
        <v>1.33005</v>
      </c>
      <c r="EN127">
        <v>18.287199999999999</v>
      </c>
      <c r="EO127">
        <v>0.54333399999999998</v>
      </c>
    </row>
    <row r="128" spans="1:145" x14ac:dyDescent="0.2">
      <c r="A128" s="86"/>
      <c r="B128" s="442"/>
      <c r="C128" s="510"/>
      <c r="E128" s="394"/>
      <c r="F128" s="8"/>
      <c r="K128" s="1"/>
      <c r="L128" s="1"/>
      <c r="AD128" s="112"/>
      <c r="AE128" s="112">
        <v>3724.98</v>
      </c>
      <c r="AF128" s="112">
        <v>3692.77</v>
      </c>
      <c r="AG128" s="112">
        <v>5719.42</v>
      </c>
      <c r="AH128" s="112">
        <v>0.200987</v>
      </c>
      <c r="AI128" s="112">
        <v>0.27525699999999997</v>
      </c>
      <c r="AJ128" s="112">
        <v>105</v>
      </c>
      <c r="AK128" s="112">
        <v>1.0668500000000001</v>
      </c>
      <c r="AL128" s="112">
        <v>1968.11</v>
      </c>
      <c r="AM128" s="112">
        <v>9.0304200000000001E-2</v>
      </c>
      <c r="AN128" s="112">
        <v>2.1438299999999999</v>
      </c>
      <c r="AO128" s="112">
        <v>2.4856900000000001E-2</v>
      </c>
      <c r="AP128" s="112">
        <v>1.55372</v>
      </c>
      <c r="AQ128" s="112"/>
      <c r="AR128" s="112">
        <v>2.29033</v>
      </c>
      <c r="AS128" s="112">
        <v>96.446700000000007</v>
      </c>
      <c r="AT128" s="112">
        <v>6.5478199999999998</v>
      </c>
      <c r="AU128" s="112">
        <v>46.1265</v>
      </c>
      <c r="AV128" s="112">
        <v>16.4986</v>
      </c>
      <c r="AW128" s="112">
        <v>61.372300000000003</v>
      </c>
      <c r="AX128" s="112">
        <v>17.205200000000001</v>
      </c>
      <c r="AY128" s="112">
        <v>9.5960000000000001</v>
      </c>
      <c r="AZ128" s="112">
        <v>9.5960000000000001</v>
      </c>
      <c r="BA128" s="112">
        <v>0.30717299999999997</v>
      </c>
      <c r="BB128" s="112">
        <v>18.613600000000002</v>
      </c>
      <c r="BC128" s="112">
        <v>0.24212400000000001</v>
      </c>
      <c r="BD128" s="112"/>
      <c r="BE128" s="112"/>
      <c r="BF128" s="112"/>
      <c r="BG128" s="112"/>
      <c r="BH128" s="112"/>
      <c r="BI128" s="112">
        <v>3933.32</v>
      </c>
      <c r="BJ128" s="112">
        <v>3901.09</v>
      </c>
      <c r="BK128" s="112">
        <v>5841.63</v>
      </c>
      <c r="BL128" s="112">
        <v>0.20000699999999999</v>
      </c>
      <c r="BM128" s="112">
        <v>0.27169700000000002</v>
      </c>
      <c r="BN128" s="112">
        <v>105</v>
      </c>
      <c r="BO128" s="112">
        <v>2.0562299999999998</v>
      </c>
      <c r="BP128" s="112">
        <v>1242.23</v>
      </c>
      <c r="BQ128" s="112">
        <v>0.104625</v>
      </c>
      <c r="BR128" s="112">
        <v>2.4304999999999999</v>
      </c>
      <c r="BS128" s="112">
        <v>2.8426199999999999E-2</v>
      </c>
      <c r="BT128" s="112">
        <v>1.77014</v>
      </c>
      <c r="BU128" s="112"/>
      <c r="BV128" s="112">
        <v>2.2768899999999999</v>
      </c>
      <c r="BW128" s="112">
        <v>96.354600000000005</v>
      </c>
      <c r="BX128" s="112">
        <v>7.4705300000000001</v>
      </c>
      <c r="BY128" s="112">
        <v>46.072299999999998</v>
      </c>
      <c r="BZ128" s="112">
        <v>16.545500000000001</v>
      </c>
      <c r="CA128">
        <v>61.275700000000001</v>
      </c>
      <c r="CB128">
        <v>17.252400000000002</v>
      </c>
      <c r="CC128">
        <v>9.4318899999999992</v>
      </c>
      <c r="CD128">
        <v>9.4318899999999992</v>
      </c>
      <c r="CE128">
        <v>0.29778100000000002</v>
      </c>
      <c r="CF128">
        <v>18.571000000000002</v>
      </c>
      <c r="CG128">
        <v>7.2143799999999994E-2</v>
      </c>
      <c r="CM128">
        <v>3999.98</v>
      </c>
      <c r="CN128">
        <v>3967.76</v>
      </c>
      <c r="CO128">
        <v>4730.7</v>
      </c>
      <c r="CP128">
        <v>0.18489</v>
      </c>
      <c r="CQ128">
        <v>0.24829799999999999</v>
      </c>
      <c r="CR128">
        <v>106</v>
      </c>
      <c r="CS128">
        <v>29.5337</v>
      </c>
      <c r="CT128">
        <v>621.303</v>
      </c>
      <c r="CU128">
        <v>0.76729599999999998</v>
      </c>
      <c r="CV128">
        <v>8.9239700000000006</v>
      </c>
      <c r="CW128">
        <v>0.19051799999999999</v>
      </c>
      <c r="CX128">
        <v>6.70817</v>
      </c>
      <c r="CY128">
        <v>0</v>
      </c>
      <c r="CZ128">
        <v>2.8532600000000001</v>
      </c>
      <c r="DA128">
        <v>104.044</v>
      </c>
      <c r="DB128">
        <v>26.556000000000001</v>
      </c>
      <c r="DC128">
        <v>46.052900000000001</v>
      </c>
      <c r="DD128">
        <v>13.505100000000001</v>
      </c>
      <c r="DE128">
        <v>61.0503</v>
      </c>
      <c r="DF128">
        <v>14.818099999999999</v>
      </c>
      <c r="DG128">
        <v>14.5085</v>
      </c>
      <c r="DH128">
        <v>14.5085</v>
      </c>
      <c r="DI128">
        <v>0.85848100000000005</v>
      </c>
      <c r="DJ128">
        <v>18.3934</v>
      </c>
      <c r="DK128">
        <v>1.7221199999999999E-2</v>
      </c>
      <c r="EA128">
        <v>89.610200000000006</v>
      </c>
      <c r="EB128">
        <v>566.93899999999996</v>
      </c>
      <c r="EC128">
        <v>0</v>
      </c>
      <c r="ED128">
        <v>0</v>
      </c>
      <c r="EE128">
        <v>0</v>
      </c>
      <c r="EF128">
        <v>3109.27</v>
      </c>
      <c r="EG128">
        <v>46.114899999999999</v>
      </c>
      <c r="EH128">
        <v>16.2789</v>
      </c>
      <c r="EI128">
        <v>61.328699999999998</v>
      </c>
      <c r="EJ128">
        <v>22.427600000000002</v>
      </c>
      <c r="EK128">
        <v>9.8877400000000009</v>
      </c>
      <c r="EL128">
        <v>9.8877400000000009</v>
      </c>
      <c r="EM128">
        <v>0.33432200000000001</v>
      </c>
      <c r="EN128">
        <v>18.584900000000001</v>
      </c>
      <c r="EO128">
        <v>0.54333399999999998</v>
      </c>
    </row>
    <row r="129" spans="1:145" x14ac:dyDescent="0.2">
      <c r="A129" s="86"/>
      <c r="B129" s="442"/>
      <c r="C129" s="510"/>
      <c r="E129" s="394"/>
      <c r="F129" s="8"/>
      <c r="K129" s="1"/>
      <c r="L129" s="1"/>
      <c r="AD129" s="112"/>
      <c r="AE129" s="112">
        <v>3799.98</v>
      </c>
      <c r="AF129" s="112">
        <v>3767.77</v>
      </c>
      <c r="AG129" s="112">
        <v>5768.9</v>
      </c>
      <c r="AH129" s="112">
        <v>0.201097</v>
      </c>
      <c r="AI129" s="112">
        <v>0.27567199999999997</v>
      </c>
      <c r="AJ129" s="112">
        <v>105</v>
      </c>
      <c r="AK129" s="112">
        <v>1.2186699999999999</v>
      </c>
      <c r="AL129" s="112">
        <v>2017.44</v>
      </c>
      <c r="AM129" s="112">
        <v>9.0232199999999999E-2</v>
      </c>
      <c r="AN129" s="112">
        <v>2.1433800000000001</v>
      </c>
      <c r="AO129" s="112">
        <v>2.4874500000000001E-2</v>
      </c>
      <c r="AP129" s="112">
        <v>1.5525100000000001</v>
      </c>
      <c r="AQ129" s="112"/>
      <c r="AR129" s="112">
        <v>2.2850199999999998</v>
      </c>
      <c r="AS129" s="112">
        <v>96.410300000000007</v>
      </c>
      <c r="AT129" s="112">
        <v>6.5458999999999996</v>
      </c>
      <c r="AU129" s="112">
        <v>46.103400000000001</v>
      </c>
      <c r="AV129" s="112">
        <v>16.514399999999998</v>
      </c>
      <c r="AW129" s="112">
        <v>61.330800000000004</v>
      </c>
      <c r="AX129" s="112">
        <v>17.2211</v>
      </c>
      <c r="AY129" s="112">
        <v>9.5317600000000002</v>
      </c>
      <c r="AZ129" s="112">
        <v>9.5317600000000002</v>
      </c>
      <c r="BA129" s="112">
        <v>0.30365500000000001</v>
      </c>
      <c r="BB129" s="112">
        <v>18.595199999999998</v>
      </c>
      <c r="BC129" s="112">
        <v>0.24232500000000001</v>
      </c>
      <c r="BD129" s="112"/>
      <c r="BE129" s="112"/>
      <c r="BF129" s="112"/>
      <c r="BG129" s="112"/>
      <c r="BH129" s="112"/>
      <c r="BI129" s="112">
        <v>3999.98</v>
      </c>
      <c r="BJ129" s="112">
        <v>3967.76</v>
      </c>
      <c r="BK129" s="112">
        <v>5885.48</v>
      </c>
      <c r="BL129" s="112">
        <v>0.20047300000000001</v>
      </c>
      <c r="BM129" s="112">
        <v>0.27247100000000002</v>
      </c>
      <c r="BN129" s="112">
        <v>105</v>
      </c>
      <c r="BO129" s="112">
        <v>2.2289300000000001</v>
      </c>
      <c r="BP129" s="112">
        <v>1285.9100000000001</v>
      </c>
      <c r="BQ129" s="112">
        <v>0.10434499999999999</v>
      </c>
      <c r="BR129" s="112">
        <v>2.4259400000000002</v>
      </c>
      <c r="BS129" s="112">
        <v>2.8430799999999999E-2</v>
      </c>
      <c r="BT129" s="112">
        <v>1.76494</v>
      </c>
      <c r="BU129" s="112"/>
      <c r="BV129" s="112">
        <v>2.2678600000000002</v>
      </c>
      <c r="BW129" s="112">
        <v>96.215400000000002</v>
      </c>
      <c r="BX129" s="112">
        <v>7.4618900000000004</v>
      </c>
      <c r="BY129" s="112">
        <v>46.067900000000002</v>
      </c>
      <c r="BZ129" s="112">
        <v>16.604199999999999</v>
      </c>
      <c r="CA129">
        <v>61.273699999999998</v>
      </c>
      <c r="CB129">
        <v>17.3124</v>
      </c>
      <c r="CC129">
        <v>9.3427600000000002</v>
      </c>
      <c r="CD129">
        <v>9.3427600000000002</v>
      </c>
      <c r="CE129">
        <v>0.290466</v>
      </c>
      <c r="CF129">
        <v>18.572500000000002</v>
      </c>
      <c r="CG129">
        <v>7.3190500000000006E-2</v>
      </c>
      <c r="EA129">
        <v>0.224076</v>
      </c>
      <c r="EB129">
        <v>1.4152499999999999</v>
      </c>
      <c r="EC129">
        <v>0</v>
      </c>
      <c r="ED129">
        <v>2.31793</v>
      </c>
      <c r="EE129">
        <v>84.409599999999998</v>
      </c>
      <c r="EF129">
        <v>7.7718100000000003</v>
      </c>
      <c r="EG129">
        <v>46.1023</v>
      </c>
      <c r="EH129">
        <v>16.327100000000002</v>
      </c>
      <c r="EI129">
        <v>61.309800000000003</v>
      </c>
      <c r="EJ129">
        <v>22.4757</v>
      </c>
      <c r="EK129">
        <v>9.7949300000000008</v>
      </c>
      <c r="EL129">
        <v>9.7949300000000008</v>
      </c>
      <c r="EM129">
        <v>0.32713599999999998</v>
      </c>
      <c r="EN129">
        <v>18.578099999999999</v>
      </c>
      <c r="EO129">
        <v>0.54357599999999995</v>
      </c>
    </row>
    <row r="130" spans="1:145" x14ac:dyDescent="0.2">
      <c r="A130" s="86"/>
      <c r="B130" s="442"/>
      <c r="C130" s="510"/>
      <c r="E130" s="394"/>
      <c r="F130" s="8"/>
      <c r="K130" s="1"/>
      <c r="L130" s="1"/>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EA130">
        <v>0.22414000000000001</v>
      </c>
      <c r="EB130">
        <v>1.41093</v>
      </c>
      <c r="EC130">
        <v>0</v>
      </c>
      <c r="ED130">
        <v>2.3079999999999998</v>
      </c>
      <c r="EE130">
        <v>84.299899999999994</v>
      </c>
      <c r="EF130">
        <v>7.7619999999999996</v>
      </c>
      <c r="EG130">
        <v>46.091099999999997</v>
      </c>
      <c r="EH130">
        <v>16.378699999999998</v>
      </c>
      <c r="EI130">
        <v>61.293900000000001</v>
      </c>
      <c r="EJ130">
        <v>22.535799999999998</v>
      </c>
      <c r="EK130">
        <v>9.7004400000000004</v>
      </c>
      <c r="EL130">
        <v>9.7004400000000004</v>
      </c>
      <c r="EM130">
        <v>0.31972099999999998</v>
      </c>
      <c r="EN130">
        <v>18.572700000000001</v>
      </c>
      <c r="EO130">
        <v>0.54382200000000003</v>
      </c>
    </row>
    <row r="131" spans="1:145" x14ac:dyDescent="0.2">
      <c r="A131" s="86"/>
      <c r="B131" s="442"/>
      <c r="C131" s="510"/>
      <c r="E131" s="394"/>
      <c r="F131" s="8"/>
      <c r="K131" s="1"/>
      <c r="L131" s="1"/>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row>
    <row r="132" spans="1:145" x14ac:dyDescent="0.2">
      <c r="A132" s="86"/>
      <c r="B132" s="442"/>
      <c r="C132" s="510"/>
      <c r="E132" s="394"/>
      <c r="F132" s="8"/>
      <c r="K132" s="1"/>
      <c r="L132" s="1"/>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EA132">
        <v>0.219169</v>
      </c>
      <c r="EB132">
        <v>1.7741400000000001</v>
      </c>
      <c r="EC132">
        <v>0</v>
      </c>
      <c r="ED132">
        <v>3.0379499999999999</v>
      </c>
      <c r="EE132">
        <v>94.313199999999995</v>
      </c>
      <c r="EF132">
        <v>8.4626699999999992</v>
      </c>
      <c r="EG132">
        <v>46.1083</v>
      </c>
      <c r="EH132">
        <v>12.7103</v>
      </c>
      <c r="EI132">
        <v>61.043100000000003</v>
      </c>
      <c r="EJ132">
        <v>18.0246</v>
      </c>
      <c r="EK132">
        <v>16.183900000000001</v>
      </c>
      <c r="EL132">
        <v>16.183900000000001</v>
      </c>
      <c r="EM132">
        <v>1.09396</v>
      </c>
      <c r="EN132">
        <v>18.346900000000002</v>
      </c>
      <c r="EO132">
        <v>0.58716199999999996</v>
      </c>
    </row>
    <row r="133" spans="1:145" x14ac:dyDescent="0.2">
      <c r="A133" s="86"/>
      <c r="B133" s="442"/>
      <c r="C133" s="510"/>
      <c r="E133" s="394"/>
      <c r="F133" s="8"/>
      <c r="K133" s="1"/>
      <c r="L133" s="1"/>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EA133">
        <v>0.21928900000000001</v>
      </c>
      <c r="EB133">
        <v>1.76173</v>
      </c>
      <c r="EC133">
        <v>0</v>
      </c>
      <c r="ED133">
        <v>3.0139800000000001</v>
      </c>
      <c r="EE133">
        <v>94.022000000000006</v>
      </c>
      <c r="EF133">
        <v>8.4367999999999999</v>
      </c>
      <c r="EG133">
        <v>46.089700000000001</v>
      </c>
      <c r="EH133">
        <v>12.8009</v>
      </c>
      <c r="EI133">
        <v>61.011299999999999</v>
      </c>
      <c r="EJ133">
        <v>18.137499999999999</v>
      </c>
      <c r="EK133">
        <v>15.9399</v>
      </c>
      <c r="EL133">
        <v>15.9399</v>
      </c>
      <c r="EM133">
        <v>1.0629200000000001</v>
      </c>
      <c r="EN133">
        <v>18.333400000000001</v>
      </c>
      <c r="EO133">
        <v>0.58674499999999996</v>
      </c>
    </row>
    <row r="134" spans="1:145" x14ac:dyDescent="0.2">
      <c r="A134" s="86"/>
      <c r="B134" s="442"/>
      <c r="C134" s="510"/>
      <c r="E134" s="394"/>
      <c r="F134" s="8"/>
      <c r="K134" s="1"/>
      <c r="L134" s="1"/>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EA134">
        <v>87.270600000000002</v>
      </c>
      <c r="EB134">
        <v>551.10699999999997</v>
      </c>
      <c r="EC134">
        <v>0</v>
      </c>
      <c r="ED134">
        <v>0</v>
      </c>
      <c r="EE134">
        <v>0</v>
      </c>
      <c r="EF134">
        <v>3025.78</v>
      </c>
      <c r="EG134">
        <v>46.116</v>
      </c>
      <c r="EH134">
        <v>16.310700000000001</v>
      </c>
      <c r="EI134">
        <v>61.333799999999997</v>
      </c>
      <c r="EJ134">
        <v>22.465699999999998</v>
      </c>
      <c r="EK134">
        <v>9.8439099999999993</v>
      </c>
      <c r="EL134">
        <v>9.8439099999999993</v>
      </c>
      <c r="EM134">
        <v>0.33024300000000001</v>
      </c>
      <c r="EN134">
        <v>18.5885</v>
      </c>
      <c r="EO134">
        <v>0.58674499999999996</v>
      </c>
    </row>
    <row r="135" spans="1:145" x14ac:dyDescent="0.2">
      <c r="A135" s="86"/>
      <c r="B135" s="442"/>
      <c r="C135" s="510"/>
      <c r="E135" s="394"/>
      <c r="F135" s="8"/>
      <c r="K135" s="1"/>
      <c r="L135" s="1"/>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EA135">
        <v>0.218227</v>
      </c>
      <c r="EB135">
        <v>1.37574</v>
      </c>
      <c r="EC135">
        <v>0</v>
      </c>
      <c r="ED135">
        <v>2.3127499999999999</v>
      </c>
      <c r="EE135">
        <v>84.338200000000001</v>
      </c>
      <c r="EF135">
        <v>7.5631199999999996</v>
      </c>
      <c r="EG135">
        <v>46.103200000000001</v>
      </c>
      <c r="EH135">
        <v>16.358799999999999</v>
      </c>
      <c r="EI135">
        <v>61.314599999999999</v>
      </c>
      <c r="EJ135">
        <v>22.5136</v>
      </c>
      <c r="EK135">
        <v>9.7512500000000006</v>
      </c>
      <c r="EL135">
        <v>9.7512500000000006</v>
      </c>
      <c r="EM135">
        <v>0.32311899999999999</v>
      </c>
      <c r="EN135">
        <v>18.581499999999998</v>
      </c>
      <c r="EO135">
        <v>0.58684599999999998</v>
      </c>
    </row>
    <row r="136" spans="1:145" x14ac:dyDescent="0.2">
      <c r="A136" s="86"/>
      <c r="B136" s="442"/>
      <c r="C136" s="510"/>
      <c r="E136" s="394"/>
      <c r="F136" s="8"/>
      <c r="K136" s="1"/>
      <c r="L136" s="1"/>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EA136">
        <v>0.21829000000000001</v>
      </c>
      <c r="EB136">
        <v>1.37155</v>
      </c>
      <c r="EC136">
        <v>0</v>
      </c>
      <c r="ED136">
        <v>2.3028400000000002</v>
      </c>
      <c r="EE136">
        <v>84.229200000000006</v>
      </c>
      <c r="EF136">
        <v>7.5536099999999999</v>
      </c>
      <c r="EG136">
        <v>46.091799999999999</v>
      </c>
      <c r="EH136">
        <v>16.410299999999999</v>
      </c>
      <c r="EI136">
        <v>61.298400000000001</v>
      </c>
      <c r="EJ136">
        <v>22.573599999999999</v>
      </c>
      <c r="EK136">
        <v>9.6569299999999991</v>
      </c>
      <c r="EL136">
        <v>9.6569299999999991</v>
      </c>
      <c r="EM136">
        <v>0.31577300000000003</v>
      </c>
      <c r="EN136">
        <v>18.5761</v>
      </c>
      <c r="EO136">
        <v>0.58695299999999995</v>
      </c>
    </row>
    <row r="137" spans="1:145" x14ac:dyDescent="0.2">
      <c r="A137" s="86"/>
      <c r="B137" s="442"/>
      <c r="C137" s="510"/>
      <c r="E137" s="394"/>
      <c r="F137" s="8"/>
      <c r="K137" s="1"/>
      <c r="L137" s="1"/>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row>
    <row r="138" spans="1:145" x14ac:dyDescent="0.2">
      <c r="A138" s="86"/>
      <c r="B138" s="442"/>
      <c r="C138" s="510"/>
      <c r="E138" s="394"/>
      <c r="F138" s="8"/>
      <c r="K138" s="1"/>
      <c r="L138" s="1"/>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EA138">
        <v>0.219169</v>
      </c>
      <c r="EB138">
        <v>1.7741400000000001</v>
      </c>
      <c r="EC138">
        <v>0</v>
      </c>
      <c r="ED138">
        <v>3.0379499999999999</v>
      </c>
      <c r="EE138">
        <v>94.313199999999995</v>
      </c>
      <c r="EF138">
        <v>8.4626699999999992</v>
      </c>
      <c r="EG138">
        <v>46.1083</v>
      </c>
      <c r="EH138">
        <v>12.7103</v>
      </c>
      <c r="EI138">
        <v>61.043100000000003</v>
      </c>
      <c r="EJ138">
        <v>18.0246</v>
      </c>
      <c r="EK138">
        <v>16.183900000000001</v>
      </c>
      <c r="EL138">
        <v>16.183900000000001</v>
      </c>
      <c r="EM138">
        <v>1.09396</v>
      </c>
      <c r="EN138">
        <v>18.346900000000002</v>
      </c>
      <c r="EO138">
        <v>0.58716199999999996</v>
      </c>
    </row>
    <row r="139" spans="1:145" x14ac:dyDescent="0.2">
      <c r="A139" s="86"/>
      <c r="B139" s="442"/>
      <c r="C139" s="510"/>
      <c r="E139" s="394"/>
      <c r="F139" s="8"/>
      <c r="K139" s="1"/>
      <c r="L139" s="1"/>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EA139">
        <v>0.21928900000000001</v>
      </c>
      <c r="EB139">
        <v>1.76173</v>
      </c>
      <c r="EC139">
        <v>0</v>
      </c>
      <c r="ED139">
        <v>3.0139800000000001</v>
      </c>
      <c r="EE139">
        <v>94.022000000000006</v>
      </c>
      <c r="EF139">
        <v>8.4367999999999999</v>
      </c>
      <c r="EG139">
        <v>46.089700000000001</v>
      </c>
      <c r="EH139">
        <v>12.8009</v>
      </c>
      <c r="EI139">
        <v>61.011299999999999</v>
      </c>
      <c r="EJ139">
        <v>18.137499999999999</v>
      </c>
      <c r="EK139">
        <v>15.9399</v>
      </c>
      <c r="EL139">
        <v>15.9399</v>
      </c>
      <c r="EM139">
        <v>1.0629200000000001</v>
      </c>
      <c r="EN139">
        <v>18.333400000000001</v>
      </c>
      <c r="EO139">
        <v>0.58674499999999996</v>
      </c>
    </row>
    <row r="140" spans="1:145" x14ac:dyDescent="0.2">
      <c r="A140" s="86"/>
      <c r="B140" s="442"/>
      <c r="C140" s="510"/>
      <c r="E140" s="394"/>
      <c r="F140" s="8"/>
      <c r="K140" s="1"/>
      <c r="L140" s="1"/>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EA140">
        <v>87.270600000000002</v>
      </c>
      <c r="EB140">
        <v>551.10699999999997</v>
      </c>
      <c r="EC140">
        <v>0</v>
      </c>
      <c r="ED140">
        <v>0</v>
      </c>
      <c r="EE140">
        <v>0</v>
      </c>
      <c r="EF140">
        <v>3025.78</v>
      </c>
      <c r="EG140">
        <v>46.116</v>
      </c>
      <c r="EH140">
        <v>16.310700000000001</v>
      </c>
      <c r="EI140">
        <v>61.333799999999997</v>
      </c>
      <c r="EJ140">
        <v>22.465699999999998</v>
      </c>
      <c r="EK140">
        <v>9.8439099999999993</v>
      </c>
      <c r="EL140">
        <v>9.8439099999999993</v>
      </c>
      <c r="EM140">
        <v>0.33024300000000001</v>
      </c>
      <c r="EN140">
        <v>18.5885</v>
      </c>
      <c r="EO140">
        <v>0.58674499999999996</v>
      </c>
    </row>
    <row r="141" spans="1:145" x14ac:dyDescent="0.2">
      <c r="A141" s="86"/>
      <c r="B141" s="442"/>
      <c r="C141" s="510"/>
      <c r="E141" s="394"/>
      <c r="F141" s="8"/>
      <c r="K141" s="1"/>
      <c r="L141" s="1"/>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EA141">
        <v>0.218227</v>
      </c>
      <c r="EB141">
        <v>1.37574</v>
      </c>
      <c r="EC141">
        <v>0</v>
      </c>
      <c r="ED141">
        <v>2.3127499999999999</v>
      </c>
      <c r="EE141">
        <v>84.338200000000001</v>
      </c>
      <c r="EF141">
        <v>7.5631199999999996</v>
      </c>
      <c r="EG141">
        <v>46.103200000000001</v>
      </c>
      <c r="EH141">
        <v>16.358799999999999</v>
      </c>
      <c r="EI141">
        <v>61.314599999999999</v>
      </c>
      <c r="EJ141">
        <v>22.5136</v>
      </c>
      <c r="EK141">
        <v>9.7512500000000006</v>
      </c>
      <c r="EL141">
        <v>9.7512500000000006</v>
      </c>
      <c r="EM141">
        <v>0.32311899999999999</v>
      </c>
      <c r="EN141">
        <v>18.581499999999998</v>
      </c>
      <c r="EO141">
        <v>0.58684599999999998</v>
      </c>
    </row>
    <row r="142" spans="1:145" x14ac:dyDescent="0.2">
      <c r="A142" s="86"/>
      <c r="B142" s="442"/>
      <c r="C142" s="510"/>
      <c r="E142" s="394"/>
      <c r="F142" s="8"/>
      <c r="K142" s="1"/>
      <c r="L142" s="1"/>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EA142">
        <v>0.21829000000000001</v>
      </c>
      <c r="EB142">
        <v>1.37155</v>
      </c>
      <c r="EC142">
        <v>0</v>
      </c>
      <c r="ED142">
        <v>2.3028400000000002</v>
      </c>
      <c r="EE142">
        <v>84.229200000000006</v>
      </c>
      <c r="EF142">
        <v>7.5536099999999999</v>
      </c>
      <c r="EG142">
        <v>46.091799999999999</v>
      </c>
      <c r="EH142">
        <v>16.410299999999999</v>
      </c>
      <c r="EI142">
        <v>61.298400000000001</v>
      </c>
      <c r="EJ142">
        <v>22.573599999999999</v>
      </c>
      <c r="EK142">
        <v>9.6569299999999991</v>
      </c>
      <c r="EL142">
        <v>9.6569299999999991</v>
      </c>
      <c r="EM142">
        <v>0.31577300000000003</v>
      </c>
      <c r="EN142">
        <v>18.5761</v>
      </c>
      <c r="EO142">
        <v>0.58695299999999995</v>
      </c>
    </row>
    <row r="143" spans="1:145" x14ac:dyDescent="0.2">
      <c r="A143" s="86"/>
      <c r="B143" s="442"/>
      <c r="C143" s="510"/>
      <c r="E143" s="394"/>
      <c r="F143" s="8"/>
      <c r="K143" s="1"/>
      <c r="L143" s="1"/>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row>
    <row r="144" spans="1:145" x14ac:dyDescent="0.2">
      <c r="A144" s="86"/>
      <c r="B144" s="442"/>
      <c r="C144" s="510"/>
      <c r="E144" s="394"/>
      <c r="F144" s="8"/>
      <c r="K144" s="1"/>
      <c r="L144" s="1"/>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EA144">
        <v>0.219169</v>
      </c>
      <c r="EB144">
        <v>1.7741400000000001</v>
      </c>
      <c r="EC144">
        <v>0</v>
      </c>
      <c r="ED144">
        <v>3.0379499999999999</v>
      </c>
      <c r="EE144">
        <v>94.313199999999995</v>
      </c>
      <c r="EF144">
        <v>8.4626699999999992</v>
      </c>
      <c r="EG144">
        <v>46.1083</v>
      </c>
      <c r="EH144">
        <v>12.7103</v>
      </c>
      <c r="EI144">
        <v>61.043100000000003</v>
      </c>
      <c r="EJ144">
        <v>18.0246</v>
      </c>
      <c r="EK144">
        <v>16.183900000000001</v>
      </c>
      <c r="EL144">
        <v>16.183900000000001</v>
      </c>
      <c r="EM144">
        <v>1.09396</v>
      </c>
      <c r="EN144">
        <v>18.346900000000002</v>
      </c>
      <c r="EO144">
        <v>0.58716199999999996</v>
      </c>
    </row>
    <row r="145" spans="1:145" x14ac:dyDescent="0.2">
      <c r="A145" s="86"/>
      <c r="B145" s="442"/>
      <c r="C145" s="510"/>
      <c r="E145" s="394"/>
      <c r="F145" s="8"/>
      <c r="K145" s="1"/>
      <c r="L145" s="1"/>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EA145">
        <v>0.21928900000000001</v>
      </c>
      <c r="EB145">
        <v>1.76173</v>
      </c>
      <c r="EC145">
        <v>0</v>
      </c>
      <c r="ED145">
        <v>3.0139800000000001</v>
      </c>
      <c r="EE145">
        <v>94.022000000000006</v>
      </c>
      <c r="EF145">
        <v>8.4367999999999999</v>
      </c>
      <c r="EG145">
        <v>46.089700000000001</v>
      </c>
      <c r="EH145">
        <v>12.8009</v>
      </c>
      <c r="EI145">
        <v>61.011299999999999</v>
      </c>
      <c r="EJ145">
        <v>18.137499999999999</v>
      </c>
      <c r="EK145">
        <v>15.9399</v>
      </c>
      <c r="EL145">
        <v>15.9399</v>
      </c>
      <c r="EM145">
        <v>1.0629200000000001</v>
      </c>
      <c r="EN145">
        <v>18.333400000000001</v>
      </c>
      <c r="EO145">
        <v>0.58674499999999996</v>
      </c>
    </row>
    <row r="146" spans="1:145" x14ac:dyDescent="0.2">
      <c r="A146" s="86"/>
      <c r="B146" s="442"/>
      <c r="C146" s="510"/>
      <c r="E146" s="394"/>
      <c r="F146" s="8"/>
      <c r="K146" s="1"/>
      <c r="L146" s="1"/>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row>
    <row r="147" spans="1:145" x14ac:dyDescent="0.2">
      <c r="A147" s="86"/>
      <c r="B147" s="442"/>
      <c r="C147" s="510"/>
      <c r="E147" s="394"/>
      <c r="F147" s="8"/>
      <c r="K147" s="1"/>
      <c r="L147" s="1"/>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row>
    <row r="148" spans="1:145" x14ac:dyDescent="0.2">
      <c r="A148" s="86"/>
      <c r="B148" s="442"/>
      <c r="C148" s="510"/>
      <c r="E148" s="394"/>
      <c r="F148" s="8"/>
      <c r="K148" s="1"/>
      <c r="L148" s="1"/>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row>
    <row r="149" spans="1:145" x14ac:dyDescent="0.2">
      <c r="A149" s="86"/>
      <c r="B149" s="442"/>
      <c r="C149" s="510"/>
      <c r="E149" s="394"/>
      <c r="F149" s="8"/>
      <c r="K149" s="1"/>
      <c r="L149" s="1"/>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row>
    <row r="150" spans="1:145" x14ac:dyDescent="0.2">
      <c r="A150" s="86"/>
      <c r="B150" s="442"/>
      <c r="C150" s="510"/>
      <c r="E150" s="394"/>
      <c r="F150" s="8"/>
      <c r="K150" s="1"/>
      <c r="L150" s="1"/>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row>
    <row r="151" spans="1:145" x14ac:dyDescent="0.2">
      <c r="A151" s="86"/>
      <c r="B151" s="442"/>
      <c r="C151" s="510"/>
      <c r="E151" s="394"/>
      <c r="F151" s="8"/>
      <c r="K151" s="1"/>
      <c r="L151" s="1"/>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row>
    <row r="152" spans="1:145" x14ac:dyDescent="0.2">
      <c r="A152" s="86"/>
      <c r="B152" s="442"/>
      <c r="C152" s="510"/>
      <c r="E152" s="394"/>
      <c r="F152" s="8"/>
      <c r="K152" s="1"/>
      <c r="L152" s="1"/>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row>
    <row r="153" spans="1:145" x14ac:dyDescent="0.2">
      <c r="A153" s="86"/>
      <c r="B153" s="442"/>
      <c r="C153" s="510"/>
      <c r="E153" s="394"/>
      <c r="F153" s="8"/>
      <c r="K153" s="1"/>
      <c r="L153" s="1"/>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row>
    <row r="154" spans="1:145" x14ac:dyDescent="0.2">
      <c r="A154" s="86"/>
      <c r="B154" s="442"/>
      <c r="C154" s="510"/>
      <c r="E154" s="394"/>
      <c r="F154" s="8"/>
      <c r="K154" s="1"/>
      <c r="L154" s="1"/>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row>
    <row r="155" spans="1:145" x14ac:dyDescent="0.2">
      <c r="A155" s="86"/>
      <c r="B155" s="442"/>
      <c r="C155" s="510"/>
      <c r="E155" s="394"/>
      <c r="F155" s="8"/>
      <c r="K155" s="1"/>
      <c r="L155" s="1"/>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row>
    <row r="156" spans="1:145" x14ac:dyDescent="0.2">
      <c r="A156" s="86"/>
      <c r="B156" s="442"/>
      <c r="C156" s="510"/>
      <c r="E156" s="394"/>
      <c r="F156" s="8"/>
      <c r="K156" s="1"/>
      <c r="L156" s="1"/>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row>
    <row r="157" spans="1:145" x14ac:dyDescent="0.2">
      <c r="A157" s="86"/>
      <c r="B157" s="442"/>
      <c r="C157" s="510"/>
      <c r="E157" s="394"/>
      <c r="F157" s="8"/>
      <c r="K157" s="1"/>
      <c r="L157" s="1"/>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row>
    <row r="158" spans="1:145" x14ac:dyDescent="0.2">
      <c r="A158" s="86"/>
      <c r="B158" s="442"/>
      <c r="C158" s="510"/>
      <c r="E158" s="394"/>
      <c r="F158" s="8"/>
      <c r="K158" s="1"/>
      <c r="L158" s="1"/>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row>
    <row r="159" spans="1:145" x14ac:dyDescent="0.2">
      <c r="A159" s="86"/>
      <c r="B159" s="442"/>
      <c r="C159" s="510"/>
      <c r="E159" s="394"/>
      <c r="F159" s="8"/>
      <c r="K159" s="1"/>
      <c r="L159" s="1"/>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row>
    <row r="160" spans="1:145" x14ac:dyDescent="0.2">
      <c r="A160" s="86"/>
      <c r="B160" s="442"/>
      <c r="C160" s="510"/>
      <c r="E160" s="394"/>
      <c r="F160" s="8"/>
      <c r="K160" s="1"/>
      <c r="L160" s="1"/>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row>
    <row r="161" spans="1:78" x14ac:dyDescent="0.2">
      <c r="A161" s="86"/>
      <c r="B161" s="442"/>
      <c r="C161" s="510"/>
      <c r="E161" s="394"/>
      <c r="F161" s="8"/>
      <c r="K161" s="1"/>
      <c r="L161" s="1"/>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row>
    <row r="162" spans="1:78" x14ac:dyDescent="0.2">
      <c r="A162" s="86"/>
      <c r="B162" s="442"/>
      <c r="C162" s="510"/>
      <c r="E162" s="394"/>
      <c r="F162" s="8"/>
      <c r="K162" s="1"/>
      <c r="L162" s="1"/>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row>
    <row r="163" spans="1:78" x14ac:dyDescent="0.2">
      <c r="A163" s="86"/>
      <c r="B163" s="442"/>
      <c r="C163" s="510"/>
      <c r="E163" s="394"/>
      <c r="F163" s="8"/>
      <c r="K163" s="1"/>
      <c r="L163" s="1"/>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row>
    <row r="164" spans="1:78" x14ac:dyDescent="0.2">
      <c r="A164" s="86"/>
      <c r="B164" s="442"/>
      <c r="C164" s="510"/>
      <c r="E164" s="394"/>
      <c r="F164" s="8"/>
      <c r="K164" s="1"/>
      <c r="L164" s="1"/>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row>
    <row r="165" spans="1:78" x14ac:dyDescent="0.2">
      <c r="A165" s="86"/>
      <c r="B165" s="442"/>
      <c r="C165" s="510"/>
      <c r="E165" s="394"/>
      <c r="F165" s="8"/>
      <c r="K165" s="1"/>
      <c r="L165" s="1"/>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row>
    <row r="166" spans="1:78" x14ac:dyDescent="0.2">
      <c r="A166" s="86"/>
      <c r="B166" s="442"/>
      <c r="C166" s="510"/>
      <c r="E166" s="394"/>
      <c r="F166" s="8"/>
      <c r="K166" s="1"/>
      <c r="L166" s="1"/>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row>
    <row r="167" spans="1:78" x14ac:dyDescent="0.2">
      <c r="A167" s="86"/>
      <c r="B167" s="442"/>
      <c r="C167" s="510"/>
      <c r="E167" s="394"/>
      <c r="F167" s="8"/>
      <c r="K167" s="1"/>
      <c r="L167" s="1"/>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row>
    <row r="168" spans="1:78" x14ac:dyDescent="0.2">
      <c r="A168" s="86"/>
      <c r="B168" s="442"/>
      <c r="C168" s="510"/>
      <c r="E168" s="394"/>
      <c r="F168" s="8"/>
      <c r="K168" s="1"/>
      <c r="L168" s="1"/>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row>
    <row r="169" spans="1:78" x14ac:dyDescent="0.2">
      <c r="A169" s="86"/>
      <c r="B169" s="442"/>
      <c r="C169" s="510"/>
      <c r="E169" s="394"/>
      <c r="F169" s="8"/>
      <c r="K169" s="1"/>
      <c r="L169" s="1"/>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row>
    <row r="170" spans="1:78" x14ac:dyDescent="0.2">
      <c r="A170" s="86"/>
      <c r="B170" s="442"/>
      <c r="C170" s="510"/>
      <c r="E170" s="394"/>
      <c r="F170" s="8"/>
      <c r="K170" s="1"/>
      <c r="L170" s="1"/>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row>
    <row r="171" spans="1:78" x14ac:dyDescent="0.2">
      <c r="A171" s="86"/>
      <c r="B171" s="442"/>
      <c r="C171" s="510"/>
      <c r="E171" s="394"/>
      <c r="F171" s="8"/>
      <c r="K171" s="1"/>
      <c r="L171" s="1"/>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row>
    <row r="172" spans="1:78" x14ac:dyDescent="0.2">
      <c r="A172" s="86"/>
      <c r="B172" s="442"/>
      <c r="C172" s="510"/>
      <c r="E172" s="394"/>
      <c r="F172" s="8"/>
      <c r="K172" s="1"/>
      <c r="L172" s="1"/>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row>
    <row r="173" spans="1:78" x14ac:dyDescent="0.2">
      <c r="A173" s="86"/>
      <c r="B173" s="442"/>
      <c r="C173" s="510"/>
      <c r="E173" s="394"/>
      <c r="F173" s="8"/>
      <c r="K173" s="1"/>
      <c r="L173" s="1"/>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row>
    <row r="174" spans="1:78" x14ac:dyDescent="0.2">
      <c r="A174" s="86"/>
      <c r="B174" s="442"/>
      <c r="C174" s="510"/>
      <c r="E174" s="394"/>
      <c r="F174" s="8"/>
      <c r="K174" s="1"/>
      <c r="L174" s="1"/>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row>
    <row r="175" spans="1:78" x14ac:dyDescent="0.2">
      <c r="A175" s="86"/>
      <c r="B175" s="442"/>
      <c r="C175" s="510"/>
      <c r="E175" s="394"/>
      <c r="F175" s="8"/>
      <c r="K175" s="1"/>
      <c r="L175" s="1"/>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row>
    <row r="176" spans="1:78" x14ac:dyDescent="0.2">
      <c r="A176" s="86"/>
      <c r="B176" s="442"/>
      <c r="C176" s="510"/>
      <c r="E176" s="394"/>
      <c r="F176" s="8"/>
      <c r="K176" s="1"/>
      <c r="L176" s="1"/>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row>
    <row r="177" spans="1:78" x14ac:dyDescent="0.2">
      <c r="A177" s="86"/>
      <c r="B177" s="442"/>
      <c r="C177" s="510"/>
      <c r="E177" s="394"/>
      <c r="F177" s="8"/>
      <c r="K177" s="1"/>
      <c r="L177" s="1"/>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row>
    <row r="178" spans="1:78" x14ac:dyDescent="0.2">
      <c r="A178" s="86"/>
      <c r="B178" s="442"/>
      <c r="C178" s="510"/>
      <c r="E178" s="394"/>
      <c r="F178" s="8"/>
      <c r="K178" s="1"/>
      <c r="L178" s="1"/>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row>
    <row r="179" spans="1:78" x14ac:dyDescent="0.2">
      <c r="A179" s="86"/>
      <c r="B179" s="442"/>
      <c r="C179" s="510"/>
      <c r="E179" s="394"/>
      <c r="F179" s="8"/>
      <c r="K179" s="1"/>
      <c r="L179" s="1"/>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row>
    <row r="180" spans="1:78" x14ac:dyDescent="0.2">
      <c r="A180" s="86"/>
      <c r="B180" s="442"/>
      <c r="C180" s="510"/>
      <c r="E180" s="394"/>
      <c r="F180" s="8"/>
      <c r="K180" s="1"/>
      <c r="L180" s="1"/>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row>
    <row r="181" spans="1:78" x14ac:dyDescent="0.2">
      <c r="A181" s="86"/>
      <c r="B181" s="442"/>
      <c r="C181" s="510"/>
      <c r="E181" s="394"/>
      <c r="F181" s="8"/>
      <c r="K181" s="1"/>
      <c r="L181" s="1"/>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row>
    <row r="182" spans="1:78" x14ac:dyDescent="0.2">
      <c r="A182" s="86"/>
      <c r="B182" s="442"/>
      <c r="C182" s="510"/>
      <c r="E182" s="394"/>
      <c r="F182" s="8"/>
      <c r="K182" s="1"/>
      <c r="L182" s="1"/>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row>
    <row r="183" spans="1:78" x14ac:dyDescent="0.2">
      <c r="A183" s="86"/>
      <c r="B183" s="442"/>
      <c r="C183" s="510"/>
      <c r="E183" s="394"/>
      <c r="F183" s="8"/>
      <c r="K183" s="1"/>
      <c r="L183" s="1"/>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row>
    <row r="184" spans="1:78" x14ac:dyDescent="0.2">
      <c r="A184" s="86"/>
      <c r="B184" s="442"/>
      <c r="C184" s="510"/>
      <c r="E184" s="394"/>
      <c r="F184" s="8"/>
      <c r="K184" s="1"/>
      <c r="L184" s="1"/>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row>
    <row r="185" spans="1:78" x14ac:dyDescent="0.2">
      <c r="A185" s="86"/>
      <c r="B185" s="442"/>
      <c r="C185" s="510"/>
      <c r="E185" s="394"/>
      <c r="F185" s="8"/>
      <c r="K185" s="1"/>
      <c r="L185" s="1"/>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row>
    <row r="186" spans="1:78" x14ac:dyDescent="0.2">
      <c r="A186" s="86"/>
      <c r="B186" s="442"/>
      <c r="C186" s="510"/>
      <c r="E186" s="394"/>
      <c r="F186" s="8"/>
      <c r="K186" s="1"/>
      <c r="L186" s="1"/>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row>
    <row r="187" spans="1:78" x14ac:dyDescent="0.2">
      <c r="A187" s="86"/>
      <c r="B187" s="442"/>
      <c r="C187" s="510"/>
      <c r="E187" s="394"/>
      <c r="F187" s="8"/>
      <c r="K187" s="1"/>
      <c r="L187" s="1"/>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row>
    <row r="188" spans="1:78" x14ac:dyDescent="0.2">
      <c r="A188" s="86"/>
      <c r="B188" s="442"/>
      <c r="C188" s="510"/>
      <c r="E188" s="394"/>
      <c r="F188" s="8"/>
      <c r="K188" s="1"/>
      <c r="L188" s="1"/>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row>
    <row r="189" spans="1:78" x14ac:dyDescent="0.2">
      <c r="A189" s="86"/>
      <c r="B189" s="442"/>
      <c r="C189" s="510"/>
      <c r="E189" s="394"/>
      <c r="F189" s="8"/>
      <c r="K189" s="1"/>
      <c r="L189" s="1"/>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row>
    <row r="190" spans="1:78" x14ac:dyDescent="0.2">
      <c r="A190" s="86"/>
      <c r="B190" s="442"/>
      <c r="C190" s="510"/>
      <c r="E190" s="394"/>
      <c r="F190" s="8"/>
      <c r="K190" s="1"/>
      <c r="L190" s="1"/>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row>
    <row r="191" spans="1:78" x14ac:dyDescent="0.2">
      <c r="A191" s="86"/>
      <c r="B191" s="442"/>
      <c r="C191" s="510"/>
      <c r="E191" s="394"/>
      <c r="F191" s="8"/>
      <c r="K191" s="1"/>
      <c r="L191" s="1"/>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row>
    <row r="192" spans="1:78" x14ac:dyDescent="0.2">
      <c r="A192" s="86"/>
      <c r="B192" s="442"/>
      <c r="C192" s="510"/>
      <c r="E192" s="394"/>
      <c r="F192" s="8"/>
      <c r="K192" s="1"/>
      <c r="L192" s="1"/>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row>
    <row r="193" spans="1:78" x14ac:dyDescent="0.2">
      <c r="A193" s="86"/>
      <c r="B193" s="442"/>
      <c r="C193" s="510"/>
      <c r="E193" s="394"/>
      <c r="F193" s="8"/>
      <c r="K193" s="1"/>
      <c r="L193" s="1"/>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row>
    <row r="194" spans="1:78" x14ac:dyDescent="0.2">
      <c r="A194" s="86"/>
      <c r="B194" s="442"/>
      <c r="C194" s="510"/>
      <c r="E194" s="394"/>
      <c r="F194" s="8"/>
      <c r="K194" s="1"/>
      <c r="L194" s="1"/>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row>
    <row r="195" spans="1:78" x14ac:dyDescent="0.2">
      <c r="A195" s="86"/>
      <c r="B195" s="442"/>
      <c r="C195" s="510"/>
      <c r="E195" s="394"/>
      <c r="F195" s="8"/>
      <c r="K195" s="1"/>
      <c r="L195" s="1"/>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row>
    <row r="196" spans="1:78" x14ac:dyDescent="0.2">
      <c r="A196" s="86"/>
      <c r="B196" s="442"/>
      <c r="C196" s="510"/>
      <c r="E196" s="394"/>
      <c r="F196" s="8"/>
      <c r="K196" s="1"/>
      <c r="L196" s="1"/>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row>
    <row r="197" spans="1:78" x14ac:dyDescent="0.2">
      <c r="A197" s="86"/>
      <c r="B197" s="442"/>
      <c r="C197" s="510"/>
      <c r="E197" s="394"/>
      <c r="F197" s="8"/>
      <c r="K197" s="1"/>
      <c r="L197" s="1"/>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row>
    <row r="198" spans="1:78" x14ac:dyDescent="0.2">
      <c r="A198" s="86"/>
      <c r="B198" s="442"/>
      <c r="C198" s="510"/>
      <c r="E198" s="394"/>
      <c r="F198" s="8"/>
      <c r="K198" s="1"/>
      <c r="L198" s="1"/>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row>
    <row r="199" spans="1:78" x14ac:dyDescent="0.2">
      <c r="A199" s="86"/>
      <c r="B199" s="442"/>
      <c r="C199" s="510"/>
      <c r="E199" s="394"/>
      <c r="F199" s="8"/>
      <c r="K199" s="1"/>
      <c r="L199" s="1"/>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row>
    <row r="200" spans="1:78" x14ac:dyDescent="0.2">
      <c r="A200" s="86"/>
      <c r="B200" s="442"/>
      <c r="C200" s="510"/>
      <c r="E200" s="394"/>
      <c r="F200" s="8"/>
      <c r="K200" s="1"/>
      <c r="L200" s="1"/>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row>
    <row r="201" spans="1:78" x14ac:dyDescent="0.2">
      <c r="A201" s="86"/>
      <c r="B201" s="442"/>
      <c r="C201" s="510"/>
      <c r="E201" s="394"/>
      <c r="F201" s="8"/>
      <c r="K201" s="1"/>
      <c r="L201" s="1"/>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row>
    <row r="202" spans="1:78" x14ac:dyDescent="0.2">
      <c r="A202" s="86"/>
      <c r="B202" s="442"/>
      <c r="C202" s="510"/>
      <c r="E202" s="394"/>
      <c r="F202" s="8"/>
      <c r="K202" s="1"/>
      <c r="L202" s="1"/>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row>
    <row r="203" spans="1:78" x14ac:dyDescent="0.2">
      <c r="A203" s="86"/>
      <c r="B203" s="442"/>
      <c r="C203" s="510"/>
      <c r="E203" s="394"/>
      <c r="F203" s="8"/>
      <c r="K203" s="1"/>
      <c r="L203" s="1"/>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row>
    <row r="204" spans="1:78" x14ac:dyDescent="0.2">
      <c r="A204" s="86"/>
      <c r="B204" s="442"/>
      <c r="C204" s="510"/>
      <c r="E204" s="394"/>
      <c r="F204" s="8"/>
      <c r="K204" s="1"/>
      <c r="L204" s="1"/>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row>
    <row r="205" spans="1:78" x14ac:dyDescent="0.2">
      <c r="A205" s="86"/>
      <c r="B205" s="442"/>
      <c r="C205" s="510"/>
      <c r="E205" s="394"/>
      <c r="F205" s="8"/>
      <c r="K205" s="1"/>
      <c r="L205" s="1"/>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row>
    <row r="206" spans="1:78" x14ac:dyDescent="0.2">
      <c r="A206" s="86"/>
      <c r="B206" s="442"/>
      <c r="C206" s="510"/>
      <c r="E206" s="394"/>
      <c r="F206" s="8"/>
      <c r="K206" s="1"/>
      <c r="L206" s="1"/>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row>
    <row r="207" spans="1:78" x14ac:dyDescent="0.2">
      <c r="A207" s="86"/>
      <c r="B207" s="442"/>
      <c r="C207" s="510"/>
      <c r="E207" s="394"/>
      <c r="F207" s="8"/>
      <c r="K207" s="1"/>
      <c r="L207" s="1"/>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row>
    <row r="208" spans="1:78" x14ac:dyDescent="0.2">
      <c r="A208" s="86"/>
      <c r="B208" s="442"/>
      <c r="C208" s="510"/>
      <c r="E208" s="394"/>
      <c r="F208" s="8"/>
      <c r="K208" s="1"/>
      <c r="L208" s="1"/>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row>
    <row r="209" spans="1:78" x14ac:dyDescent="0.2">
      <c r="A209" s="86"/>
      <c r="B209" s="442"/>
      <c r="C209" s="510"/>
      <c r="E209" s="394"/>
      <c r="F209" s="8"/>
      <c r="K209" s="1"/>
      <c r="L209" s="1"/>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row>
    <row r="210" spans="1:78" x14ac:dyDescent="0.2">
      <c r="A210" s="86"/>
      <c r="B210" s="442"/>
      <c r="C210" s="510"/>
      <c r="E210" s="394"/>
      <c r="F210" s="8"/>
      <c r="K210" s="1"/>
      <c r="L210" s="1"/>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row>
    <row r="211" spans="1:78" x14ac:dyDescent="0.2">
      <c r="A211" s="86"/>
      <c r="B211" s="442"/>
      <c r="C211" s="510"/>
      <c r="E211" s="394"/>
      <c r="F211" s="8"/>
      <c r="K211" s="1"/>
      <c r="L211" s="1"/>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row>
    <row r="212" spans="1:78" x14ac:dyDescent="0.2">
      <c r="A212" s="86"/>
      <c r="B212" s="442"/>
      <c r="C212" s="510"/>
      <c r="E212" s="394"/>
      <c r="F212" s="8"/>
      <c r="K212" s="1"/>
      <c r="L212" s="1"/>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row>
    <row r="213" spans="1:78" x14ac:dyDescent="0.2">
      <c r="A213" s="86"/>
      <c r="B213" s="442"/>
      <c r="C213" s="510"/>
      <c r="E213" s="394"/>
      <c r="F213" s="8"/>
      <c r="K213" s="1"/>
      <c r="L213" s="1"/>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row>
    <row r="214" spans="1:78" x14ac:dyDescent="0.2">
      <c r="A214" s="86"/>
      <c r="B214" s="442"/>
      <c r="C214" s="510"/>
      <c r="E214" s="394"/>
      <c r="F214" s="8"/>
      <c r="K214" s="1"/>
      <c r="L214" s="1"/>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row>
    <row r="215" spans="1:78" x14ac:dyDescent="0.2">
      <c r="A215" s="86"/>
      <c r="B215" s="442"/>
      <c r="C215" s="510"/>
      <c r="E215" s="394"/>
      <c r="F215" s="8"/>
      <c r="K215" s="1"/>
      <c r="L215" s="1"/>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row>
    <row r="216" spans="1:78" x14ac:dyDescent="0.2">
      <c r="A216" s="86"/>
      <c r="B216" s="442"/>
      <c r="C216" s="510"/>
      <c r="E216" s="394"/>
      <c r="F216" s="8"/>
      <c r="K216" s="1"/>
      <c r="L216" s="1"/>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row>
    <row r="217" spans="1:78" x14ac:dyDescent="0.2">
      <c r="A217" s="86"/>
      <c r="B217" s="442"/>
      <c r="C217" s="510"/>
      <c r="E217" s="394"/>
      <c r="F217" s="8"/>
      <c r="K217" s="1"/>
      <c r="L217" s="1"/>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row>
    <row r="218" spans="1:78" x14ac:dyDescent="0.2">
      <c r="A218" s="86"/>
      <c r="B218" s="442"/>
      <c r="C218" s="510"/>
      <c r="E218" s="394"/>
      <c r="F218" s="8"/>
      <c r="K218" s="1"/>
      <c r="L218" s="1"/>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row>
    <row r="219" spans="1:78" x14ac:dyDescent="0.2">
      <c r="A219" s="86"/>
      <c r="B219" s="442"/>
      <c r="C219" s="510"/>
      <c r="E219" s="394"/>
      <c r="F219" s="8"/>
      <c r="K219" s="1"/>
      <c r="L219" s="1"/>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row>
    <row r="220" spans="1:78" x14ac:dyDescent="0.2">
      <c r="A220" s="86"/>
      <c r="B220" s="442"/>
      <c r="C220" s="510"/>
      <c r="E220" s="394"/>
      <c r="F220" s="8"/>
      <c r="K220" s="1"/>
      <c r="L220" s="1"/>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row>
    <row r="221" spans="1:78" x14ac:dyDescent="0.2">
      <c r="A221" s="86"/>
      <c r="B221" s="442"/>
      <c r="C221" s="510"/>
      <c r="E221" s="394"/>
      <c r="F221" s="8"/>
      <c r="K221" s="1"/>
      <c r="L221" s="1"/>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row>
    <row r="222" spans="1:78" x14ac:dyDescent="0.2">
      <c r="A222" s="86"/>
      <c r="B222" s="442"/>
      <c r="C222" s="510"/>
      <c r="E222" s="394"/>
      <c r="F222" s="8"/>
      <c r="K222" s="1"/>
      <c r="L222" s="1"/>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row>
    <row r="223" spans="1:78" x14ac:dyDescent="0.2">
      <c r="A223" s="86"/>
      <c r="B223" s="442"/>
      <c r="C223" s="510"/>
      <c r="E223" s="394"/>
      <c r="F223" s="8"/>
      <c r="K223" s="1"/>
      <c r="L223" s="1"/>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row>
    <row r="224" spans="1:78" x14ac:dyDescent="0.2">
      <c r="A224" s="86"/>
      <c r="B224" s="442"/>
      <c r="C224" s="510"/>
      <c r="E224" s="394"/>
      <c r="F224" s="8"/>
      <c r="K224" s="1"/>
      <c r="L224" s="1"/>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row>
    <row r="225" spans="1:78" x14ac:dyDescent="0.2">
      <c r="A225" s="86"/>
      <c r="B225" s="442"/>
      <c r="C225" s="510"/>
      <c r="E225" s="394"/>
      <c r="F225" s="8"/>
      <c r="K225" s="1"/>
      <c r="L225" s="1"/>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row>
    <row r="226" spans="1:78" x14ac:dyDescent="0.2">
      <c r="A226" s="86"/>
      <c r="B226" s="442"/>
      <c r="C226" s="510"/>
      <c r="E226" s="394"/>
      <c r="F226" s="8"/>
      <c r="K226" s="1"/>
      <c r="L226" s="1"/>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row>
    <row r="227" spans="1:78" x14ac:dyDescent="0.2">
      <c r="A227" s="86"/>
      <c r="B227" s="442"/>
      <c r="C227" s="510"/>
      <c r="E227" s="394"/>
      <c r="F227" s="8"/>
      <c r="K227" s="1"/>
      <c r="L227" s="1"/>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row>
    <row r="228" spans="1:78" x14ac:dyDescent="0.2">
      <c r="A228" s="86"/>
      <c r="B228" s="442"/>
      <c r="C228" s="510"/>
      <c r="E228" s="394"/>
      <c r="F228" s="8"/>
      <c r="K228" s="1"/>
      <c r="L228" s="1"/>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row>
    <row r="229" spans="1:78" x14ac:dyDescent="0.2">
      <c r="A229" s="86"/>
      <c r="B229" s="442"/>
      <c r="C229" s="510"/>
      <c r="E229" s="394"/>
      <c r="F229" s="8"/>
      <c r="K229" s="1"/>
      <c r="L229" s="1"/>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row>
    <row r="230" spans="1:78" x14ac:dyDescent="0.2">
      <c r="A230" s="86"/>
      <c r="B230" s="442"/>
      <c r="C230" s="510"/>
      <c r="E230" s="394"/>
      <c r="F230" s="8"/>
      <c r="K230" s="1"/>
      <c r="L230" s="1"/>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row>
    <row r="231" spans="1:78" x14ac:dyDescent="0.2">
      <c r="A231" s="86"/>
      <c r="B231" s="442"/>
      <c r="C231" s="510"/>
      <c r="E231" s="394"/>
      <c r="F231" s="8"/>
      <c r="K231" s="1"/>
      <c r="L231" s="1"/>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row>
    <row r="232" spans="1:78" x14ac:dyDescent="0.2">
      <c r="A232" s="86"/>
      <c r="B232" s="442"/>
      <c r="C232" s="510"/>
      <c r="E232" s="394"/>
      <c r="F232" s="8"/>
      <c r="K232" s="1"/>
      <c r="L232" s="1"/>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row>
    <row r="233" spans="1:78" x14ac:dyDescent="0.2">
      <c r="A233" s="86"/>
      <c r="B233" s="442"/>
      <c r="C233" s="510"/>
      <c r="E233" s="394"/>
      <c r="F233" s="8"/>
      <c r="K233" s="1"/>
      <c r="L233" s="1"/>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row>
    <row r="234" spans="1:78" x14ac:dyDescent="0.2">
      <c r="A234" s="86"/>
      <c r="B234" s="442"/>
      <c r="C234" s="510"/>
      <c r="E234" s="394"/>
      <c r="F234" s="8"/>
      <c r="K234" s="1"/>
      <c r="L234" s="1"/>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row>
    <row r="235" spans="1:78" x14ac:dyDescent="0.2">
      <c r="A235" s="86"/>
      <c r="B235" s="442"/>
      <c r="C235" s="510"/>
      <c r="E235" s="394"/>
      <c r="F235" s="8"/>
      <c r="K235" s="1"/>
      <c r="L235" s="1"/>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row>
    <row r="236" spans="1:78" x14ac:dyDescent="0.2">
      <c r="A236" s="86"/>
      <c r="B236" s="442"/>
      <c r="C236" s="510"/>
      <c r="E236" s="394"/>
      <c r="F236" s="8"/>
      <c r="K236" s="1"/>
      <c r="L236" s="1"/>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row>
    <row r="237" spans="1:78" x14ac:dyDescent="0.2">
      <c r="A237" s="86"/>
      <c r="B237" s="442"/>
      <c r="C237" s="510"/>
      <c r="E237" s="394"/>
      <c r="F237" s="8"/>
      <c r="K237" s="1"/>
      <c r="L237" s="1"/>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row>
    <row r="238" spans="1:78" x14ac:dyDescent="0.2">
      <c r="A238" s="86"/>
      <c r="B238" s="442"/>
      <c r="C238" s="510"/>
      <c r="E238" s="394"/>
      <c r="F238" s="8"/>
      <c r="K238" s="1"/>
      <c r="L238" s="1"/>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row>
    <row r="239" spans="1:78" x14ac:dyDescent="0.2">
      <c r="A239" s="86"/>
      <c r="B239" s="442"/>
      <c r="C239" s="510"/>
      <c r="E239" s="394"/>
      <c r="F239" s="8"/>
      <c r="K239" s="1"/>
      <c r="L239" s="1"/>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row>
    <row r="240" spans="1:78" x14ac:dyDescent="0.2">
      <c r="A240" s="86"/>
      <c r="B240" s="442"/>
      <c r="C240" s="510"/>
      <c r="E240" s="394"/>
      <c r="F240" s="8"/>
      <c r="K240" s="1"/>
      <c r="L240" s="1"/>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c r="BR240" s="112"/>
      <c r="BS240" s="112"/>
      <c r="BT240" s="112"/>
      <c r="BU240" s="112"/>
      <c r="BV240" s="112"/>
      <c r="BW240" s="112"/>
      <c r="BX240" s="112"/>
      <c r="BY240" s="112"/>
      <c r="BZ240" s="112"/>
    </row>
    <row r="241" spans="1:78" x14ac:dyDescent="0.2">
      <c r="A241" s="86"/>
      <c r="B241" s="442"/>
      <c r="C241" s="510"/>
      <c r="E241" s="394"/>
      <c r="F241" s="8"/>
      <c r="K241" s="1"/>
      <c r="L241" s="1"/>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c r="BR241" s="112"/>
      <c r="BS241" s="112"/>
      <c r="BT241" s="112"/>
      <c r="BU241" s="112"/>
      <c r="BV241" s="112"/>
      <c r="BW241" s="112"/>
      <c r="BX241" s="112"/>
      <c r="BY241" s="112"/>
      <c r="BZ241" s="112"/>
    </row>
    <row r="242" spans="1:78" x14ac:dyDescent="0.2">
      <c r="A242" s="86"/>
      <c r="B242" s="442"/>
      <c r="C242" s="510"/>
      <c r="E242" s="394"/>
      <c r="F242" s="8"/>
      <c r="K242" s="1"/>
      <c r="L242" s="1"/>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112"/>
      <c r="BO242" s="112"/>
      <c r="BP242" s="112"/>
      <c r="BQ242" s="112"/>
      <c r="BR242" s="112"/>
      <c r="BS242" s="112"/>
      <c r="BT242" s="112"/>
      <c r="BU242" s="112"/>
      <c r="BV242" s="112"/>
      <c r="BW242" s="112"/>
      <c r="BX242" s="112"/>
      <c r="BY242" s="112"/>
      <c r="BZ242" s="112"/>
    </row>
    <row r="243" spans="1:78" x14ac:dyDescent="0.2">
      <c r="A243" s="86"/>
      <c r="B243" s="442"/>
      <c r="C243" s="510"/>
      <c r="E243" s="394"/>
      <c r="F243" s="8"/>
      <c r="K243" s="1"/>
      <c r="L243" s="1"/>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12"/>
      <c r="BL243" s="112"/>
      <c r="BM243" s="112"/>
      <c r="BN243" s="112"/>
      <c r="BO243" s="112"/>
      <c r="BP243" s="112"/>
      <c r="BQ243" s="112"/>
      <c r="BR243" s="112"/>
      <c r="BS243" s="112"/>
      <c r="BT243" s="112"/>
      <c r="BU243" s="112"/>
      <c r="BV243" s="112"/>
      <c r="BW243" s="112"/>
      <c r="BX243" s="112"/>
      <c r="BY243" s="112"/>
      <c r="BZ243" s="112"/>
    </row>
    <row r="244" spans="1:78" x14ac:dyDescent="0.2">
      <c r="A244" s="86"/>
      <c r="B244" s="442"/>
      <c r="C244" s="510"/>
      <c r="E244" s="394"/>
      <c r="F244" s="8"/>
      <c r="K244" s="1"/>
      <c r="L244" s="1"/>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12"/>
      <c r="BL244" s="112"/>
      <c r="BM244" s="112"/>
      <c r="BN244" s="112"/>
      <c r="BO244" s="112"/>
      <c r="BP244" s="112"/>
      <c r="BQ244" s="112"/>
      <c r="BR244" s="112"/>
      <c r="BS244" s="112"/>
      <c r="BT244" s="112"/>
      <c r="BU244" s="112"/>
      <c r="BV244" s="112"/>
      <c r="BW244" s="112"/>
      <c r="BX244" s="112"/>
      <c r="BY244" s="112"/>
      <c r="BZ244" s="112"/>
    </row>
    <row r="245" spans="1:78" x14ac:dyDescent="0.2">
      <c r="A245" s="86"/>
      <c r="B245" s="442"/>
      <c r="C245" s="510"/>
      <c r="E245" s="394"/>
      <c r="F245" s="8"/>
      <c r="K245" s="1"/>
      <c r="L245" s="1"/>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12"/>
      <c r="BL245" s="112"/>
      <c r="BM245" s="112"/>
      <c r="BN245" s="112"/>
      <c r="BO245" s="112"/>
      <c r="BP245" s="112"/>
      <c r="BQ245" s="112"/>
      <c r="BR245" s="112"/>
      <c r="BS245" s="112"/>
      <c r="BT245" s="112"/>
      <c r="BU245" s="112"/>
      <c r="BV245" s="112"/>
      <c r="BW245" s="112"/>
      <c r="BX245" s="112"/>
      <c r="BY245" s="112"/>
      <c r="BZ245" s="112"/>
    </row>
    <row r="246" spans="1:78" x14ac:dyDescent="0.2">
      <c r="A246" s="86"/>
      <c r="B246" s="442"/>
      <c r="C246" s="510"/>
      <c r="E246" s="394"/>
      <c r="F246" s="8"/>
      <c r="K246" s="1"/>
      <c r="L246" s="1"/>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c r="BR246" s="112"/>
      <c r="BS246" s="112"/>
      <c r="BT246" s="112"/>
      <c r="BU246" s="112"/>
      <c r="BV246" s="112"/>
      <c r="BW246" s="112"/>
      <c r="BX246" s="112"/>
      <c r="BY246" s="112"/>
      <c r="BZ246" s="112"/>
    </row>
    <row r="247" spans="1:78" x14ac:dyDescent="0.2">
      <c r="A247" s="86"/>
      <c r="B247" s="442"/>
      <c r="C247" s="510"/>
      <c r="E247" s="394"/>
      <c r="F247" s="8"/>
      <c r="K247" s="1"/>
      <c r="L247" s="1"/>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12"/>
      <c r="BL247" s="112"/>
      <c r="BM247" s="112"/>
      <c r="BN247" s="112"/>
      <c r="BO247" s="112"/>
      <c r="BP247" s="112"/>
      <c r="BQ247" s="112"/>
      <c r="BR247" s="112"/>
      <c r="BS247" s="112"/>
      <c r="BT247" s="112"/>
      <c r="BU247" s="112"/>
      <c r="BV247" s="112"/>
      <c r="BW247" s="112"/>
      <c r="BX247" s="112"/>
      <c r="BY247" s="112"/>
      <c r="BZ247" s="112"/>
    </row>
    <row r="248" spans="1:78" x14ac:dyDescent="0.2">
      <c r="A248" s="86"/>
      <c r="B248" s="442"/>
      <c r="C248" s="510"/>
      <c r="E248" s="394"/>
      <c r="F248" s="8"/>
      <c r="K248" s="1"/>
      <c r="L248" s="1"/>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c r="BK248" s="112"/>
      <c r="BL248" s="112"/>
      <c r="BM248" s="112"/>
      <c r="BN248" s="112"/>
      <c r="BO248" s="112"/>
      <c r="BP248" s="112"/>
      <c r="BQ248" s="112"/>
      <c r="BR248" s="112"/>
      <c r="BS248" s="112"/>
      <c r="BT248" s="112"/>
      <c r="BU248" s="112"/>
      <c r="BV248" s="112"/>
      <c r="BW248" s="112"/>
      <c r="BX248" s="112"/>
      <c r="BY248" s="112"/>
      <c r="BZ248" s="112"/>
    </row>
    <row r="249" spans="1:78" x14ac:dyDescent="0.2">
      <c r="A249" s="86"/>
      <c r="B249" s="442"/>
      <c r="C249" s="510"/>
      <c r="E249" s="394"/>
      <c r="F249" s="8"/>
      <c r="K249" s="1"/>
      <c r="L249" s="1"/>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c r="BK249" s="112"/>
      <c r="BL249" s="112"/>
      <c r="BM249" s="112"/>
      <c r="BN249" s="112"/>
      <c r="BO249" s="112"/>
      <c r="BP249" s="112"/>
      <c r="BQ249" s="112"/>
      <c r="BR249" s="112"/>
      <c r="BS249" s="112"/>
      <c r="BT249" s="112"/>
      <c r="BU249" s="112"/>
      <c r="BV249" s="112"/>
      <c r="BW249" s="112"/>
      <c r="BX249" s="112"/>
      <c r="BY249" s="112"/>
      <c r="BZ249" s="112"/>
    </row>
    <row r="250" spans="1:78" x14ac:dyDescent="0.2">
      <c r="A250" s="86"/>
      <c r="B250" s="442"/>
      <c r="C250" s="510"/>
      <c r="E250" s="394"/>
      <c r="F250" s="8"/>
      <c r="K250" s="1"/>
      <c r="L250" s="1"/>
      <c r="AD250" s="112"/>
      <c r="AE250" s="112"/>
      <c r="AF250" s="112"/>
      <c r="AG250" s="112"/>
      <c r="AH250" s="112"/>
      <c r="AI250" s="112"/>
      <c r="AJ250" s="112"/>
      <c r="AK250" s="112"/>
      <c r="AL250" s="112"/>
      <c r="AM250" s="112"/>
      <c r="AN250" s="112"/>
      <c r="AO250" s="112"/>
      <c r="AP250" s="112"/>
      <c r="AQ250" s="112"/>
      <c r="AR250" s="112"/>
      <c r="AS250" s="112"/>
      <c r="AT250" s="112"/>
      <c r="AU250" s="112"/>
      <c r="AV250" s="112"/>
      <c r="AW250" s="112"/>
      <c r="AX250" s="112"/>
      <c r="AY250" s="112"/>
      <c r="AZ250" s="112"/>
      <c r="BA250" s="112"/>
      <c r="BB250" s="112"/>
      <c r="BC250" s="112"/>
      <c r="BD250" s="112"/>
      <c r="BE250" s="112"/>
      <c r="BF250" s="112"/>
      <c r="BG250" s="112"/>
      <c r="BH250" s="112"/>
      <c r="BI250" s="112"/>
      <c r="BJ250" s="112"/>
      <c r="BK250" s="112"/>
      <c r="BL250" s="112"/>
      <c r="BM250" s="112"/>
      <c r="BN250" s="112"/>
      <c r="BO250" s="112"/>
      <c r="BP250" s="112"/>
      <c r="BQ250" s="112"/>
      <c r="BR250" s="112"/>
      <c r="BS250" s="112"/>
      <c r="BT250" s="112"/>
      <c r="BU250" s="112"/>
      <c r="BV250" s="112"/>
      <c r="BW250" s="112"/>
      <c r="BX250" s="112"/>
      <c r="BY250" s="112"/>
      <c r="BZ250" s="112"/>
    </row>
    <row r="251" spans="1:78" x14ac:dyDescent="0.2">
      <c r="A251" s="86"/>
      <c r="B251" s="442"/>
      <c r="C251" s="510"/>
      <c r="E251" s="394"/>
      <c r="F251" s="8"/>
      <c r="K251" s="1"/>
      <c r="L251" s="1"/>
      <c r="AD251" s="112"/>
      <c r="AE251" s="112"/>
      <c r="AF251" s="112"/>
      <c r="AG251" s="112"/>
      <c r="AH251" s="112"/>
      <c r="AI251" s="112"/>
      <c r="AJ251" s="112"/>
      <c r="AK251" s="112"/>
      <c r="AL251" s="112"/>
      <c r="AM251" s="112"/>
      <c r="AN251" s="112"/>
      <c r="AO251" s="112"/>
      <c r="AP251" s="112"/>
      <c r="AQ251" s="112"/>
      <c r="AR251" s="112"/>
      <c r="AS251" s="112"/>
      <c r="AT251" s="112"/>
      <c r="AU251" s="112"/>
      <c r="AV251" s="112"/>
      <c r="AW251" s="112"/>
      <c r="AX251" s="112"/>
      <c r="AY251" s="112"/>
      <c r="AZ251" s="112"/>
      <c r="BA251" s="112"/>
      <c r="BB251" s="112"/>
      <c r="BC251" s="112"/>
      <c r="BD251" s="112"/>
      <c r="BE251" s="112"/>
      <c r="BF251" s="112"/>
      <c r="BG251" s="112"/>
      <c r="BH251" s="112"/>
      <c r="BI251" s="112"/>
      <c r="BJ251" s="112"/>
      <c r="BK251" s="112"/>
      <c r="BL251" s="112"/>
      <c r="BM251" s="112"/>
      <c r="BN251" s="112"/>
      <c r="BO251" s="112"/>
      <c r="BP251" s="112"/>
      <c r="BQ251" s="112"/>
      <c r="BR251" s="112"/>
      <c r="BS251" s="112"/>
      <c r="BT251" s="112"/>
      <c r="BU251" s="112"/>
      <c r="BV251" s="112"/>
      <c r="BW251" s="112"/>
      <c r="BX251" s="112"/>
      <c r="BY251" s="112"/>
      <c r="BZ251" s="112"/>
    </row>
    <row r="252" spans="1:78" x14ac:dyDescent="0.2">
      <c r="A252" s="86"/>
      <c r="B252" s="442"/>
      <c r="C252" s="510"/>
      <c r="E252" s="394"/>
      <c r="F252" s="8"/>
      <c r="K252" s="1"/>
      <c r="L252" s="1"/>
      <c r="AD252" s="112"/>
      <c r="AE252" s="112"/>
      <c r="AF252" s="112"/>
      <c r="AG252" s="112"/>
      <c r="AH252" s="112"/>
      <c r="AI252" s="112"/>
      <c r="AJ252" s="112"/>
      <c r="AK252" s="112"/>
      <c r="AL252" s="112"/>
      <c r="AM252" s="112"/>
      <c r="AN252" s="112"/>
      <c r="AO252" s="112"/>
      <c r="AP252" s="112"/>
      <c r="AQ252" s="112"/>
      <c r="AR252" s="112"/>
      <c r="AS252" s="112"/>
      <c r="AT252" s="112"/>
      <c r="AU252" s="112"/>
      <c r="AV252" s="112"/>
      <c r="AW252" s="112"/>
      <c r="AX252" s="112"/>
      <c r="AY252" s="112"/>
      <c r="AZ252" s="112"/>
      <c r="BA252" s="112"/>
      <c r="BB252" s="112"/>
      <c r="BC252" s="112"/>
      <c r="BD252" s="112"/>
      <c r="BE252" s="112"/>
      <c r="BF252" s="112"/>
      <c r="BG252" s="112"/>
      <c r="BH252" s="112"/>
      <c r="BI252" s="112"/>
      <c r="BJ252" s="112"/>
      <c r="BK252" s="112"/>
      <c r="BL252" s="112"/>
      <c r="BM252" s="112"/>
      <c r="BN252" s="112"/>
      <c r="BO252" s="112"/>
      <c r="BP252" s="112"/>
      <c r="BQ252" s="112"/>
      <c r="BR252" s="112"/>
      <c r="BS252" s="112"/>
      <c r="BT252" s="112"/>
      <c r="BU252" s="112"/>
      <c r="BV252" s="112"/>
      <c r="BW252" s="112"/>
      <c r="BX252" s="112"/>
      <c r="BY252" s="112"/>
      <c r="BZ252" s="112"/>
    </row>
    <row r="253" spans="1:78" x14ac:dyDescent="0.2">
      <c r="A253" s="86"/>
      <c r="B253" s="442"/>
      <c r="C253" s="510"/>
      <c r="E253" s="394"/>
      <c r="F253" s="8"/>
      <c r="K253" s="1"/>
      <c r="L253" s="1"/>
      <c r="AD253" s="112"/>
      <c r="AE253" s="112"/>
      <c r="AF253" s="112"/>
      <c r="AG253" s="112"/>
      <c r="AH253" s="112"/>
      <c r="AI253" s="112"/>
      <c r="AJ253" s="112"/>
      <c r="AK253" s="112"/>
      <c r="AL253" s="112"/>
      <c r="AM253" s="112"/>
      <c r="AN253" s="112"/>
      <c r="AO253" s="112"/>
      <c r="AP253" s="112"/>
      <c r="AQ253" s="112"/>
      <c r="AR253" s="112"/>
      <c r="AS253" s="112"/>
      <c r="AT253" s="112"/>
      <c r="AU253" s="112"/>
      <c r="AV253" s="112"/>
      <c r="AW253" s="112"/>
      <c r="AX253" s="112"/>
      <c r="AY253" s="112"/>
      <c r="AZ253" s="112"/>
      <c r="BA253" s="112"/>
      <c r="BB253" s="112"/>
      <c r="BC253" s="112"/>
      <c r="BD253" s="112"/>
      <c r="BE253" s="112"/>
      <c r="BF253" s="112"/>
      <c r="BG253" s="112"/>
      <c r="BH253" s="112"/>
      <c r="BI253" s="112"/>
      <c r="BJ253" s="112"/>
      <c r="BK253" s="112"/>
      <c r="BL253" s="112"/>
      <c r="BM253" s="112"/>
      <c r="BN253" s="112"/>
      <c r="BO253" s="112"/>
      <c r="BP253" s="112"/>
      <c r="BQ253" s="112"/>
      <c r="BR253" s="112"/>
      <c r="BS253" s="112"/>
      <c r="BT253" s="112"/>
      <c r="BU253" s="112"/>
      <c r="BV253" s="112"/>
      <c r="BW253" s="112"/>
      <c r="BX253" s="112"/>
      <c r="BY253" s="112"/>
      <c r="BZ253" s="112"/>
    </row>
    <row r="254" spans="1:78" x14ac:dyDescent="0.2">
      <c r="A254" s="86"/>
      <c r="B254" s="442"/>
      <c r="C254" s="510"/>
      <c r="E254" s="394"/>
      <c r="F254" s="8"/>
      <c r="K254" s="1"/>
      <c r="L254" s="1"/>
      <c r="AD254" s="112"/>
      <c r="AE254" s="112"/>
      <c r="AF254" s="112"/>
      <c r="AG254" s="112"/>
      <c r="AH254" s="112"/>
      <c r="AI254" s="112"/>
      <c r="AJ254" s="112"/>
      <c r="AK254" s="112"/>
      <c r="AL254" s="112"/>
      <c r="AM254" s="112"/>
      <c r="AN254" s="112"/>
      <c r="AO254" s="112"/>
      <c r="AP254" s="112"/>
      <c r="AQ254" s="112"/>
      <c r="AR254" s="112"/>
      <c r="AS254" s="112"/>
      <c r="AT254" s="112"/>
      <c r="AU254" s="112"/>
      <c r="AV254" s="112"/>
      <c r="AW254" s="112"/>
      <c r="AX254" s="112"/>
      <c r="AY254" s="112"/>
      <c r="AZ254" s="112"/>
      <c r="BA254" s="112"/>
      <c r="BB254" s="112"/>
      <c r="BC254" s="112"/>
      <c r="BD254" s="112"/>
      <c r="BE254" s="112"/>
      <c r="BF254" s="112"/>
      <c r="BG254" s="112"/>
      <c r="BH254" s="112"/>
      <c r="BI254" s="112"/>
      <c r="BJ254" s="112"/>
      <c r="BK254" s="112"/>
      <c r="BL254" s="112"/>
      <c r="BM254" s="112"/>
      <c r="BN254" s="112"/>
      <c r="BO254" s="112"/>
      <c r="BP254" s="112"/>
      <c r="BQ254" s="112"/>
      <c r="BR254" s="112"/>
      <c r="BS254" s="112"/>
      <c r="BT254" s="112"/>
      <c r="BU254" s="112"/>
      <c r="BV254" s="112"/>
      <c r="BW254" s="112"/>
      <c r="BX254" s="112"/>
      <c r="BY254" s="112"/>
      <c r="BZ254" s="112"/>
    </row>
    <row r="255" spans="1:78" x14ac:dyDescent="0.2">
      <c r="A255" s="86"/>
      <c r="B255" s="442"/>
      <c r="C255" s="510"/>
      <c r="E255" s="394"/>
      <c r="F255" s="8"/>
      <c r="K255" s="1"/>
      <c r="L255" s="1"/>
      <c r="AD255" s="112"/>
      <c r="AE255" s="112"/>
      <c r="AF255" s="112"/>
      <c r="AG255" s="112"/>
      <c r="AH255" s="112"/>
      <c r="AI255" s="112"/>
      <c r="AJ255" s="112"/>
      <c r="AK255" s="112"/>
      <c r="AL255" s="112"/>
      <c r="AM255" s="112"/>
      <c r="AN255" s="112"/>
      <c r="AO255" s="112"/>
      <c r="AP255" s="112"/>
      <c r="AQ255" s="112"/>
      <c r="AR255" s="112"/>
      <c r="AS255" s="112"/>
      <c r="AT255" s="112"/>
      <c r="AU255" s="112"/>
      <c r="AV255" s="112"/>
      <c r="AW255" s="112"/>
      <c r="AX255" s="112"/>
      <c r="AY255" s="112"/>
      <c r="AZ255" s="112"/>
      <c r="BA255" s="112"/>
      <c r="BB255" s="112"/>
      <c r="BC255" s="112"/>
      <c r="BD255" s="112"/>
      <c r="BE255" s="112"/>
      <c r="BF255" s="112"/>
      <c r="BG255" s="112"/>
      <c r="BH255" s="112"/>
      <c r="BI255" s="112"/>
      <c r="BJ255" s="112"/>
      <c r="BK255" s="112"/>
      <c r="BL255" s="112"/>
      <c r="BM255" s="112"/>
      <c r="BN255" s="112"/>
      <c r="BO255" s="112"/>
      <c r="BP255" s="112"/>
      <c r="BQ255" s="112"/>
      <c r="BR255" s="112"/>
      <c r="BS255" s="112"/>
      <c r="BT255" s="112"/>
      <c r="BU255" s="112"/>
      <c r="BV255" s="112"/>
      <c r="BW255" s="112"/>
      <c r="BX255" s="112"/>
      <c r="BY255" s="112"/>
      <c r="BZ255" s="112"/>
    </row>
    <row r="256" spans="1:78" x14ac:dyDescent="0.2">
      <c r="A256" s="86"/>
      <c r="B256" s="442"/>
      <c r="C256" s="510"/>
      <c r="E256" s="394"/>
      <c r="F256" s="8"/>
      <c r="K256" s="1"/>
      <c r="L256" s="1"/>
      <c r="AD256" s="112"/>
      <c r="AE256" s="112"/>
      <c r="AF256" s="112"/>
      <c r="AG256" s="112"/>
      <c r="AH256" s="112"/>
      <c r="AI256" s="112"/>
      <c r="AJ256" s="112"/>
      <c r="AK256" s="112"/>
      <c r="AL256" s="112"/>
      <c r="AM256" s="112"/>
      <c r="AN256" s="112"/>
      <c r="AO256" s="112"/>
      <c r="AP256" s="112"/>
      <c r="AQ256" s="112"/>
      <c r="AR256" s="112"/>
      <c r="AS256" s="112"/>
      <c r="AT256" s="112"/>
      <c r="AU256" s="112"/>
      <c r="AV256" s="112"/>
      <c r="AW256" s="112"/>
      <c r="AX256" s="112"/>
      <c r="AY256" s="112"/>
      <c r="AZ256" s="112"/>
      <c r="BA256" s="112"/>
      <c r="BB256" s="112"/>
      <c r="BC256" s="112"/>
      <c r="BD256" s="112"/>
      <c r="BE256" s="112"/>
      <c r="BF256" s="112"/>
      <c r="BG256" s="112"/>
      <c r="BH256" s="112"/>
      <c r="BI256" s="112"/>
      <c r="BJ256" s="112"/>
      <c r="BK256" s="112"/>
      <c r="BL256" s="112"/>
      <c r="BM256" s="112"/>
      <c r="BN256" s="112"/>
      <c r="BO256" s="112"/>
      <c r="BP256" s="112"/>
      <c r="BQ256" s="112"/>
      <c r="BR256" s="112"/>
      <c r="BS256" s="112"/>
      <c r="BT256" s="112"/>
      <c r="BU256" s="112"/>
      <c r="BV256" s="112"/>
      <c r="BW256" s="112"/>
      <c r="BX256" s="112"/>
      <c r="BY256" s="112"/>
      <c r="BZ256" s="112"/>
    </row>
    <row r="257" spans="1:78" x14ac:dyDescent="0.2">
      <c r="A257" s="86"/>
      <c r="B257" s="442"/>
      <c r="C257" s="510"/>
      <c r="E257" s="394"/>
      <c r="F257" s="8"/>
      <c r="K257" s="1"/>
      <c r="L257" s="1"/>
      <c r="AD257" s="112"/>
      <c r="AE257" s="112"/>
      <c r="AF257" s="112"/>
      <c r="AG257" s="112"/>
      <c r="AH257" s="112"/>
      <c r="AI257" s="112"/>
      <c r="AJ257" s="112"/>
      <c r="AK257" s="112"/>
      <c r="AL257" s="112"/>
      <c r="AM257" s="112"/>
      <c r="AN257" s="112"/>
      <c r="AO257" s="112"/>
      <c r="AP257" s="112"/>
      <c r="AQ257" s="112"/>
      <c r="AR257" s="112"/>
      <c r="AS257" s="112"/>
      <c r="AT257" s="112"/>
      <c r="AU257" s="112"/>
      <c r="AV257" s="112"/>
      <c r="AW257" s="112"/>
      <c r="AX257" s="112"/>
      <c r="AY257" s="112"/>
      <c r="AZ257" s="112"/>
      <c r="BA257" s="112"/>
      <c r="BB257" s="112"/>
      <c r="BC257" s="112"/>
      <c r="BD257" s="112"/>
      <c r="BE257" s="112"/>
      <c r="BF257" s="112"/>
      <c r="BG257" s="112"/>
      <c r="BH257" s="112"/>
      <c r="BI257" s="112"/>
      <c r="BJ257" s="112"/>
      <c r="BK257" s="112"/>
      <c r="BL257" s="112"/>
      <c r="BM257" s="112"/>
      <c r="BN257" s="112"/>
      <c r="BO257" s="112"/>
      <c r="BP257" s="112"/>
      <c r="BQ257" s="112"/>
      <c r="BR257" s="112"/>
      <c r="BS257" s="112"/>
      <c r="BT257" s="112"/>
      <c r="BU257" s="112"/>
      <c r="BV257" s="112"/>
      <c r="BW257" s="112"/>
      <c r="BX257" s="112"/>
      <c r="BY257" s="112"/>
      <c r="BZ257" s="112"/>
    </row>
    <row r="258" spans="1:78" x14ac:dyDescent="0.2">
      <c r="A258" s="86"/>
      <c r="B258" s="442"/>
      <c r="C258" s="510"/>
      <c r="E258" s="394"/>
      <c r="F258" s="8"/>
      <c r="K258" s="1"/>
      <c r="L258" s="1"/>
      <c r="AD258" s="112"/>
      <c r="AE258" s="112"/>
      <c r="AF258" s="112"/>
      <c r="AG258" s="112"/>
      <c r="AH258" s="112"/>
      <c r="AI258" s="112"/>
      <c r="AJ258" s="112"/>
      <c r="AK258" s="112"/>
      <c r="AL258" s="112"/>
      <c r="AM258" s="112"/>
      <c r="AN258" s="112"/>
      <c r="AO258" s="112"/>
      <c r="AP258" s="112"/>
      <c r="AQ258" s="112"/>
      <c r="AR258" s="112"/>
      <c r="AS258" s="112"/>
      <c r="AT258" s="112"/>
      <c r="AU258" s="112"/>
      <c r="AV258" s="112"/>
      <c r="AW258" s="112"/>
      <c r="AX258" s="112"/>
      <c r="AY258" s="112"/>
      <c r="AZ258" s="112"/>
      <c r="BA258" s="112"/>
      <c r="BB258" s="112"/>
      <c r="BC258" s="112"/>
      <c r="BD258" s="112"/>
      <c r="BE258" s="112"/>
      <c r="BF258" s="112"/>
      <c r="BG258" s="112"/>
      <c r="BH258" s="112"/>
      <c r="BI258" s="112"/>
      <c r="BJ258" s="112"/>
      <c r="BK258" s="112"/>
      <c r="BL258" s="112"/>
      <c r="BM258" s="112"/>
      <c r="BN258" s="112"/>
      <c r="BO258" s="112"/>
      <c r="BP258" s="112"/>
      <c r="BQ258" s="112"/>
      <c r="BR258" s="112"/>
      <c r="BS258" s="112"/>
      <c r="BT258" s="112"/>
      <c r="BU258" s="112"/>
      <c r="BV258" s="112"/>
      <c r="BW258" s="112"/>
      <c r="BX258" s="112"/>
      <c r="BY258" s="112"/>
      <c r="BZ258" s="112"/>
    </row>
    <row r="259" spans="1:78" x14ac:dyDescent="0.2">
      <c r="A259" s="86"/>
      <c r="B259" s="442"/>
      <c r="C259" s="510"/>
      <c r="E259" s="394"/>
      <c r="F259" s="8"/>
      <c r="K259" s="1"/>
      <c r="L259" s="1"/>
      <c r="AD259" s="112"/>
      <c r="AE259" s="112"/>
      <c r="AF259" s="112"/>
      <c r="AG259" s="112"/>
      <c r="AH259" s="112"/>
      <c r="AI259" s="112"/>
      <c r="AJ259" s="112"/>
      <c r="AK259" s="112"/>
      <c r="AL259" s="112"/>
      <c r="AM259" s="112"/>
      <c r="AN259" s="112"/>
      <c r="AO259" s="112"/>
      <c r="AP259" s="112"/>
      <c r="AQ259" s="112"/>
      <c r="AR259" s="112"/>
      <c r="AS259" s="112"/>
      <c r="AT259" s="112"/>
      <c r="AU259" s="112"/>
      <c r="AV259" s="112"/>
      <c r="AW259" s="112"/>
      <c r="AX259" s="112"/>
      <c r="AY259" s="112"/>
      <c r="AZ259" s="112"/>
      <c r="BA259" s="112"/>
      <c r="BB259" s="112"/>
      <c r="BC259" s="112"/>
      <c r="BD259" s="112"/>
      <c r="BE259" s="112"/>
      <c r="BF259" s="112"/>
      <c r="BG259" s="112"/>
      <c r="BH259" s="112"/>
      <c r="BI259" s="112"/>
      <c r="BJ259" s="112"/>
      <c r="BK259" s="112"/>
      <c r="BL259" s="112"/>
      <c r="BM259" s="112"/>
      <c r="BN259" s="112"/>
      <c r="BO259" s="112"/>
      <c r="BP259" s="112"/>
      <c r="BQ259" s="112"/>
      <c r="BR259" s="112"/>
      <c r="BS259" s="112"/>
      <c r="BT259" s="112"/>
      <c r="BU259" s="112"/>
      <c r="BV259" s="112"/>
      <c r="BW259" s="112"/>
      <c r="BX259" s="112"/>
      <c r="BY259" s="112"/>
      <c r="BZ259" s="112"/>
    </row>
    <row r="260" spans="1:78" x14ac:dyDescent="0.2">
      <c r="A260" s="86"/>
      <c r="B260" s="442"/>
      <c r="C260" s="510"/>
      <c r="E260" s="394"/>
      <c r="F260" s="8"/>
      <c r="K260" s="1"/>
      <c r="L260" s="1"/>
      <c r="AD260" s="112"/>
      <c r="AE260" s="112"/>
      <c r="AF260" s="112"/>
      <c r="AG260" s="112"/>
      <c r="AH260" s="112"/>
      <c r="AI260" s="112"/>
      <c r="AJ260" s="112"/>
      <c r="AK260" s="112"/>
      <c r="AL260" s="112"/>
      <c r="AM260" s="112"/>
      <c r="AN260" s="112"/>
      <c r="AO260" s="112"/>
      <c r="AP260" s="112"/>
      <c r="AQ260" s="112"/>
      <c r="AR260" s="112"/>
      <c r="AS260" s="112"/>
      <c r="AT260" s="112"/>
      <c r="AU260" s="112"/>
      <c r="AV260" s="112"/>
      <c r="AW260" s="112"/>
      <c r="AX260" s="112"/>
      <c r="AY260" s="112"/>
      <c r="AZ260" s="112"/>
      <c r="BA260" s="112"/>
      <c r="BB260" s="112"/>
      <c r="BC260" s="112"/>
      <c r="BD260" s="112"/>
      <c r="BE260" s="112"/>
      <c r="BF260" s="112"/>
      <c r="BG260" s="112"/>
      <c r="BH260" s="112"/>
      <c r="BI260" s="112"/>
      <c r="BJ260" s="112"/>
      <c r="BK260" s="112"/>
      <c r="BL260" s="112"/>
      <c r="BM260" s="112"/>
      <c r="BN260" s="112"/>
      <c r="BO260" s="112"/>
      <c r="BP260" s="112"/>
      <c r="BQ260" s="112"/>
      <c r="BR260" s="112"/>
      <c r="BS260" s="112"/>
      <c r="BT260" s="112"/>
      <c r="BU260" s="112"/>
      <c r="BV260" s="112"/>
      <c r="BW260" s="112"/>
      <c r="BX260" s="112"/>
      <c r="BY260" s="112"/>
      <c r="BZ260" s="112"/>
    </row>
    <row r="261" spans="1:78" x14ac:dyDescent="0.2">
      <c r="A261" s="86"/>
      <c r="B261" s="442"/>
      <c r="C261" s="510"/>
      <c r="E261" s="394"/>
      <c r="F261" s="8"/>
      <c r="K261" s="1"/>
      <c r="L261" s="1"/>
      <c r="AD261" s="112"/>
      <c r="AE261" s="112"/>
      <c r="AF261" s="112"/>
      <c r="AG261" s="112"/>
      <c r="AH261" s="112"/>
      <c r="AI261" s="112"/>
      <c r="AJ261" s="112"/>
      <c r="AK261" s="112"/>
      <c r="AL261" s="112"/>
      <c r="AM261" s="112"/>
      <c r="AN261" s="112"/>
      <c r="AO261" s="112"/>
      <c r="AP261" s="112"/>
      <c r="AQ261" s="112"/>
      <c r="AR261" s="112"/>
      <c r="AS261" s="112"/>
      <c r="AT261" s="112"/>
      <c r="AU261" s="112"/>
      <c r="AV261" s="112"/>
      <c r="AW261" s="112"/>
      <c r="AX261" s="112"/>
      <c r="AY261" s="112"/>
      <c r="AZ261" s="112"/>
      <c r="BA261" s="112"/>
      <c r="BB261" s="112"/>
      <c r="BC261" s="112"/>
      <c r="BD261" s="112"/>
      <c r="BE261" s="112"/>
      <c r="BF261" s="112"/>
      <c r="BG261" s="112"/>
      <c r="BH261" s="112"/>
      <c r="BI261" s="112"/>
      <c r="BJ261" s="112"/>
      <c r="BK261" s="112"/>
      <c r="BL261" s="112"/>
      <c r="BM261" s="112"/>
      <c r="BN261" s="112"/>
      <c r="BO261" s="112"/>
      <c r="BP261" s="112"/>
      <c r="BQ261" s="112"/>
      <c r="BR261" s="112"/>
      <c r="BS261" s="112"/>
      <c r="BT261" s="112"/>
      <c r="BU261" s="112"/>
      <c r="BV261" s="112"/>
      <c r="BW261" s="112"/>
      <c r="BX261" s="112"/>
      <c r="BY261" s="112"/>
      <c r="BZ261" s="112"/>
    </row>
    <row r="262" spans="1:78" x14ac:dyDescent="0.2">
      <c r="A262" s="86"/>
      <c r="B262" s="442"/>
      <c r="C262" s="510"/>
      <c r="E262" s="394"/>
      <c r="F262" s="8"/>
      <c r="K262" s="1"/>
      <c r="L262" s="1"/>
      <c r="AD262" s="112"/>
      <c r="AE262" s="112"/>
      <c r="AF262" s="112"/>
      <c r="AG262" s="112"/>
      <c r="AH262" s="112"/>
      <c r="AI262" s="112"/>
      <c r="AJ262" s="112"/>
      <c r="AK262" s="112"/>
      <c r="AL262" s="112"/>
      <c r="AM262" s="112"/>
      <c r="AN262" s="112"/>
      <c r="AO262" s="112"/>
      <c r="AP262" s="112"/>
      <c r="AQ262" s="112"/>
      <c r="AR262" s="112"/>
      <c r="AS262" s="112"/>
      <c r="AT262" s="112"/>
      <c r="AU262" s="112"/>
      <c r="AV262" s="112"/>
      <c r="AW262" s="112"/>
      <c r="AX262" s="112"/>
      <c r="AY262" s="112"/>
      <c r="AZ262" s="112"/>
      <c r="BA262" s="112"/>
      <c r="BB262" s="112"/>
      <c r="BC262" s="112"/>
      <c r="BD262" s="112"/>
      <c r="BE262" s="112"/>
      <c r="BF262" s="112"/>
      <c r="BG262" s="112"/>
      <c r="BH262" s="112"/>
      <c r="BI262" s="112"/>
      <c r="BJ262" s="112"/>
      <c r="BK262" s="112"/>
      <c r="BL262" s="112"/>
      <c r="BM262" s="112"/>
      <c r="BN262" s="112"/>
      <c r="BO262" s="112"/>
      <c r="BP262" s="112"/>
      <c r="BQ262" s="112"/>
      <c r="BR262" s="112"/>
      <c r="BS262" s="112"/>
      <c r="BT262" s="112"/>
      <c r="BU262" s="112"/>
      <c r="BV262" s="112"/>
      <c r="BW262" s="112"/>
      <c r="BX262" s="112"/>
      <c r="BY262" s="112"/>
      <c r="BZ262" s="112"/>
    </row>
    <row r="263" spans="1:78" x14ac:dyDescent="0.2">
      <c r="A263" s="86"/>
      <c r="B263" s="442"/>
      <c r="C263" s="510"/>
      <c r="E263" s="394"/>
      <c r="F263" s="8"/>
      <c r="K263" s="1"/>
      <c r="L263" s="1"/>
      <c r="AD263" s="112"/>
      <c r="AE263" s="112"/>
      <c r="AF263" s="112"/>
      <c r="AG263" s="112"/>
      <c r="AH263" s="112"/>
      <c r="AI263" s="112"/>
      <c r="AJ263" s="112"/>
      <c r="AK263" s="112"/>
      <c r="AL263" s="112"/>
      <c r="AM263" s="112"/>
      <c r="AN263" s="112"/>
      <c r="AO263" s="112"/>
      <c r="AP263" s="112"/>
      <c r="AQ263" s="112"/>
      <c r="AR263" s="112"/>
      <c r="AS263" s="112"/>
      <c r="AT263" s="112"/>
      <c r="AU263" s="112"/>
      <c r="AV263" s="112"/>
      <c r="AW263" s="112"/>
      <c r="AX263" s="112"/>
      <c r="AY263" s="112"/>
      <c r="AZ263" s="112"/>
      <c r="BA263" s="112"/>
      <c r="BB263" s="112"/>
      <c r="BC263" s="112"/>
      <c r="BD263" s="112"/>
      <c r="BE263" s="112"/>
      <c r="BF263" s="112"/>
      <c r="BG263" s="112"/>
      <c r="BH263" s="112"/>
      <c r="BI263" s="112"/>
      <c r="BJ263" s="112"/>
      <c r="BK263" s="112"/>
      <c r="BL263" s="112"/>
      <c r="BM263" s="112"/>
      <c r="BN263" s="112"/>
      <c r="BO263" s="112"/>
      <c r="BP263" s="112"/>
      <c r="BQ263" s="112"/>
      <c r="BR263" s="112"/>
      <c r="BS263" s="112"/>
      <c r="BT263" s="112"/>
      <c r="BU263" s="112"/>
      <c r="BV263" s="112"/>
      <c r="BW263" s="112"/>
      <c r="BX263" s="112"/>
      <c r="BY263" s="112"/>
      <c r="BZ263" s="112"/>
    </row>
    <row r="264" spans="1:78" x14ac:dyDescent="0.2">
      <c r="A264" s="86"/>
      <c r="B264" s="442"/>
      <c r="C264" s="510"/>
      <c r="E264" s="394"/>
      <c r="F264" s="8"/>
      <c r="K264" s="1"/>
      <c r="L264" s="1"/>
      <c r="AD264" s="112"/>
      <c r="AE264" s="112"/>
      <c r="AF264" s="112"/>
      <c r="AG264" s="112"/>
      <c r="AH264" s="112"/>
      <c r="AI264" s="112"/>
      <c r="AJ264" s="112"/>
      <c r="AK264" s="112"/>
      <c r="AL264" s="112"/>
      <c r="AM264" s="112"/>
      <c r="AN264" s="112"/>
      <c r="AO264" s="112"/>
      <c r="AP264" s="112"/>
      <c r="AQ264" s="112"/>
      <c r="AR264" s="112"/>
      <c r="AS264" s="112"/>
      <c r="AT264" s="112"/>
      <c r="AU264" s="112"/>
      <c r="AV264" s="112"/>
      <c r="AW264" s="112"/>
      <c r="AX264" s="112"/>
      <c r="AY264" s="112"/>
      <c r="AZ264" s="112"/>
      <c r="BA264" s="112"/>
      <c r="BB264" s="112"/>
      <c r="BC264" s="112"/>
      <c r="BD264" s="112"/>
      <c r="BE264" s="112"/>
      <c r="BF264" s="112"/>
      <c r="BG264" s="112"/>
      <c r="BH264" s="112"/>
      <c r="BI264" s="112"/>
      <c r="BJ264" s="112"/>
      <c r="BK264" s="112"/>
      <c r="BL264" s="112"/>
      <c r="BM264" s="112"/>
      <c r="BN264" s="112"/>
      <c r="BO264" s="112"/>
      <c r="BP264" s="112"/>
      <c r="BQ264" s="112"/>
      <c r="BR264" s="112"/>
      <c r="BS264" s="112"/>
      <c r="BT264" s="112"/>
      <c r="BU264" s="112"/>
      <c r="BV264" s="112"/>
      <c r="BW264" s="112"/>
      <c r="BX264" s="112"/>
      <c r="BY264" s="112"/>
      <c r="BZ264" s="112"/>
    </row>
    <row r="265" spans="1:78" x14ac:dyDescent="0.2">
      <c r="A265" s="86"/>
      <c r="B265" s="442"/>
      <c r="C265" s="510"/>
      <c r="E265" s="394"/>
      <c r="F265" s="8"/>
      <c r="K265" s="1"/>
      <c r="L265" s="1"/>
      <c r="AD265" s="112"/>
      <c r="AE265" s="112"/>
      <c r="AF265" s="112"/>
      <c r="AG265" s="112"/>
      <c r="AH265" s="112"/>
      <c r="AI265" s="112"/>
      <c r="AJ265" s="112"/>
      <c r="AK265" s="112"/>
      <c r="AL265" s="112"/>
      <c r="AM265" s="112"/>
      <c r="AN265" s="112"/>
      <c r="AO265" s="112"/>
      <c r="AP265" s="112"/>
      <c r="AQ265" s="112"/>
      <c r="AR265" s="112"/>
      <c r="AS265" s="112"/>
      <c r="AT265" s="112"/>
      <c r="AU265" s="112"/>
      <c r="AV265" s="112"/>
      <c r="AW265" s="112"/>
      <c r="AX265" s="112"/>
      <c r="AY265" s="112"/>
      <c r="AZ265" s="112"/>
      <c r="BA265" s="112"/>
      <c r="BB265" s="112"/>
      <c r="BC265" s="112"/>
      <c r="BD265" s="112"/>
      <c r="BE265" s="112"/>
      <c r="BF265" s="112"/>
      <c r="BG265" s="112"/>
      <c r="BH265" s="112"/>
      <c r="BI265" s="112"/>
      <c r="BJ265" s="112"/>
      <c r="BK265" s="112"/>
      <c r="BL265" s="112"/>
      <c r="BM265" s="112"/>
      <c r="BN265" s="112"/>
      <c r="BO265" s="112"/>
      <c r="BP265" s="112"/>
      <c r="BQ265" s="112"/>
      <c r="BR265" s="112"/>
      <c r="BS265" s="112"/>
      <c r="BT265" s="112"/>
      <c r="BU265" s="112"/>
      <c r="BV265" s="112"/>
      <c r="BW265" s="112"/>
      <c r="BX265" s="112"/>
      <c r="BY265" s="112"/>
      <c r="BZ265" s="112"/>
    </row>
    <row r="266" spans="1:78" x14ac:dyDescent="0.2">
      <c r="A266" s="86"/>
      <c r="B266" s="442"/>
      <c r="C266" s="510"/>
      <c r="E266" s="394"/>
      <c r="F266" s="8"/>
      <c r="K266" s="1"/>
      <c r="L266" s="1"/>
      <c r="AD266" s="112"/>
      <c r="AE266" s="112"/>
      <c r="AF266" s="112"/>
      <c r="AG266" s="112"/>
      <c r="AH266" s="112"/>
      <c r="AI266" s="112"/>
      <c r="AJ266" s="112"/>
      <c r="AK266" s="112"/>
      <c r="AL266" s="112"/>
      <c r="AM266" s="112"/>
      <c r="AN266" s="112"/>
      <c r="AO266" s="112"/>
      <c r="AP266" s="112"/>
      <c r="AQ266" s="112"/>
      <c r="AR266" s="112"/>
      <c r="AS266" s="112"/>
      <c r="AT266" s="112"/>
      <c r="AU266" s="112"/>
      <c r="AV266" s="112"/>
      <c r="AW266" s="112"/>
      <c r="AX266" s="112"/>
      <c r="AY266" s="112"/>
      <c r="AZ266" s="112"/>
      <c r="BA266" s="112"/>
      <c r="BB266" s="112"/>
      <c r="BC266" s="112"/>
      <c r="BD266" s="112"/>
      <c r="BE266" s="112"/>
      <c r="BF266" s="112"/>
      <c r="BG266" s="112"/>
      <c r="BH266" s="112"/>
      <c r="BI266" s="112"/>
      <c r="BJ266" s="112"/>
      <c r="BK266" s="112"/>
      <c r="BL266" s="112"/>
      <c r="BM266" s="112"/>
      <c r="BN266" s="112"/>
      <c r="BO266" s="112"/>
      <c r="BP266" s="112"/>
      <c r="BQ266" s="112"/>
      <c r="BR266" s="112"/>
      <c r="BS266" s="112"/>
      <c r="BT266" s="112"/>
      <c r="BU266" s="112"/>
      <c r="BV266" s="112"/>
      <c r="BW266" s="112"/>
      <c r="BX266" s="112"/>
      <c r="BY266" s="112"/>
      <c r="BZ266" s="112"/>
    </row>
    <row r="267" spans="1:78" x14ac:dyDescent="0.2">
      <c r="A267" s="86"/>
      <c r="B267" s="442"/>
      <c r="C267" s="510"/>
      <c r="E267" s="394"/>
      <c r="F267" s="8"/>
      <c r="K267" s="1"/>
      <c r="L267" s="1"/>
      <c r="AD267" s="112"/>
      <c r="AE267" s="112"/>
      <c r="AF267" s="112"/>
      <c r="AG267" s="112"/>
      <c r="AH267" s="112"/>
      <c r="AI267" s="112"/>
      <c r="AJ267" s="112"/>
      <c r="AK267" s="112"/>
      <c r="AL267" s="112"/>
      <c r="AM267" s="112"/>
      <c r="AN267" s="112"/>
      <c r="AO267" s="112"/>
      <c r="AP267" s="112"/>
      <c r="AQ267" s="112"/>
      <c r="AR267" s="112"/>
      <c r="AS267" s="112"/>
      <c r="AT267" s="112"/>
      <c r="AU267" s="112"/>
      <c r="AV267" s="112"/>
      <c r="AW267" s="112"/>
      <c r="AX267" s="112"/>
      <c r="AY267" s="112"/>
      <c r="AZ267" s="112"/>
      <c r="BA267" s="112"/>
      <c r="BB267" s="112"/>
      <c r="BC267" s="112"/>
      <c r="BD267" s="112"/>
      <c r="BE267" s="112"/>
      <c r="BF267" s="112"/>
      <c r="BG267" s="112"/>
      <c r="BH267" s="112"/>
      <c r="BI267" s="112"/>
      <c r="BJ267" s="112"/>
      <c r="BK267" s="112"/>
      <c r="BL267" s="112"/>
      <c r="BM267" s="112"/>
      <c r="BN267" s="112"/>
      <c r="BO267" s="112"/>
      <c r="BP267" s="112"/>
      <c r="BQ267" s="112"/>
      <c r="BR267" s="112"/>
      <c r="BS267" s="112"/>
      <c r="BT267" s="112"/>
      <c r="BU267" s="112"/>
      <c r="BV267" s="112"/>
      <c r="BW267" s="112"/>
      <c r="BX267" s="112"/>
      <c r="BY267" s="112"/>
      <c r="BZ267" s="112"/>
    </row>
    <row r="268" spans="1:78" x14ac:dyDescent="0.2">
      <c r="A268" s="86"/>
      <c r="B268" s="442"/>
      <c r="C268" s="510"/>
      <c r="E268" s="394"/>
      <c r="F268" s="8"/>
      <c r="K268" s="1"/>
      <c r="L268" s="1"/>
      <c r="AD268" s="112"/>
      <c r="AE268" s="112"/>
      <c r="AF268" s="112"/>
      <c r="AG268" s="112"/>
      <c r="AH268" s="112"/>
      <c r="AI268" s="112"/>
      <c r="AJ268" s="112"/>
      <c r="AK268" s="112"/>
      <c r="AL268" s="112"/>
      <c r="AM268" s="112"/>
      <c r="AN268" s="112"/>
      <c r="AO268" s="112"/>
      <c r="AP268" s="112"/>
      <c r="AQ268" s="112"/>
      <c r="AR268" s="112"/>
      <c r="AS268" s="112"/>
      <c r="AT268" s="112"/>
      <c r="AU268" s="112"/>
      <c r="AV268" s="112"/>
      <c r="AW268" s="112"/>
      <c r="AX268" s="112"/>
      <c r="AY268" s="112"/>
      <c r="AZ268" s="112"/>
      <c r="BA268" s="112"/>
      <c r="BB268" s="112"/>
      <c r="BC268" s="112"/>
      <c r="BD268" s="112"/>
      <c r="BE268" s="112"/>
      <c r="BF268" s="112"/>
      <c r="BG268" s="112"/>
      <c r="BH268" s="112"/>
      <c r="BI268" s="112"/>
      <c r="BJ268" s="112"/>
      <c r="BK268" s="112"/>
      <c r="BL268" s="112"/>
      <c r="BM268" s="112"/>
      <c r="BN268" s="112"/>
      <c r="BO268" s="112"/>
      <c r="BP268" s="112"/>
      <c r="BQ268" s="112"/>
      <c r="BR268" s="112"/>
      <c r="BS268" s="112"/>
      <c r="BT268" s="112"/>
      <c r="BU268" s="112"/>
      <c r="BV268" s="112"/>
      <c r="BW268" s="112"/>
      <c r="BX268" s="112"/>
      <c r="BY268" s="112"/>
      <c r="BZ268" s="112"/>
    </row>
    <row r="269" spans="1:78" x14ac:dyDescent="0.2">
      <c r="A269" s="86"/>
      <c r="B269" s="442"/>
      <c r="C269" s="510"/>
      <c r="E269" s="394"/>
      <c r="F269" s="8"/>
      <c r="K269" s="1"/>
      <c r="L269" s="1"/>
      <c r="AD269" s="112"/>
      <c r="AE269" s="112"/>
      <c r="AF269" s="112"/>
      <c r="AG269" s="112"/>
      <c r="AH269" s="112"/>
      <c r="AI269" s="112"/>
      <c r="AJ269" s="112"/>
      <c r="AK269" s="112"/>
      <c r="AL269" s="112"/>
      <c r="AM269" s="112"/>
      <c r="AN269" s="112"/>
      <c r="AO269" s="112"/>
      <c r="AP269" s="112"/>
      <c r="AQ269" s="112"/>
      <c r="AR269" s="112"/>
      <c r="AS269" s="112"/>
      <c r="AT269" s="112"/>
      <c r="AU269" s="112"/>
      <c r="AV269" s="112"/>
      <c r="AW269" s="112"/>
      <c r="AX269" s="112"/>
      <c r="AY269" s="112"/>
      <c r="AZ269" s="112"/>
      <c r="BA269" s="112"/>
      <c r="BB269" s="112"/>
      <c r="BC269" s="112"/>
      <c r="BD269" s="112"/>
      <c r="BE269" s="112"/>
      <c r="BF269" s="112"/>
      <c r="BG269" s="112"/>
      <c r="BH269" s="112"/>
      <c r="BI269" s="112"/>
      <c r="BJ269" s="112"/>
      <c r="BK269" s="112"/>
      <c r="BL269" s="112"/>
      <c r="BM269" s="112"/>
      <c r="BN269" s="112"/>
      <c r="BO269" s="112"/>
      <c r="BP269" s="112"/>
      <c r="BQ269" s="112"/>
      <c r="BR269" s="112"/>
      <c r="BS269" s="112"/>
      <c r="BT269" s="112"/>
      <c r="BU269" s="112"/>
      <c r="BV269" s="112"/>
      <c r="BW269" s="112"/>
      <c r="BX269" s="112"/>
      <c r="BY269" s="112"/>
      <c r="BZ269" s="112"/>
    </row>
    <row r="270" spans="1:78" x14ac:dyDescent="0.2">
      <c r="A270" s="86"/>
      <c r="B270" s="442"/>
      <c r="C270" s="510"/>
      <c r="E270" s="394"/>
      <c r="F270" s="8"/>
      <c r="K270" s="1"/>
      <c r="L270" s="1"/>
      <c r="AD270" s="112"/>
      <c r="AE270" s="112"/>
      <c r="AF270" s="112"/>
      <c r="AG270" s="112"/>
      <c r="AH270" s="112"/>
      <c r="AI270" s="112"/>
      <c r="AJ270" s="112"/>
      <c r="AK270" s="112"/>
      <c r="AL270" s="112"/>
      <c r="AM270" s="112"/>
      <c r="AN270" s="112"/>
      <c r="AO270" s="112"/>
      <c r="AP270" s="112"/>
      <c r="AQ270" s="112"/>
      <c r="AR270" s="112"/>
      <c r="AS270" s="112"/>
      <c r="AT270" s="112"/>
      <c r="AU270" s="112"/>
      <c r="AV270" s="112"/>
      <c r="AW270" s="112"/>
      <c r="AX270" s="112"/>
      <c r="AY270" s="112"/>
      <c r="AZ270" s="112"/>
      <c r="BA270" s="112"/>
      <c r="BB270" s="112"/>
      <c r="BC270" s="112"/>
      <c r="BD270" s="112"/>
      <c r="BE270" s="112"/>
      <c r="BF270" s="112"/>
      <c r="BG270" s="112"/>
      <c r="BH270" s="112"/>
      <c r="BI270" s="112"/>
      <c r="BJ270" s="112"/>
      <c r="BK270" s="112"/>
      <c r="BL270" s="112"/>
      <c r="BM270" s="112"/>
      <c r="BN270" s="112"/>
      <c r="BO270" s="112"/>
      <c r="BP270" s="112"/>
      <c r="BQ270" s="112"/>
      <c r="BR270" s="112"/>
      <c r="BS270" s="112"/>
      <c r="BT270" s="112"/>
      <c r="BU270" s="112"/>
      <c r="BV270" s="112"/>
      <c r="BW270" s="112"/>
      <c r="BX270" s="112"/>
      <c r="BY270" s="112"/>
      <c r="BZ270" s="112"/>
    </row>
    <row r="271" spans="1:78" x14ac:dyDescent="0.2">
      <c r="A271" s="86"/>
      <c r="B271" s="442"/>
      <c r="C271" s="510"/>
      <c r="E271" s="394"/>
      <c r="F271" s="8"/>
      <c r="K271" s="1"/>
      <c r="L271" s="1"/>
      <c r="AD271" s="112"/>
      <c r="AE271" s="112"/>
      <c r="AF271" s="112"/>
      <c r="AG271" s="112"/>
      <c r="AH271" s="112"/>
      <c r="AI271" s="112"/>
      <c r="AJ271" s="112"/>
      <c r="AK271" s="112"/>
      <c r="AL271" s="112"/>
      <c r="AM271" s="112"/>
      <c r="AN271" s="112"/>
      <c r="AO271" s="112"/>
      <c r="AP271" s="112"/>
      <c r="AQ271" s="112"/>
      <c r="AR271" s="112"/>
      <c r="AS271" s="112"/>
      <c r="AT271" s="112"/>
      <c r="AU271" s="112"/>
      <c r="AV271" s="112"/>
      <c r="AW271" s="112"/>
      <c r="AX271" s="112"/>
      <c r="AY271" s="112"/>
      <c r="AZ271" s="112"/>
      <c r="BA271" s="112"/>
      <c r="BB271" s="112"/>
      <c r="BC271" s="112"/>
      <c r="BD271" s="112"/>
      <c r="BE271" s="112"/>
      <c r="BF271" s="112"/>
      <c r="BG271" s="112"/>
      <c r="BH271" s="112"/>
      <c r="BI271" s="112"/>
      <c r="BJ271" s="112"/>
      <c r="BK271" s="112"/>
      <c r="BL271" s="112"/>
      <c r="BM271" s="112"/>
      <c r="BN271" s="112"/>
      <c r="BO271" s="112"/>
      <c r="BP271" s="112"/>
      <c r="BQ271" s="112"/>
      <c r="BR271" s="112"/>
      <c r="BS271" s="112"/>
      <c r="BT271" s="112"/>
      <c r="BU271" s="112"/>
      <c r="BV271" s="112"/>
      <c r="BW271" s="112"/>
      <c r="BX271" s="112"/>
      <c r="BY271" s="112"/>
      <c r="BZ271" s="112"/>
    </row>
    <row r="272" spans="1:78" x14ac:dyDescent="0.2">
      <c r="A272" s="86"/>
      <c r="B272" s="442"/>
      <c r="C272" s="510"/>
      <c r="E272" s="394"/>
      <c r="F272" s="8"/>
      <c r="K272" s="1"/>
      <c r="L272" s="1"/>
      <c r="AD272" s="112"/>
      <c r="AE272" s="112"/>
      <c r="AF272" s="112"/>
      <c r="AG272" s="112"/>
      <c r="AH272" s="112"/>
      <c r="AI272" s="112"/>
      <c r="AJ272" s="112"/>
      <c r="AK272" s="112"/>
      <c r="AL272" s="112"/>
      <c r="AM272" s="112"/>
      <c r="AN272" s="112"/>
      <c r="AO272" s="112"/>
      <c r="AP272" s="112"/>
      <c r="AQ272" s="112"/>
      <c r="AR272" s="112"/>
      <c r="AS272" s="112"/>
      <c r="AT272" s="112"/>
      <c r="AU272" s="112"/>
      <c r="AV272" s="112"/>
      <c r="AW272" s="112"/>
      <c r="AX272" s="112"/>
      <c r="AY272" s="112"/>
      <c r="AZ272" s="112"/>
      <c r="BA272" s="112"/>
      <c r="BB272" s="112"/>
      <c r="BC272" s="112"/>
      <c r="BD272" s="112"/>
      <c r="BE272" s="112"/>
      <c r="BF272" s="112"/>
      <c r="BG272" s="112"/>
      <c r="BH272" s="112"/>
      <c r="BI272" s="112"/>
      <c r="BJ272" s="112"/>
      <c r="BK272" s="112"/>
      <c r="BL272" s="112"/>
      <c r="BM272" s="112"/>
      <c r="BN272" s="112"/>
      <c r="BO272" s="112"/>
      <c r="BP272" s="112"/>
      <c r="BQ272" s="112"/>
      <c r="BR272" s="112"/>
      <c r="BS272" s="112"/>
      <c r="BT272" s="112"/>
      <c r="BU272" s="112"/>
      <c r="BV272" s="112"/>
      <c r="BW272" s="112"/>
      <c r="BX272" s="112"/>
      <c r="BY272" s="112"/>
      <c r="BZ272" s="112"/>
    </row>
    <row r="273" spans="1:78" x14ac:dyDescent="0.2">
      <c r="A273" s="86"/>
      <c r="B273" s="442"/>
      <c r="C273" s="510"/>
      <c r="E273" s="394"/>
      <c r="F273" s="8"/>
      <c r="K273" s="1"/>
      <c r="L273" s="1"/>
      <c r="AD273" s="112"/>
      <c r="AE273" s="112"/>
      <c r="AF273" s="112"/>
      <c r="AG273" s="112"/>
      <c r="AH273" s="112"/>
      <c r="AI273" s="112"/>
      <c r="AJ273" s="112"/>
      <c r="AK273" s="112"/>
      <c r="AL273" s="112"/>
      <c r="AM273" s="112"/>
      <c r="AN273" s="112"/>
      <c r="AO273" s="112"/>
      <c r="AP273" s="112"/>
      <c r="AQ273" s="112"/>
      <c r="AR273" s="112"/>
      <c r="AS273" s="112"/>
      <c r="AT273" s="112"/>
      <c r="AU273" s="112"/>
      <c r="AV273" s="112"/>
      <c r="AW273" s="112"/>
      <c r="AX273" s="112"/>
      <c r="AY273" s="112"/>
      <c r="AZ273" s="112"/>
      <c r="BA273" s="112"/>
      <c r="BB273" s="112"/>
      <c r="BC273" s="112"/>
      <c r="BD273" s="112"/>
      <c r="BE273" s="112"/>
      <c r="BF273" s="112"/>
      <c r="BG273" s="112"/>
      <c r="BH273" s="112"/>
      <c r="BI273" s="112"/>
      <c r="BJ273" s="112"/>
      <c r="BK273" s="112"/>
      <c r="BL273" s="112"/>
      <c r="BM273" s="112"/>
      <c r="BN273" s="112"/>
      <c r="BO273" s="112"/>
      <c r="BP273" s="112"/>
      <c r="BQ273" s="112"/>
      <c r="BR273" s="112"/>
      <c r="BS273" s="112"/>
      <c r="BT273" s="112"/>
      <c r="BU273" s="112"/>
      <c r="BV273" s="112"/>
      <c r="BW273" s="112"/>
      <c r="BX273" s="112"/>
      <c r="BY273" s="112"/>
      <c r="BZ273" s="112"/>
    </row>
    <row r="274" spans="1:78" x14ac:dyDescent="0.2">
      <c r="A274" s="86"/>
      <c r="B274" s="442"/>
      <c r="C274" s="510"/>
      <c r="E274" s="394"/>
      <c r="F274" s="8"/>
      <c r="K274" s="1"/>
      <c r="L274" s="1"/>
      <c r="AD274" s="112"/>
      <c r="AE274" s="112"/>
      <c r="AF274" s="112"/>
      <c r="AG274" s="112"/>
      <c r="AH274" s="112"/>
      <c r="AI274" s="112"/>
      <c r="AJ274" s="112"/>
      <c r="AK274" s="112"/>
      <c r="AL274" s="112"/>
      <c r="AM274" s="112"/>
      <c r="AN274" s="112"/>
      <c r="AO274" s="112"/>
      <c r="AP274" s="112"/>
      <c r="AQ274" s="112"/>
      <c r="AR274" s="112"/>
      <c r="AS274" s="112"/>
      <c r="AT274" s="112"/>
      <c r="AU274" s="112"/>
      <c r="AV274" s="112"/>
      <c r="AW274" s="112"/>
      <c r="AX274" s="112"/>
      <c r="AY274" s="112"/>
      <c r="AZ274" s="112"/>
      <c r="BA274" s="112"/>
      <c r="BB274" s="112"/>
      <c r="BC274" s="112"/>
      <c r="BD274" s="112"/>
      <c r="BE274" s="112"/>
      <c r="BF274" s="112"/>
      <c r="BG274" s="112"/>
      <c r="BH274" s="112"/>
      <c r="BI274" s="112"/>
      <c r="BJ274" s="112"/>
      <c r="BK274" s="112"/>
      <c r="BL274" s="112"/>
      <c r="BM274" s="112"/>
      <c r="BN274" s="112"/>
      <c r="BO274" s="112"/>
      <c r="BP274" s="112"/>
      <c r="BQ274" s="112"/>
      <c r="BR274" s="112"/>
      <c r="BS274" s="112"/>
      <c r="BT274" s="112"/>
      <c r="BU274" s="112"/>
      <c r="BV274" s="112"/>
      <c r="BW274" s="112"/>
      <c r="BX274" s="112"/>
      <c r="BY274" s="112"/>
      <c r="BZ274" s="112"/>
    </row>
    <row r="275" spans="1:78" x14ac:dyDescent="0.2">
      <c r="A275" s="86"/>
      <c r="B275" s="442"/>
      <c r="C275" s="510"/>
      <c r="E275" s="394"/>
      <c r="F275" s="8"/>
      <c r="K275" s="1"/>
      <c r="L275" s="1"/>
      <c r="AD275" s="112"/>
      <c r="AE275" s="112"/>
      <c r="AF275" s="112"/>
      <c r="AG275" s="112"/>
      <c r="AH275" s="112"/>
      <c r="AI275" s="112"/>
      <c r="AJ275" s="112"/>
      <c r="AK275" s="112"/>
      <c r="AL275" s="112"/>
      <c r="AM275" s="112"/>
      <c r="AN275" s="112"/>
      <c r="AO275" s="112"/>
      <c r="AP275" s="112"/>
      <c r="AQ275" s="112"/>
      <c r="AR275" s="112"/>
      <c r="AS275" s="112"/>
      <c r="AT275" s="112"/>
      <c r="AU275" s="112"/>
      <c r="AV275" s="112"/>
      <c r="AW275" s="112"/>
      <c r="AX275" s="112"/>
      <c r="AY275" s="112"/>
      <c r="AZ275" s="112"/>
      <c r="BA275" s="112"/>
      <c r="BB275" s="112"/>
      <c r="BC275" s="112"/>
      <c r="BD275" s="112"/>
      <c r="BE275" s="112"/>
      <c r="BF275" s="112"/>
      <c r="BG275" s="112"/>
      <c r="BH275" s="112"/>
      <c r="BI275" s="112"/>
      <c r="BJ275" s="112"/>
      <c r="BK275" s="112"/>
      <c r="BL275" s="112"/>
      <c r="BM275" s="112"/>
      <c r="BN275" s="112"/>
      <c r="BO275" s="112"/>
      <c r="BP275" s="112"/>
      <c r="BQ275" s="112"/>
      <c r="BR275" s="112"/>
      <c r="BS275" s="112"/>
      <c r="BT275" s="112"/>
      <c r="BU275" s="112"/>
      <c r="BV275" s="112"/>
      <c r="BW275" s="112"/>
      <c r="BX275" s="112"/>
      <c r="BY275" s="112"/>
      <c r="BZ275" s="112"/>
    </row>
    <row r="276" spans="1:78" x14ac:dyDescent="0.2">
      <c r="A276" s="86"/>
      <c r="B276" s="442"/>
      <c r="C276" s="510"/>
      <c r="E276" s="394"/>
      <c r="F276" s="8"/>
      <c r="K276" s="1"/>
      <c r="L276" s="1"/>
      <c r="AD276" s="112"/>
      <c r="AE276" s="112"/>
      <c r="AF276" s="112"/>
      <c r="AG276" s="112"/>
      <c r="AH276" s="112"/>
      <c r="AI276" s="112"/>
      <c r="AJ276" s="112"/>
      <c r="AK276" s="112"/>
      <c r="AL276" s="112"/>
      <c r="AM276" s="112"/>
      <c r="AN276" s="112"/>
      <c r="AO276" s="112"/>
      <c r="AP276" s="112"/>
      <c r="AQ276" s="112"/>
      <c r="AR276" s="112"/>
      <c r="AS276" s="112"/>
      <c r="AT276" s="112"/>
      <c r="AU276" s="112"/>
      <c r="AV276" s="112"/>
      <c r="AW276" s="112"/>
      <c r="AX276" s="112"/>
      <c r="AY276" s="112"/>
      <c r="AZ276" s="112"/>
      <c r="BA276" s="112"/>
      <c r="BB276" s="112"/>
      <c r="BC276" s="112"/>
      <c r="BD276" s="112"/>
      <c r="BE276" s="112"/>
      <c r="BF276" s="112"/>
      <c r="BG276" s="112"/>
      <c r="BH276" s="112"/>
      <c r="BI276" s="112"/>
      <c r="BJ276" s="112"/>
      <c r="BK276" s="112"/>
      <c r="BL276" s="112"/>
      <c r="BM276" s="112"/>
      <c r="BN276" s="112"/>
      <c r="BO276" s="112"/>
      <c r="BP276" s="112"/>
      <c r="BQ276" s="112"/>
      <c r="BR276" s="112"/>
      <c r="BS276" s="112"/>
      <c r="BT276" s="112"/>
      <c r="BU276" s="112"/>
      <c r="BV276" s="112"/>
      <c r="BW276" s="112"/>
      <c r="BX276" s="112"/>
      <c r="BY276" s="112"/>
      <c r="BZ276" s="112"/>
    </row>
    <row r="277" spans="1:78" x14ac:dyDescent="0.2">
      <c r="A277" s="86"/>
      <c r="B277" s="442"/>
      <c r="C277" s="510"/>
      <c r="E277" s="394"/>
      <c r="F277" s="8"/>
      <c r="K277" s="1"/>
      <c r="L277" s="1"/>
      <c r="AD277" s="112"/>
      <c r="AE277" s="112"/>
      <c r="AF277" s="112"/>
      <c r="AG277" s="112"/>
      <c r="AH277" s="112"/>
      <c r="AI277" s="112"/>
      <c r="AJ277" s="112"/>
      <c r="AK277" s="112"/>
      <c r="AL277" s="112"/>
      <c r="AM277" s="112"/>
      <c r="AN277" s="112"/>
      <c r="AO277" s="112"/>
      <c r="AP277" s="112"/>
      <c r="AQ277" s="112"/>
      <c r="AR277" s="112"/>
      <c r="AS277" s="112"/>
      <c r="AT277" s="112"/>
      <c r="AU277" s="112"/>
      <c r="AV277" s="112"/>
      <c r="AW277" s="112"/>
      <c r="AX277" s="112"/>
      <c r="AY277" s="112"/>
      <c r="AZ277" s="112"/>
      <c r="BA277" s="112"/>
      <c r="BB277" s="112"/>
      <c r="BC277" s="112"/>
      <c r="BD277" s="112"/>
      <c r="BE277" s="112"/>
      <c r="BF277" s="112"/>
      <c r="BG277" s="112"/>
      <c r="BH277" s="112"/>
      <c r="BI277" s="112"/>
      <c r="BJ277" s="112"/>
      <c r="BK277" s="112"/>
      <c r="BL277" s="112"/>
      <c r="BM277" s="112"/>
      <c r="BN277" s="112"/>
      <c r="BO277" s="112"/>
      <c r="BP277" s="112"/>
      <c r="BQ277" s="112"/>
      <c r="BR277" s="112"/>
      <c r="BS277" s="112"/>
      <c r="BT277" s="112"/>
      <c r="BU277" s="112"/>
      <c r="BV277" s="112"/>
      <c r="BW277" s="112"/>
      <c r="BX277" s="112"/>
      <c r="BY277" s="112"/>
      <c r="BZ277" s="112"/>
    </row>
    <row r="278" spans="1:78" x14ac:dyDescent="0.2">
      <c r="A278" s="86"/>
      <c r="B278" s="442"/>
      <c r="C278" s="510"/>
      <c r="E278" s="394"/>
      <c r="F278" s="8"/>
      <c r="K278" s="1"/>
      <c r="L278" s="1"/>
      <c r="AD278" s="112"/>
      <c r="AE278" s="112"/>
      <c r="AF278" s="112"/>
      <c r="AG278" s="112"/>
      <c r="AH278" s="112"/>
      <c r="AI278" s="112"/>
      <c r="AJ278" s="112"/>
      <c r="AK278" s="112"/>
      <c r="AL278" s="112"/>
      <c r="AM278" s="112"/>
      <c r="AN278" s="112"/>
      <c r="AO278" s="112"/>
      <c r="AP278" s="112"/>
      <c r="AQ278" s="112"/>
      <c r="AR278" s="112"/>
      <c r="AS278" s="112"/>
      <c r="AT278" s="112"/>
      <c r="AU278" s="112"/>
      <c r="AV278" s="112"/>
      <c r="AW278" s="112"/>
      <c r="AX278" s="112"/>
      <c r="AY278" s="112"/>
      <c r="AZ278" s="112"/>
      <c r="BA278" s="112"/>
      <c r="BB278" s="112"/>
      <c r="BC278" s="112"/>
      <c r="BD278" s="112"/>
      <c r="BE278" s="112"/>
      <c r="BF278" s="112"/>
      <c r="BG278" s="112"/>
      <c r="BH278" s="112"/>
      <c r="BI278" s="112"/>
      <c r="BJ278" s="112"/>
      <c r="BK278" s="112"/>
      <c r="BL278" s="112"/>
      <c r="BM278" s="112"/>
      <c r="BN278" s="112"/>
      <c r="BO278" s="112"/>
      <c r="BP278" s="112"/>
      <c r="BQ278" s="112"/>
      <c r="BR278" s="112"/>
      <c r="BS278" s="112"/>
      <c r="BT278" s="112"/>
      <c r="BU278" s="112"/>
      <c r="BV278" s="112"/>
      <c r="BW278" s="112"/>
      <c r="BX278" s="112"/>
      <c r="BY278" s="112"/>
      <c r="BZ278" s="112"/>
    </row>
    <row r="279" spans="1:78" x14ac:dyDescent="0.2">
      <c r="A279" s="86"/>
      <c r="B279" s="442"/>
      <c r="C279" s="510"/>
      <c r="E279" s="394"/>
      <c r="F279" s="8"/>
      <c r="K279" s="1"/>
      <c r="L279" s="1"/>
      <c r="AD279" s="112"/>
      <c r="AE279" s="112"/>
      <c r="AF279" s="112"/>
      <c r="AG279" s="112"/>
      <c r="AH279" s="112"/>
      <c r="AI279" s="112"/>
      <c r="AJ279" s="112"/>
      <c r="AK279" s="112"/>
      <c r="AL279" s="112"/>
      <c r="AM279" s="112"/>
      <c r="AN279" s="112"/>
      <c r="AO279" s="112"/>
      <c r="AP279" s="112"/>
      <c r="AQ279" s="112"/>
      <c r="AR279" s="112"/>
      <c r="AS279" s="112"/>
      <c r="AT279" s="112"/>
      <c r="AU279" s="112"/>
      <c r="AV279" s="112"/>
      <c r="AW279" s="112"/>
      <c r="AX279" s="112"/>
      <c r="AY279" s="112"/>
      <c r="AZ279" s="112"/>
      <c r="BA279" s="112"/>
      <c r="BB279" s="112"/>
      <c r="BC279" s="112"/>
      <c r="BD279" s="112"/>
      <c r="BE279" s="112"/>
      <c r="BF279" s="112"/>
      <c r="BG279" s="112"/>
      <c r="BH279" s="112"/>
      <c r="BI279" s="112"/>
      <c r="BJ279" s="112"/>
      <c r="BK279" s="112"/>
      <c r="BL279" s="112"/>
      <c r="BM279" s="112"/>
      <c r="BN279" s="112"/>
      <c r="BO279" s="112"/>
      <c r="BP279" s="112"/>
      <c r="BQ279" s="112"/>
      <c r="BR279" s="112"/>
      <c r="BS279" s="112"/>
      <c r="BT279" s="112"/>
      <c r="BU279" s="112"/>
      <c r="BV279" s="112"/>
      <c r="BW279" s="112"/>
      <c r="BX279" s="112"/>
      <c r="BY279" s="112"/>
      <c r="BZ279" s="112"/>
    </row>
    <row r="280" spans="1:78" x14ac:dyDescent="0.2">
      <c r="A280" s="86"/>
      <c r="B280" s="442"/>
      <c r="C280" s="510"/>
      <c r="E280" s="394"/>
      <c r="F280" s="8"/>
      <c r="K280" s="1"/>
      <c r="L280" s="1"/>
      <c r="AD280" s="112"/>
      <c r="AE280" s="112"/>
      <c r="AF280" s="112"/>
      <c r="AG280" s="112"/>
      <c r="AH280" s="112"/>
      <c r="AI280" s="112"/>
      <c r="AJ280" s="112"/>
      <c r="AK280" s="112"/>
      <c r="AL280" s="112"/>
      <c r="AM280" s="112"/>
      <c r="AN280" s="112"/>
      <c r="AO280" s="112"/>
      <c r="AP280" s="112"/>
      <c r="AQ280" s="112"/>
      <c r="AR280" s="112"/>
      <c r="AS280" s="112"/>
      <c r="AT280" s="112"/>
      <c r="AU280" s="112"/>
      <c r="AV280" s="112"/>
      <c r="AW280" s="112"/>
      <c r="AX280" s="112"/>
      <c r="AY280" s="112"/>
      <c r="AZ280" s="112"/>
      <c r="BA280" s="112"/>
      <c r="BB280" s="112"/>
      <c r="BC280" s="112"/>
      <c r="BD280" s="112"/>
      <c r="BE280" s="112"/>
      <c r="BF280" s="112"/>
      <c r="BG280" s="112"/>
      <c r="BH280" s="112"/>
      <c r="BI280" s="112"/>
      <c r="BJ280" s="112"/>
      <c r="BK280" s="112"/>
      <c r="BL280" s="112"/>
      <c r="BM280" s="112"/>
      <c r="BN280" s="112"/>
      <c r="BO280" s="112"/>
      <c r="BP280" s="112"/>
      <c r="BQ280" s="112"/>
      <c r="BR280" s="112"/>
      <c r="BS280" s="112"/>
      <c r="BT280" s="112"/>
      <c r="BU280" s="112"/>
      <c r="BV280" s="112"/>
      <c r="BW280" s="112"/>
      <c r="BX280" s="112"/>
      <c r="BY280" s="112"/>
      <c r="BZ280" s="112"/>
    </row>
    <row r="281" spans="1:78" x14ac:dyDescent="0.2">
      <c r="A281" s="86"/>
      <c r="B281" s="442"/>
      <c r="C281" s="510"/>
      <c r="E281" s="394"/>
      <c r="F281" s="8"/>
      <c r="K281" s="1"/>
      <c r="L281" s="1"/>
      <c r="AD281" s="112"/>
      <c r="AE281" s="112"/>
      <c r="AF281" s="112"/>
      <c r="AG281" s="112"/>
      <c r="AH281" s="112"/>
      <c r="AI281" s="112"/>
      <c r="AJ281" s="112"/>
      <c r="AK281" s="112"/>
      <c r="AL281" s="112"/>
      <c r="AM281" s="112"/>
      <c r="AN281" s="112"/>
      <c r="AO281" s="112"/>
      <c r="AP281" s="112"/>
      <c r="AQ281" s="112"/>
      <c r="AR281" s="112"/>
      <c r="AS281" s="112"/>
      <c r="AT281" s="112"/>
      <c r="AU281" s="112"/>
      <c r="AV281" s="112"/>
      <c r="AW281" s="112"/>
      <c r="AX281" s="112"/>
      <c r="AY281" s="112"/>
      <c r="AZ281" s="112"/>
      <c r="BA281" s="112"/>
      <c r="BB281" s="112"/>
      <c r="BC281" s="112"/>
      <c r="BD281" s="112"/>
      <c r="BE281" s="112"/>
      <c r="BF281" s="112"/>
      <c r="BG281" s="112"/>
      <c r="BH281" s="112"/>
      <c r="BI281" s="112"/>
      <c r="BJ281" s="112"/>
      <c r="BK281" s="112"/>
      <c r="BL281" s="112"/>
      <c r="BM281" s="112"/>
      <c r="BN281" s="112"/>
      <c r="BO281" s="112"/>
      <c r="BP281" s="112"/>
      <c r="BQ281" s="112"/>
      <c r="BR281" s="112"/>
      <c r="BS281" s="112"/>
      <c r="BT281" s="112"/>
      <c r="BU281" s="112"/>
      <c r="BV281" s="112"/>
      <c r="BW281" s="112"/>
      <c r="BX281" s="112"/>
      <c r="BY281" s="112"/>
      <c r="BZ281" s="112"/>
    </row>
    <row r="282" spans="1:78" x14ac:dyDescent="0.2">
      <c r="A282" s="86"/>
      <c r="B282" s="442"/>
      <c r="C282" s="510"/>
      <c r="E282" s="394"/>
      <c r="F282" s="8"/>
      <c r="K282" s="1"/>
      <c r="L282" s="1"/>
      <c r="AD282" s="112"/>
      <c r="AE282" s="112"/>
      <c r="AF282" s="112"/>
      <c r="AG282" s="112"/>
      <c r="AH282" s="112"/>
      <c r="AI282" s="112"/>
      <c r="AJ282" s="112"/>
      <c r="AK282" s="112"/>
      <c r="AL282" s="112"/>
      <c r="AM282" s="112"/>
      <c r="AN282" s="112"/>
      <c r="AO282" s="112"/>
      <c r="AP282" s="112"/>
      <c r="AQ282" s="112"/>
      <c r="AR282" s="112"/>
      <c r="AS282" s="112"/>
      <c r="AT282" s="112"/>
      <c r="AU282" s="112"/>
      <c r="AV282" s="112"/>
      <c r="AW282" s="112"/>
      <c r="AX282" s="112"/>
      <c r="AY282" s="112"/>
      <c r="AZ282" s="112"/>
      <c r="BA282" s="112"/>
      <c r="BB282" s="112"/>
      <c r="BC282" s="112"/>
      <c r="BD282" s="112"/>
      <c r="BE282" s="112"/>
      <c r="BF282" s="112"/>
      <c r="BG282" s="112"/>
      <c r="BH282" s="112"/>
      <c r="BI282" s="112"/>
      <c r="BJ282" s="112"/>
      <c r="BK282" s="112"/>
      <c r="BL282" s="112"/>
      <c r="BM282" s="112"/>
      <c r="BN282" s="112"/>
      <c r="BO282" s="112"/>
      <c r="BP282" s="112"/>
      <c r="BQ282" s="112"/>
      <c r="BR282" s="112"/>
      <c r="BS282" s="112"/>
      <c r="BT282" s="112"/>
      <c r="BU282" s="112"/>
      <c r="BV282" s="112"/>
      <c r="BW282" s="112"/>
      <c r="BX282" s="112"/>
      <c r="BY282" s="112"/>
      <c r="BZ282" s="112"/>
    </row>
    <row r="283" spans="1:78" x14ac:dyDescent="0.2">
      <c r="A283" s="86"/>
      <c r="B283" s="442"/>
      <c r="C283" s="510"/>
      <c r="E283" s="394"/>
      <c r="F283" s="8"/>
      <c r="K283" s="1"/>
      <c r="L283" s="1"/>
      <c r="AD283" s="112"/>
      <c r="AE283" s="112"/>
      <c r="AF283" s="112"/>
      <c r="AG283" s="112"/>
      <c r="AH283" s="112"/>
      <c r="AI283" s="112"/>
      <c r="AJ283" s="112"/>
      <c r="AK283" s="112"/>
      <c r="AL283" s="112"/>
      <c r="AM283" s="112"/>
      <c r="AN283" s="112"/>
      <c r="AO283" s="112"/>
      <c r="AP283" s="112"/>
      <c r="AQ283" s="112"/>
      <c r="AR283" s="112"/>
      <c r="AS283" s="112"/>
      <c r="AT283" s="112"/>
      <c r="AU283" s="112"/>
      <c r="AV283" s="112"/>
      <c r="AW283" s="112"/>
      <c r="AX283" s="112"/>
      <c r="AY283" s="112"/>
      <c r="AZ283" s="112"/>
      <c r="BA283" s="112"/>
      <c r="BB283" s="112"/>
      <c r="BC283" s="112"/>
      <c r="BD283" s="112"/>
      <c r="BE283" s="112"/>
      <c r="BF283" s="112"/>
      <c r="BG283" s="112"/>
      <c r="BH283" s="112"/>
      <c r="BI283" s="112"/>
      <c r="BJ283" s="112"/>
      <c r="BK283" s="112"/>
      <c r="BL283" s="112"/>
      <c r="BM283" s="112"/>
      <c r="BN283" s="112"/>
      <c r="BO283" s="112"/>
      <c r="BP283" s="112"/>
      <c r="BQ283" s="112"/>
      <c r="BR283" s="112"/>
      <c r="BS283" s="112"/>
      <c r="BT283" s="112"/>
      <c r="BU283" s="112"/>
      <c r="BV283" s="112"/>
      <c r="BW283" s="112"/>
      <c r="BX283" s="112"/>
      <c r="BY283" s="112"/>
      <c r="BZ283" s="112"/>
    </row>
    <row r="284" spans="1:78" x14ac:dyDescent="0.2">
      <c r="A284" s="86"/>
      <c r="B284" s="442"/>
      <c r="C284" s="510"/>
      <c r="E284" s="394"/>
      <c r="F284" s="8"/>
      <c r="K284" s="1"/>
      <c r="L284" s="1"/>
      <c r="AD284" s="112"/>
      <c r="AE284" s="112"/>
      <c r="AF284" s="112"/>
      <c r="AG284" s="112"/>
      <c r="AH284" s="112"/>
      <c r="AI284" s="112"/>
      <c r="AJ284" s="112"/>
      <c r="AK284" s="112"/>
      <c r="AL284" s="112"/>
      <c r="AM284" s="112"/>
      <c r="AN284" s="112"/>
      <c r="AO284" s="112"/>
      <c r="AP284" s="112"/>
      <c r="AQ284" s="112"/>
      <c r="AR284" s="112"/>
      <c r="AS284" s="112"/>
      <c r="AT284" s="112"/>
      <c r="AU284" s="112"/>
      <c r="AV284" s="112"/>
      <c r="AW284" s="112"/>
      <c r="AX284" s="112"/>
      <c r="AY284" s="112"/>
      <c r="AZ284" s="112"/>
      <c r="BA284" s="112"/>
      <c r="BB284" s="112"/>
      <c r="BC284" s="112"/>
      <c r="BD284" s="112"/>
      <c r="BE284" s="112"/>
      <c r="BF284" s="112"/>
      <c r="BG284" s="112"/>
      <c r="BH284" s="112"/>
      <c r="BI284" s="112"/>
      <c r="BJ284" s="112"/>
      <c r="BK284" s="112"/>
      <c r="BL284" s="112"/>
      <c r="BM284" s="112"/>
      <c r="BN284" s="112"/>
      <c r="BO284" s="112"/>
      <c r="BP284" s="112"/>
      <c r="BQ284" s="112"/>
      <c r="BR284" s="112"/>
      <c r="BS284" s="112"/>
      <c r="BT284" s="112"/>
      <c r="BU284" s="112"/>
      <c r="BV284" s="112"/>
      <c r="BW284" s="112"/>
      <c r="BX284" s="112"/>
      <c r="BY284" s="112"/>
      <c r="BZ284" s="112"/>
    </row>
    <row r="285" spans="1:78" x14ac:dyDescent="0.2">
      <c r="A285" s="86"/>
      <c r="B285" s="442"/>
      <c r="C285" s="510"/>
      <c r="E285" s="394"/>
      <c r="F285" s="8"/>
      <c r="K285" s="1"/>
      <c r="L285" s="1"/>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c r="BK285" s="112"/>
      <c r="BL285" s="112"/>
      <c r="BM285" s="112"/>
      <c r="BN285" s="112"/>
      <c r="BO285" s="112"/>
      <c r="BP285" s="112"/>
      <c r="BQ285" s="112"/>
      <c r="BR285" s="112"/>
      <c r="BS285" s="112"/>
      <c r="BT285" s="112"/>
      <c r="BU285" s="112"/>
      <c r="BV285" s="112"/>
      <c r="BW285" s="112"/>
      <c r="BX285" s="112"/>
      <c r="BY285" s="112"/>
      <c r="BZ285" s="112"/>
    </row>
    <row r="286" spans="1:78" x14ac:dyDescent="0.2">
      <c r="A286" s="86"/>
      <c r="B286" s="442"/>
      <c r="C286" s="510"/>
      <c r="E286" s="394"/>
      <c r="F286" s="8"/>
      <c r="K286" s="1"/>
      <c r="L286" s="1"/>
      <c r="AD286" s="112"/>
      <c r="AE286" s="112"/>
      <c r="AF286" s="112"/>
      <c r="AG286" s="112"/>
      <c r="AH286" s="112"/>
      <c r="AI286" s="112"/>
      <c r="AJ286" s="112"/>
      <c r="AK286" s="112"/>
      <c r="AL286" s="112"/>
      <c r="AM286" s="112"/>
      <c r="AN286" s="112"/>
      <c r="AO286" s="112"/>
      <c r="AP286" s="112"/>
      <c r="AQ286" s="112"/>
      <c r="AR286" s="112"/>
      <c r="AS286" s="112"/>
      <c r="AT286" s="112"/>
      <c r="AU286" s="112"/>
      <c r="AV286" s="112"/>
      <c r="AW286" s="112"/>
      <c r="AX286" s="112"/>
      <c r="AY286" s="112"/>
      <c r="AZ286" s="112"/>
      <c r="BA286" s="112"/>
      <c r="BB286" s="112"/>
      <c r="BC286" s="112"/>
      <c r="BD286" s="112"/>
      <c r="BE286" s="112"/>
      <c r="BF286" s="112"/>
      <c r="BG286" s="112"/>
      <c r="BH286" s="112"/>
      <c r="BI286" s="112"/>
      <c r="BJ286" s="112"/>
      <c r="BK286" s="112"/>
      <c r="BL286" s="112"/>
      <c r="BM286" s="112"/>
      <c r="BN286" s="112"/>
      <c r="BO286" s="112"/>
      <c r="BP286" s="112"/>
      <c r="BQ286" s="112"/>
      <c r="BR286" s="112"/>
      <c r="BS286" s="112"/>
      <c r="BT286" s="112"/>
      <c r="BU286" s="112"/>
      <c r="BV286" s="112"/>
      <c r="BW286" s="112"/>
      <c r="BX286" s="112"/>
      <c r="BY286" s="112"/>
      <c r="BZ286" s="112"/>
    </row>
    <row r="287" spans="1:78" x14ac:dyDescent="0.2">
      <c r="A287" s="86"/>
      <c r="B287" s="442"/>
      <c r="C287" s="510"/>
      <c r="E287" s="394"/>
      <c r="F287" s="8"/>
      <c r="K287" s="1"/>
      <c r="L287" s="1"/>
      <c r="AD287" s="112"/>
      <c r="AE287" s="112"/>
      <c r="AF287" s="112"/>
      <c r="AG287" s="112"/>
      <c r="AH287" s="112"/>
      <c r="AI287" s="112"/>
      <c r="AJ287" s="112"/>
      <c r="AK287" s="112"/>
      <c r="AL287" s="112"/>
      <c r="AM287" s="112"/>
      <c r="AN287" s="112"/>
      <c r="AO287" s="112"/>
      <c r="AP287" s="112"/>
      <c r="AQ287" s="112"/>
      <c r="AR287" s="112"/>
      <c r="AS287" s="112"/>
      <c r="AT287" s="112"/>
      <c r="AU287" s="112"/>
      <c r="AV287" s="112"/>
      <c r="AW287" s="112"/>
      <c r="AX287" s="112"/>
      <c r="AY287" s="112"/>
      <c r="AZ287" s="112"/>
      <c r="BA287" s="112"/>
      <c r="BB287" s="112"/>
      <c r="BC287" s="112"/>
      <c r="BD287" s="112"/>
      <c r="BE287" s="112"/>
      <c r="BF287" s="112"/>
      <c r="BG287" s="112"/>
      <c r="BH287" s="112"/>
      <c r="BI287" s="112"/>
      <c r="BJ287" s="112"/>
      <c r="BK287" s="112"/>
      <c r="BL287" s="112"/>
      <c r="BM287" s="112"/>
      <c r="BN287" s="112"/>
      <c r="BO287" s="112"/>
      <c r="BP287" s="112"/>
      <c r="BQ287" s="112"/>
      <c r="BR287" s="112"/>
      <c r="BS287" s="112"/>
      <c r="BT287" s="112"/>
      <c r="BU287" s="112"/>
      <c r="BV287" s="112"/>
      <c r="BW287" s="112"/>
      <c r="BX287" s="112"/>
      <c r="BY287" s="112"/>
      <c r="BZ287" s="112"/>
    </row>
    <row r="288" spans="1:78" x14ac:dyDescent="0.2">
      <c r="A288" s="86"/>
      <c r="B288" s="442"/>
      <c r="C288" s="510"/>
      <c r="E288" s="394"/>
      <c r="F288" s="8"/>
      <c r="K288" s="1"/>
      <c r="L288" s="1"/>
      <c r="AD288" s="112"/>
      <c r="AE288" s="112"/>
      <c r="AF288" s="112"/>
      <c r="AG288" s="112"/>
      <c r="AH288" s="112"/>
      <c r="AI288" s="112"/>
      <c r="AJ288" s="112"/>
      <c r="AK288" s="112"/>
      <c r="AL288" s="112"/>
      <c r="AM288" s="112"/>
      <c r="AN288" s="112"/>
      <c r="AO288" s="112"/>
      <c r="AP288" s="112"/>
      <c r="AQ288" s="112"/>
      <c r="AR288" s="112"/>
      <c r="AS288" s="112"/>
      <c r="AT288" s="112"/>
      <c r="AU288" s="112"/>
      <c r="AV288" s="112"/>
      <c r="AW288" s="112"/>
      <c r="AX288" s="112"/>
      <c r="AY288" s="112"/>
      <c r="AZ288" s="112"/>
      <c r="BA288" s="112"/>
      <c r="BB288" s="112"/>
      <c r="BC288" s="112"/>
      <c r="BD288" s="112"/>
      <c r="BE288" s="112"/>
      <c r="BF288" s="112"/>
      <c r="BG288" s="112"/>
      <c r="BH288" s="112"/>
      <c r="BI288" s="112"/>
      <c r="BJ288" s="112"/>
      <c r="BK288" s="112"/>
      <c r="BL288" s="112"/>
      <c r="BM288" s="112"/>
      <c r="BN288" s="112"/>
      <c r="BO288" s="112"/>
      <c r="BP288" s="112"/>
      <c r="BQ288" s="112"/>
      <c r="BR288" s="112"/>
      <c r="BS288" s="112"/>
      <c r="BT288" s="112"/>
      <c r="BU288" s="112"/>
      <c r="BV288" s="112"/>
      <c r="BW288" s="112"/>
      <c r="BX288" s="112"/>
      <c r="BY288" s="112"/>
      <c r="BZ288" s="112"/>
    </row>
    <row r="289" spans="1:78" x14ac:dyDescent="0.2">
      <c r="A289" s="86"/>
      <c r="B289" s="442"/>
      <c r="C289" s="510"/>
      <c r="E289" s="394"/>
      <c r="F289" s="8"/>
      <c r="K289" s="1"/>
      <c r="L289" s="1"/>
      <c r="AD289" s="112"/>
      <c r="AE289" s="112"/>
      <c r="AF289" s="112"/>
      <c r="AG289" s="112"/>
      <c r="AH289" s="112"/>
      <c r="AI289" s="112"/>
      <c r="AJ289" s="112"/>
      <c r="AK289" s="112"/>
      <c r="AL289" s="112"/>
      <c r="AM289" s="112"/>
      <c r="AN289" s="112"/>
      <c r="AO289" s="112"/>
      <c r="AP289" s="112"/>
      <c r="AQ289" s="112"/>
      <c r="AR289" s="112"/>
      <c r="AS289" s="112"/>
      <c r="AT289" s="112"/>
      <c r="AU289" s="112"/>
      <c r="AV289" s="112"/>
      <c r="AW289" s="112"/>
      <c r="AX289" s="112"/>
      <c r="AY289" s="112"/>
      <c r="AZ289" s="112"/>
      <c r="BA289" s="112"/>
      <c r="BB289" s="112"/>
      <c r="BC289" s="112"/>
      <c r="BD289" s="112"/>
      <c r="BE289" s="112"/>
      <c r="BF289" s="112"/>
      <c r="BG289" s="112"/>
      <c r="BH289" s="112"/>
      <c r="BI289" s="112"/>
      <c r="BJ289" s="112"/>
      <c r="BK289" s="112"/>
      <c r="BL289" s="112"/>
      <c r="BM289" s="112"/>
      <c r="BN289" s="112"/>
      <c r="BO289" s="112"/>
      <c r="BP289" s="112"/>
      <c r="BQ289" s="112"/>
      <c r="BR289" s="112"/>
      <c r="BS289" s="112"/>
      <c r="BT289" s="112"/>
      <c r="BU289" s="112"/>
      <c r="BV289" s="112"/>
      <c r="BW289" s="112"/>
      <c r="BX289" s="112"/>
      <c r="BY289" s="112"/>
      <c r="BZ289" s="112"/>
    </row>
    <row r="290" spans="1:78" x14ac:dyDescent="0.2">
      <c r="A290" s="86"/>
      <c r="B290" s="442"/>
      <c r="C290" s="510"/>
      <c r="E290" s="394"/>
      <c r="F290" s="8"/>
      <c r="K290" s="1"/>
      <c r="L290" s="1"/>
      <c r="AD290" s="112"/>
      <c r="AE290" s="112"/>
      <c r="AF290" s="112"/>
      <c r="AG290" s="112"/>
      <c r="AH290" s="112"/>
      <c r="AI290" s="112"/>
      <c r="AJ290" s="112"/>
      <c r="AK290" s="112"/>
      <c r="AL290" s="112"/>
      <c r="AM290" s="112"/>
      <c r="AN290" s="112"/>
      <c r="AO290" s="112"/>
      <c r="AP290" s="112"/>
      <c r="AQ290" s="112"/>
      <c r="AR290" s="112"/>
      <c r="AS290" s="112"/>
      <c r="AT290" s="112"/>
      <c r="AU290" s="112"/>
      <c r="AV290" s="112"/>
      <c r="AW290" s="112"/>
      <c r="AX290" s="112"/>
      <c r="AY290" s="112"/>
      <c r="AZ290" s="112"/>
      <c r="BA290" s="112"/>
      <c r="BB290" s="112"/>
      <c r="BC290" s="112"/>
      <c r="BD290" s="112"/>
      <c r="BE290" s="112"/>
      <c r="BF290" s="112"/>
      <c r="BG290" s="112"/>
      <c r="BH290" s="112"/>
      <c r="BI290" s="112"/>
      <c r="BJ290" s="112"/>
      <c r="BK290" s="112"/>
      <c r="BL290" s="112"/>
      <c r="BM290" s="112"/>
      <c r="BN290" s="112"/>
      <c r="BO290" s="112"/>
      <c r="BP290" s="112"/>
      <c r="BQ290" s="112"/>
      <c r="BR290" s="112"/>
      <c r="BS290" s="112"/>
      <c r="BT290" s="112"/>
      <c r="BU290" s="112"/>
      <c r="BV290" s="112"/>
      <c r="BW290" s="112"/>
      <c r="BX290" s="112"/>
      <c r="BY290" s="112"/>
      <c r="BZ290" s="112"/>
    </row>
    <row r="291" spans="1:78" x14ac:dyDescent="0.2">
      <c r="A291" s="86"/>
      <c r="B291" s="442"/>
      <c r="C291" s="510"/>
      <c r="E291" s="394"/>
      <c r="F291" s="8"/>
      <c r="K291" s="1"/>
      <c r="L291" s="1"/>
      <c r="AD291" s="112"/>
      <c r="AE291" s="112"/>
      <c r="AF291" s="112"/>
      <c r="AG291" s="112"/>
      <c r="AH291" s="112"/>
      <c r="AI291" s="112"/>
      <c r="AJ291" s="112"/>
      <c r="AK291" s="112"/>
      <c r="AL291" s="112"/>
      <c r="AM291" s="112"/>
      <c r="AN291" s="112"/>
      <c r="AO291" s="112"/>
      <c r="AP291" s="112"/>
      <c r="AQ291" s="112"/>
      <c r="AR291" s="112"/>
      <c r="AS291" s="112"/>
      <c r="AT291" s="112"/>
      <c r="AU291" s="112"/>
      <c r="AV291" s="112"/>
      <c r="AW291" s="112"/>
      <c r="AX291" s="112"/>
      <c r="AY291" s="112"/>
      <c r="AZ291" s="112"/>
      <c r="BA291" s="112"/>
      <c r="BB291" s="112"/>
      <c r="BC291" s="112"/>
      <c r="BD291" s="112"/>
      <c r="BE291" s="112"/>
      <c r="BF291" s="112"/>
      <c r="BG291" s="112"/>
      <c r="BH291" s="112"/>
      <c r="BI291" s="112"/>
      <c r="BJ291" s="112"/>
      <c r="BK291" s="112"/>
      <c r="BL291" s="112"/>
      <c r="BM291" s="112"/>
      <c r="BN291" s="112"/>
      <c r="BO291" s="112"/>
      <c r="BP291" s="112"/>
      <c r="BQ291" s="112"/>
      <c r="BR291" s="112"/>
      <c r="BS291" s="112"/>
      <c r="BT291" s="112"/>
      <c r="BU291" s="112"/>
      <c r="BV291" s="112"/>
      <c r="BW291" s="112"/>
      <c r="BX291" s="112"/>
      <c r="BY291" s="112"/>
      <c r="BZ291" s="112"/>
    </row>
    <row r="292" spans="1:78" x14ac:dyDescent="0.2">
      <c r="A292" s="86"/>
      <c r="B292" s="442"/>
      <c r="C292" s="510"/>
      <c r="E292" s="394"/>
      <c r="F292" s="8"/>
      <c r="K292" s="1"/>
      <c r="L292" s="1"/>
      <c r="AD292" s="112"/>
      <c r="AE292" s="112"/>
      <c r="AF292" s="112"/>
      <c r="AG292" s="112"/>
      <c r="AH292" s="112"/>
      <c r="AI292" s="112"/>
      <c r="AJ292" s="112"/>
      <c r="AK292" s="112"/>
      <c r="AL292" s="112"/>
      <c r="AM292" s="112"/>
      <c r="AN292" s="112"/>
      <c r="AO292" s="112"/>
      <c r="AP292" s="112"/>
      <c r="AQ292" s="112"/>
      <c r="AR292" s="112"/>
      <c r="AS292" s="112"/>
      <c r="AT292" s="112"/>
      <c r="AU292" s="112"/>
      <c r="AV292" s="112"/>
      <c r="AW292" s="112"/>
      <c r="AX292" s="112"/>
      <c r="AY292" s="112"/>
      <c r="AZ292" s="112"/>
      <c r="BA292" s="112"/>
      <c r="BB292" s="112"/>
      <c r="BC292" s="112"/>
      <c r="BD292" s="112"/>
      <c r="BE292" s="112"/>
      <c r="BF292" s="112"/>
      <c r="BG292" s="112"/>
      <c r="BH292" s="112"/>
      <c r="BI292" s="112"/>
      <c r="BJ292" s="112"/>
      <c r="BK292" s="112"/>
      <c r="BL292" s="112"/>
      <c r="BM292" s="112"/>
      <c r="BN292" s="112"/>
      <c r="BO292" s="112"/>
      <c r="BP292" s="112"/>
      <c r="BQ292" s="112"/>
      <c r="BR292" s="112"/>
      <c r="BS292" s="112"/>
      <c r="BT292" s="112"/>
      <c r="BU292" s="112"/>
      <c r="BV292" s="112"/>
      <c r="BW292" s="112"/>
      <c r="BX292" s="112"/>
      <c r="BY292" s="112"/>
      <c r="BZ292" s="112"/>
    </row>
    <row r="293" spans="1:78" x14ac:dyDescent="0.2">
      <c r="A293" s="86"/>
      <c r="B293" s="442"/>
      <c r="C293" s="510"/>
      <c r="E293" s="394"/>
      <c r="F293" s="8"/>
      <c r="K293" s="1"/>
      <c r="L293" s="1"/>
      <c r="AD293" s="112"/>
      <c r="AE293" s="112"/>
      <c r="AF293" s="112"/>
      <c r="AG293" s="112"/>
      <c r="AH293" s="112"/>
      <c r="AI293" s="112"/>
      <c r="AJ293" s="112"/>
      <c r="AK293" s="112"/>
      <c r="AL293" s="112"/>
      <c r="AM293" s="112"/>
      <c r="AN293" s="112"/>
      <c r="AO293" s="112"/>
      <c r="AP293" s="112"/>
      <c r="AQ293" s="112"/>
      <c r="AR293" s="112"/>
      <c r="AS293" s="112"/>
      <c r="AT293" s="112"/>
      <c r="AU293" s="112"/>
      <c r="AV293" s="112"/>
      <c r="AW293" s="112"/>
      <c r="AX293" s="112"/>
      <c r="AY293" s="112"/>
      <c r="AZ293" s="112"/>
      <c r="BA293" s="112"/>
      <c r="BB293" s="112"/>
      <c r="BC293" s="112"/>
      <c r="BD293" s="112"/>
      <c r="BE293" s="112"/>
      <c r="BF293" s="112"/>
      <c r="BG293" s="112"/>
      <c r="BH293" s="112"/>
      <c r="BI293" s="112"/>
      <c r="BJ293" s="112"/>
      <c r="BK293" s="112"/>
      <c r="BL293" s="112"/>
      <c r="BM293" s="112"/>
      <c r="BN293" s="112"/>
      <c r="BO293" s="112"/>
      <c r="BP293" s="112"/>
      <c r="BQ293" s="112"/>
      <c r="BR293" s="112"/>
      <c r="BS293" s="112"/>
      <c r="BT293" s="112"/>
      <c r="BU293" s="112"/>
      <c r="BV293" s="112"/>
      <c r="BW293" s="112"/>
      <c r="BX293" s="112"/>
      <c r="BY293" s="112"/>
      <c r="BZ293" s="112"/>
    </row>
    <row r="294" spans="1:78" x14ac:dyDescent="0.2">
      <c r="A294" s="86"/>
      <c r="B294" s="442"/>
      <c r="C294" s="510"/>
      <c r="E294" s="394"/>
      <c r="F294" s="8"/>
      <c r="K294" s="1"/>
      <c r="L294" s="1"/>
      <c r="AD294" s="112"/>
      <c r="AE294" s="112"/>
      <c r="AF294" s="112"/>
      <c r="AG294" s="112"/>
      <c r="AH294" s="112"/>
      <c r="AI294" s="112"/>
      <c r="AJ294" s="112"/>
      <c r="AK294" s="112"/>
      <c r="AL294" s="112"/>
      <c r="AM294" s="112"/>
      <c r="AN294" s="112"/>
      <c r="AO294" s="112"/>
      <c r="AP294" s="112"/>
      <c r="AQ294" s="112"/>
      <c r="AR294" s="112"/>
      <c r="AS294" s="112"/>
      <c r="AT294" s="112"/>
      <c r="AU294" s="112"/>
      <c r="AV294" s="112"/>
      <c r="AW294" s="112"/>
      <c r="AX294" s="112"/>
      <c r="AY294" s="112"/>
      <c r="AZ294" s="112"/>
      <c r="BA294" s="112"/>
      <c r="BB294" s="112"/>
      <c r="BC294" s="112"/>
      <c r="BD294" s="112"/>
      <c r="BE294" s="112"/>
      <c r="BF294" s="112"/>
      <c r="BG294" s="112"/>
      <c r="BH294" s="112"/>
      <c r="BI294" s="112"/>
      <c r="BJ294" s="112"/>
      <c r="BK294" s="112"/>
      <c r="BL294" s="112"/>
      <c r="BM294" s="112"/>
      <c r="BN294" s="112"/>
      <c r="BO294" s="112"/>
      <c r="BP294" s="112"/>
      <c r="BQ294" s="112"/>
      <c r="BR294" s="112"/>
      <c r="BS294" s="112"/>
      <c r="BT294" s="112"/>
      <c r="BU294" s="112"/>
      <c r="BV294" s="112"/>
      <c r="BW294" s="112"/>
      <c r="BX294" s="112"/>
      <c r="BY294" s="112"/>
      <c r="BZ294" s="112"/>
    </row>
    <row r="295" spans="1:78" x14ac:dyDescent="0.2">
      <c r="A295" s="86"/>
      <c r="B295" s="442"/>
      <c r="C295" s="510"/>
      <c r="F295" s="8"/>
      <c r="K295" s="1"/>
      <c r="L295" s="1"/>
      <c r="AD295" s="112"/>
      <c r="AE295" s="112"/>
      <c r="AF295" s="112"/>
      <c r="AG295" s="112"/>
      <c r="AH295" s="112"/>
      <c r="AI295" s="112"/>
      <c r="AJ295" s="112"/>
      <c r="AK295" s="112"/>
      <c r="AL295" s="112"/>
      <c r="AM295" s="112"/>
      <c r="AN295" s="112"/>
      <c r="AO295" s="112"/>
      <c r="AP295" s="112"/>
      <c r="AQ295" s="112"/>
      <c r="AR295" s="112"/>
      <c r="AS295" s="112"/>
      <c r="AT295" s="112"/>
      <c r="AU295" s="112"/>
      <c r="AV295" s="112"/>
      <c r="AW295" s="112"/>
      <c r="AX295" s="112"/>
      <c r="AY295" s="112"/>
      <c r="AZ295" s="112"/>
      <c r="BA295" s="112"/>
      <c r="BB295" s="112"/>
      <c r="BC295" s="112"/>
      <c r="BD295" s="112"/>
      <c r="BE295" s="112"/>
      <c r="BF295" s="112"/>
      <c r="BG295" s="112"/>
      <c r="BH295" s="112"/>
      <c r="BI295" s="112"/>
      <c r="BJ295" s="112"/>
      <c r="BK295" s="112"/>
      <c r="BL295" s="112"/>
      <c r="BM295" s="112"/>
      <c r="BN295" s="112"/>
      <c r="BO295" s="112"/>
      <c r="BP295" s="112"/>
      <c r="BQ295" s="112"/>
      <c r="BR295" s="112"/>
      <c r="BS295" s="112"/>
      <c r="BT295" s="112"/>
      <c r="BU295" s="112"/>
      <c r="BV295" s="112"/>
      <c r="BW295" s="112"/>
      <c r="BX295" s="112"/>
      <c r="BY295" s="112"/>
      <c r="BZ295" s="112"/>
    </row>
    <row r="296" spans="1:78" x14ac:dyDescent="0.2">
      <c r="A296" s="86"/>
      <c r="B296" s="442"/>
      <c r="C296" s="510"/>
      <c r="F296" s="8"/>
      <c r="K296" s="1"/>
      <c r="L296" s="1"/>
      <c r="AD296" s="112"/>
      <c r="AE296" s="112"/>
      <c r="AF296" s="112"/>
      <c r="AG296" s="112"/>
      <c r="AH296" s="112"/>
      <c r="AI296" s="112"/>
      <c r="AJ296" s="112"/>
      <c r="AK296" s="112"/>
      <c r="AL296" s="112"/>
      <c r="AM296" s="112"/>
      <c r="AN296" s="112"/>
      <c r="AO296" s="112"/>
      <c r="AP296" s="112"/>
      <c r="AQ296" s="112"/>
      <c r="AR296" s="112"/>
      <c r="AS296" s="112"/>
      <c r="AT296" s="112"/>
      <c r="AU296" s="112"/>
      <c r="AV296" s="112"/>
      <c r="AW296" s="112"/>
      <c r="AX296" s="112"/>
      <c r="AY296" s="112"/>
      <c r="AZ296" s="112"/>
      <c r="BA296" s="112"/>
      <c r="BB296" s="112"/>
      <c r="BC296" s="112"/>
      <c r="BD296" s="112"/>
      <c r="BE296" s="112"/>
      <c r="BF296" s="112"/>
      <c r="BG296" s="112"/>
      <c r="BH296" s="112"/>
      <c r="BI296" s="112"/>
      <c r="BJ296" s="112"/>
      <c r="BK296" s="112"/>
      <c r="BL296" s="112"/>
      <c r="BM296" s="112"/>
      <c r="BN296" s="112"/>
      <c r="BO296" s="112"/>
      <c r="BP296" s="112"/>
      <c r="BQ296" s="112"/>
      <c r="BR296" s="112"/>
      <c r="BS296" s="112"/>
      <c r="BT296" s="112"/>
      <c r="BU296" s="112"/>
      <c r="BV296" s="112"/>
      <c r="BW296" s="112"/>
      <c r="BX296" s="112"/>
      <c r="BY296" s="112"/>
      <c r="BZ296" s="112"/>
    </row>
    <row r="297" spans="1:78" x14ac:dyDescent="0.2">
      <c r="A297" s="86"/>
      <c r="B297" s="442"/>
      <c r="C297" s="510"/>
      <c r="F297" s="8"/>
      <c r="K297" s="1"/>
      <c r="L297" s="1"/>
      <c r="AD297" s="112"/>
      <c r="AE297" s="112"/>
      <c r="AF297" s="112"/>
      <c r="AG297" s="112"/>
      <c r="AH297" s="112"/>
      <c r="AI297" s="112"/>
      <c r="AJ297" s="112"/>
      <c r="AK297" s="112"/>
      <c r="AL297" s="112"/>
      <c r="AM297" s="112"/>
      <c r="AN297" s="112"/>
      <c r="AO297" s="112"/>
      <c r="AP297" s="112"/>
      <c r="AQ297" s="112"/>
      <c r="AR297" s="112"/>
      <c r="AS297" s="112"/>
      <c r="AT297" s="112"/>
      <c r="AU297" s="112"/>
      <c r="AV297" s="112"/>
      <c r="AW297" s="112"/>
      <c r="AX297" s="112"/>
      <c r="AY297" s="112"/>
      <c r="AZ297" s="112"/>
      <c r="BA297" s="112"/>
      <c r="BB297" s="112"/>
      <c r="BC297" s="112"/>
      <c r="BD297" s="112"/>
      <c r="BE297" s="112"/>
      <c r="BF297" s="112"/>
      <c r="BG297" s="112"/>
      <c r="BH297" s="112"/>
      <c r="BI297" s="112"/>
      <c r="BJ297" s="112"/>
      <c r="BK297" s="112"/>
      <c r="BL297" s="112"/>
      <c r="BM297" s="112"/>
      <c r="BN297" s="112"/>
      <c r="BO297" s="112"/>
      <c r="BP297" s="112"/>
      <c r="BQ297" s="112"/>
      <c r="BR297" s="112"/>
      <c r="BS297" s="112"/>
      <c r="BT297" s="112"/>
      <c r="BU297" s="112"/>
      <c r="BV297" s="112"/>
      <c r="BW297" s="112"/>
      <c r="BX297" s="112"/>
      <c r="BY297" s="112"/>
      <c r="BZ297" s="112"/>
    </row>
    <row r="298" spans="1:78" x14ac:dyDescent="0.2">
      <c r="A298" s="86"/>
      <c r="B298" s="442"/>
      <c r="C298" s="510"/>
      <c r="F298" s="8"/>
      <c r="K298" s="1"/>
      <c r="L298" s="1"/>
      <c r="AD298" s="112"/>
      <c r="AE298" s="112"/>
      <c r="AF298" s="112"/>
      <c r="AG298" s="112"/>
      <c r="AH298" s="112"/>
      <c r="AI298" s="112"/>
      <c r="AJ298" s="112"/>
      <c r="AK298" s="112"/>
      <c r="AL298" s="112"/>
      <c r="AM298" s="112"/>
      <c r="AN298" s="112"/>
      <c r="AO298" s="112"/>
      <c r="AP298" s="112"/>
      <c r="AQ298" s="112"/>
      <c r="AR298" s="112"/>
      <c r="AS298" s="112"/>
      <c r="AT298" s="112"/>
      <c r="AU298" s="112"/>
      <c r="AV298" s="112"/>
      <c r="AW298" s="112"/>
      <c r="AX298" s="112"/>
      <c r="AY298" s="112"/>
      <c r="AZ298" s="112"/>
      <c r="BA298" s="112"/>
      <c r="BB298" s="112"/>
      <c r="BC298" s="112"/>
      <c r="BD298" s="112"/>
      <c r="BE298" s="112"/>
      <c r="BF298" s="112"/>
      <c r="BG298" s="112"/>
      <c r="BH298" s="112"/>
      <c r="BI298" s="112"/>
      <c r="BJ298" s="112"/>
      <c r="BK298" s="112"/>
      <c r="BL298" s="112"/>
      <c r="BM298" s="112"/>
      <c r="BN298" s="112"/>
      <c r="BO298" s="112"/>
      <c r="BP298" s="112"/>
      <c r="BQ298" s="112"/>
      <c r="BR298" s="112"/>
      <c r="BS298" s="112"/>
      <c r="BT298" s="112"/>
      <c r="BU298" s="112"/>
      <c r="BV298" s="112"/>
      <c r="BW298" s="112"/>
      <c r="BX298" s="112"/>
      <c r="BY298" s="112"/>
      <c r="BZ298" s="112"/>
    </row>
    <row r="299" spans="1:78" x14ac:dyDescent="0.2">
      <c r="A299" s="86"/>
      <c r="B299" s="442"/>
      <c r="C299" s="510"/>
      <c r="F299" s="8"/>
      <c r="K299" s="1"/>
      <c r="L299" s="1"/>
      <c r="AD299" s="112"/>
      <c r="AE299" s="112"/>
      <c r="AF299" s="112"/>
      <c r="AG299" s="112"/>
      <c r="AH299" s="112"/>
      <c r="AI299" s="112"/>
      <c r="AJ299" s="112"/>
      <c r="AK299" s="112"/>
      <c r="AL299" s="112"/>
      <c r="AM299" s="112"/>
      <c r="AN299" s="112"/>
      <c r="AO299" s="112"/>
      <c r="AP299" s="112"/>
      <c r="AQ299" s="112"/>
      <c r="AR299" s="112"/>
      <c r="AS299" s="112"/>
      <c r="AT299" s="112"/>
      <c r="AU299" s="112"/>
      <c r="AV299" s="112"/>
      <c r="AW299" s="112"/>
      <c r="AX299" s="112"/>
      <c r="AY299" s="112"/>
      <c r="AZ299" s="112"/>
      <c r="BA299" s="112"/>
      <c r="BB299" s="112"/>
      <c r="BC299" s="112"/>
      <c r="BD299" s="112"/>
      <c r="BE299" s="112"/>
      <c r="BF299" s="112"/>
      <c r="BG299" s="112"/>
      <c r="BH299" s="112"/>
      <c r="BI299" s="112"/>
      <c r="BJ299" s="112"/>
      <c r="BK299" s="112"/>
      <c r="BL299" s="112"/>
      <c r="BM299" s="112"/>
      <c r="BN299" s="112"/>
      <c r="BO299" s="112"/>
      <c r="BP299" s="112"/>
      <c r="BQ299" s="112"/>
      <c r="BR299" s="112"/>
      <c r="BS299" s="112"/>
      <c r="BT299" s="112"/>
      <c r="BU299" s="112"/>
      <c r="BV299" s="112"/>
      <c r="BW299" s="112"/>
      <c r="BX299" s="112"/>
      <c r="BY299" s="112"/>
      <c r="BZ299" s="112"/>
    </row>
    <row r="300" spans="1:78" x14ac:dyDescent="0.2">
      <c r="A300" s="86"/>
      <c r="B300" s="442"/>
      <c r="C300" s="510"/>
      <c r="F300" s="8"/>
      <c r="K300" s="1"/>
      <c r="L300" s="1"/>
      <c r="AD300" s="112"/>
      <c r="AE300" s="112"/>
      <c r="AF300" s="112"/>
      <c r="AG300" s="112"/>
      <c r="AH300" s="112"/>
      <c r="AI300" s="112"/>
      <c r="AJ300" s="112"/>
      <c r="AK300" s="112"/>
      <c r="AL300" s="112"/>
      <c r="AM300" s="112"/>
      <c r="AN300" s="112"/>
      <c r="AO300" s="112"/>
      <c r="AP300" s="112"/>
      <c r="AQ300" s="112"/>
      <c r="AR300" s="112"/>
      <c r="AS300" s="112"/>
      <c r="AT300" s="112"/>
      <c r="AU300" s="112"/>
      <c r="AV300" s="112"/>
      <c r="AW300" s="112"/>
      <c r="AX300" s="112"/>
      <c r="AY300" s="112"/>
      <c r="AZ300" s="112"/>
      <c r="BA300" s="112"/>
      <c r="BB300" s="112"/>
      <c r="BC300" s="112"/>
      <c r="BD300" s="112"/>
      <c r="BE300" s="112"/>
      <c r="BF300" s="112"/>
      <c r="BG300" s="112"/>
      <c r="BH300" s="112"/>
      <c r="BI300" s="112"/>
      <c r="BJ300" s="112"/>
      <c r="BK300" s="112"/>
      <c r="BL300" s="112"/>
      <c r="BM300" s="112"/>
      <c r="BN300" s="112"/>
      <c r="BO300" s="112"/>
      <c r="BP300" s="112"/>
      <c r="BQ300" s="112"/>
      <c r="BR300" s="112"/>
      <c r="BS300" s="112"/>
      <c r="BT300" s="112"/>
      <c r="BU300" s="112"/>
      <c r="BV300" s="112"/>
      <c r="BW300" s="112"/>
      <c r="BX300" s="112"/>
      <c r="BY300" s="112"/>
      <c r="BZ300" s="112"/>
    </row>
    <row r="301" spans="1:78" x14ac:dyDescent="0.2">
      <c r="A301" s="86"/>
      <c r="B301" s="442"/>
      <c r="C301" s="510"/>
      <c r="F301" s="8"/>
      <c r="K301" s="1"/>
      <c r="L301" s="1"/>
      <c r="AD301" s="112"/>
      <c r="AE301" s="112"/>
      <c r="AF301" s="112"/>
      <c r="AG301" s="112"/>
      <c r="AH301" s="112"/>
      <c r="AI301" s="112"/>
      <c r="AJ301" s="112"/>
      <c r="AK301" s="112"/>
      <c r="AL301" s="112"/>
      <c r="AM301" s="112"/>
      <c r="AN301" s="112"/>
      <c r="AO301" s="112"/>
      <c r="AP301" s="112"/>
      <c r="AQ301" s="112"/>
      <c r="AR301" s="112"/>
      <c r="AS301" s="112"/>
      <c r="AT301" s="112"/>
      <c r="AU301" s="112"/>
      <c r="AV301" s="112"/>
      <c r="AW301" s="112"/>
      <c r="AX301" s="112"/>
      <c r="AY301" s="112"/>
      <c r="AZ301" s="112"/>
      <c r="BA301" s="112"/>
      <c r="BB301" s="112"/>
      <c r="BC301" s="112"/>
      <c r="BD301" s="112"/>
      <c r="BE301" s="112"/>
      <c r="BF301" s="112"/>
      <c r="BG301" s="112"/>
      <c r="BH301" s="112"/>
      <c r="BI301" s="112"/>
      <c r="BJ301" s="112"/>
      <c r="BK301" s="112"/>
      <c r="BL301" s="112"/>
      <c r="BM301" s="112"/>
      <c r="BN301" s="112"/>
      <c r="BO301" s="112"/>
      <c r="BP301" s="112"/>
      <c r="BQ301" s="112"/>
      <c r="BR301" s="112"/>
      <c r="BS301" s="112"/>
      <c r="BT301" s="112"/>
      <c r="BU301" s="112"/>
      <c r="BV301" s="112"/>
      <c r="BW301" s="112"/>
      <c r="BX301" s="112"/>
      <c r="BY301" s="112"/>
      <c r="BZ301" s="112"/>
    </row>
    <row r="302" spans="1:78" x14ac:dyDescent="0.2">
      <c r="A302" s="86"/>
      <c r="B302" s="442"/>
      <c r="C302" s="510"/>
      <c r="F302" s="8"/>
      <c r="K302" s="1"/>
      <c r="L302" s="1"/>
      <c r="AD302" s="112"/>
      <c r="AE302" s="112"/>
      <c r="AF302" s="112"/>
      <c r="AG302" s="112"/>
      <c r="AH302" s="112"/>
      <c r="AI302" s="112"/>
      <c r="AJ302" s="112"/>
      <c r="AK302" s="112"/>
      <c r="AL302" s="112"/>
      <c r="AM302" s="112"/>
      <c r="AN302" s="112"/>
      <c r="AO302" s="112"/>
      <c r="AP302" s="112"/>
      <c r="AQ302" s="112"/>
      <c r="AR302" s="112"/>
      <c r="AS302" s="112"/>
      <c r="AT302" s="112"/>
      <c r="AU302" s="112"/>
      <c r="AV302" s="112"/>
      <c r="AW302" s="112"/>
      <c r="AX302" s="112"/>
      <c r="AY302" s="112"/>
      <c r="AZ302" s="112"/>
      <c r="BA302" s="112"/>
      <c r="BB302" s="112"/>
      <c r="BC302" s="112"/>
      <c r="BD302" s="112"/>
      <c r="BE302" s="112"/>
      <c r="BF302" s="112"/>
      <c r="BG302" s="112"/>
      <c r="BH302" s="112"/>
      <c r="BI302" s="112"/>
      <c r="BJ302" s="112"/>
      <c r="BK302" s="112"/>
      <c r="BL302" s="112"/>
      <c r="BM302" s="112"/>
      <c r="BN302" s="112"/>
      <c r="BO302" s="112"/>
      <c r="BP302" s="112"/>
      <c r="BQ302" s="112"/>
      <c r="BR302" s="112"/>
      <c r="BS302" s="112"/>
      <c r="BT302" s="112"/>
      <c r="BU302" s="112"/>
      <c r="BV302" s="112"/>
      <c r="BW302" s="112"/>
      <c r="BX302" s="112"/>
      <c r="BY302" s="112"/>
      <c r="BZ302" s="112"/>
    </row>
    <row r="303" spans="1:78" x14ac:dyDescent="0.2">
      <c r="A303" s="86"/>
      <c r="B303" s="442"/>
      <c r="C303" s="510"/>
      <c r="F303" s="8"/>
      <c r="K303" s="1"/>
      <c r="L303" s="1"/>
      <c r="AD303" s="112"/>
      <c r="AE303" s="112"/>
      <c r="AF303" s="112"/>
      <c r="AG303" s="112"/>
      <c r="AH303" s="112"/>
      <c r="AI303" s="112"/>
      <c r="AJ303" s="112"/>
      <c r="AK303" s="112"/>
      <c r="AL303" s="112"/>
      <c r="AM303" s="112"/>
      <c r="AN303" s="112"/>
      <c r="AO303" s="112"/>
      <c r="AP303" s="112"/>
      <c r="AQ303" s="112"/>
      <c r="AR303" s="112"/>
      <c r="AS303" s="112"/>
      <c r="AT303" s="112"/>
      <c r="AU303" s="112"/>
      <c r="AV303" s="112"/>
      <c r="AW303" s="112"/>
      <c r="AX303" s="112"/>
      <c r="AY303" s="112"/>
      <c r="AZ303" s="112"/>
      <c r="BA303" s="112"/>
      <c r="BB303" s="112"/>
      <c r="BC303" s="112"/>
      <c r="BD303" s="112"/>
      <c r="BE303" s="112"/>
      <c r="BF303" s="112"/>
      <c r="BG303" s="112"/>
      <c r="BH303" s="112"/>
      <c r="BI303" s="112"/>
      <c r="BJ303" s="112"/>
      <c r="BK303" s="112"/>
      <c r="BL303" s="112"/>
      <c r="BM303" s="112"/>
      <c r="BN303" s="112"/>
      <c r="BO303" s="112"/>
      <c r="BP303" s="112"/>
      <c r="BQ303" s="112"/>
      <c r="BR303" s="112"/>
      <c r="BS303" s="112"/>
      <c r="BT303" s="112"/>
      <c r="BU303" s="112"/>
      <c r="BV303" s="112"/>
      <c r="BW303" s="112"/>
      <c r="BX303" s="112"/>
      <c r="BY303" s="112"/>
      <c r="BZ303" s="112"/>
    </row>
    <row r="304" spans="1:78" x14ac:dyDescent="0.2">
      <c r="A304" s="86"/>
      <c r="B304" s="442"/>
      <c r="C304" s="510"/>
      <c r="F304" s="8"/>
      <c r="K304" s="1"/>
      <c r="L304" s="1"/>
      <c r="AD304" s="112"/>
      <c r="AE304" s="112"/>
      <c r="AF304" s="112"/>
      <c r="AG304" s="112"/>
      <c r="AH304" s="112"/>
      <c r="AI304" s="112"/>
      <c r="AJ304" s="112"/>
      <c r="AK304" s="112"/>
      <c r="AL304" s="112"/>
      <c r="AM304" s="112"/>
      <c r="AN304" s="112"/>
      <c r="AO304" s="112"/>
      <c r="AP304" s="112"/>
      <c r="AQ304" s="112"/>
      <c r="AR304" s="112"/>
      <c r="AS304" s="112"/>
      <c r="AT304" s="112"/>
      <c r="AU304" s="112"/>
      <c r="AV304" s="112"/>
      <c r="AW304" s="112"/>
      <c r="AX304" s="112"/>
      <c r="AY304" s="112"/>
      <c r="AZ304" s="112"/>
      <c r="BA304" s="112"/>
      <c r="BB304" s="112"/>
      <c r="BC304" s="112"/>
      <c r="BD304" s="112"/>
      <c r="BE304" s="112"/>
      <c r="BF304" s="112"/>
      <c r="BG304" s="112"/>
      <c r="BH304" s="112"/>
      <c r="BI304" s="112"/>
      <c r="BJ304" s="112"/>
      <c r="BK304" s="112"/>
      <c r="BL304" s="112"/>
      <c r="BM304" s="112"/>
      <c r="BN304" s="112"/>
      <c r="BO304" s="112"/>
      <c r="BP304" s="112"/>
      <c r="BQ304" s="112"/>
      <c r="BR304" s="112"/>
      <c r="BS304" s="112"/>
      <c r="BT304" s="112"/>
      <c r="BU304" s="112"/>
      <c r="BV304" s="112"/>
      <c r="BW304" s="112"/>
      <c r="BX304" s="112"/>
      <c r="BY304" s="112"/>
      <c r="BZ304" s="112"/>
    </row>
    <row r="305" spans="1:78" x14ac:dyDescent="0.2">
      <c r="A305" s="86"/>
      <c r="B305" s="442"/>
      <c r="C305" s="510"/>
      <c r="F305" s="8"/>
      <c r="K305" s="1"/>
      <c r="L305" s="1"/>
      <c r="AD305" s="112"/>
      <c r="AE305" s="112"/>
      <c r="AF305" s="112"/>
      <c r="AG305" s="112"/>
      <c r="AH305" s="112"/>
      <c r="AI305" s="112"/>
      <c r="AJ305" s="112"/>
      <c r="AK305" s="112"/>
      <c r="AL305" s="112"/>
      <c r="AM305" s="112"/>
      <c r="AN305" s="112"/>
      <c r="AO305" s="112"/>
      <c r="AP305" s="112"/>
      <c r="AQ305" s="112"/>
      <c r="AR305" s="112"/>
      <c r="AS305" s="112"/>
      <c r="AT305" s="112"/>
      <c r="AU305" s="112"/>
      <c r="AV305" s="112"/>
      <c r="AW305" s="112"/>
      <c r="AX305" s="112"/>
      <c r="AY305" s="112"/>
      <c r="AZ305" s="112"/>
      <c r="BA305" s="112"/>
      <c r="BB305" s="112"/>
      <c r="BC305" s="112"/>
      <c r="BD305" s="112"/>
      <c r="BE305" s="112"/>
      <c r="BF305" s="112"/>
      <c r="BG305" s="112"/>
      <c r="BH305" s="112"/>
      <c r="BI305" s="112"/>
      <c r="BJ305" s="112"/>
      <c r="BK305" s="112"/>
      <c r="BL305" s="112"/>
      <c r="BM305" s="112"/>
      <c r="BN305" s="112"/>
      <c r="BO305" s="112"/>
      <c r="BP305" s="112"/>
      <c r="BQ305" s="112"/>
      <c r="BR305" s="112"/>
      <c r="BS305" s="112"/>
      <c r="BT305" s="112"/>
      <c r="BU305" s="112"/>
      <c r="BV305" s="112"/>
      <c r="BW305" s="112"/>
      <c r="BX305" s="112"/>
      <c r="BY305" s="112"/>
      <c r="BZ305" s="112"/>
    </row>
    <row r="306" spans="1:78" x14ac:dyDescent="0.2">
      <c r="A306" s="86"/>
      <c r="B306" s="442"/>
      <c r="C306" s="510"/>
      <c r="F306" s="8"/>
      <c r="K306" s="1"/>
      <c r="L306" s="1"/>
      <c r="AD306" s="112"/>
      <c r="AE306" s="112"/>
      <c r="AF306" s="112"/>
      <c r="AG306" s="112"/>
      <c r="AH306" s="112"/>
      <c r="AI306" s="112"/>
      <c r="AJ306" s="112"/>
      <c r="AK306" s="112"/>
      <c r="AL306" s="112"/>
      <c r="AM306" s="112"/>
      <c r="AN306" s="112"/>
      <c r="AO306" s="112"/>
      <c r="AP306" s="112"/>
      <c r="AQ306" s="112"/>
      <c r="AR306" s="112"/>
      <c r="AS306" s="112"/>
      <c r="AT306" s="112"/>
      <c r="AU306" s="112"/>
      <c r="AV306" s="112"/>
      <c r="AW306" s="112"/>
      <c r="AX306" s="112"/>
      <c r="AY306" s="112"/>
      <c r="AZ306" s="112"/>
      <c r="BA306" s="112"/>
      <c r="BB306" s="112"/>
      <c r="BC306" s="112"/>
      <c r="BD306" s="112"/>
      <c r="BE306" s="112"/>
      <c r="BF306" s="112"/>
      <c r="BG306" s="112"/>
      <c r="BH306" s="112"/>
      <c r="BI306" s="112"/>
      <c r="BJ306" s="112"/>
      <c r="BK306" s="112"/>
      <c r="BL306" s="112"/>
      <c r="BM306" s="112"/>
      <c r="BN306" s="112"/>
      <c r="BO306" s="112"/>
      <c r="BP306" s="112"/>
      <c r="BQ306" s="112"/>
      <c r="BR306" s="112"/>
      <c r="BS306" s="112"/>
      <c r="BT306" s="112"/>
      <c r="BU306" s="112"/>
      <c r="BV306" s="112"/>
      <c r="BW306" s="112"/>
      <c r="BX306" s="112"/>
      <c r="BY306" s="112"/>
      <c r="BZ306" s="112"/>
    </row>
    <row r="307" spans="1:78" x14ac:dyDescent="0.2">
      <c r="A307" s="86"/>
      <c r="B307" s="442"/>
      <c r="C307" s="510"/>
      <c r="F307" s="8"/>
      <c r="K307" s="1"/>
      <c r="L307" s="1"/>
      <c r="AD307" s="112"/>
      <c r="AE307" s="112"/>
      <c r="AF307" s="112"/>
      <c r="AG307" s="112"/>
      <c r="AH307" s="112"/>
      <c r="AI307" s="112"/>
      <c r="AJ307" s="112"/>
      <c r="AK307" s="112"/>
      <c r="AL307" s="112"/>
      <c r="AM307" s="112"/>
      <c r="AN307" s="112"/>
      <c r="AO307" s="112"/>
      <c r="AP307" s="112"/>
      <c r="AQ307" s="112"/>
      <c r="AR307" s="112"/>
      <c r="AS307" s="112"/>
      <c r="AT307" s="112"/>
      <c r="AU307" s="112"/>
      <c r="AV307" s="112"/>
      <c r="AW307" s="112"/>
      <c r="AX307" s="112"/>
      <c r="AY307" s="112"/>
      <c r="AZ307" s="112"/>
      <c r="BA307" s="112"/>
      <c r="BB307" s="112"/>
      <c r="BC307" s="112"/>
      <c r="BD307" s="112"/>
      <c r="BE307" s="112"/>
      <c r="BF307" s="112"/>
      <c r="BG307" s="112"/>
      <c r="BH307" s="112"/>
      <c r="BI307" s="112"/>
      <c r="BJ307" s="112"/>
      <c r="BK307" s="112"/>
      <c r="BL307" s="112"/>
      <c r="BM307" s="112"/>
      <c r="BN307" s="112"/>
      <c r="BO307" s="112"/>
      <c r="BP307" s="112"/>
      <c r="BQ307" s="112"/>
      <c r="BR307" s="112"/>
      <c r="BS307" s="112"/>
      <c r="BT307" s="112"/>
      <c r="BU307" s="112"/>
      <c r="BV307" s="112"/>
      <c r="BW307" s="112"/>
      <c r="BX307" s="112"/>
      <c r="BY307" s="112"/>
      <c r="BZ307" s="112"/>
    </row>
    <row r="308" spans="1:78" x14ac:dyDescent="0.2">
      <c r="A308" s="86"/>
      <c r="B308" s="442"/>
      <c r="C308" s="510"/>
      <c r="F308" s="8"/>
      <c r="K308" s="1"/>
      <c r="L308" s="1"/>
      <c r="AD308" s="112"/>
      <c r="AE308" s="112"/>
      <c r="AF308" s="112"/>
      <c r="AG308" s="112"/>
      <c r="AH308" s="112"/>
      <c r="AI308" s="112"/>
      <c r="AJ308" s="112"/>
      <c r="AK308" s="112"/>
      <c r="AL308" s="112"/>
      <c r="AM308" s="112"/>
      <c r="AN308" s="112"/>
      <c r="AO308" s="112"/>
      <c r="AP308" s="112"/>
      <c r="AQ308" s="112"/>
      <c r="AR308" s="112"/>
      <c r="AS308" s="112"/>
      <c r="AT308" s="112"/>
      <c r="AU308" s="112"/>
      <c r="AV308" s="112"/>
      <c r="AW308" s="112"/>
      <c r="AX308" s="112"/>
      <c r="AY308" s="112"/>
      <c r="AZ308" s="112"/>
      <c r="BA308" s="112"/>
      <c r="BB308" s="112"/>
      <c r="BC308" s="112"/>
      <c r="BD308" s="112"/>
      <c r="BE308" s="112"/>
      <c r="BF308" s="112"/>
      <c r="BG308" s="112"/>
      <c r="BH308" s="112"/>
      <c r="BI308" s="112"/>
      <c r="BJ308" s="112"/>
      <c r="BK308" s="112"/>
      <c r="BL308" s="112"/>
      <c r="BM308" s="112"/>
      <c r="BN308" s="112"/>
      <c r="BO308" s="112"/>
      <c r="BP308" s="112"/>
      <c r="BQ308" s="112"/>
      <c r="BR308" s="112"/>
      <c r="BS308" s="112"/>
      <c r="BT308" s="112"/>
      <c r="BU308" s="112"/>
      <c r="BV308" s="112"/>
      <c r="BW308" s="112"/>
      <c r="BX308" s="112"/>
      <c r="BY308" s="112"/>
      <c r="BZ308" s="112"/>
    </row>
    <row r="309" spans="1:78" x14ac:dyDescent="0.2">
      <c r="A309" s="86"/>
      <c r="B309" s="442"/>
      <c r="C309" s="510"/>
      <c r="F309" s="8"/>
      <c r="K309" s="1"/>
      <c r="L309" s="1"/>
      <c r="AD309" s="112"/>
      <c r="AE309" s="112"/>
      <c r="AF309" s="112"/>
      <c r="AG309" s="112"/>
      <c r="AH309" s="112"/>
      <c r="AI309" s="112"/>
      <c r="AJ309" s="112"/>
      <c r="AK309" s="112"/>
      <c r="AL309" s="112"/>
      <c r="AM309" s="112"/>
      <c r="AN309" s="112"/>
      <c r="AO309" s="112"/>
      <c r="AP309" s="112"/>
      <c r="AQ309" s="112"/>
      <c r="AR309" s="112"/>
      <c r="AS309" s="112"/>
      <c r="AT309" s="112"/>
      <c r="AU309" s="112"/>
      <c r="AV309" s="112"/>
      <c r="AW309" s="112"/>
      <c r="AX309" s="112"/>
      <c r="AY309" s="112"/>
      <c r="AZ309" s="112"/>
      <c r="BA309" s="112"/>
      <c r="BB309" s="112"/>
      <c r="BC309" s="112"/>
      <c r="BD309" s="112"/>
      <c r="BE309" s="112"/>
      <c r="BF309" s="112"/>
      <c r="BG309" s="112"/>
      <c r="BH309" s="112"/>
      <c r="BI309" s="112"/>
      <c r="BJ309" s="112"/>
      <c r="BK309" s="112"/>
      <c r="BL309" s="112"/>
      <c r="BM309" s="112"/>
      <c r="BN309" s="112"/>
      <c r="BO309" s="112"/>
      <c r="BP309" s="112"/>
      <c r="BQ309" s="112"/>
      <c r="BR309" s="112"/>
      <c r="BS309" s="112"/>
      <c r="BT309" s="112"/>
      <c r="BU309" s="112"/>
      <c r="BV309" s="112"/>
      <c r="BW309" s="112"/>
      <c r="BX309" s="112"/>
      <c r="BY309" s="112"/>
      <c r="BZ309" s="112"/>
    </row>
    <row r="310" spans="1:78" x14ac:dyDescent="0.2">
      <c r="A310" s="86"/>
      <c r="B310" s="442"/>
      <c r="C310" s="510"/>
      <c r="F310" s="8"/>
      <c r="K310" s="1"/>
      <c r="L310" s="1"/>
      <c r="AD310" s="112"/>
      <c r="AE310" s="112"/>
      <c r="AF310" s="112"/>
      <c r="AG310" s="112"/>
      <c r="AH310" s="112"/>
      <c r="AI310" s="112"/>
      <c r="AJ310" s="112"/>
      <c r="AK310" s="112"/>
      <c r="AL310" s="112"/>
      <c r="AM310" s="112"/>
      <c r="AN310" s="112"/>
      <c r="AO310" s="112"/>
      <c r="AP310" s="112"/>
      <c r="AQ310" s="112"/>
      <c r="AR310" s="112"/>
      <c r="AS310" s="112"/>
      <c r="AT310" s="112"/>
      <c r="AU310" s="112"/>
      <c r="AV310" s="112"/>
      <c r="AW310" s="112"/>
      <c r="AX310" s="112"/>
      <c r="AY310" s="112"/>
      <c r="AZ310" s="112"/>
      <c r="BA310" s="112"/>
      <c r="BB310" s="112"/>
      <c r="BC310" s="112"/>
      <c r="BD310" s="112"/>
      <c r="BE310" s="112"/>
      <c r="BF310" s="112"/>
      <c r="BG310" s="112"/>
      <c r="BH310" s="112"/>
      <c r="BI310" s="112"/>
      <c r="BJ310" s="112"/>
      <c r="BK310" s="112"/>
      <c r="BL310" s="112"/>
      <c r="BM310" s="112"/>
      <c r="BN310" s="112"/>
      <c r="BO310" s="112"/>
      <c r="BP310" s="112"/>
      <c r="BQ310" s="112"/>
      <c r="BR310" s="112"/>
      <c r="BS310" s="112"/>
      <c r="BT310" s="112"/>
      <c r="BU310" s="112"/>
      <c r="BV310" s="112"/>
      <c r="BW310" s="112"/>
      <c r="BX310" s="112"/>
      <c r="BY310" s="112"/>
      <c r="BZ310" s="112"/>
    </row>
    <row r="311" spans="1:78" x14ac:dyDescent="0.2">
      <c r="A311" s="86"/>
      <c r="B311" s="442"/>
      <c r="C311" s="510"/>
      <c r="F311" s="8"/>
      <c r="K311" s="1"/>
      <c r="L311" s="1"/>
      <c r="AD311" s="112"/>
      <c r="AE311" s="112"/>
      <c r="AF311" s="112"/>
      <c r="AG311" s="112"/>
      <c r="AH311" s="112"/>
      <c r="AI311" s="112"/>
      <c r="AJ311" s="112"/>
      <c r="AK311" s="112"/>
      <c r="AL311" s="112"/>
      <c r="AM311" s="112"/>
      <c r="AN311" s="112"/>
      <c r="AO311" s="112"/>
      <c r="AP311" s="112"/>
      <c r="AQ311" s="112"/>
      <c r="AR311" s="112"/>
      <c r="AS311" s="112"/>
      <c r="AT311" s="112"/>
      <c r="AU311" s="112"/>
      <c r="AV311" s="112"/>
      <c r="AW311" s="112"/>
      <c r="AX311" s="112"/>
      <c r="AY311" s="112"/>
      <c r="AZ311" s="112"/>
      <c r="BA311" s="112"/>
      <c r="BB311" s="112"/>
      <c r="BC311" s="112"/>
      <c r="BD311" s="112"/>
      <c r="BE311" s="112"/>
      <c r="BF311" s="112"/>
      <c r="BG311" s="112"/>
      <c r="BH311" s="112"/>
      <c r="BI311" s="112"/>
      <c r="BJ311" s="112"/>
      <c r="BK311" s="112"/>
      <c r="BL311" s="112"/>
      <c r="BM311" s="112"/>
      <c r="BN311" s="112"/>
      <c r="BO311" s="112"/>
      <c r="BP311" s="112"/>
      <c r="BQ311" s="112"/>
      <c r="BR311" s="112"/>
      <c r="BS311" s="112"/>
      <c r="BT311" s="112"/>
      <c r="BU311" s="112"/>
      <c r="BV311" s="112"/>
      <c r="BW311" s="112"/>
      <c r="BX311" s="112"/>
      <c r="BY311" s="112"/>
      <c r="BZ311" s="112"/>
    </row>
    <row r="312" spans="1:78" x14ac:dyDescent="0.2">
      <c r="A312" s="86"/>
      <c r="B312" s="442"/>
      <c r="C312" s="510"/>
      <c r="F312" s="8"/>
      <c r="K312" s="1"/>
      <c r="L312" s="1"/>
      <c r="AD312" s="112"/>
      <c r="AE312" s="112"/>
      <c r="AF312" s="112"/>
      <c r="AG312" s="112"/>
      <c r="AH312" s="112"/>
      <c r="AI312" s="112"/>
      <c r="AJ312" s="112"/>
      <c r="AK312" s="112"/>
      <c r="AL312" s="112"/>
      <c r="AM312" s="112"/>
      <c r="AN312" s="112"/>
      <c r="AO312" s="112"/>
      <c r="AP312" s="112"/>
      <c r="AQ312" s="112"/>
      <c r="AR312" s="112"/>
      <c r="AS312" s="112"/>
      <c r="AT312" s="112"/>
      <c r="AU312" s="112"/>
      <c r="AV312" s="112"/>
      <c r="AW312" s="112"/>
      <c r="AX312" s="112"/>
      <c r="AY312" s="112"/>
      <c r="AZ312" s="112"/>
      <c r="BA312" s="112"/>
      <c r="BB312" s="112"/>
      <c r="BC312" s="112"/>
      <c r="BD312" s="112"/>
      <c r="BE312" s="112"/>
      <c r="BF312" s="112"/>
      <c r="BG312" s="112"/>
      <c r="BH312" s="112"/>
      <c r="BI312" s="112"/>
      <c r="BJ312" s="112"/>
      <c r="BK312" s="112"/>
      <c r="BL312" s="112"/>
      <c r="BM312" s="112"/>
      <c r="BN312" s="112"/>
      <c r="BO312" s="112"/>
      <c r="BP312" s="112"/>
      <c r="BQ312" s="112"/>
      <c r="BR312" s="112"/>
      <c r="BS312" s="112"/>
      <c r="BT312" s="112"/>
      <c r="BU312" s="112"/>
      <c r="BV312" s="112"/>
      <c r="BW312" s="112"/>
      <c r="BX312" s="112"/>
      <c r="BY312" s="112"/>
      <c r="BZ312" s="112"/>
    </row>
    <row r="313" spans="1:78" x14ac:dyDescent="0.2">
      <c r="A313" s="86"/>
      <c r="B313" s="442"/>
      <c r="C313" s="510"/>
      <c r="F313" s="8"/>
      <c r="K313" s="1"/>
      <c r="L313" s="1"/>
      <c r="AD313" s="112"/>
      <c r="AE313" s="112"/>
      <c r="AF313" s="112"/>
      <c r="AG313" s="112"/>
      <c r="AH313" s="112"/>
      <c r="AI313" s="112"/>
      <c r="AJ313" s="112"/>
      <c r="AK313" s="112"/>
      <c r="AL313" s="112"/>
      <c r="AM313" s="112"/>
      <c r="AN313" s="112"/>
      <c r="AO313" s="112"/>
      <c r="AP313" s="112"/>
      <c r="AQ313" s="112"/>
      <c r="AR313" s="112"/>
      <c r="AS313" s="112"/>
      <c r="AT313" s="112"/>
      <c r="AU313" s="112"/>
      <c r="AV313" s="112"/>
      <c r="AW313" s="112"/>
      <c r="AX313" s="112"/>
      <c r="AY313" s="112"/>
      <c r="AZ313" s="112"/>
      <c r="BA313" s="112"/>
      <c r="BB313" s="112"/>
      <c r="BC313" s="112"/>
      <c r="BD313" s="112"/>
      <c r="BE313" s="112"/>
      <c r="BF313" s="112"/>
      <c r="BG313" s="112"/>
      <c r="BH313" s="112"/>
      <c r="BI313" s="112"/>
      <c r="BJ313" s="112"/>
      <c r="BK313" s="112"/>
      <c r="BL313" s="112"/>
      <c r="BM313" s="112"/>
      <c r="BN313" s="112"/>
      <c r="BO313" s="112"/>
      <c r="BP313" s="112"/>
      <c r="BQ313" s="112"/>
      <c r="BR313" s="112"/>
      <c r="BS313" s="112"/>
      <c r="BT313" s="112"/>
      <c r="BU313" s="112"/>
      <c r="BV313" s="112"/>
      <c r="BW313" s="112"/>
      <c r="BX313" s="112"/>
      <c r="BY313" s="112"/>
      <c r="BZ313" s="112"/>
    </row>
    <row r="314" spans="1:78" x14ac:dyDescent="0.2">
      <c r="A314" s="86"/>
      <c r="B314" s="442"/>
      <c r="C314" s="510"/>
      <c r="F314" s="8"/>
      <c r="K314" s="1"/>
      <c r="L314" s="1"/>
      <c r="AD314" s="112"/>
      <c r="AE314" s="112"/>
      <c r="AF314" s="112"/>
      <c r="AG314" s="112"/>
      <c r="AH314" s="112"/>
      <c r="AI314" s="112"/>
      <c r="AJ314" s="112"/>
      <c r="AK314" s="112"/>
      <c r="AL314" s="112"/>
      <c r="AM314" s="112"/>
      <c r="AN314" s="112"/>
      <c r="AO314" s="112"/>
      <c r="AP314" s="112"/>
      <c r="AQ314" s="112"/>
      <c r="AR314" s="112"/>
      <c r="AS314" s="112"/>
      <c r="AT314" s="112"/>
      <c r="AU314" s="112"/>
      <c r="AV314" s="112"/>
      <c r="AW314" s="112"/>
      <c r="AX314" s="112"/>
      <c r="AY314" s="112"/>
      <c r="AZ314" s="112"/>
      <c r="BA314" s="112"/>
      <c r="BB314" s="112"/>
      <c r="BC314" s="112"/>
      <c r="BD314" s="112"/>
      <c r="BE314" s="112"/>
      <c r="BF314" s="112"/>
      <c r="BG314" s="112"/>
      <c r="BH314" s="112"/>
      <c r="BI314" s="112"/>
      <c r="BJ314" s="112"/>
      <c r="BK314" s="112"/>
      <c r="BL314" s="112"/>
      <c r="BM314" s="112"/>
      <c r="BN314" s="112"/>
      <c r="BO314" s="112"/>
      <c r="BP314" s="112"/>
      <c r="BQ314" s="112"/>
      <c r="BR314" s="112"/>
      <c r="BS314" s="112"/>
      <c r="BT314" s="112"/>
      <c r="BU314" s="112"/>
      <c r="BV314" s="112"/>
      <c r="BW314" s="112"/>
      <c r="BX314" s="112"/>
      <c r="BY314" s="112"/>
      <c r="BZ314" s="112"/>
    </row>
    <row r="315" spans="1:78" x14ac:dyDescent="0.2">
      <c r="A315" s="86"/>
      <c r="B315" s="442"/>
      <c r="C315" s="510"/>
      <c r="F315" s="8"/>
      <c r="K315" s="1"/>
      <c r="L315" s="1"/>
      <c r="AD315" s="112"/>
      <c r="AE315" s="112"/>
      <c r="AF315" s="112"/>
      <c r="AG315" s="112"/>
      <c r="AH315" s="112"/>
      <c r="AI315" s="112"/>
      <c r="AJ315" s="112"/>
      <c r="AK315" s="112"/>
      <c r="AL315" s="112"/>
      <c r="AM315" s="112"/>
      <c r="AN315" s="112"/>
      <c r="AO315" s="112"/>
      <c r="AP315" s="112"/>
      <c r="AQ315" s="112"/>
      <c r="AR315" s="112"/>
      <c r="AS315" s="112"/>
      <c r="AT315" s="112"/>
      <c r="AU315" s="112"/>
      <c r="AV315" s="112"/>
      <c r="AW315" s="112"/>
      <c r="AX315" s="112"/>
      <c r="AY315" s="112"/>
      <c r="AZ315" s="112"/>
      <c r="BA315" s="112"/>
      <c r="BB315" s="112"/>
      <c r="BC315" s="112"/>
      <c r="BD315" s="112"/>
      <c r="BE315" s="112"/>
      <c r="BF315" s="112"/>
      <c r="BG315" s="112"/>
      <c r="BH315" s="112"/>
      <c r="BI315" s="112"/>
      <c r="BJ315" s="112"/>
      <c r="BK315" s="112"/>
      <c r="BL315" s="112"/>
      <c r="BM315" s="112"/>
      <c r="BN315" s="112"/>
      <c r="BO315" s="112"/>
      <c r="BP315" s="112"/>
      <c r="BQ315" s="112"/>
      <c r="BR315" s="112"/>
      <c r="BS315" s="112"/>
      <c r="BT315" s="112"/>
      <c r="BU315" s="112"/>
      <c r="BV315" s="112"/>
      <c r="BW315" s="112"/>
      <c r="BX315" s="112"/>
      <c r="BY315" s="112"/>
      <c r="BZ315" s="112"/>
    </row>
    <row r="316" spans="1:78" x14ac:dyDescent="0.2">
      <c r="A316" s="86"/>
      <c r="B316" s="442"/>
      <c r="C316" s="510"/>
      <c r="F316" s="8"/>
      <c r="K316" s="1"/>
      <c r="L316" s="1"/>
      <c r="AD316" s="112"/>
      <c r="AE316" s="112"/>
      <c r="AF316" s="112"/>
      <c r="AG316" s="112"/>
      <c r="AH316" s="112"/>
      <c r="AI316" s="112"/>
      <c r="AJ316" s="112"/>
      <c r="AK316" s="112"/>
      <c r="AL316" s="112"/>
      <c r="AM316" s="112"/>
      <c r="AN316" s="112"/>
      <c r="AO316" s="112"/>
      <c r="AP316" s="112"/>
      <c r="AQ316" s="112"/>
      <c r="AR316" s="112"/>
      <c r="AS316" s="112"/>
      <c r="AT316" s="112"/>
      <c r="AU316" s="112"/>
      <c r="AV316" s="112"/>
      <c r="AW316" s="112"/>
      <c r="AX316" s="112"/>
      <c r="AY316" s="112"/>
      <c r="AZ316" s="112"/>
      <c r="BA316" s="112"/>
      <c r="BB316" s="112"/>
      <c r="BC316" s="112"/>
      <c r="BD316" s="112"/>
      <c r="BE316" s="112"/>
      <c r="BF316" s="112"/>
      <c r="BG316" s="112"/>
      <c r="BH316" s="112"/>
      <c r="BI316" s="112"/>
      <c r="BJ316" s="112"/>
      <c r="BK316" s="112"/>
      <c r="BL316" s="112"/>
      <c r="BM316" s="112"/>
      <c r="BN316" s="112"/>
      <c r="BO316" s="112"/>
      <c r="BP316" s="112"/>
      <c r="BQ316" s="112"/>
      <c r="BR316" s="112"/>
      <c r="BS316" s="112"/>
      <c r="BT316" s="112"/>
      <c r="BU316" s="112"/>
      <c r="BV316" s="112"/>
      <c r="BW316" s="112"/>
      <c r="BX316" s="112"/>
      <c r="BY316" s="112"/>
      <c r="BZ316" s="112"/>
    </row>
    <row r="317" spans="1:78" x14ac:dyDescent="0.2">
      <c r="A317" s="86"/>
      <c r="B317" s="442"/>
      <c r="C317" s="510"/>
      <c r="F317" s="8"/>
      <c r="K317" s="1"/>
      <c r="L317" s="1"/>
      <c r="AD317" s="112"/>
      <c r="AE317" s="112"/>
      <c r="AF317" s="112"/>
      <c r="AG317" s="112"/>
      <c r="AH317" s="112"/>
      <c r="AI317" s="112"/>
      <c r="AJ317" s="112"/>
      <c r="AK317" s="112"/>
      <c r="AL317" s="112"/>
      <c r="AM317" s="112"/>
      <c r="AN317" s="112"/>
      <c r="AO317" s="112"/>
      <c r="AP317" s="112"/>
      <c r="AQ317" s="112"/>
      <c r="AR317" s="112"/>
      <c r="AS317" s="112"/>
      <c r="AT317" s="112"/>
      <c r="AU317" s="112"/>
      <c r="AV317" s="112"/>
      <c r="AW317" s="112"/>
      <c r="AX317" s="112"/>
      <c r="AY317" s="112"/>
      <c r="AZ317" s="112"/>
      <c r="BA317" s="112"/>
      <c r="BB317" s="112"/>
      <c r="BC317" s="112"/>
      <c r="BD317" s="112"/>
      <c r="BE317" s="112"/>
      <c r="BF317" s="112"/>
      <c r="BG317" s="112"/>
      <c r="BH317" s="112"/>
      <c r="BI317" s="112"/>
      <c r="BJ317" s="112"/>
      <c r="BK317" s="112"/>
      <c r="BL317" s="112"/>
      <c r="BM317" s="112"/>
      <c r="BN317" s="112"/>
      <c r="BO317" s="112"/>
      <c r="BP317" s="112"/>
      <c r="BQ317" s="112"/>
      <c r="BR317" s="112"/>
      <c r="BS317" s="112"/>
      <c r="BT317" s="112"/>
      <c r="BU317" s="112"/>
      <c r="BV317" s="112"/>
      <c r="BW317" s="112"/>
      <c r="BX317" s="112"/>
      <c r="BY317" s="112"/>
      <c r="BZ317" s="112"/>
    </row>
    <row r="318" spans="1:78" x14ac:dyDescent="0.2">
      <c r="A318" s="86"/>
      <c r="B318" s="442"/>
      <c r="C318" s="510"/>
      <c r="F318" s="8"/>
      <c r="K318" s="1"/>
      <c r="L318" s="1"/>
      <c r="AD318" s="112"/>
      <c r="AE318" s="112"/>
      <c r="AF318" s="112"/>
      <c r="AG318" s="112"/>
      <c r="AH318" s="112"/>
      <c r="AI318" s="112"/>
      <c r="AJ318" s="112"/>
      <c r="AK318" s="112"/>
      <c r="AL318" s="112"/>
      <c r="AM318" s="112"/>
      <c r="AN318" s="112"/>
      <c r="AO318" s="112"/>
      <c r="AP318" s="112"/>
      <c r="AQ318" s="112"/>
      <c r="AR318" s="112"/>
      <c r="AS318" s="112"/>
      <c r="AT318" s="112"/>
      <c r="AU318" s="112"/>
      <c r="AV318" s="112"/>
      <c r="AW318" s="112"/>
      <c r="AX318" s="112"/>
      <c r="AY318" s="112"/>
      <c r="AZ318" s="112"/>
      <c r="BA318" s="112"/>
      <c r="BB318" s="112"/>
      <c r="BC318" s="112"/>
      <c r="BD318" s="112"/>
      <c r="BE318" s="112"/>
      <c r="BF318" s="112"/>
      <c r="BG318" s="112"/>
      <c r="BH318" s="112"/>
      <c r="BI318" s="112"/>
      <c r="BJ318" s="112"/>
      <c r="BK318" s="112"/>
      <c r="BL318" s="112"/>
      <c r="BM318" s="112"/>
      <c r="BN318" s="112"/>
      <c r="BO318" s="112"/>
      <c r="BP318" s="112"/>
      <c r="BQ318" s="112"/>
      <c r="BR318" s="112"/>
      <c r="BS318" s="112"/>
      <c r="BT318" s="112"/>
      <c r="BU318" s="112"/>
      <c r="BV318" s="112"/>
      <c r="BW318" s="112"/>
      <c r="BX318" s="112"/>
      <c r="BY318" s="112"/>
      <c r="BZ318" s="112"/>
    </row>
    <row r="319" spans="1:78" x14ac:dyDescent="0.2">
      <c r="A319" s="86"/>
      <c r="B319" s="442"/>
      <c r="C319" s="510"/>
      <c r="F319" s="8"/>
      <c r="K319" s="1"/>
      <c r="L319" s="1"/>
      <c r="AD319" s="112"/>
      <c r="AE319" s="112"/>
      <c r="AF319" s="112"/>
      <c r="AG319" s="112"/>
      <c r="AH319" s="112"/>
      <c r="AI319" s="112"/>
      <c r="AJ319" s="112"/>
      <c r="AK319" s="112"/>
      <c r="AL319" s="112"/>
      <c r="AM319" s="112"/>
      <c r="AN319" s="112"/>
      <c r="AO319" s="112"/>
      <c r="AP319" s="112"/>
      <c r="AQ319" s="112"/>
      <c r="AR319" s="112"/>
      <c r="AS319" s="112"/>
      <c r="AT319" s="112"/>
      <c r="AU319" s="112"/>
      <c r="AV319" s="112"/>
      <c r="AW319" s="112"/>
      <c r="AX319" s="112"/>
      <c r="AY319" s="112"/>
      <c r="AZ319" s="112"/>
      <c r="BA319" s="112"/>
      <c r="BB319" s="112"/>
      <c r="BC319" s="112"/>
      <c r="BD319" s="112"/>
      <c r="BE319" s="112"/>
      <c r="BF319" s="112"/>
      <c r="BG319" s="112"/>
      <c r="BH319" s="112"/>
      <c r="BI319" s="112"/>
      <c r="BJ319" s="112"/>
      <c r="BK319" s="112"/>
      <c r="BL319" s="112"/>
      <c r="BM319" s="112"/>
      <c r="BN319" s="112"/>
      <c r="BO319" s="112"/>
      <c r="BP319" s="112"/>
      <c r="BQ319" s="112"/>
      <c r="BR319" s="112"/>
      <c r="BS319" s="112"/>
      <c r="BT319" s="112"/>
      <c r="BU319" s="112"/>
      <c r="BV319" s="112"/>
      <c r="BW319" s="112"/>
      <c r="BX319" s="112"/>
      <c r="BY319" s="112"/>
      <c r="BZ319" s="112"/>
    </row>
    <row r="320" spans="1:78" x14ac:dyDescent="0.2">
      <c r="A320" s="86"/>
      <c r="B320" s="442"/>
      <c r="C320" s="510"/>
      <c r="F320" s="8"/>
      <c r="K320" s="1"/>
      <c r="L320" s="1"/>
      <c r="AD320" s="112"/>
      <c r="AE320" s="112"/>
      <c r="AF320" s="112"/>
      <c r="AG320" s="112"/>
      <c r="AH320" s="112"/>
      <c r="AI320" s="112"/>
      <c r="AJ320" s="112"/>
      <c r="AK320" s="112"/>
      <c r="AL320" s="112"/>
      <c r="AM320" s="112"/>
      <c r="AN320" s="112"/>
      <c r="AO320" s="112"/>
      <c r="AP320" s="112"/>
      <c r="AQ320" s="112"/>
      <c r="AR320" s="112"/>
      <c r="AS320" s="112"/>
      <c r="AT320" s="112"/>
      <c r="AU320" s="112"/>
      <c r="AV320" s="112"/>
      <c r="AW320" s="112"/>
      <c r="AX320" s="112"/>
      <c r="AY320" s="112"/>
      <c r="AZ320" s="112"/>
      <c r="BA320" s="112"/>
      <c r="BB320" s="112"/>
      <c r="BC320" s="112"/>
      <c r="BD320" s="112"/>
      <c r="BE320" s="112"/>
      <c r="BF320" s="112"/>
      <c r="BG320" s="112"/>
      <c r="BH320" s="112"/>
      <c r="BI320" s="112"/>
      <c r="BJ320" s="112"/>
      <c r="BK320" s="112"/>
      <c r="BL320" s="112"/>
      <c r="BM320" s="112"/>
      <c r="BN320" s="112"/>
      <c r="BO320" s="112"/>
      <c r="BP320" s="112"/>
      <c r="BQ320" s="112"/>
      <c r="BR320" s="112"/>
      <c r="BS320" s="112"/>
      <c r="BT320" s="112"/>
      <c r="BU320" s="112"/>
      <c r="BV320" s="112"/>
      <c r="BW320" s="112"/>
      <c r="BX320" s="112"/>
      <c r="BY320" s="112"/>
      <c r="BZ320" s="112"/>
    </row>
    <row r="321" spans="1:78" x14ac:dyDescent="0.2">
      <c r="A321" s="86"/>
      <c r="B321" s="442"/>
      <c r="C321" s="510"/>
      <c r="F321" s="8"/>
      <c r="K321" s="1"/>
      <c r="L321" s="1"/>
      <c r="AD321" s="112"/>
      <c r="AE321" s="112"/>
      <c r="AF321" s="112"/>
      <c r="AG321" s="112"/>
      <c r="AH321" s="112"/>
      <c r="AI321" s="112"/>
      <c r="AJ321" s="112"/>
      <c r="AK321" s="112"/>
      <c r="AL321" s="112"/>
      <c r="AM321" s="112"/>
      <c r="AN321" s="112"/>
      <c r="AO321" s="112"/>
      <c r="AP321" s="112"/>
      <c r="AQ321" s="112"/>
      <c r="AR321" s="112"/>
      <c r="AS321" s="112"/>
      <c r="AT321" s="112"/>
      <c r="AU321" s="112"/>
      <c r="AV321" s="112"/>
      <c r="AW321" s="112"/>
      <c r="AX321" s="112"/>
      <c r="AY321" s="112"/>
      <c r="AZ321" s="112"/>
      <c r="BA321" s="112"/>
      <c r="BB321" s="112"/>
      <c r="BC321" s="112"/>
      <c r="BD321" s="112"/>
      <c r="BE321" s="112"/>
      <c r="BF321" s="112"/>
      <c r="BG321" s="112"/>
      <c r="BH321" s="112"/>
      <c r="BI321" s="112"/>
      <c r="BJ321" s="112"/>
      <c r="BK321" s="112"/>
      <c r="BL321" s="112"/>
      <c r="BM321" s="112"/>
      <c r="BN321" s="112"/>
      <c r="BO321" s="112"/>
      <c r="BP321" s="112"/>
      <c r="BQ321" s="112"/>
      <c r="BR321" s="112"/>
      <c r="BS321" s="112"/>
      <c r="BT321" s="112"/>
      <c r="BU321" s="112"/>
      <c r="BV321" s="112"/>
      <c r="BW321" s="112"/>
      <c r="BX321" s="112"/>
      <c r="BY321" s="112"/>
      <c r="BZ321" s="112"/>
    </row>
    <row r="322" spans="1:78" x14ac:dyDescent="0.2">
      <c r="A322" s="86"/>
      <c r="B322" s="442"/>
      <c r="C322" s="510"/>
      <c r="F322" s="8"/>
      <c r="K322" s="1"/>
      <c r="L322" s="1"/>
      <c r="AD322" s="112"/>
      <c r="AE322" s="112"/>
      <c r="AF322" s="112"/>
      <c r="AG322" s="112"/>
      <c r="AH322" s="112"/>
      <c r="AI322" s="112"/>
      <c r="AJ322" s="112"/>
      <c r="AK322" s="112"/>
      <c r="AL322" s="112"/>
      <c r="AM322" s="112"/>
      <c r="AN322" s="112"/>
      <c r="AO322" s="112"/>
      <c r="AP322" s="112"/>
      <c r="AQ322" s="112"/>
      <c r="AR322" s="112"/>
      <c r="AS322" s="112"/>
      <c r="AT322" s="112"/>
      <c r="AU322" s="112"/>
      <c r="AV322" s="112"/>
      <c r="AW322" s="112"/>
      <c r="AX322" s="112"/>
      <c r="AY322" s="112"/>
      <c r="AZ322" s="112"/>
      <c r="BA322" s="112"/>
      <c r="BB322" s="112"/>
      <c r="BC322" s="112"/>
      <c r="BD322" s="112"/>
      <c r="BE322" s="112"/>
      <c r="BF322" s="112"/>
      <c r="BG322" s="112"/>
      <c r="BH322" s="112"/>
      <c r="BI322" s="112"/>
      <c r="BJ322" s="112"/>
      <c r="BK322" s="112"/>
      <c r="BL322" s="112"/>
      <c r="BM322" s="112"/>
      <c r="BN322" s="112"/>
      <c r="BO322" s="112"/>
      <c r="BP322" s="112"/>
      <c r="BQ322" s="112"/>
      <c r="BR322" s="112"/>
      <c r="BS322" s="112"/>
      <c r="BT322" s="112"/>
      <c r="BU322" s="112"/>
      <c r="BV322" s="112"/>
      <c r="BW322" s="112"/>
      <c r="BX322" s="112"/>
      <c r="BY322" s="112"/>
      <c r="BZ322" s="112"/>
    </row>
    <row r="323" spans="1:78" x14ac:dyDescent="0.2">
      <c r="A323" s="86"/>
      <c r="B323" s="442"/>
      <c r="C323" s="510"/>
      <c r="F323" s="8"/>
      <c r="K323" s="1"/>
      <c r="L323" s="1"/>
      <c r="AD323" s="112"/>
      <c r="AE323" s="112"/>
      <c r="AF323" s="112"/>
      <c r="AG323" s="112"/>
      <c r="AH323" s="112"/>
      <c r="AI323" s="112"/>
      <c r="AJ323" s="112"/>
      <c r="AK323" s="112"/>
      <c r="AL323" s="112"/>
      <c r="AM323" s="112"/>
      <c r="AN323" s="112"/>
      <c r="AO323" s="112"/>
      <c r="AP323" s="112"/>
      <c r="AQ323" s="112"/>
      <c r="AR323" s="112"/>
      <c r="AS323" s="112"/>
      <c r="AT323" s="112"/>
      <c r="AU323" s="112"/>
      <c r="AV323" s="112"/>
      <c r="AW323" s="112"/>
      <c r="AX323" s="112"/>
      <c r="AY323" s="112"/>
      <c r="AZ323" s="112"/>
      <c r="BA323" s="112"/>
      <c r="BB323" s="112"/>
      <c r="BC323" s="112"/>
      <c r="BD323" s="112"/>
      <c r="BE323" s="112"/>
      <c r="BF323" s="112"/>
      <c r="BG323" s="112"/>
      <c r="BH323" s="112"/>
      <c r="BI323" s="112"/>
      <c r="BJ323" s="112"/>
      <c r="BK323" s="112"/>
      <c r="BL323" s="112"/>
      <c r="BM323" s="112"/>
      <c r="BN323" s="112"/>
      <c r="BO323" s="112"/>
      <c r="BP323" s="112"/>
      <c r="BQ323" s="112"/>
      <c r="BR323" s="112"/>
      <c r="BS323" s="112"/>
      <c r="BT323" s="112"/>
      <c r="BU323" s="112"/>
      <c r="BV323" s="112"/>
      <c r="BW323" s="112"/>
      <c r="BX323" s="112"/>
      <c r="BY323" s="112"/>
      <c r="BZ323" s="112"/>
    </row>
    <row r="324" spans="1:78" x14ac:dyDescent="0.2">
      <c r="A324" s="86"/>
      <c r="B324" s="442"/>
      <c r="C324" s="510"/>
      <c r="F324" s="8"/>
      <c r="K324" s="1"/>
      <c r="L324" s="1"/>
      <c r="AD324" s="112"/>
      <c r="AE324" s="112"/>
      <c r="AF324" s="112"/>
      <c r="AG324" s="112"/>
      <c r="AH324" s="112"/>
      <c r="AI324" s="112"/>
      <c r="AJ324" s="112"/>
      <c r="AK324" s="112"/>
      <c r="AL324" s="112"/>
      <c r="AM324" s="112"/>
      <c r="AN324" s="112"/>
      <c r="AO324" s="112"/>
      <c r="AP324" s="112"/>
      <c r="AQ324" s="112"/>
      <c r="AR324" s="112"/>
      <c r="AS324" s="112"/>
      <c r="AT324" s="112"/>
      <c r="AU324" s="112"/>
      <c r="AV324" s="112"/>
      <c r="AW324" s="112"/>
      <c r="AX324" s="112"/>
      <c r="AY324" s="112"/>
      <c r="AZ324" s="112"/>
      <c r="BA324" s="112"/>
      <c r="BB324" s="112"/>
      <c r="BC324" s="112"/>
      <c r="BD324" s="112"/>
      <c r="BE324" s="112"/>
      <c r="BF324" s="112"/>
      <c r="BG324" s="112"/>
      <c r="BH324" s="112"/>
      <c r="BI324" s="112"/>
      <c r="BJ324" s="112"/>
      <c r="BK324" s="112"/>
      <c r="BL324" s="112"/>
      <c r="BM324" s="112"/>
      <c r="BN324" s="112"/>
      <c r="BO324" s="112"/>
      <c r="BP324" s="112"/>
      <c r="BQ324" s="112"/>
      <c r="BR324" s="112"/>
      <c r="BS324" s="112"/>
      <c r="BT324" s="112"/>
      <c r="BU324" s="112"/>
      <c r="BV324" s="112"/>
      <c r="BW324" s="112"/>
      <c r="BX324" s="112"/>
      <c r="BY324" s="112"/>
      <c r="BZ324" s="112"/>
    </row>
    <row r="325" spans="1:78" x14ac:dyDescent="0.2">
      <c r="A325" s="86"/>
      <c r="B325" s="442"/>
      <c r="C325" s="510"/>
      <c r="F325" s="8"/>
      <c r="K325" s="1"/>
      <c r="L325" s="1"/>
      <c r="AD325" s="112"/>
      <c r="AE325" s="112"/>
      <c r="AF325" s="112"/>
      <c r="AG325" s="112"/>
      <c r="AH325" s="112"/>
      <c r="AI325" s="112"/>
      <c r="AJ325" s="112"/>
      <c r="AK325" s="112"/>
      <c r="AL325" s="112"/>
      <c r="AM325" s="112"/>
      <c r="AN325" s="112"/>
      <c r="AO325" s="112"/>
      <c r="AP325" s="112"/>
      <c r="AQ325" s="112"/>
      <c r="AR325" s="112"/>
      <c r="AS325" s="112"/>
      <c r="AT325" s="112"/>
      <c r="AU325" s="112"/>
      <c r="AV325" s="112"/>
      <c r="AW325" s="112"/>
      <c r="AX325" s="112"/>
      <c r="AY325" s="112"/>
      <c r="AZ325" s="112"/>
      <c r="BA325" s="112"/>
      <c r="BB325" s="112"/>
      <c r="BC325" s="112"/>
      <c r="BD325" s="112"/>
      <c r="BE325" s="112"/>
      <c r="BF325" s="112"/>
      <c r="BG325" s="112"/>
      <c r="BH325" s="112"/>
      <c r="BI325" s="112"/>
      <c r="BJ325" s="112"/>
      <c r="BK325" s="112"/>
      <c r="BL325" s="112"/>
      <c r="BM325" s="112"/>
      <c r="BN325" s="112"/>
      <c r="BO325" s="112"/>
      <c r="BP325" s="112"/>
      <c r="BQ325" s="112"/>
      <c r="BR325" s="112"/>
      <c r="BS325" s="112"/>
      <c r="BT325" s="112"/>
      <c r="BU325" s="112"/>
      <c r="BV325" s="112"/>
      <c r="BW325" s="112"/>
      <c r="BX325" s="112"/>
      <c r="BY325" s="112"/>
      <c r="BZ325" s="112"/>
    </row>
    <row r="326" spans="1:78" x14ac:dyDescent="0.2">
      <c r="A326" s="86"/>
      <c r="B326" s="442"/>
      <c r="C326" s="510"/>
      <c r="F326" s="8"/>
      <c r="K326" s="1"/>
      <c r="L326" s="1"/>
      <c r="AD326" s="112"/>
      <c r="AE326" s="112"/>
      <c r="AF326" s="112"/>
      <c r="AG326" s="112"/>
      <c r="AH326" s="112"/>
      <c r="AI326" s="112"/>
      <c r="AJ326" s="112"/>
      <c r="AK326" s="112"/>
      <c r="AL326" s="112"/>
      <c r="AM326" s="112"/>
      <c r="AN326" s="112"/>
      <c r="AO326" s="112"/>
      <c r="AP326" s="112"/>
      <c r="AQ326" s="112"/>
      <c r="AR326" s="112"/>
      <c r="AS326" s="112"/>
      <c r="AT326" s="112"/>
      <c r="AU326" s="112"/>
      <c r="AV326" s="112"/>
      <c r="AW326" s="112"/>
      <c r="AX326" s="112"/>
      <c r="AY326" s="112"/>
      <c r="AZ326" s="112"/>
      <c r="BA326" s="112"/>
      <c r="BB326" s="112"/>
      <c r="BC326" s="112"/>
      <c r="BD326" s="112"/>
      <c r="BE326" s="112"/>
      <c r="BF326" s="112"/>
      <c r="BG326" s="112"/>
      <c r="BH326" s="112"/>
      <c r="BI326" s="112"/>
      <c r="BJ326" s="112"/>
      <c r="BK326" s="112"/>
      <c r="BL326" s="112"/>
      <c r="BM326" s="112"/>
      <c r="BN326" s="112"/>
      <c r="BO326" s="112"/>
      <c r="BP326" s="112"/>
      <c r="BQ326" s="112"/>
      <c r="BR326" s="112"/>
      <c r="BS326" s="112"/>
      <c r="BT326" s="112"/>
      <c r="BU326" s="112"/>
      <c r="BV326" s="112"/>
      <c r="BW326" s="112"/>
      <c r="BX326" s="112"/>
      <c r="BY326" s="112"/>
      <c r="BZ326" s="112"/>
    </row>
    <row r="327" spans="1:78" x14ac:dyDescent="0.2">
      <c r="A327" s="86"/>
      <c r="B327" s="442"/>
      <c r="C327" s="510"/>
      <c r="F327" s="8"/>
      <c r="K327" s="1"/>
      <c r="L327" s="1"/>
      <c r="AD327" s="112"/>
      <c r="AE327" s="112"/>
      <c r="AF327" s="112"/>
      <c r="AG327" s="112"/>
      <c r="AH327" s="112"/>
      <c r="AI327" s="112"/>
      <c r="AJ327" s="112"/>
      <c r="AK327" s="112"/>
      <c r="AL327" s="112"/>
      <c r="AM327" s="112"/>
      <c r="AN327" s="112"/>
      <c r="AO327" s="112"/>
      <c r="AP327" s="112"/>
      <c r="AQ327" s="112"/>
      <c r="AR327" s="112"/>
      <c r="AS327" s="112"/>
      <c r="AT327" s="112"/>
      <c r="AU327" s="112"/>
      <c r="AV327" s="112"/>
      <c r="AW327" s="112"/>
      <c r="AX327" s="112"/>
      <c r="AY327" s="112"/>
      <c r="AZ327" s="112"/>
      <c r="BA327" s="112"/>
      <c r="BB327" s="112"/>
      <c r="BC327" s="112"/>
      <c r="BD327" s="112"/>
      <c r="BE327" s="112"/>
      <c r="BF327" s="112"/>
      <c r="BG327" s="112"/>
      <c r="BH327" s="112"/>
      <c r="BI327" s="112"/>
      <c r="BJ327" s="112"/>
      <c r="BK327" s="112"/>
      <c r="BL327" s="112"/>
      <c r="BM327" s="112"/>
      <c r="BN327" s="112"/>
      <c r="BO327" s="112"/>
      <c r="BP327" s="112"/>
      <c r="BQ327" s="112"/>
      <c r="BR327" s="112"/>
      <c r="BS327" s="112"/>
      <c r="BT327" s="112"/>
      <c r="BU327" s="112"/>
      <c r="BV327" s="112"/>
      <c r="BW327" s="112"/>
      <c r="BX327" s="112"/>
      <c r="BY327" s="112"/>
      <c r="BZ327" s="112"/>
    </row>
    <row r="328" spans="1:78" x14ac:dyDescent="0.2">
      <c r="A328" s="86"/>
      <c r="B328" s="442"/>
      <c r="C328" s="510"/>
      <c r="F328" s="8"/>
      <c r="K328" s="1"/>
      <c r="L328" s="1"/>
      <c r="AD328" s="112"/>
      <c r="AE328" s="112"/>
      <c r="AF328" s="112"/>
      <c r="AG328" s="112"/>
      <c r="AH328" s="112"/>
      <c r="AI328" s="112"/>
      <c r="AJ328" s="112"/>
      <c r="AK328" s="112"/>
      <c r="AL328" s="112"/>
      <c r="AM328" s="112"/>
      <c r="AN328" s="112"/>
      <c r="AO328" s="112"/>
      <c r="AP328" s="112"/>
      <c r="AQ328" s="112"/>
      <c r="AR328" s="112"/>
      <c r="AS328" s="112"/>
      <c r="AT328" s="112"/>
      <c r="AU328" s="112"/>
      <c r="AV328" s="112"/>
      <c r="AW328" s="112"/>
      <c r="AX328" s="112"/>
      <c r="AY328" s="112"/>
      <c r="AZ328" s="112"/>
      <c r="BA328" s="112"/>
      <c r="BB328" s="112"/>
      <c r="BC328" s="112"/>
      <c r="BD328" s="112"/>
      <c r="BE328" s="112"/>
      <c r="BF328" s="112"/>
      <c r="BG328" s="112"/>
      <c r="BH328" s="112"/>
      <c r="BI328" s="112"/>
      <c r="BJ328" s="112"/>
      <c r="BK328" s="112"/>
      <c r="BL328" s="112"/>
      <c r="BM328" s="112"/>
      <c r="BN328" s="112"/>
      <c r="BO328" s="112"/>
      <c r="BP328" s="112"/>
      <c r="BQ328" s="112"/>
      <c r="BR328" s="112"/>
      <c r="BS328" s="112"/>
      <c r="BT328" s="112"/>
      <c r="BU328" s="112"/>
      <c r="BV328" s="112"/>
      <c r="BW328" s="112"/>
      <c r="BX328" s="112"/>
      <c r="BY328" s="112"/>
      <c r="BZ328" s="112"/>
    </row>
    <row r="329" spans="1:78" x14ac:dyDescent="0.2">
      <c r="A329" s="86"/>
      <c r="B329" s="442"/>
      <c r="C329" s="510"/>
      <c r="F329" s="8"/>
      <c r="K329" s="1"/>
      <c r="L329" s="1"/>
      <c r="AD329" s="112"/>
      <c r="AE329" s="112"/>
      <c r="AF329" s="112"/>
      <c r="AG329" s="112"/>
      <c r="AH329" s="112"/>
      <c r="AI329" s="112"/>
      <c r="AJ329" s="112"/>
      <c r="AK329" s="112"/>
      <c r="AL329" s="112"/>
      <c r="AM329" s="112"/>
      <c r="AN329" s="112"/>
      <c r="AO329" s="112"/>
      <c r="AP329" s="112"/>
      <c r="AQ329" s="112"/>
      <c r="AR329" s="112"/>
      <c r="AS329" s="112"/>
      <c r="AT329" s="112"/>
      <c r="AU329" s="112"/>
      <c r="AV329" s="112"/>
      <c r="AW329" s="112"/>
      <c r="AX329" s="112"/>
      <c r="AY329" s="112"/>
      <c r="AZ329" s="112"/>
      <c r="BA329" s="112"/>
      <c r="BB329" s="112"/>
      <c r="BC329" s="112"/>
      <c r="BD329" s="112"/>
      <c r="BE329" s="112"/>
      <c r="BF329" s="112"/>
      <c r="BG329" s="112"/>
      <c r="BH329" s="112"/>
      <c r="BI329" s="112"/>
      <c r="BJ329" s="112"/>
      <c r="BK329" s="112"/>
      <c r="BL329" s="112"/>
      <c r="BM329" s="112"/>
      <c r="BN329" s="112"/>
      <c r="BO329" s="112"/>
      <c r="BP329" s="112"/>
      <c r="BQ329" s="112"/>
      <c r="BR329" s="112"/>
      <c r="BS329" s="112"/>
      <c r="BT329" s="112"/>
      <c r="BU329" s="112"/>
      <c r="BV329" s="112"/>
      <c r="BW329" s="112"/>
      <c r="BX329" s="112"/>
      <c r="BY329" s="112"/>
      <c r="BZ329" s="112"/>
    </row>
    <row r="330" spans="1:78" x14ac:dyDescent="0.2">
      <c r="A330" s="86"/>
      <c r="B330" s="442"/>
      <c r="C330" s="510"/>
      <c r="F330" s="8"/>
      <c r="K330" s="1"/>
      <c r="L330" s="1"/>
      <c r="AD330" s="112"/>
      <c r="AE330" s="112"/>
      <c r="AF330" s="112"/>
      <c r="AG330" s="112"/>
      <c r="AH330" s="112"/>
      <c r="AI330" s="112"/>
      <c r="AJ330" s="112"/>
      <c r="AK330" s="112"/>
      <c r="AL330" s="112"/>
      <c r="AM330" s="112"/>
      <c r="AN330" s="112"/>
      <c r="AO330" s="112"/>
      <c r="AP330" s="112"/>
      <c r="AQ330" s="112"/>
      <c r="AR330" s="112"/>
      <c r="AS330" s="112"/>
      <c r="AT330" s="112"/>
      <c r="AU330" s="112"/>
      <c r="AV330" s="112"/>
      <c r="AW330" s="112"/>
      <c r="AX330" s="112"/>
      <c r="AY330" s="112"/>
      <c r="AZ330" s="112"/>
      <c r="BA330" s="112"/>
      <c r="BB330" s="112"/>
      <c r="BC330" s="112"/>
      <c r="BD330" s="112"/>
      <c r="BE330" s="112"/>
      <c r="BF330" s="112"/>
      <c r="BG330" s="112"/>
      <c r="BH330" s="112"/>
      <c r="BI330" s="112"/>
      <c r="BJ330" s="112"/>
      <c r="BK330" s="112"/>
      <c r="BL330" s="112"/>
      <c r="BM330" s="112"/>
      <c r="BN330" s="112"/>
      <c r="BO330" s="112"/>
      <c r="BP330" s="112"/>
      <c r="BQ330" s="112"/>
      <c r="BR330" s="112"/>
      <c r="BS330" s="112"/>
      <c r="BT330" s="112"/>
      <c r="BU330" s="112"/>
      <c r="BV330" s="112"/>
      <c r="BW330" s="112"/>
      <c r="BX330" s="112"/>
      <c r="BY330" s="112"/>
      <c r="BZ330" s="112"/>
    </row>
    <row r="331" spans="1:78" x14ac:dyDescent="0.2">
      <c r="A331" s="86"/>
      <c r="B331" s="442"/>
      <c r="C331" s="510"/>
      <c r="F331" s="8"/>
      <c r="K331" s="1"/>
      <c r="L331" s="1"/>
      <c r="AD331" s="112"/>
      <c r="AE331" s="112"/>
      <c r="AF331" s="112"/>
      <c r="AG331" s="112"/>
      <c r="AH331" s="112"/>
      <c r="AI331" s="112"/>
      <c r="AJ331" s="112"/>
      <c r="AK331" s="112"/>
      <c r="AL331" s="112"/>
      <c r="AM331" s="112"/>
      <c r="AN331" s="112"/>
      <c r="AO331" s="112"/>
      <c r="AP331" s="112"/>
      <c r="AQ331" s="112"/>
      <c r="AR331" s="112"/>
      <c r="AS331" s="112"/>
      <c r="AT331" s="112"/>
      <c r="AU331" s="112"/>
      <c r="AV331" s="112"/>
      <c r="AW331" s="112"/>
      <c r="AX331" s="112"/>
      <c r="AY331" s="112"/>
      <c r="AZ331" s="112"/>
      <c r="BA331" s="112"/>
      <c r="BB331" s="112"/>
      <c r="BC331" s="112"/>
      <c r="BD331" s="112"/>
      <c r="BE331" s="112"/>
      <c r="BF331" s="112"/>
      <c r="BG331" s="112"/>
      <c r="BH331" s="112"/>
      <c r="BI331" s="112"/>
      <c r="BJ331" s="112"/>
      <c r="BK331" s="112"/>
      <c r="BL331" s="112"/>
      <c r="BM331" s="112"/>
      <c r="BN331" s="112"/>
      <c r="BO331" s="112"/>
      <c r="BP331" s="112"/>
      <c r="BQ331" s="112"/>
      <c r="BR331" s="112"/>
      <c r="BS331" s="112"/>
      <c r="BT331" s="112"/>
      <c r="BU331" s="112"/>
      <c r="BV331" s="112"/>
      <c r="BW331" s="112"/>
      <c r="BX331" s="112"/>
      <c r="BY331" s="112"/>
      <c r="BZ331" s="112"/>
    </row>
    <row r="332" spans="1:78" x14ac:dyDescent="0.2">
      <c r="A332" s="86"/>
      <c r="B332" s="442"/>
      <c r="C332" s="510"/>
      <c r="F332" s="8"/>
      <c r="K332" s="1"/>
      <c r="L332" s="1"/>
      <c r="AD332" s="112"/>
      <c r="AE332" s="112"/>
      <c r="AF332" s="112"/>
      <c r="AG332" s="112"/>
      <c r="AH332" s="112"/>
      <c r="AI332" s="112"/>
      <c r="AJ332" s="112"/>
      <c r="AK332" s="112"/>
      <c r="AL332" s="112"/>
      <c r="AM332" s="112"/>
      <c r="AN332" s="112"/>
      <c r="AO332" s="112"/>
      <c r="AP332" s="112"/>
      <c r="AQ332" s="112"/>
      <c r="AR332" s="112"/>
      <c r="AS332" s="112"/>
      <c r="AT332" s="112"/>
      <c r="AU332" s="112"/>
      <c r="AV332" s="112"/>
      <c r="AW332" s="112"/>
      <c r="AX332" s="112"/>
      <c r="AY332" s="112"/>
      <c r="AZ332" s="112"/>
      <c r="BA332" s="112"/>
      <c r="BB332" s="112"/>
      <c r="BC332" s="112"/>
      <c r="BD332" s="112"/>
      <c r="BE332" s="112"/>
      <c r="BF332" s="112"/>
      <c r="BG332" s="112"/>
      <c r="BH332" s="112"/>
      <c r="BI332" s="112"/>
      <c r="BJ332" s="112"/>
      <c r="BK332" s="112"/>
      <c r="BL332" s="112"/>
      <c r="BM332" s="112"/>
      <c r="BN332" s="112"/>
      <c r="BO332" s="112"/>
      <c r="BP332" s="112"/>
      <c r="BQ332" s="112"/>
      <c r="BR332" s="112"/>
      <c r="BS332" s="112"/>
      <c r="BT332" s="112"/>
      <c r="BU332" s="112"/>
      <c r="BV332" s="112"/>
      <c r="BW332" s="112"/>
      <c r="BX332" s="112"/>
      <c r="BY332" s="112"/>
      <c r="BZ332" s="112"/>
    </row>
    <row r="333" spans="1:78" x14ac:dyDescent="0.2">
      <c r="A333" s="86"/>
      <c r="B333" s="442"/>
      <c r="C333" s="510"/>
      <c r="F333" s="8"/>
      <c r="K333" s="1"/>
      <c r="L333" s="1"/>
      <c r="AD333" s="112"/>
      <c r="AE333" s="112"/>
      <c r="AF333" s="112"/>
      <c r="AG333" s="112"/>
      <c r="AH333" s="112"/>
      <c r="AI333" s="112"/>
      <c r="AJ333" s="112"/>
      <c r="AK333" s="112"/>
      <c r="AL333" s="112"/>
      <c r="AM333" s="112"/>
      <c r="AN333" s="112"/>
      <c r="AO333" s="112"/>
      <c r="AP333" s="112"/>
      <c r="AQ333" s="112"/>
      <c r="AR333" s="112"/>
      <c r="AS333" s="112"/>
      <c r="AT333" s="112"/>
      <c r="AU333" s="112"/>
      <c r="AV333" s="112"/>
      <c r="AW333" s="112"/>
      <c r="AX333" s="112"/>
      <c r="AY333" s="112"/>
      <c r="AZ333" s="112"/>
      <c r="BA333" s="112"/>
      <c r="BB333" s="112"/>
      <c r="BC333" s="112"/>
      <c r="BD333" s="112"/>
      <c r="BE333" s="112"/>
      <c r="BF333" s="112"/>
      <c r="BG333" s="112"/>
      <c r="BH333" s="112"/>
      <c r="BI333" s="112"/>
      <c r="BJ333" s="112"/>
      <c r="BK333" s="112"/>
      <c r="BL333" s="112"/>
      <c r="BM333" s="112"/>
      <c r="BN333" s="112"/>
      <c r="BO333" s="112"/>
      <c r="BP333" s="112"/>
      <c r="BQ333" s="112"/>
      <c r="BR333" s="112"/>
      <c r="BS333" s="112"/>
      <c r="BT333" s="112"/>
      <c r="BU333" s="112"/>
      <c r="BV333" s="112"/>
      <c r="BW333" s="112"/>
      <c r="BX333" s="112"/>
      <c r="BY333" s="112"/>
      <c r="BZ333" s="112"/>
    </row>
    <row r="334" spans="1:78" x14ac:dyDescent="0.2">
      <c r="A334" s="86"/>
      <c r="B334" s="442"/>
      <c r="C334" s="510"/>
      <c r="F334" s="8"/>
      <c r="K334" s="1"/>
      <c r="L334" s="1"/>
      <c r="AD334" s="112"/>
      <c r="AE334" s="112"/>
      <c r="AF334" s="112"/>
      <c r="AG334" s="112"/>
      <c r="AH334" s="112"/>
      <c r="AI334" s="112"/>
      <c r="AJ334" s="112"/>
      <c r="AK334" s="112"/>
      <c r="AL334" s="112"/>
      <c r="AM334" s="112"/>
      <c r="AN334" s="112"/>
      <c r="AO334" s="112"/>
      <c r="AP334" s="112"/>
      <c r="AQ334" s="112"/>
      <c r="AR334" s="112"/>
      <c r="AS334" s="112"/>
      <c r="AT334" s="112"/>
      <c r="AU334" s="112"/>
      <c r="AV334" s="112"/>
      <c r="AW334" s="112"/>
      <c r="AX334" s="112"/>
      <c r="AY334" s="112"/>
      <c r="AZ334" s="112"/>
      <c r="BA334" s="112"/>
      <c r="BB334" s="112"/>
      <c r="BC334" s="112"/>
      <c r="BD334" s="112"/>
      <c r="BE334" s="112"/>
      <c r="BF334" s="112"/>
      <c r="BG334" s="112"/>
      <c r="BH334" s="112"/>
      <c r="BI334" s="112"/>
      <c r="BJ334" s="112"/>
      <c r="BK334" s="112"/>
      <c r="BL334" s="112"/>
      <c r="BM334" s="112"/>
      <c r="BN334" s="112"/>
      <c r="BO334" s="112"/>
      <c r="BP334" s="112"/>
      <c r="BQ334" s="112"/>
      <c r="BR334" s="112"/>
      <c r="BS334" s="112"/>
      <c r="BT334" s="112"/>
      <c r="BU334" s="112"/>
      <c r="BV334" s="112"/>
      <c r="BW334" s="112"/>
      <c r="BX334" s="112"/>
      <c r="BY334" s="112"/>
      <c r="BZ334" s="112"/>
    </row>
    <row r="335" spans="1:78" x14ac:dyDescent="0.2">
      <c r="A335" s="86"/>
      <c r="B335" s="442"/>
      <c r="C335" s="510"/>
      <c r="F335" s="8"/>
      <c r="K335" s="1"/>
      <c r="L335" s="1"/>
      <c r="AD335" s="112"/>
      <c r="AE335" s="112"/>
      <c r="AF335" s="112"/>
      <c r="AG335" s="112"/>
      <c r="AH335" s="112"/>
      <c r="AI335" s="112"/>
      <c r="AJ335" s="112"/>
      <c r="AK335" s="112"/>
      <c r="AL335" s="112"/>
      <c r="AM335" s="112"/>
      <c r="AN335" s="112"/>
      <c r="AO335" s="112"/>
      <c r="AP335" s="112"/>
      <c r="AQ335" s="112"/>
      <c r="AR335" s="112"/>
      <c r="AS335" s="112"/>
      <c r="AT335" s="112"/>
      <c r="AU335" s="112"/>
      <c r="AV335" s="112"/>
      <c r="AW335" s="112"/>
      <c r="AX335" s="112"/>
      <c r="AY335" s="112"/>
      <c r="AZ335" s="112"/>
      <c r="BA335" s="112"/>
      <c r="BB335" s="112"/>
      <c r="BC335" s="112"/>
      <c r="BD335" s="112"/>
      <c r="BE335" s="112"/>
      <c r="BF335" s="112"/>
      <c r="BG335" s="112"/>
      <c r="BH335" s="112"/>
      <c r="BI335" s="112"/>
      <c r="BJ335" s="112"/>
      <c r="BK335" s="112"/>
      <c r="BL335" s="112"/>
      <c r="BM335" s="112"/>
      <c r="BN335" s="112"/>
      <c r="BO335" s="112"/>
      <c r="BP335" s="112"/>
      <c r="BQ335" s="112"/>
      <c r="BR335" s="112"/>
      <c r="BS335" s="112"/>
      <c r="BT335" s="112"/>
      <c r="BU335" s="112"/>
      <c r="BV335" s="112"/>
      <c r="BW335" s="112"/>
      <c r="BX335" s="112"/>
      <c r="BY335" s="112"/>
      <c r="BZ335" s="112"/>
    </row>
    <row r="336" spans="1:78" x14ac:dyDescent="0.2">
      <c r="A336" s="86"/>
      <c r="B336" s="442"/>
      <c r="C336" s="510"/>
      <c r="F336" s="8"/>
      <c r="K336" s="1"/>
      <c r="L336" s="1"/>
      <c r="AD336" s="112"/>
      <c r="AE336" s="112"/>
      <c r="AF336" s="112"/>
      <c r="AG336" s="112"/>
      <c r="AH336" s="112"/>
      <c r="AI336" s="112"/>
      <c r="AJ336" s="112"/>
      <c r="AK336" s="112"/>
      <c r="AL336" s="112"/>
      <c r="AM336" s="112"/>
      <c r="AN336" s="112"/>
      <c r="AO336" s="112"/>
      <c r="AP336" s="112"/>
      <c r="AQ336" s="112"/>
      <c r="AR336" s="112"/>
      <c r="AS336" s="112"/>
      <c r="AT336" s="112"/>
      <c r="AU336" s="112"/>
      <c r="AV336" s="112"/>
      <c r="AW336" s="112"/>
      <c r="AX336" s="112"/>
      <c r="AY336" s="112"/>
      <c r="AZ336" s="112"/>
      <c r="BA336" s="112"/>
      <c r="BB336" s="112"/>
      <c r="BC336" s="112"/>
      <c r="BD336" s="112"/>
      <c r="BE336" s="112"/>
      <c r="BF336" s="112"/>
      <c r="BG336" s="112"/>
      <c r="BH336" s="112"/>
      <c r="BI336" s="112"/>
      <c r="BJ336" s="112"/>
      <c r="BK336" s="112"/>
      <c r="BL336" s="112"/>
      <c r="BM336" s="112"/>
      <c r="BN336" s="112"/>
      <c r="BO336" s="112"/>
      <c r="BP336" s="112"/>
      <c r="BQ336" s="112"/>
      <c r="BR336" s="112"/>
      <c r="BS336" s="112"/>
      <c r="BT336" s="112"/>
      <c r="BU336" s="112"/>
      <c r="BV336" s="112"/>
      <c r="BW336" s="112"/>
      <c r="BX336" s="112"/>
      <c r="BY336" s="112"/>
      <c r="BZ336" s="112"/>
    </row>
    <row r="337" spans="1:78" x14ac:dyDescent="0.2">
      <c r="A337" s="86"/>
      <c r="B337" s="442"/>
      <c r="C337" s="510"/>
      <c r="F337" s="8"/>
      <c r="K337" s="1"/>
      <c r="L337" s="1"/>
      <c r="AD337" s="112"/>
      <c r="AE337" s="112"/>
      <c r="AF337" s="112"/>
      <c r="AG337" s="112"/>
      <c r="AH337" s="112"/>
      <c r="AI337" s="112"/>
      <c r="AJ337" s="112"/>
      <c r="AK337" s="112"/>
      <c r="AL337" s="112"/>
      <c r="AM337" s="112"/>
      <c r="AN337" s="112"/>
      <c r="AO337" s="112"/>
      <c r="AP337" s="112"/>
      <c r="AQ337" s="112"/>
      <c r="AR337" s="112"/>
      <c r="AS337" s="112"/>
      <c r="AT337" s="112"/>
      <c r="AU337" s="112"/>
      <c r="AV337" s="112"/>
      <c r="AW337" s="112"/>
      <c r="AX337" s="112"/>
      <c r="AY337" s="112"/>
      <c r="AZ337" s="112"/>
      <c r="BA337" s="112"/>
      <c r="BB337" s="112"/>
      <c r="BC337" s="112"/>
      <c r="BD337" s="112"/>
      <c r="BE337" s="112"/>
      <c r="BF337" s="112"/>
      <c r="BG337" s="112"/>
      <c r="BH337" s="112"/>
      <c r="BI337" s="112"/>
      <c r="BJ337" s="112"/>
      <c r="BK337" s="112"/>
      <c r="BL337" s="112"/>
      <c r="BM337" s="112"/>
      <c r="BN337" s="112"/>
      <c r="BO337" s="112"/>
      <c r="BP337" s="112"/>
      <c r="BQ337" s="112"/>
      <c r="BR337" s="112"/>
      <c r="BS337" s="112"/>
      <c r="BT337" s="112"/>
      <c r="BU337" s="112"/>
      <c r="BV337" s="112"/>
      <c r="BW337" s="112"/>
      <c r="BX337" s="112"/>
      <c r="BY337" s="112"/>
      <c r="BZ337" s="112"/>
    </row>
    <row r="338" spans="1:78" x14ac:dyDescent="0.2">
      <c r="A338" s="86"/>
      <c r="B338" s="442"/>
      <c r="C338" s="510"/>
      <c r="F338" s="8"/>
      <c r="K338" s="1"/>
      <c r="L338" s="1"/>
      <c r="AD338" s="112"/>
      <c r="AE338" s="112"/>
      <c r="AF338" s="112"/>
      <c r="AG338" s="112"/>
      <c r="AH338" s="112"/>
      <c r="AI338" s="112"/>
      <c r="AJ338" s="112"/>
      <c r="AK338" s="112"/>
      <c r="AL338" s="112"/>
      <c r="AM338" s="112"/>
      <c r="AN338" s="112"/>
      <c r="AO338" s="112"/>
      <c r="AP338" s="112"/>
      <c r="AQ338" s="112"/>
      <c r="AR338" s="112"/>
      <c r="AS338" s="112"/>
      <c r="AT338" s="112"/>
      <c r="AU338" s="112"/>
      <c r="AV338" s="112"/>
      <c r="AW338" s="112"/>
      <c r="AX338" s="112"/>
      <c r="AY338" s="112"/>
      <c r="AZ338" s="112"/>
      <c r="BA338" s="112"/>
      <c r="BB338" s="112"/>
      <c r="BC338" s="112"/>
      <c r="BD338" s="112"/>
      <c r="BE338" s="112"/>
      <c r="BF338" s="112"/>
      <c r="BG338" s="112"/>
      <c r="BH338" s="112"/>
      <c r="BI338" s="112"/>
      <c r="BJ338" s="112"/>
      <c r="BK338" s="112"/>
      <c r="BL338" s="112"/>
      <c r="BM338" s="112"/>
      <c r="BN338" s="112"/>
      <c r="BO338" s="112"/>
      <c r="BP338" s="112"/>
      <c r="BQ338" s="112"/>
      <c r="BR338" s="112"/>
      <c r="BS338" s="112"/>
      <c r="BT338" s="112"/>
      <c r="BU338" s="112"/>
      <c r="BV338" s="112"/>
      <c r="BW338" s="112"/>
      <c r="BX338" s="112"/>
      <c r="BY338" s="112"/>
      <c r="BZ338" s="112"/>
    </row>
    <row r="339" spans="1:78" x14ac:dyDescent="0.2">
      <c r="A339" s="86"/>
      <c r="B339" s="442"/>
      <c r="C339" s="510"/>
      <c r="F339" s="8"/>
      <c r="K339" s="1"/>
      <c r="L339" s="1"/>
      <c r="AD339" s="112"/>
      <c r="AE339" s="112"/>
      <c r="AF339" s="112"/>
      <c r="AG339" s="112"/>
      <c r="AH339" s="112"/>
      <c r="AI339" s="112"/>
      <c r="AJ339" s="112"/>
      <c r="AK339" s="112"/>
      <c r="AL339" s="112"/>
      <c r="AM339" s="112"/>
      <c r="AN339" s="112"/>
      <c r="AO339" s="112"/>
      <c r="AP339" s="112"/>
      <c r="AQ339" s="112"/>
      <c r="AR339" s="112"/>
      <c r="AS339" s="112"/>
      <c r="AT339" s="112"/>
      <c r="AU339" s="112"/>
      <c r="AV339" s="112"/>
      <c r="AW339" s="112"/>
      <c r="AX339" s="112"/>
      <c r="AY339" s="112"/>
      <c r="AZ339" s="112"/>
      <c r="BA339" s="112"/>
      <c r="BB339" s="112"/>
      <c r="BC339" s="112"/>
      <c r="BD339" s="112"/>
      <c r="BE339" s="112"/>
      <c r="BF339" s="112"/>
      <c r="BG339" s="112"/>
      <c r="BH339" s="112"/>
      <c r="BI339" s="112"/>
      <c r="BJ339" s="112"/>
      <c r="BK339" s="112"/>
      <c r="BL339" s="112"/>
      <c r="BM339" s="112"/>
      <c r="BN339" s="112"/>
      <c r="BO339" s="112"/>
      <c r="BP339" s="112"/>
      <c r="BQ339" s="112"/>
      <c r="BR339" s="112"/>
      <c r="BS339" s="112"/>
      <c r="BT339" s="112"/>
      <c r="BU339" s="112"/>
      <c r="BV339" s="112"/>
      <c r="BW339" s="112"/>
      <c r="BX339" s="112"/>
      <c r="BY339" s="112"/>
      <c r="BZ339" s="112"/>
    </row>
    <row r="340" spans="1:78" x14ac:dyDescent="0.2">
      <c r="A340" s="86"/>
      <c r="B340" s="442"/>
      <c r="C340" s="510"/>
      <c r="F340" s="8"/>
      <c r="K340" s="1"/>
      <c r="L340" s="1"/>
      <c r="AD340" s="112"/>
      <c r="AE340" s="112"/>
      <c r="AF340" s="112"/>
      <c r="AG340" s="112"/>
      <c r="AH340" s="112"/>
      <c r="AI340" s="112"/>
      <c r="AJ340" s="112"/>
      <c r="AK340" s="112"/>
      <c r="AL340" s="112"/>
      <c r="AM340" s="112"/>
      <c r="AN340" s="112"/>
      <c r="AO340" s="112"/>
      <c r="AP340" s="112"/>
      <c r="AQ340" s="112"/>
      <c r="AR340" s="112"/>
      <c r="AS340" s="112"/>
      <c r="AT340" s="112"/>
      <c r="AU340" s="112"/>
      <c r="AV340" s="112"/>
      <c r="AW340" s="112"/>
      <c r="AX340" s="112"/>
      <c r="AY340" s="112"/>
      <c r="AZ340" s="112"/>
      <c r="BA340" s="112"/>
      <c r="BB340" s="112"/>
      <c r="BC340" s="112"/>
      <c r="BD340" s="112"/>
      <c r="BE340" s="112"/>
      <c r="BF340" s="112"/>
      <c r="BG340" s="112"/>
      <c r="BH340" s="112"/>
      <c r="BI340" s="112"/>
      <c r="BJ340" s="112"/>
      <c r="BK340" s="112"/>
      <c r="BL340" s="112"/>
      <c r="BM340" s="112"/>
      <c r="BN340" s="112"/>
      <c r="BO340" s="112"/>
      <c r="BP340" s="112"/>
      <c r="BQ340" s="112"/>
      <c r="BR340" s="112"/>
      <c r="BS340" s="112"/>
      <c r="BT340" s="112"/>
      <c r="BU340" s="112"/>
      <c r="BV340" s="112"/>
      <c r="BW340" s="112"/>
      <c r="BX340" s="112"/>
      <c r="BY340" s="112"/>
      <c r="BZ340" s="112"/>
    </row>
    <row r="341" spans="1:78" x14ac:dyDescent="0.2">
      <c r="A341" s="86"/>
      <c r="B341" s="442"/>
      <c r="C341" s="510"/>
      <c r="F341" s="8"/>
      <c r="K341" s="1"/>
      <c r="L341" s="1"/>
      <c r="AD341" s="112"/>
      <c r="AE341" s="112"/>
      <c r="AF341" s="112"/>
      <c r="AG341" s="112"/>
      <c r="AH341" s="112"/>
      <c r="AI341" s="112"/>
      <c r="AJ341" s="112"/>
      <c r="AK341" s="112"/>
      <c r="AL341" s="112"/>
      <c r="AM341" s="112"/>
      <c r="AN341" s="112"/>
      <c r="AO341" s="112"/>
      <c r="AP341" s="112"/>
      <c r="AQ341" s="112"/>
      <c r="AR341" s="112"/>
      <c r="AS341" s="112"/>
      <c r="AT341" s="112"/>
      <c r="AU341" s="112"/>
      <c r="AV341" s="112"/>
      <c r="AW341" s="112"/>
      <c r="AX341" s="112"/>
      <c r="AY341" s="112"/>
      <c r="AZ341" s="112"/>
      <c r="BA341" s="112"/>
      <c r="BB341" s="112"/>
      <c r="BC341" s="112"/>
      <c r="BD341" s="112"/>
      <c r="BE341" s="112"/>
      <c r="BF341" s="112"/>
      <c r="BG341" s="112"/>
      <c r="BH341" s="112"/>
      <c r="BI341" s="112"/>
      <c r="BJ341" s="112"/>
      <c r="BK341" s="112"/>
      <c r="BL341" s="112"/>
      <c r="BM341" s="112"/>
      <c r="BN341" s="112"/>
      <c r="BO341" s="112"/>
      <c r="BP341" s="112"/>
      <c r="BQ341" s="112"/>
      <c r="BR341" s="112"/>
      <c r="BS341" s="112"/>
      <c r="BT341" s="112"/>
      <c r="BU341" s="112"/>
      <c r="BV341" s="112"/>
      <c r="BW341" s="112"/>
      <c r="BX341" s="112"/>
      <c r="BY341" s="112"/>
      <c r="BZ341" s="112"/>
    </row>
    <row r="342" spans="1:78" x14ac:dyDescent="0.2">
      <c r="A342" s="86"/>
      <c r="B342" s="442"/>
      <c r="C342" s="510"/>
      <c r="F342" s="8"/>
      <c r="K342" s="1"/>
      <c r="L342" s="1"/>
      <c r="AD342" s="112"/>
      <c r="AE342" s="112"/>
      <c r="AF342" s="112"/>
      <c r="AG342" s="112"/>
      <c r="AH342" s="112"/>
      <c r="AI342" s="112"/>
      <c r="AJ342" s="112"/>
      <c r="AK342" s="112"/>
      <c r="AL342" s="112"/>
      <c r="AM342" s="112"/>
      <c r="AN342" s="112"/>
      <c r="AO342" s="112"/>
      <c r="AP342" s="112"/>
      <c r="AQ342" s="112"/>
      <c r="AR342" s="112"/>
      <c r="AS342" s="112"/>
      <c r="AT342" s="112"/>
      <c r="AU342" s="112"/>
      <c r="AV342" s="112"/>
      <c r="AW342" s="112"/>
      <c r="AX342" s="112"/>
      <c r="AY342" s="112"/>
      <c r="AZ342" s="112"/>
      <c r="BA342" s="112"/>
      <c r="BB342" s="112"/>
      <c r="BC342" s="112"/>
      <c r="BD342" s="112"/>
      <c r="BE342" s="112"/>
      <c r="BF342" s="112"/>
      <c r="BG342" s="112"/>
      <c r="BH342" s="112"/>
      <c r="BI342" s="112"/>
      <c r="BJ342" s="112"/>
      <c r="BK342" s="112"/>
      <c r="BL342" s="112"/>
      <c r="BM342" s="112"/>
      <c r="BN342" s="112"/>
      <c r="BO342" s="112"/>
      <c r="BP342" s="112"/>
      <c r="BQ342" s="112"/>
      <c r="BR342" s="112"/>
      <c r="BS342" s="112"/>
      <c r="BT342" s="112"/>
      <c r="BU342" s="112"/>
      <c r="BV342" s="112"/>
      <c r="BW342" s="112"/>
      <c r="BX342" s="112"/>
      <c r="BY342" s="112"/>
      <c r="BZ342" s="112"/>
    </row>
    <row r="343" spans="1:78" x14ac:dyDescent="0.2">
      <c r="A343" s="86"/>
      <c r="B343" s="442"/>
      <c r="C343" s="510"/>
      <c r="F343" s="8"/>
      <c r="K343" s="1"/>
      <c r="L343" s="1"/>
      <c r="AD343" s="112"/>
      <c r="AE343" s="112"/>
      <c r="AF343" s="112"/>
      <c r="AG343" s="112"/>
      <c r="AH343" s="112"/>
      <c r="AI343" s="112"/>
      <c r="AJ343" s="112"/>
      <c r="AK343" s="112"/>
      <c r="AL343" s="112"/>
      <c r="AM343" s="112"/>
      <c r="AN343" s="112"/>
      <c r="AO343" s="112"/>
      <c r="AP343" s="112"/>
      <c r="AQ343" s="112"/>
      <c r="AR343" s="112"/>
      <c r="AS343" s="112"/>
      <c r="AT343" s="112"/>
      <c r="AU343" s="112"/>
      <c r="AV343" s="112"/>
      <c r="AW343" s="112"/>
      <c r="AX343" s="112"/>
      <c r="AY343" s="112"/>
      <c r="AZ343" s="112"/>
      <c r="BA343" s="112"/>
      <c r="BB343" s="112"/>
      <c r="BC343" s="112"/>
      <c r="BD343" s="112"/>
      <c r="BE343" s="112"/>
      <c r="BF343" s="112"/>
      <c r="BG343" s="112"/>
      <c r="BH343" s="112"/>
      <c r="BI343" s="112"/>
      <c r="BJ343" s="112"/>
      <c r="BK343" s="112"/>
      <c r="BL343" s="112"/>
      <c r="BM343" s="112"/>
      <c r="BN343" s="112"/>
      <c r="BO343" s="112"/>
      <c r="BP343" s="112"/>
      <c r="BQ343" s="112"/>
      <c r="BR343" s="112"/>
      <c r="BS343" s="112"/>
      <c r="BT343" s="112"/>
      <c r="BU343" s="112"/>
      <c r="BV343" s="112"/>
      <c r="BW343" s="112"/>
      <c r="BX343" s="112"/>
      <c r="BY343" s="112"/>
      <c r="BZ343" s="112"/>
    </row>
    <row r="344" spans="1:78" x14ac:dyDescent="0.2">
      <c r="A344" s="86"/>
      <c r="B344" s="442"/>
      <c r="C344" s="510"/>
      <c r="F344" s="8"/>
      <c r="K344" s="1"/>
      <c r="L344" s="1"/>
      <c r="AD344" s="112"/>
      <c r="AE344" s="112"/>
      <c r="AF344" s="112"/>
      <c r="AG344" s="112"/>
      <c r="AH344" s="112"/>
      <c r="AI344" s="112"/>
      <c r="AJ344" s="112"/>
      <c r="AK344" s="112"/>
      <c r="AL344" s="112"/>
      <c r="AM344" s="112"/>
      <c r="AN344" s="112"/>
      <c r="AO344" s="112"/>
      <c r="AP344" s="112"/>
      <c r="AQ344" s="112"/>
      <c r="AR344" s="112"/>
      <c r="AS344" s="112"/>
      <c r="AT344" s="112"/>
      <c r="AU344" s="112"/>
      <c r="AV344" s="112"/>
      <c r="AW344" s="112"/>
      <c r="AX344" s="112"/>
      <c r="AY344" s="112"/>
      <c r="AZ344" s="112"/>
      <c r="BA344" s="112"/>
      <c r="BB344" s="112"/>
      <c r="BC344" s="112"/>
      <c r="BD344" s="112"/>
      <c r="BE344" s="112"/>
      <c r="BF344" s="112"/>
      <c r="BG344" s="112"/>
      <c r="BH344" s="112"/>
      <c r="BI344" s="112"/>
      <c r="BJ344" s="112"/>
      <c r="BK344" s="112"/>
      <c r="BL344" s="112"/>
      <c r="BM344" s="112"/>
      <c r="BN344" s="112"/>
      <c r="BO344" s="112"/>
      <c r="BP344" s="112"/>
      <c r="BQ344" s="112"/>
      <c r="BR344" s="112"/>
      <c r="BS344" s="112"/>
      <c r="BT344" s="112"/>
      <c r="BU344" s="112"/>
      <c r="BV344" s="112"/>
      <c r="BW344" s="112"/>
      <c r="BX344" s="112"/>
      <c r="BY344" s="112"/>
      <c r="BZ344" s="112"/>
    </row>
    <row r="345" spans="1:78" x14ac:dyDescent="0.2">
      <c r="A345" s="86"/>
      <c r="B345" s="442"/>
      <c r="C345" s="510"/>
      <c r="F345" s="8"/>
      <c r="K345" s="1"/>
      <c r="L345" s="1"/>
      <c r="AD345" s="112"/>
      <c r="AE345" s="112"/>
      <c r="AF345" s="112"/>
      <c r="AG345" s="112"/>
      <c r="AH345" s="112"/>
      <c r="AI345" s="112"/>
      <c r="AJ345" s="112"/>
      <c r="AK345" s="112"/>
      <c r="AL345" s="112"/>
      <c r="AM345" s="112"/>
      <c r="AN345" s="112"/>
      <c r="AO345" s="112"/>
      <c r="AP345" s="112"/>
      <c r="AQ345" s="112"/>
      <c r="AR345" s="112"/>
      <c r="AS345" s="112"/>
      <c r="AT345" s="112"/>
      <c r="AU345" s="112"/>
      <c r="AV345" s="112"/>
      <c r="AW345" s="112"/>
      <c r="AX345" s="112"/>
      <c r="AY345" s="112"/>
      <c r="AZ345" s="112"/>
      <c r="BA345" s="112"/>
      <c r="BB345" s="112"/>
      <c r="BC345" s="112"/>
      <c r="BD345" s="112"/>
      <c r="BE345" s="112"/>
      <c r="BF345" s="112"/>
      <c r="BG345" s="112"/>
      <c r="BH345" s="112"/>
      <c r="BI345" s="112"/>
      <c r="BJ345" s="112"/>
      <c r="BK345" s="112"/>
      <c r="BL345" s="112"/>
      <c r="BM345" s="112"/>
      <c r="BN345" s="112"/>
      <c r="BO345" s="112"/>
      <c r="BP345" s="112"/>
      <c r="BQ345" s="112"/>
      <c r="BR345" s="112"/>
      <c r="BS345" s="112"/>
      <c r="BT345" s="112"/>
      <c r="BU345" s="112"/>
      <c r="BV345" s="112"/>
      <c r="BW345" s="112"/>
      <c r="BX345" s="112"/>
      <c r="BY345" s="112"/>
      <c r="BZ345" s="112"/>
    </row>
    <row r="346" spans="1:78" x14ac:dyDescent="0.2">
      <c r="A346" s="86"/>
      <c r="B346" s="442"/>
      <c r="C346" s="510"/>
      <c r="F346" s="8"/>
      <c r="K346" s="1"/>
      <c r="L346" s="1"/>
      <c r="AD346" s="112"/>
      <c r="AE346" s="112"/>
      <c r="AF346" s="112"/>
      <c r="AG346" s="112"/>
      <c r="AH346" s="112"/>
      <c r="AI346" s="112"/>
      <c r="AJ346" s="112"/>
      <c r="AK346" s="112"/>
      <c r="AL346" s="112"/>
      <c r="AM346" s="112"/>
      <c r="AN346" s="112"/>
      <c r="AO346" s="112"/>
      <c r="AP346" s="112"/>
      <c r="AQ346" s="112"/>
      <c r="AR346" s="112"/>
      <c r="AS346" s="112"/>
      <c r="AT346" s="112"/>
      <c r="AU346" s="112"/>
      <c r="AV346" s="112"/>
      <c r="AW346" s="112"/>
      <c r="AX346" s="112"/>
      <c r="AY346" s="112"/>
      <c r="AZ346" s="112"/>
      <c r="BA346" s="112"/>
      <c r="BB346" s="112"/>
      <c r="BC346" s="112"/>
      <c r="BD346" s="112"/>
      <c r="BE346" s="112"/>
      <c r="BF346" s="112"/>
      <c r="BG346" s="112"/>
      <c r="BH346" s="112"/>
      <c r="BI346" s="112"/>
      <c r="BJ346" s="112"/>
      <c r="BK346" s="112"/>
      <c r="BL346" s="112"/>
      <c r="BM346" s="112"/>
      <c r="BN346" s="112"/>
      <c r="BO346" s="112"/>
      <c r="BP346" s="112"/>
      <c r="BQ346" s="112"/>
      <c r="BR346" s="112"/>
      <c r="BS346" s="112"/>
      <c r="BT346" s="112"/>
      <c r="BU346" s="112"/>
      <c r="BV346" s="112"/>
      <c r="BW346" s="112"/>
      <c r="BX346" s="112"/>
      <c r="BY346" s="112"/>
      <c r="BZ346" s="112"/>
    </row>
    <row r="347" spans="1:78" x14ac:dyDescent="0.2">
      <c r="A347" s="86"/>
      <c r="B347" s="442"/>
      <c r="C347" s="510"/>
      <c r="F347" s="8"/>
      <c r="K347" s="1"/>
      <c r="L347" s="1"/>
      <c r="AD347" s="112"/>
      <c r="AE347" s="112"/>
      <c r="AF347" s="112"/>
      <c r="AG347" s="112"/>
      <c r="AH347" s="112"/>
      <c r="AI347" s="112"/>
      <c r="AJ347" s="112"/>
      <c r="AK347" s="112"/>
      <c r="AL347" s="112"/>
      <c r="AM347" s="112"/>
      <c r="AN347" s="112"/>
      <c r="AO347" s="112"/>
      <c r="AP347" s="112"/>
      <c r="AQ347" s="112"/>
      <c r="AR347" s="112"/>
      <c r="AS347" s="112"/>
      <c r="AT347" s="112"/>
      <c r="AU347" s="112"/>
      <c r="AV347" s="112"/>
      <c r="AW347" s="112"/>
      <c r="AX347" s="112"/>
      <c r="AY347" s="112"/>
      <c r="AZ347" s="112"/>
      <c r="BA347" s="112"/>
      <c r="BB347" s="112"/>
      <c r="BC347" s="112"/>
      <c r="BD347" s="112"/>
      <c r="BE347" s="112"/>
      <c r="BF347" s="112"/>
      <c r="BG347" s="112"/>
      <c r="BH347" s="112"/>
      <c r="BI347" s="112"/>
      <c r="BJ347" s="112"/>
      <c r="BK347" s="112"/>
      <c r="BL347" s="112"/>
      <c r="BM347" s="112"/>
      <c r="BN347" s="112"/>
      <c r="BO347" s="112"/>
      <c r="BP347" s="112"/>
      <c r="BQ347" s="112"/>
      <c r="BR347" s="112"/>
      <c r="BS347" s="112"/>
      <c r="BT347" s="112"/>
      <c r="BU347" s="112"/>
      <c r="BV347" s="112"/>
      <c r="BW347" s="112"/>
      <c r="BX347" s="112"/>
      <c r="BY347" s="112"/>
      <c r="BZ347" s="112"/>
    </row>
    <row r="348" spans="1:78" x14ac:dyDescent="0.2">
      <c r="A348" s="86"/>
      <c r="B348" s="442"/>
      <c r="C348" s="510"/>
      <c r="F348" s="8"/>
      <c r="K348" s="1"/>
      <c r="L348" s="1"/>
      <c r="AD348" s="112"/>
      <c r="AE348" s="112"/>
      <c r="AF348" s="112"/>
      <c r="AG348" s="112"/>
      <c r="AH348" s="112"/>
      <c r="AI348" s="112"/>
      <c r="AJ348" s="112"/>
      <c r="AK348" s="112"/>
      <c r="AL348" s="112"/>
      <c r="AM348" s="112"/>
      <c r="AN348" s="112"/>
      <c r="AO348" s="112"/>
      <c r="AP348" s="112"/>
      <c r="AQ348" s="112"/>
      <c r="AR348" s="112"/>
      <c r="AS348" s="112"/>
      <c r="AT348" s="112"/>
      <c r="AU348" s="112"/>
      <c r="AV348" s="112"/>
      <c r="AW348" s="112"/>
      <c r="AX348" s="112"/>
      <c r="AY348" s="112"/>
      <c r="AZ348" s="112"/>
      <c r="BA348" s="112"/>
      <c r="BB348" s="112"/>
      <c r="BC348" s="112"/>
      <c r="BD348" s="112"/>
      <c r="BE348" s="112"/>
      <c r="BF348" s="112"/>
      <c r="BG348" s="112"/>
      <c r="BH348" s="112"/>
      <c r="BI348" s="112"/>
      <c r="BJ348" s="112"/>
      <c r="BK348" s="112"/>
      <c r="BL348" s="112"/>
      <c r="BM348" s="112"/>
      <c r="BN348" s="112"/>
      <c r="BO348" s="112"/>
      <c r="BP348" s="112"/>
      <c r="BQ348" s="112"/>
      <c r="BR348" s="112"/>
      <c r="BS348" s="112"/>
      <c r="BT348" s="112"/>
      <c r="BU348" s="112"/>
      <c r="BV348" s="112"/>
      <c r="BW348" s="112"/>
      <c r="BX348" s="112"/>
      <c r="BY348" s="112"/>
      <c r="BZ348" s="112"/>
    </row>
    <row r="349" spans="1:78" x14ac:dyDescent="0.2">
      <c r="A349" s="86"/>
      <c r="B349" s="442"/>
      <c r="C349" s="510"/>
      <c r="F349" s="8"/>
      <c r="K349" s="1"/>
      <c r="L349" s="1"/>
      <c r="AD349" s="112"/>
      <c r="AE349" s="112"/>
      <c r="AF349" s="112"/>
      <c r="AG349" s="112"/>
      <c r="AH349" s="112"/>
      <c r="AI349" s="112"/>
      <c r="AJ349" s="112"/>
      <c r="AK349" s="112"/>
      <c r="AL349" s="112"/>
      <c r="AM349" s="112"/>
      <c r="AN349" s="112"/>
      <c r="AO349" s="112"/>
      <c r="AP349" s="112"/>
      <c r="AQ349" s="112"/>
      <c r="AR349" s="112"/>
      <c r="AS349" s="112"/>
      <c r="AT349" s="112"/>
      <c r="AU349" s="112"/>
      <c r="AV349" s="112"/>
      <c r="AW349" s="112"/>
      <c r="AX349" s="112"/>
      <c r="AY349" s="112"/>
      <c r="AZ349" s="112"/>
      <c r="BA349" s="112"/>
      <c r="BB349" s="112"/>
      <c r="BC349" s="112"/>
      <c r="BD349" s="112"/>
      <c r="BE349" s="112"/>
      <c r="BF349" s="112"/>
      <c r="BG349" s="112"/>
      <c r="BH349" s="112"/>
      <c r="BI349" s="112"/>
      <c r="BJ349" s="112"/>
      <c r="BK349" s="112"/>
      <c r="BL349" s="112"/>
      <c r="BM349" s="112"/>
      <c r="BN349" s="112"/>
      <c r="BO349" s="112"/>
      <c r="BP349" s="112"/>
      <c r="BQ349" s="112"/>
      <c r="BR349" s="112"/>
      <c r="BS349" s="112"/>
      <c r="BT349" s="112"/>
      <c r="BU349" s="112"/>
      <c r="BV349" s="112"/>
      <c r="BW349" s="112"/>
      <c r="BX349" s="112"/>
      <c r="BY349" s="112"/>
      <c r="BZ349" s="112"/>
    </row>
    <row r="350" spans="1:78" x14ac:dyDescent="0.2">
      <c r="A350" s="86"/>
      <c r="B350" s="442"/>
      <c r="C350" s="510"/>
      <c r="F350" s="8"/>
      <c r="K350" s="1"/>
      <c r="L350" s="1"/>
      <c r="AD350" s="112"/>
      <c r="AE350" s="112"/>
      <c r="AF350" s="112"/>
      <c r="AG350" s="112"/>
      <c r="AH350" s="112"/>
      <c r="AI350" s="112"/>
      <c r="AJ350" s="112"/>
      <c r="AK350" s="112"/>
      <c r="AL350" s="112"/>
      <c r="AM350" s="112"/>
      <c r="AN350" s="112"/>
      <c r="AO350" s="112"/>
      <c r="AP350" s="112"/>
      <c r="AQ350" s="112"/>
      <c r="AR350" s="112"/>
      <c r="AS350" s="112"/>
      <c r="AT350" s="112"/>
      <c r="AU350" s="112"/>
      <c r="AV350" s="112"/>
      <c r="AW350" s="112"/>
      <c r="AX350" s="112"/>
      <c r="AY350" s="112"/>
      <c r="AZ350" s="112"/>
      <c r="BA350" s="112"/>
      <c r="BB350" s="112"/>
      <c r="BC350" s="112"/>
      <c r="BD350" s="112"/>
      <c r="BE350" s="112"/>
      <c r="BF350" s="112"/>
      <c r="BG350" s="112"/>
      <c r="BH350" s="112"/>
      <c r="BI350" s="112"/>
      <c r="BJ350" s="112"/>
      <c r="BK350" s="112"/>
      <c r="BL350" s="112"/>
      <c r="BM350" s="112"/>
      <c r="BN350" s="112"/>
      <c r="BO350" s="112"/>
      <c r="BP350" s="112"/>
      <c r="BQ350" s="112"/>
      <c r="BR350" s="112"/>
      <c r="BS350" s="112"/>
      <c r="BT350" s="112"/>
      <c r="BU350" s="112"/>
      <c r="BV350" s="112"/>
      <c r="BW350" s="112"/>
      <c r="BX350" s="112"/>
      <c r="BY350" s="112"/>
      <c r="BZ350" s="112"/>
    </row>
    <row r="351" spans="1:78" x14ac:dyDescent="0.2">
      <c r="A351" s="86"/>
      <c r="B351" s="442"/>
      <c r="C351" s="510"/>
      <c r="F351" s="8"/>
      <c r="K351" s="1"/>
      <c r="L351" s="1"/>
      <c r="AD351" s="112"/>
      <c r="AE351" s="112"/>
      <c r="AF351" s="112"/>
      <c r="AG351" s="112"/>
      <c r="AH351" s="112"/>
      <c r="AI351" s="112"/>
      <c r="AJ351" s="112"/>
      <c r="AK351" s="112"/>
      <c r="AL351" s="112"/>
      <c r="AM351" s="112"/>
      <c r="AN351" s="112"/>
      <c r="AO351" s="112"/>
      <c r="AP351" s="112"/>
      <c r="AQ351" s="112"/>
      <c r="AR351" s="112"/>
      <c r="AS351" s="112"/>
      <c r="AT351" s="112"/>
      <c r="AU351" s="112"/>
      <c r="AV351" s="112"/>
      <c r="AW351" s="112"/>
      <c r="AX351" s="112"/>
      <c r="AY351" s="112"/>
      <c r="AZ351" s="112"/>
      <c r="BA351" s="112"/>
      <c r="BB351" s="112"/>
      <c r="BC351" s="112"/>
      <c r="BD351" s="112"/>
      <c r="BE351" s="112"/>
      <c r="BF351" s="112"/>
      <c r="BG351" s="112"/>
      <c r="BH351" s="112"/>
      <c r="BI351" s="112"/>
      <c r="BJ351" s="112"/>
      <c r="BK351" s="112"/>
      <c r="BL351" s="112"/>
      <c r="BM351" s="112"/>
      <c r="BN351" s="112"/>
      <c r="BO351" s="112"/>
      <c r="BP351" s="112"/>
      <c r="BQ351" s="112"/>
      <c r="BR351" s="112"/>
      <c r="BS351" s="112"/>
      <c r="BT351" s="112"/>
      <c r="BU351" s="112"/>
      <c r="BV351" s="112"/>
      <c r="BW351" s="112"/>
      <c r="BX351" s="112"/>
      <c r="BY351" s="112"/>
      <c r="BZ351" s="112"/>
    </row>
    <row r="352" spans="1:78" x14ac:dyDescent="0.2">
      <c r="A352" s="86"/>
      <c r="B352" s="442"/>
      <c r="C352" s="510"/>
      <c r="F352" s="8"/>
      <c r="K352" s="1"/>
      <c r="L352" s="1"/>
      <c r="AD352" s="112"/>
      <c r="AE352" s="112"/>
      <c r="AF352" s="112"/>
      <c r="AG352" s="112"/>
      <c r="AH352" s="112"/>
      <c r="AI352" s="112"/>
      <c r="AJ352" s="112"/>
      <c r="AK352" s="112"/>
      <c r="AL352" s="112"/>
      <c r="AM352" s="112"/>
      <c r="AN352" s="112"/>
      <c r="AO352" s="112"/>
      <c r="AP352" s="112"/>
      <c r="AQ352" s="112"/>
      <c r="AR352" s="112"/>
      <c r="AS352" s="112"/>
      <c r="AT352" s="112"/>
      <c r="AU352" s="112"/>
      <c r="AV352" s="112"/>
      <c r="AW352" s="112"/>
      <c r="AX352" s="112"/>
      <c r="AY352" s="112"/>
      <c r="AZ352" s="112"/>
      <c r="BA352" s="112"/>
      <c r="BB352" s="112"/>
      <c r="BC352" s="112"/>
      <c r="BD352" s="112"/>
      <c r="BE352" s="112"/>
      <c r="BF352" s="112"/>
      <c r="BG352" s="112"/>
      <c r="BH352" s="112"/>
      <c r="BI352" s="112"/>
      <c r="BJ352" s="112"/>
      <c r="BK352" s="112"/>
      <c r="BL352" s="112"/>
      <c r="BM352" s="112"/>
      <c r="BN352" s="112"/>
      <c r="BO352" s="112"/>
      <c r="BP352" s="112"/>
      <c r="BQ352" s="112"/>
      <c r="BR352" s="112"/>
      <c r="BS352" s="112"/>
      <c r="BT352" s="112"/>
      <c r="BU352" s="112"/>
      <c r="BV352" s="112"/>
      <c r="BW352" s="112"/>
      <c r="BX352" s="112"/>
      <c r="BY352" s="112"/>
      <c r="BZ352" s="112"/>
    </row>
    <row r="353" spans="1:78" x14ac:dyDescent="0.2">
      <c r="A353" s="86"/>
      <c r="B353" s="442"/>
      <c r="C353" s="510"/>
      <c r="F353" s="8"/>
      <c r="K353" s="1"/>
      <c r="L353" s="1"/>
      <c r="AD353" s="112"/>
      <c r="AE353" s="112"/>
      <c r="AF353" s="112"/>
      <c r="AG353" s="112"/>
      <c r="AH353" s="112"/>
      <c r="AI353" s="112"/>
      <c r="AJ353" s="112"/>
      <c r="AK353" s="112"/>
      <c r="AL353" s="112"/>
      <c r="AM353" s="112"/>
      <c r="AN353" s="112"/>
      <c r="AO353" s="112"/>
      <c r="AP353" s="112"/>
      <c r="AQ353" s="112"/>
      <c r="AR353" s="112"/>
      <c r="AS353" s="112"/>
      <c r="AT353" s="112"/>
      <c r="AU353" s="112"/>
      <c r="AV353" s="112"/>
      <c r="AW353" s="112"/>
      <c r="AX353" s="112"/>
      <c r="AY353" s="112"/>
      <c r="AZ353" s="112"/>
      <c r="BA353" s="112"/>
      <c r="BB353" s="112"/>
      <c r="BC353" s="112"/>
      <c r="BD353" s="112"/>
      <c r="BE353" s="112"/>
      <c r="BF353" s="112"/>
      <c r="BG353" s="112"/>
      <c r="BH353" s="112"/>
      <c r="BI353" s="112"/>
      <c r="BJ353" s="112"/>
      <c r="BK353" s="112"/>
      <c r="BL353" s="112"/>
      <c r="BM353" s="112"/>
      <c r="BN353" s="112"/>
      <c r="BO353" s="112"/>
      <c r="BP353" s="112"/>
      <c r="BQ353" s="112"/>
      <c r="BR353" s="112"/>
      <c r="BS353" s="112"/>
      <c r="BT353" s="112"/>
      <c r="BU353" s="112"/>
      <c r="BV353" s="112"/>
      <c r="BW353" s="112"/>
      <c r="BX353" s="112"/>
      <c r="BY353" s="112"/>
      <c r="BZ353" s="112"/>
    </row>
    <row r="354" spans="1:78" x14ac:dyDescent="0.2">
      <c r="A354" s="86"/>
      <c r="B354" s="442"/>
      <c r="C354" s="510"/>
      <c r="F354" s="8"/>
      <c r="K354" s="1"/>
      <c r="L354" s="1"/>
      <c r="AD354" s="112"/>
      <c r="AE354" s="112"/>
      <c r="AF354" s="112"/>
      <c r="AG354" s="112"/>
      <c r="AH354" s="112"/>
      <c r="AI354" s="112"/>
      <c r="AJ354" s="112"/>
      <c r="AK354" s="112"/>
      <c r="AL354" s="112"/>
      <c r="AM354" s="112"/>
      <c r="AN354" s="112"/>
      <c r="AO354" s="112"/>
      <c r="AP354" s="112"/>
      <c r="AQ354" s="112"/>
      <c r="AR354" s="112"/>
      <c r="AS354" s="112"/>
      <c r="AT354" s="112"/>
      <c r="AU354" s="112"/>
      <c r="AV354" s="112"/>
      <c r="AW354" s="112"/>
      <c r="AX354" s="112"/>
      <c r="AY354" s="112"/>
      <c r="AZ354" s="112"/>
      <c r="BA354" s="112"/>
      <c r="BB354" s="112"/>
      <c r="BC354" s="112"/>
      <c r="BD354" s="112"/>
      <c r="BE354" s="112"/>
      <c r="BF354" s="112"/>
      <c r="BG354" s="112"/>
      <c r="BH354" s="112"/>
      <c r="BI354" s="112"/>
      <c r="BJ354" s="112"/>
      <c r="BK354" s="112"/>
      <c r="BL354" s="112"/>
      <c r="BM354" s="112"/>
      <c r="BN354" s="112"/>
      <c r="BO354" s="112"/>
      <c r="BP354" s="112"/>
      <c r="BQ354" s="112"/>
      <c r="BR354" s="112"/>
      <c r="BS354" s="112"/>
      <c r="BT354" s="112"/>
      <c r="BU354" s="112"/>
      <c r="BV354" s="112"/>
      <c r="BW354" s="112"/>
      <c r="BX354" s="112"/>
      <c r="BY354" s="112"/>
      <c r="BZ354" s="112"/>
    </row>
    <row r="355" spans="1:78" x14ac:dyDescent="0.2">
      <c r="A355" s="86"/>
      <c r="B355" s="442"/>
      <c r="C355" s="510"/>
      <c r="F355" s="8"/>
      <c r="K355" s="1"/>
      <c r="L355" s="1"/>
      <c r="AD355" s="112"/>
      <c r="AE355" s="112"/>
      <c r="AF355" s="112"/>
      <c r="AG355" s="112"/>
      <c r="AH355" s="112"/>
      <c r="AI355" s="112"/>
      <c r="AJ355" s="112"/>
      <c r="AK355" s="112"/>
      <c r="AL355" s="112"/>
      <c r="AM355" s="112"/>
      <c r="AN355" s="112"/>
      <c r="AO355" s="112"/>
      <c r="AP355" s="112"/>
      <c r="AQ355" s="112"/>
      <c r="AR355" s="112"/>
      <c r="AS355" s="112"/>
      <c r="AT355" s="112"/>
      <c r="AU355" s="112"/>
      <c r="AV355" s="112"/>
      <c r="AW355" s="112"/>
      <c r="AX355" s="112"/>
      <c r="AY355" s="112"/>
      <c r="AZ355" s="112"/>
      <c r="BA355" s="112"/>
      <c r="BB355" s="112"/>
      <c r="BC355" s="112"/>
      <c r="BD355" s="112"/>
      <c r="BE355" s="112"/>
      <c r="BF355" s="112"/>
      <c r="BG355" s="112"/>
      <c r="BH355" s="112"/>
      <c r="BI355" s="112"/>
      <c r="BJ355" s="112"/>
      <c r="BK355" s="112"/>
      <c r="BL355" s="112"/>
      <c r="BM355" s="112"/>
      <c r="BN355" s="112"/>
      <c r="BO355" s="112"/>
      <c r="BP355" s="112"/>
      <c r="BQ355" s="112"/>
      <c r="BR355" s="112"/>
      <c r="BS355" s="112"/>
      <c r="BT355" s="112"/>
      <c r="BU355" s="112"/>
      <c r="BV355" s="112"/>
      <c r="BW355" s="112"/>
      <c r="BX355" s="112"/>
      <c r="BY355" s="112"/>
      <c r="BZ355" s="112"/>
    </row>
    <row r="356" spans="1:78" x14ac:dyDescent="0.2">
      <c r="A356" s="86"/>
      <c r="B356" s="442"/>
      <c r="C356" s="510"/>
      <c r="F356" s="8"/>
      <c r="K356" s="1"/>
      <c r="L356" s="1"/>
      <c r="AD356" s="112"/>
      <c r="AE356" s="112"/>
      <c r="AF356" s="112"/>
      <c r="AG356" s="112"/>
      <c r="AH356" s="112"/>
      <c r="AI356" s="112"/>
      <c r="AJ356" s="112"/>
      <c r="AK356" s="112"/>
      <c r="AL356" s="112"/>
      <c r="AM356" s="112"/>
      <c r="AN356" s="112"/>
      <c r="AO356" s="112"/>
      <c r="AP356" s="112"/>
      <c r="AQ356" s="112"/>
      <c r="AR356" s="112"/>
      <c r="AS356" s="112"/>
      <c r="AT356" s="112"/>
      <c r="AU356" s="112"/>
      <c r="AV356" s="112"/>
      <c r="AW356" s="112"/>
      <c r="AX356" s="112"/>
      <c r="AY356" s="112"/>
      <c r="AZ356" s="112"/>
      <c r="BA356" s="112"/>
      <c r="BB356" s="112"/>
      <c r="BC356" s="112"/>
      <c r="BD356" s="112"/>
      <c r="BE356" s="112"/>
      <c r="BF356" s="112"/>
      <c r="BG356" s="112"/>
      <c r="BH356" s="112"/>
      <c r="BI356" s="112"/>
      <c r="BJ356" s="112"/>
      <c r="BK356" s="112"/>
      <c r="BL356" s="112"/>
      <c r="BM356" s="112"/>
      <c r="BN356" s="112"/>
      <c r="BO356" s="112"/>
      <c r="BP356" s="112"/>
      <c r="BQ356" s="112"/>
      <c r="BR356" s="112"/>
      <c r="BS356" s="112"/>
      <c r="BT356" s="112"/>
      <c r="BU356" s="112"/>
      <c r="BV356" s="112"/>
      <c r="BW356" s="112"/>
      <c r="BX356" s="112"/>
      <c r="BY356" s="112"/>
      <c r="BZ356" s="112"/>
    </row>
    <row r="357" spans="1:78" x14ac:dyDescent="0.2">
      <c r="A357" s="86"/>
      <c r="B357" s="442"/>
      <c r="C357" s="510"/>
      <c r="F357" s="8"/>
      <c r="K357" s="1"/>
      <c r="L357" s="1"/>
      <c r="AD357" s="112"/>
      <c r="AE357" s="112"/>
      <c r="AF357" s="112"/>
      <c r="AG357" s="112"/>
      <c r="AH357" s="112"/>
      <c r="AI357" s="112"/>
      <c r="AJ357" s="112"/>
      <c r="AK357" s="112"/>
      <c r="AL357" s="112"/>
      <c r="AM357" s="112"/>
      <c r="AN357" s="112"/>
      <c r="AO357" s="112"/>
      <c r="AP357" s="112"/>
      <c r="AQ357" s="112"/>
      <c r="AR357" s="112"/>
      <c r="AS357" s="112"/>
      <c r="AT357" s="112"/>
      <c r="AU357" s="112"/>
      <c r="AV357" s="112"/>
      <c r="AW357" s="112"/>
      <c r="AX357" s="112"/>
      <c r="AY357" s="112"/>
      <c r="AZ357" s="112"/>
      <c r="BA357" s="112"/>
      <c r="BB357" s="112"/>
      <c r="BC357" s="112"/>
      <c r="BD357" s="112"/>
      <c r="BE357" s="112"/>
      <c r="BF357" s="112"/>
      <c r="BG357" s="112"/>
      <c r="BH357" s="112"/>
      <c r="BI357" s="112"/>
      <c r="BJ357" s="112"/>
      <c r="BK357" s="112"/>
      <c r="BL357" s="112"/>
      <c r="BM357" s="112"/>
      <c r="BN357" s="112"/>
      <c r="BO357" s="112"/>
      <c r="BP357" s="112"/>
      <c r="BQ357" s="112"/>
      <c r="BR357" s="112"/>
      <c r="BS357" s="112"/>
      <c r="BT357" s="112"/>
      <c r="BU357" s="112"/>
      <c r="BV357" s="112"/>
      <c r="BW357" s="112"/>
      <c r="BX357" s="112"/>
      <c r="BY357" s="112"/>
      <c r="BZ357" s="112"/>
    </row>
    <row r="358" spans="1:78" x14ac:dyDescent="0.2">
      <c r="A358" s="86"/>
      <c r="B358" s="442"/>
      <c r="C358" s="510"/>
      <c r="F358" s="8"/>
      <c r="K358" s="1"/>
      <c r="L358" s="1"/>
      <c r="AD358" s="112"/>
      <c r="AE358" s="112"/>
      <c r="AF358" s="112"/>
      <c r="AG358" s="112"/>
      <c r="AH358" s="112"/>
      <c r="AI358" s="112"/>
      <c r="AJ358" s="112"/>
      <c r="AK358" s="112"/>
      <c r="AL358" s="112"/>
      <c r="AM358" s="112"/>
      <c r="AN358" s="112"/>
      <c r="AO358" s="112"/>
      <c r="AP358" s="112"/>
      <c r="AQ358" s="112"/>
      <c r="AR358" s="112"/>
      <c r="AS358" s="112"/>
      <c r="AT358" s="112"/>
      <c r="AU358" s="112"/>
      <c r="AV358" s="112"/>
      <c r="AW358" s="112"/>
      <c r="AX358" s="112"/>
      <c r="AY358" s="112"/>
      <c r="AZ358" s="112"/>
      <c r="BA358" s="112"/>
      <c r="BB358" s="112"/>
      <c r="BC358" s="112"/>
      <c r="BD358" s="112"/>
      <c r="BE358" s="112"/>
      <c r="BF358" s="112"/>
      <c r="BG358" s="112"/>
      <c r="BH358" s="112"/>
      <c r="BI358" s="112"/>
      <c r="BJ358" s="112"/>
      <c r="BK358" s="112"/>
      <c r="BL358" s="112"/>
      <c r="BM358" s="112"/>
      <c r="BN358" s="112"/>
      <c r="BO358" s="112"/>
      <c r="BP358" s="112"/>
      <c r="BQ358" s="112"/>
      <c r="BR358" s="112"/>
      <c r="BS358" s="112"/>
      <c r="BT358" s="112"/>
      <c r="BU358" s="112"/>
      <c r="BV358" s="112"/>
      <c r="BW358" s="112"/>
      <c r="BX358" s="112"/>
      <c r="BY358" s="112"/>
      <c r="BZ358" s="112"/>
    </row>
    <row r="359" spans="1:78" x14ac:dyDescent="0.2">
      <c r="A359" s="86"/>
      <c r="B359" s="442"/>
      <c r="C359" s="510"/>
      <c r="F359" s="8"/>
      <c r="K359" s="1"/>
      <c r="L359" s="1"/>
      <c r="AD359" s="112"/>
      <c r="AE359" s="112"/>
      <c r="AF359" s="112"/>
      <c r="AG359" s="112"/>
      <c r="AH359" s="112"/>
      <c r="AI359" s="112"/>
      <c r="AJ359" s="112"/>
      <c r="AK359" s="112"/>
      <c r="AL359" s="112"/>
      <c r="AM359" s="112"/>
      <c r="AN359" s="112"/>
      <c r="AO359" s="112"/>
      <c r="AP359" s="112"/>
      <c r="AQ359" s="112"/>
      <c r="AR359" s="112"/>
      <c r="AS359" s="112"/>
      <c r="AT359" s="112"/>
      <c r="AU359" s="112"/>
      <c r="AV359" s="112"/>
      <c r="AW359" s="112"/>
      <c r="AX359" s="112"/>
      <c r="AY359" s="112"/>
      <c r="AZ359" s="112"/>
      <c r="BA359" s="112"/>
      <c r="BB359" s="112"/>
      <c r="BC359" s="112"/>
      <c r="BD359" s="112"/>
      <c r="BE359" s="112"/>
      <c r="BF359" s="112"/>
      <c r="BG359" s="112"/>
      <c r="BH359" s="112"/>
      <c r="BI359" s="112"/>
      <c r="BJ359" s="112"/>
      <c r="BK359" s="112"/>
      <c r="BL359" s="112"/>
      <c r="BM359" s="112"/>
      <c r="BN359" s="112"/>
      <c r="BO359" s="112"/>
      <c r="BP359" s="112"/>
      <c r="BQ359" s="112"/>
      <c r="BR359" s="112"/>
      <c r="BS359" s="112"/>
      <c r="BT359" s="112"/>
      <c r="BU359" s="112"/>
      <c r="BV359" s="112"/>
      <c r="BW359" s="112"/>
      <c r="BX359" s="112"/>
      <c r="BY359" s="112"/>
      <c r="BZ359" s="112"/>
    </row>
    <row r="360" spans="1:78" x14ac:dyDescent="0.2">
      <c r="A360" s="86"/>
      <c r="B360" s="442"/>
      <c r="C360" s="510"/>
      <c r="F360" s="8"/>
      <c r="K360" s="1"/>
      <c r="L360" s="1"/>
      <c r="AD360" s="112"/>
      <c r="AE360" s="112"/>
      <c r="AF360" s="112"/>
      <c r="AG360" s="112"/>
      <c r="AH360" s="112"/>
      <c r="AI360" s="112"/>
      <c r="AJ360" s="112"/>
      <c r="AK360" s="112"/>
      <c r="AL360" s="112"/>
      <c r="AM360" s="112"/>
      <c r="AN360" s="112"/>
      <c r="AO360" s="112"/>
      <c r="AP360" s="112"/>
      <c r="AQ360" s="112"/>
      <c r="AR360" s="112"/>
      <c r="AS360" s="112"/>
      <c r="AT360" s="112"/>
      <c r="AU360" s="112"/>
      <c r="AV360" s="112"/>
      <c r="AW360" s="112"/>
      <c r="AX360" s="112"/>
      <c r="AY360" s="112"/>
      <c r="AZ360" s="112"/>
      <c r="BA360" s="112"/>
      <c r="BB360" s="112"/>
      <c r="BC360" s="112"/>
      <c r="BD360" s="112"/>
      <c r="BE360" s="112"/>
      <c r="BF360" s="112"/>
      <c r="BG360" s="112"/>
      <c r="BH360" s="112"/>
      <c r="BI360" s="112"/>
      <c r="BJ360" s="112"/>
      <c r="BK360" s="112"/>
      <c r="BL360" s="112"/>
      <c r="BM360" s="112"/>
      <c r="BN360" s="112"/>
      <c r="BO360" s="112"/>
      <c r="BP360" s="112"/>
      <c r="BQ360" s="112"/>
      <c r="BR360" s="112"/>
      <c r="BS360" s="112"/>
      <c r="BT360" s="112"/>
      <c r="BU360" s="112"/>
      <c r="BV360" s="112"/>
      <c r="BW360" s="112"/>
      <c r="BX360" s="112"/>
      <c r="BY360" s="112"/>
      <c r="BZ360" s="112"/>
    </row>
    <row r="361" spans="1:78" x14ac:dyDescent="0.2">
      <c r="A361" s="86"/>
      <c r="B361" s="442"/>
      <c r="C361" s="510"/>
      <c r="F361" s="8"/>
      <c r="K361" s="1"/>
      <c r="L361" s="1"/>
      <c r="AD361" s="112"/>
      <c r="AE361" s="112"/>
      <c r="AF361" s="112"/>
      <c r="AG361" s="112"/>
      <c r="AH361" s="112"/>
      <c r="AI361" s="112"/>
      <c r="AJ361" s="112"/>
      <c r="AK361" s="112"/>
      <c r="AL361" s="112"/>
      <c r="AM361" s="112"/>
      <c r="AN361" s="112"/>
      <c r="AO361" s="112"/>
      <c r="AP361" s="112"/>
      <c r="AQ361" s="112"/>
      <c r="AR361" s="112"/>
      <c r="AS361" s="112"/>
      <c r="AT361" s="112"/>
      <c r="AU361" s="112"/>
      <c r="AV361" s="112"/>
      <c r="AW361" s="112"/>
      <c r="AX361" s="112"/>
      <c r="AY361" s="112"/>
      <c r="AZ361" s="112"/>
      <c r="BA361" s="112"/>
      <c r="BB361" s="112"/>
      <c r="BC361" s="112"/>
      <c r="BD361" s="112"/>
      <c r="BE361" s="112"/>
      <c r="BF361" s="112"/>
      <c r="BG361" s="112"/>
      <c r="BH361" s="112"/>
      <c r="BI361" s="112"/>
      <c r="BJ361" s="112"/>
      <c r="BK361" s="112"/>
      <c r="BL361" s="112"/>
      <c r="BM361" s="112"/>
      <c r="BN361" s="112"/>
      <c r="BO361" s="112"/>
      <c r="BP361" s="112"/>
      <c r="BQ361" s="112"/>
      <c r="BR361" s="112"/>
      <c r="BS361" s="112"/>
      <c r="BT361" s="112"/>
      <c r="BU361" s="112"/>
      <c r="BV361" s="112"/>
      <c r="BW361" s="112"/>
      <c r="BX361" s="112"/>
      <c r="BY361" s="112"/>
      <c r="BZ361" s="112"/>
    </row>
    <row r="362" spans="1:78" x14ac:dyDescent="0.2">
      <c r="A362" s="86"/>
      <c r="B362" s="442"/>
      <c r="C362" s="510"/>
      <c r="F362" s="8"/>
      <c r="K362" s="1"/>
      <c r="L362" s="1"/>
      <c r="AD362" s="112"/>
      <c r="AE362" s="112"/>
      <c r="AF362" s="112"/>
      <c r="AG362" s="112"/>
      <c r="AH362" s="112"/>
      <c r="AI362" s="112"/>
      <c r="AJ362" s="112"/>
      <c r="AK362" s="112"/>
      <c r="AL362" s="112"/>
      <c r="AM362" s="112"/>
      <c r="AN362" s="112"/>
      <c r="AO362" s="112"/>
      <c r="AP362" s="112"/>
      <c r="AQ362" s="112"/>
      <c r="AR362" s="112"/>
      <c r="AS362" s="112"/>
      <c r="AT362" s="112"/>
      <c r="AU362" s="112"/>
      <c r="AV362" s="112"/>
      <c r="AW362" s="112"/>
      <c r="AX362" s="112"/>
      <c r="AY362" s="112"/>
      <c r="AZ362" s="112"/>
      <c r="BA362" s="112"/>
      <c r="BB362" s="112"/>
      <c r="BC362" s="112"/>
      <c r="BD362" s="112"/>
      <c r="BE362" s="112"/>
      <c r="BF362" s="112"/>
      <c r="BG362" s="112"/>
      <c r="BH362" s="112"/>
      <c r="BI362" s="112"/>
      <c r="BJ362" s="112"/>
      <c r="BK362" s="112"/>
      <c r="BL362" s="112"/>
      <c r="BM362" s="112"/>
      <c r="BN362" s="112"/>
      <c r="BO362" s="112"/>
      <c r="BP362" s="112"/>
      <c r="BQ362" s="112"/>
      <c r="BR362" s="112"/>
      <c r="BS362" s="112"/>
      <c r="BT362" s="112"/>
      <c r="BU362" s="112"/>
      <c r="BV362" s="112"/>
      <c r="BW362" s="112"/>
      <c r="BX362" s="112"/>
      <c r="BY362" s="112"/>
      <c r="BZ362" s="112"/>
    </row>
    <row r="363" spans="1:78" x14ac:dyDescent="0.2">
      <c r="A363" s="86"/>
      <c r="B363" s="442"/>
      <c r="C363" s="510"/>
      <c r="F363" s="8"/>
      <c r="K363" s="1"/>
      <c r="L363" s="1"/>
      <c r="AD363" s="112"/>
      <c r="AE363" s="112"/>
      <c r="AF363" s="112"/>
      <c r="AG363" s="112"/>
      <c r="AH363" s="112"/>
      <c r="AI363" s="112"/>
      <c r="AJ363" s="112"/>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c r="BK363" s="112"/>
      <c r="BL363" s="112"/>
      <c r="BM363" s="112"/>
      <c r="BN363" s="112"/>
      <c r="BO363" s="112"/>
      <c r="BP363" s="112"/>
      <c r="BQ363" s="112"/>
      <c r="BR363" s="112"/>
      <c r="BS363" s="112"/>
      <c r="BT363" s="112"/>
      <c r="BU363" s="112"/>
      <c r="BV363" s="112"/>
      <c r="BW363" s="112"/>
      <c r="BX363" s="112"/>
      <c r="BY363" s="112"/>
      <c r="BZ363" s="112"/>
    </row>
    <row r="364" spans="1:78" x14ac:dyDescent="0.2">
      <c r="A364" s="86"/>
      <c r="B364" s="442"/>
      <c r="C364" s="510"/>
      <c r="F364" s="8"/>
      <c r="K364" s="1"/>
      <c r="L364" s="1"/>
      <c r="AD364" s="112"/>
      <c r="AE364" s="112"/>
      <c r="AF364" s="112"/>
      <c r="AG364" s="112"/>
      <c r="AH364" s="112"/>
      <c r="AI364" s="112"/>
      <c r="AJ364" s="112"/>
      <c r="AK364" s="112"/>
      <c r="AL364" s="112"/>
      <c r="AM364" s="112"/>
      <c r="AN364" s="112"/>
      <c r="AO364" s="112"/>
      <c r="AP364" s="112"/>
      <c r="AQ364" s="112"/>
      <c r="AR364" s="112"/>
      <c r="AS364" s="112"/>
      <c r="AT364" s="112"/>
      <c r="AU364" s="112"/>
      <c r="AV364" s="112"/>
      <c r="AW364" s="112"/>
      <c r="AX364" s="112"/>
      <c r="AY364" s="112"/>
      <c r="AZ364" s="112"/>
      <c r="BA364" s="112"/>
      <c r="BB364" s="112"/>
      <c r="BC364" s="112"/>
      <c r="BD364" s="112"/>
      <c r="BE364" s="112"/>
      <c r="BF364" s="112"/>
      <c r="BG364" s="112"/>
      <c r="BH364" s="112"/>
      <c r="BI364" s="112"/>
      <c r="BJ364" s="112"/>
      <c r="BK364" s="112"/>
      <c r="BL364" s="112"/>
      <c r="BM364" s="112"/>
      <c r="BN364" s="112"/>
      <c r="BO364" s="112"/>
      <c r="BP364" s="112"/>
      <c r="BQ364" s="112"/>
      <c r="BR364" s="112"/>
      <c r="BS364" s="112"/>
      <c r="BT364" s="112"/>
      <c r="BU364" s="112"/>
      <c r="BV364" s="112"/>
      <c r="BW364" s="112"/>
      <c r="BX364" s="112"/>
      <c r="BY364" s="112"/>
      <c r="BZ364" s="112"/>
    </row>
    <row r="365" spans="1:78" x14ac:dyDescent="0.2">
      <c r="A365" s="86"/>
      <c r="B365" s="442"/>
      <c r="C365" s="510"/>
      <c r="F365" s="8"/>
      <c r="K365" s="1"/>
      <c r="L365" s="1"/>
      <c r="AD365" s="112"/>
      <c r="AE365" s="112"/>
      <c r="AF365" s="112"/>
      <c r="AG365" s="112"/>
      <c r="AH365" s="112"/>
      <c r="AI365" s="112"/>
      <c r="AJ365" s="112"/>
      <c r="AK365" s="112"/>
      <c r="AL365" s="112"/>
      <c r="AM365" s="112"/>
      <c r="AN365" s="112"/>
      <c r="AO365" s="112"/>
      <c r="AP365" s="112"/>
      <c r="AQ365" s="112"/>
      <c r="AR365" s="112"/>
      <c r="AS365" s="112"/>
      <c r="AT365" s="112"/>
      <c r="AU365" s="112"/>
      <c r="AV365" s="112"/>
      <c r="AW365" s="112"/>
      <c r="AX365" s="112"/>
      <c r="AY365" s="112"/>
      <c r="AZ365" s="112"/>
      <c r="BA365" s="112"/>
      <c r="BB365" s="112"/>
      <c r="BC365" s="112"/>
      <c r="BD365" s="112"/>
      <c r="BE365" s="112"/>
      <c r="BF365" s="112"/>
      <c r="BG365" s="112"/>
      <c r="BH365" s="112"/>
      <c r="BI365" s="112"/>
      <c r="BJ365" s="112"/>
      <c r="BK365" s="112"/>
      <c r="BL365" s="112"/>
      <c r="BM365" s="112"/>
      <c r="BN365" s="112"/>
      <c r="BO365" s="112"/>
      <c r="BP365" s="112"/>
      <c r="BQ365" s="112"/>
      <c r="BR365" s="112"/>
      <c r="BS365" s="112"/>
      <c r="BT365" s="112"/>
      <c r="BU365" s="112"/>
      <c r="BV365" s="112"/>
      <c r="BW365" s="112"/>
      <c r="BX365" s="112"/>
      <c r="BY365" s="112"/>
      <c r="BZ365" s="112"/>
    </row>
    <row r="366" spans="1:78" x14ac:dyDescent="0.2">
      <c r="A366" s="86"/>
      <c r="B366" s="442"/>
      <c r="C366" s="510"/>
      <c r="F366" s="8"/>
      <c r="K366" s="1"/>
      <c r="L366" s="1"/>
      <c r="AD366" s="112"/>
      <c r="AE366" s="112"/>
      <c r="AF366" s="112"/>
      <c r="AG366" s="112"/>
      <c r="AH366" s="112"/>
      <c r="AI366" s="112"/>
      <c r="AJ366" s="112"/>
      <c r="AK366" s="112"/>
      <c r="AL366" s="112"/>
      <c r="AM366" s="112"/>
      <c r="AN366" s="112"/>
      <c r="AO366" s="112"/>
      <c r="AP366" s="112"/>
      <c r="AQ366" s="112"/>
      <c r="AR366" s="112"/>
      <c r="AS366" s="112"/>
      <c r="AT366" s="112"/>
      <c r="AU366" s="112"/>
      <c r="AV366" s="112"/>
      <c r="AW366" s="112"/>
      <c r="AX366" s="112"/>
      <c r="AY366" s="112"/>
      <c r="AZ366" s="112"/>
      <c r="BA366" s="112"/>
      <c r="BB366" s="112"/>
      <c r="BC366" s="112"/>
      <c r="BD366" s="112"/>
      <c r="BE366" s="112"/>
      <c r="BF366" s="112"/>
      <c r="BG366" s="112"/>
      <c r="BH366" s="112"/>
      <c r="BI366" s="112"/>
      <c r="BJ366" s="112"/>
      <c r="BK366" s="112"/>
      <c r="BL366" s="112"/>
      <c r="BM366" s="112"/>
      <c r="BN366" s="112"/>
      <c r="BO366" s="112"/>
      <c r="BP366" s="112"/>
      <c r="BQ366" s="112"/>
      <c r="BR366" s="112"/>
      <c r="BS366" s="112"/>
      <c r="BT366" s="112"/>
      <c r="BU366" s="112"/>
      <c r="BV366" s="112"/>
      <c r="BW366" s="112"/>
      <c r="BX366" s="112"/>
      <c r="BY366" s="112"/>
      <c r="BZ366" s="112"/>
    </row>
    <row r="367" spans="1:78" x14ac:dyDescent="0.2">
      <c r="A367" s="86"/>
      <c r="B367" s="442"/>
      <c r="C367" s="510"/>
      <c r="F367" s="8"/>
      <c r="K367" s="1"/>
      <c r="L367" s="1"/>
      <c r="AD367" s="112"/>
      <c r="AE367" s="112"/>
      <c r="AF367" s="112"/>
      <c r="AG367" s="112"/>
      <c r="AH367" s="112"/>
      <c r="AI367" s="112"/>
      <c r="AJ367" s="112"/>
      <c r="AK367" s="112"/>
      <c r="AL367" s="112"/>
      <c r="AM367" s="112"/>
      <c r="AN367" s="112"/>
      <c r="AO367" s="112"/>
      <c r="AP367" s="112"/>
      <c r="AQ367" s="112"/>
      <c r="AR367" s="112"/>
      <c r="AS367" s="112"/>
      <c r="AT367" s="112"/>
      <c r="AU367" s="112"/>
      <c r="AV367" s="112"/>
      <c r="AW367" s="112"/>
      <c r="AX367" s="112"/>
      <c r="AY367" s="112"/>
      <c r="AZ367" s="112"/>
      <c r="BA367" s="112"/>
      <c r="BB367" s="112"/>
      <c r="BC367" s="112"/>
      <c r="BD367" s="112"/>
      <c r="BE367" s="112"/>
      <c r="BF367" s="112"/>
      <c r="BG367" s="112"/>
      <c r="BH367" s="112"/>
      <c r="BI367" s="112"/>
      <c r="BJ367" s="112"/>
      <c r="BK367" s="112"/>
      <c r="BL367" s="112"/>
      <c r="BM367" s="112"/>
      <c r="BN367" s="112"/>
      <c r="BO367" s="112"/>
      <c r="BP367" s="112"/>
      <c r="BQ367" s="112"/>
      <c r="BR367" s="112"/>
      <c r="BS367" s="112"/>
      <c r="BT367" s="112"/>
      <c r="BU367" s="112"/>
      <c r="BV367" s="112"/>
      <c r="BW367" s="112"/>
      <c r="BX367" s="112"/>
      <c r="BY367" s="112"/>
      <c r="BZ367" s="112"/>
    </row>
    <row r="368" spans="1:78" x14ac:dyDescent="0.2">
      <c r="A368" s="86"/>
      <c r="B368" s="442"/>
      <c r="C368" s="510"/>
      <c r="F368" s="8"/>
      <c r="K368" s="1"/>
      <c r="L368" s="1"/>
      <c r="AD368" s="112"/>
      <c r="AE368" s="112"/>
      <c r="AF368" s="112"/>
      <c r="AG368" s="112"/>
      <c r="AH368" s="112"/>
      <c r="AI368" s="112"/>
      <c r="AJ368" s="112"/>
      <c r="AK368" s="112"/>
      <c r="AL368" s="112"/>
      <c r="AM368" s="112"/>
      <c r="AN368" s="112"/>
      <c r="AO368" s="112"/>
      <c r="AP368" s="112"/>
      <c r="AQ368" s="112"/>
      <c r="AR368" s="112"/>
      <c r="AS368" s="112"/>
      <c r="AT368" s="112"/>
      <c r="AU368" s="112"/>
      <c r="AV368" s="112"/>
      <c r="AW368" s="112"/>
      <c r="AX368" s="112"/>
      <c r="AY368" s="112"/>
      <c r="AZ368" s="112"/>
      <c r="BA368" s="112"/>
      <c r="BB368" s="112"/>
      <c r="BC368" s="112"/>
      <c r="BD368" s="112"/>
      <c r="BE368" s="112"/>
      <c r="BF368" s="112"/>
      <c r="BG368" s="112"/>
      <c r="BH368" s="112"/>
      <c r="BI368" s="112"/>
      <c r="BJ368" s="112"/>
      <c r="BK368" s="112"/>
      <c r="BL368" s="112"/>
      <c r="BM368" s="112"/>
      <c r="BN368" s="112"/>
      <c r="BO368" s="112"/>
      <c r="BP368" s="112"/>
      <c r="BQ368" s="112"/>
      <c r="BR368" s="112"/>
      <c r="BS368" s="112"/>
      <c r="BT368" s="112"/>
      <c r="BU368" s="112"/>
      <c r="BV368" s="112"/>
      <c r="BW368" s="112"/>
      <c r="BX368" s="112"/>
      <c r="BY368" s="112"/>
      <c r="BZ368" s="112"/>
    </row>
    <row r="369" spans="1:78" x14ac:dyDescent="0.2">
      <c r="A369" s="86"/>
      <c r="B369" s="442"/>
      <c r="C369" s="510"/>
      <c r="F369" s="8"/>
      <c r="K369" s="1"/>
      <c r="L369" s="1"/>
      <c r="AD369" s="112"/>
      <c r="AE369" s="112"/>
      <c r="AF369" s="112"/>
      <c r="AG369" s="112"/>
      <c r="AH369" s="112"/>
      <c r="AI369" s="112"/>
      <c r="AJ369" s="112"/>
      <c r="AK369" s="112"/>
      <c r="AL369" s="112"/>
      <c r="AM369" s="112"/>
      <c r="AN369" s="112"/>
      <c r="AO369" s="112"/>
      <c r="AP369" s="112"/>
      <c r="AQ369" s="112"/>
      <c r="AR369" s="112"/>
      <c r="AS369" s="112"/>
      <c r="AT369" s="112"/>
      <c r="AU369" s="112"/>
      <c r="AV369" s="112"/>
      <c r="AW369" s="112"/>
      <c r="AX369" s="112"/>
      <c r="AY369" s="112"/>
      <c r="AZ369" s="112"/>
      <c r="BA369" s="112"/>
      <c r="BB369" s="112"/>
      <c r="BC369" s="112"/>
      <c r="BD369" s="112"/>
      <c r="BE369" s="112"/>
      <c r="BF369" s="112"/>
      <c r="BG369" s="112"/>
      <c r="BH369" s="112"/>
      <c r="BI369" s="112"/>
      <c r="BJ369" s="112"/>
      <c r="BK369" s="112"/>
      <c r="BL369" s="112"/>
      <c r="BM369" s="112"/>
      <c r="BN369" s="112"/>
      <c r="BO369" s="112"/>
      <c r="BP369" s="112"/>
      <c r="BQ369" s="112"/>
      <c r="BR369" s="112"/>
      <c r="BS369" s="112"/>
      <c r="BT369" s="112"/>
      <c r="BU369" s="112"/>
      <c r="BV369" s="112"/>
      <c r="BW369" s="112"/>
      <c r="BX369" s="112"/>
      <c r="BY369" s="112"/>
      <c r="BZ369" s="112"/>
    </row>
    <row r="370" spans="1:78" x14ac:dyDescent="0.2">
      <c r="A370" s="86"/>
      <c r="B370" s="442"/>
      <c r="C370" s="510"/>
      <c r="F370" s="8"/>
      <c r="K370" s="1"/>
      <c r="L370" s="1"/>
      <c r="AD370" s="112"/>
      <c r="AE370" s="112"/>
      <c r="AF370" s="112"/>
      <c r="AG370" s="112"/>
      <c r="AH370" s="112"/>
      <c r="AI370" s="112"/>
      <c r="AJ370" s="112"/>
      <c r="AK370" s="112"/>
      <c r="AL370" s="112"/>
      <c r="AM370" s="112"/>
      <c r="AN370" s="112"/>
      <c r="AO370" s="112"/>
      <c r="AP370" s="112"/>
      <c r="AQ370" s="112"/>
      <c r="AR370" s="112"/>
      <c r="AS370" s="112"/>
      <c r="AT370" s="112"/>
      <c r="AU370" s="112"/>
      <c r="AV370" s="112"/>
      <c r="AW370" s="112"/>
      <c r="AX370" s="112"/>
      <c r="AY370" s="112"/>
      <c r="AZ370" s="112"/>
      <c r="BA370" s="112"/>
      <c r="BB370" s="112"/>
      <c r="BC370" s="112"/>
      <c r="BD370" s="112"/>
      <c r="BE370" s="112"/>
      <c r="BF370" s="112"/>
      <c r="BG370" s="112"/>
      <c r="BH370" s="112"/>
      <c r="BI370" s="112"/>
      <c r="BJ370" s="112"/>
      <c r="BK370" s="112"/>
      <c r="BL370" s="112"/>
      <c r="BM370" s="112"/>
      <c r="BN370" s="112"/>
      <c r="BO370" s="112"/>
      <c r="BP370" s="112"/>
      <c r="BQ370" s="112"/>
      <c r="BR370" s="112"/>
      <c r="BS370" s="112"/>
      <c r="BT370" s="112"/>
      <c r="BU370" s="112"/>
      <c r="BV370" s="112"/>
      <c r="BW370" s="112"/>
      <c r="BX370" s="112"/>
      <c r="BY370" s="112"/>
      <c r="BZ370" s="112"/>
    </row>
    <row r="371" spans="1:78" x14ac:dyDescent="0.2">
      <c r="A371" s="86"/>
      <c r="B371" s="442"/>
      <c r="C371" s="510"/>
      <c r="F371" s="8"/>
      <c r="K371" s="1"/>
      <c r="L371" s="1"/>
      <c r="AD371" s="112"/>
      <c r="AE371" s="112"/>
      <c r="AF371" s="112"/>
      <c r="AG371" s="112"/>
      <c r="AH371" s="112"/>
      <c r="AI371" s="112"/>
      <c r="AJ371" s="112"/>
      <c r="AK371" s="112"/>
      <c r="AL371" s="112"/>
      <c r="AM371" s="112"/>
      <c r="AN371" s="112"/>
      <c r="AO371" s="112"/>
      <c r="AP371" s="112"/>
      <c r="AQ371" s="112"/>
      <c r="AR371" s="112"/>
      <c r="AS371" s="112"/>
      <c r="AT371" s="112"/>
      <c r="AU371" s="112"/>
      <c r="AV371" s="112"/>
      <c r="AW371" s="112"/>
      <c r="AX371" s="112"/>
      <c r="AY371" s="112"/>
      <c r="AZ371" s="112"/>
      <c r="BA371" s="112"/>
      <c r="BB371" s="112"/>
      <c r="BC371" s="112"/>
      <c r="BD371" s="112"/>
      <c r="BE371" s="112"/>
      <c r="BF371" s="112"/>
      <c r="BG371" s="112"/>
      <c r="BH371" s="112"/>
      <c r="BI371" s="112"/>
      <c r="BJ371" s="112"/>
      <c r="BK371" s="112"/>
      <c r="BL371" s="112"/>
      <c r="BM371" s="112"/>
      <c r="BN371" s="112"/>
      <c r="BO371" s="112"/>
      <c r="BP371" s="112"/>
      <c r="BQ371" s="112"/>
      <c r="BR371" s="112"/>
      <c r="BS371" s="112"/>
      <c r="BT371" s="112"/>
      <c r="BU371" s="112"/>
      <c r="BV371" s="112"/>
      <c r="BW371" s="112"/>
      <c r="BX371" s="112"/>
      <c r="BY371" s="112"/>
      <c r="BZ371" s="112"/>
    </row>
    <row r="372" spans="1:78" x14ac:dyDescent="0.2">
      <c r="A372" s="86"/>
      <c r="B372" s="442"/>
      <c r="C372" s="510"/>
      <c r="F372" s="8"/>
      <c r="K372" s="1"/>
      <c r="L372" s="1"/>
      <c r="AD372" s="112"/>
      <c r="AE372" s="112"/>
      <c r="AF372" s="112"/>
      <c r="AG372" s="112"/>
      <c r="AH372" s="112"/>
      <c r="AI372" s="112"/>
      <c r="AJ372" s="112"/>
      <c r="AK372" s="112"/>
      <c r="AL372" s="112"/>
      <c r="AM372" s="112"/>
      <c r="AN372" s="112"/>
      <c r="AO372" s="112"/>
      <c r="AP372" s="112"/>
      <c r="AQ372" s="112"/>
      <c r="AR372" s="112"/>
      <c r="AS372" s="112"/>
      <c r="AT372" s="112"/>
      <c r="AU372" s="112"/>
      <c r="AV372" s="112"/>
      <c r="AW372" s="112"/>
      <c r="AX372" s="112"/>
      <c r="AY372" s="112"/>
      <c r="AZ372" s="112"/>
      <c r="BA372" s="112"/>
      <c r="BB372" s="112"/>
      <c r="BC372" s="112"/>
      <c r="BD372" s="112"/>
      <c r="BE372" s="112"/>
      <c r="BF372" s="112"/>
      <c r="BG372" s="112"/>
      <c r="BH372" s="112"/>
      <c r="BI372" s="112"/>
      <c r="BJ372" s="112"/>
      <c r="BK372" s="112"/>
      <c r="BL372" s="112"/>
      <c r="BM372" s="112"/>
      <c r="BN372" s="112"/>
      <c r="BO372" s="112"/>
      <c r="BP372" s="112"/>
      <c r="BQ372" s="112"/>
      <c r="BR372" s="112"/>
      <c r="BS372" s="112"/>
      <c r="BT372" s="112"/>
      <c r="BU372" s="112"/>
      <c r="BV372" s="112"/>
      <c r="BW372" s="112"/>
      <c r="BX372" s="112"/>
      <c r="BY372" s="112"/>
      <c r="BZ372" s="112"/>
    </row>
    <row r="373" spans="1:78" x14ac:dyDescent="0.2">
      <c r="A373" s="86"/>
      <c r="B373" s="442"/>
      <c r="C373" s="510"/>
      <c r="F373" s="8"/>
      <c r="K373" s="1"/>
      <c r="L373" s="1"/>
      <c r="AD373" s="112"/>
      <c r="AE373" s="112"/>
      <c r="AF373" s="112"/>
      <c r="AG373" s="112"/>
      <c r="AH373" s="112"/>
      <c r="AI373" s="112"/>
      <c r="AJ373" s="112"/>
      <c r="AK373" s="112"/>
      <c r="AL373" s="112"/>
      <c r="AM373" s="112"/>
      <c r="AN373" s="112"/>
      <c r="AO373" s="112"/>
      <c r="AP373" s="112"/>
      <c r="AQ373" s="112"/>
      <c r="AR373" s="112"/>
      <c r="AS373" s="112"/>
      <c r="AT373" s="112"/>
      <c r="AU373" s="112"/>
      <c r="AV373" s="112"/>
      <c r="AW373" s="112"/>
      <c r="AX373" s="112"/>
      <c r="AY373" s="112"/>
      <c r="AZ373" s="112"/>
      <c r="BA373" s="112"/>
      <c r="BB373" s="112"/>
      <c r="BC373" s="112"/>
      <c r="BD373" s="112"/>
      <c r="BE373" s="112"/>
      <c r="BF373" s="112"/>
      <c r="BG373" s="112"/>
      <c r="BH373" s="112"/>
      <c r="BI373" s="112"/>
      <c r="BJ373" s="112"/>
      <c r="BK373" s="112"/>
      <c r="BL373" s="112"/>
      <c r="BM373" s="112"/>
      <c r="BN373" s="112"/>
      <c r="BO373" s="112"/>
      <c r="BP373" s="112"/>
      <c r="BQ373" s="112"/>
      <c r="BR373" s="112"/>
      <c r="BS373" s="112"/>
      <c r="BT373" s="112"/>
      <c r="BU373" s="112"/>
      <c r="BV373" s="112"/>
      <c r="BW373" s="112"/>
      <c r="BX373" s="112"/>
      <c r="BY373" s="112"/>
      <c r="BZ373" s="112"/>
    </row>
    <row r="374" spans="1:78" x14ac:dyDescent="0.2">
      <c r="A374" s="86"/>
      <c r="B374" s="442"/>
      <c r="C374" s="510"/>
      <c r="F374" s="8"/>
      <c r="K374" s="1"/>
      <c r="L374" s="1"/>
      <c r="AD374" s="112"/>
      <c r="AE374" s="112"/>
      <c r="AF374" s="112"/>
      <c r="AG374" s="112"/>
      <c r="AH374" s="112"/>
      <c r="AI374" s="112"/>
      <c r="AJ374" s="112"/>
      <c r="AK374" s="112"/>
      <c r="AL374" s="112"/>
      <c r="AM374" s="112"/>
      <c r="AN374" s="112"/>
      <c r="AO374" s="112"/>
      <c r="AP374" s="112"/>
      <c r="AQ374" s="112"/>
      <c r="AR374" s="112"/>
      <c r="AS374" s="112"/>
      <c r="AT374" s="112"/>
      <c r="AU374" s="112"/>
      <c r="AV374" s="112"/>
      <c r="AW374" s="112"/>
      <c r="AX374" s="112"/>
      <c r="AY374" s="112"/>
      <c r="AZ374" s="112"/>
      <c r="BA374" s="112"/>
      <c r="BB374" s="112"/>
      <c r="BC374" s="112"/>
      <c r="BD374" s="112"/>
      <c r="BE374" s="112"/>
      <c r="BF374" s="112"/>
      <c r="BG374" s="112"/>
      <c r="BH374" s="112"/>
      <c r="BI374" s="112"/>
      <c r="BJ374" s="112"/>
      <c r="BK374" s="112"/>
      <c r="BL374" s="112"/>
      <c r="BM374" s="112"/>
      <c r="BN374" s="112"/>
      <c r="BO374" s="112"/>
      <c r="BP374" s="112"/>
      <c r="BQ374" s="112"/>
      <c r="BR374" s="112"/>
      <c r="BS374" s="112"/>
      <c r="BT374" s="112"/>
      <c r="BU374" s="112"/>
      <c r="BV374" s="112"/>
      <c r="BW374" s="112"/>
      <c r="BX374" s="112"/>
      <c r="BY374" s="112"/>
      <c r="BZ374" s="112"/>
    </row>
    <row r="375" spans="1:78" x14ac:dyDescent="0.2">
      <c r="A375" s="86"/>
      <c r="B375" s="442"/>
      <c r="C375" s="510"/>
      <c r="F375" s="8"/>
      <c r="K375" s="1"/>
      <c r="L375" s="1"/>
      <c r="AD375" s="112"/>
      <c r="AE375" s="112"/>
      <c r="AF375" s="112"/>
      <c r="AG375" s="112"/>
      <c r="AH375" s="112"/>
      <c r="AI375" s="112"/>
      <c r="AJ375" s="112"/>
      <c r="AK375" s="112"/>
      <c r="AL375" s="112"/>
      <c r="AM375" s="112"/>
      <c r="AN375" s="112"/>
      <c r="AO375" s="112"/>
      <c r="AP375" s="112"/>
      <c r="AQ375" s="112"/>
      <c r="AR375" s="112"/>
      <c r="AS375" s="112"/>
      <c r="AT375" s="112"/>
      <c r="AU375" s="112"/>
      <c r="AV375" s="112"/>
      <c r="AW375" s="112"/>
      <c r="AX375" s="112"/>
      <c r="AY375" s="112"/>
      <c r="AZ375" s="112"/>
      <c r="BA375" s="112"/>
      <c r="BB375" s="112"/>
      <c r="BC375" s="112"/>
      <c r="BD375" s="112"/>
      <c r="BE375" s="112"/>
      <c r="BF375" s="112"/>
      <c r="BG375" s="112"/>
      <c r="BH375" s="112"/>
      <c r="BI375" s="112"/>
      <c r="BJ375" s="112"/>
      <c r="BK375" s="112"/>
      <c r="BL375" s="112"/>
      <c r="BM375" s="112"/>
      <c r="BN375" s="112"/>
      <c r="BO375" s="112"/>
      <c r="BP375" s="112"/>
      <c r="BQ375" s="112"/>
      <c r="BR375" s="112"/>
      <c r="BS375" s="112"/>
      <c r="BT375" s="112"/>
      <c r="BU375" s="112"/>
      <c r="BV375" s="112"/>
      <c r="BW375" s="112"/>
      <c r="BX375" s="112"/>
      <c r="BY375" s="112"/>
      <c r="BZ375" s="112"/>
    </row>
    <row r="376" spans="1:78" x14ac:dyDescent="0.2">
      <c r="A376" s="86"/>
      <c r="B376" s="442"/>
      <c r="C376" s="510"/>
      <c r="F376" s="8"/>
      <c r="K376" s="1"/>
      <c r="L376" s="1"/>
      <c r="AD376" s="112"/>
      <c r="AE376" s="112"/>
      <c r="AF376" s="112"/>
      <c r="AG376" s="112"/>
      <c r="AH376" s="112"/>
      <c r="AI376" s="112"/>
      <c r="AJ376" s="112"/>
      <c r="AK376" s="112"/>
      <c r="AL376" s="112"/>
      <c r="AM376" s="112"/>
      <c r="AN376" s="112"/>
      <c r="AO376" s="112"/>
      <c r="AP376" s="112"/>
      <c r="AQ376" s="112"/>
      <c r="AR376" s="112"/>
      <c r="AS376" s="112"/>
      <c r="AT376" s="112"/>
      <c r="AU376" s="112"/>
      <c r="AV376" s="112"/>
      <c r="AW376" s="112"/>
      <c r="AX376" s="112"/>
      <c r="AY376" s="112"/>
      <c r="AZ376" s="112"/>
      <c r="BA376" s="112"/>
      <c r="BB376" s="112"/>
      <c r="BC376" s="112"/>
      <c r="BD376" s="112"/>
      <c r="BE376" s="112"/>
      <c r="BF376" s="112"/>
      <c r="BG376" s="112"/>
      <c r="BH376" s="112"/>
      <c r="BI376" s="112"/>
      <c r="BJ376" s="112"/>
      <c r="BK376" s="112"/>
      <c r="BL376" s="112"/>
      <c r="BM376" s="112"/>
      <c r="BN376" s="112"/>
      <c r="BO376" s="112"/>
      <c r="BP376" s="112"/>
      <c r="BQ376" s="112"/>
      <c r="BR376" s="112"/>
      <c r="BS376" s="112"/>
      <c r="BT376" s="112"/>
      <c r="BU376" s="112"/>
      <c r="BV376" s="112"/>
      <c r="BW376" s="112"/>
      <c r="BX376" s="112"/>
      <c r="BY376" s="112"/>
      <c r="BZ376" s="112"/>
    </row>
    <row r="377" spans="1:78" x14ac:dyDescent="0.2">
      <c r="A377" s="86"/>
      <c r="B377" s="442"/>
      <c r="C377" s="510"/>
      <c r="F377" s="8"/>
      <c r="K377" s="1"/>
      <c r="L377" s="1"/>
      <c r="AD377" s="112"/>
      <c r="AE377" s="112"/>
      <c r="AF377" s="112"/>
      <c r="AG377" s="112"/>
      <c r="AH377" s="112"/>
      <c r="AI377" s="112"/>
      <c r="AJ377" s="112"/>
      <c r="AK377" s="112"/>
      <c r="AL377" s="112"/>
      <c r="AM377" s="112"/>
      <c r="AN377" s="112"/>
      <c r="AO377" s="112"/>
      <c r="AP377" s="112"/>
      <c r="AQ377" s="112"/>
      <c r="AR377" s="112"/>
      <c r="AS377" s="112"/>
      <c r="AT377" s="112"/>
      <c r="AU377" s="112"/>
      <c r="AV377" s="112"/>
      <c r="AW377" s="112"/>
      <c r="AX377" s="112"/>
      <c r="AY377" s="112"/>
      <c r="AZ377" s="112"/>
      <c r="BA377" s="112"/>
      <c r="BB377" s="112"/>
      <c r="BC377" s="112"/>
      <c r="BD377" s="112"/>
      <c r="BE377" s="112"/>
      <c r="BF377" s="112"/>
      <c r="BG377" s="112"/>
      <c r="BH377" s="112"/>
      <c r="BI377" s="112"/>
      <c r="BJ377" s="112"/>
      <c r="BK377" s="112"/>
      <c r="BL377" s="112"/>
      <c r="BM377" s="112"/>
      <c r="BN377" s="112"/>
      <c r="BO377" s="112"/>
      <c r="BP377" s="112"/>
      <c r="BQ377" s="112"/>
      <c r="BR377" s="112"/>
      <c r="BS377" s="112"/>
      <c r="BT377" s="112"/>
      <c r="BU377" s="112"/>
      <c r="BV377" s="112"/>
      <c r="BW377" s="112"/>
      <c r="BX377" s="112"/>
      <c r="BY377" s="112"/>
      <c r="BZ377" s="112"/>
    </row>
    <row r="378" spans="1:78" x14ac:dyDescent="0.2">
      <c r="A378" s="86"/>
      <c r="B378" s="442"/>
      <c r="C378" s="510"/>
      <c r="F378" s="8"/>
      <c r="K378" s="1"/>
      <c r="L378" s="1"/>
      <c r="AD378" s="112"/>
      <c r="AE378" s="112"/>
      <c r="AF378" s="112"/>
      <c r="AG378" s="112"/>
      <c r="AH378" s="112"/>
      <c r="AI378" s="112"/>
      <c r="AJ378" s="112"/>
      <c r="AK378" s="112"/>
      <c r="AL378" s="112"/>
      <c r="AM378" s="112"/>
      <c r="AN378" s="112"/>
      <c r="AO378" s="112"/>
      <c r="AP378" s="112"/>
      <c r="AQ378" s="112"/>
      <c r="AR378" s="112"/>
      <c r="AS378" s="112"/>
      <c r="AT378" s="112"/>
      <c r="AU378" s="112"/>
      <c r="AV378" s="112"/>
      <c r="AW378" s="112"/>
      <c r="AX378" s="112"/>
      <c r="AY378" s="112"/>
      <c r="AZ378" s="112"/>
      <c r="BA378" s="112"/>
      <c r="BB378" s="112"/>
      <c r="BC378" s="112"/>
      <c r="BD378" s="112"/>
      <c r="BE378" s="112"/>
      <c r="BF378" s="112"/>
      <c r="BG378" s="112"/>
      <c r="BH378" s="112"/>
      <c r="BI378" s="112"/>
      <c r="BJ378" s="112"/>
      <c r="BK378" s="112"/>
      <c r="BL378" s="112"/>
      <c r="BM378" s="112"/>
      <c r="BN378" s="112"/>
      <c r="BO378" s="112"/>
      <c r="BP378" s="112"/>
      <c r="BQ378" s="112"/>
      <c r="BR378" s="112"/>
      <c r="BS378" s="112"/>
      <c r="BT378" s="112"/>
      <c r="BU378" s="112"/>
      <c r="BV378" s="112"/>
      <c r="BW378" s="112"/>
      <c r="BX378" s="112"/>
      <c r="BY378" s="112"/>
      <c r="BZ378" s="112"/>
    </row>
    <row r="379" spans="1:78" x14ac:dyDescent="0.2">
      <c r="A379" s="86"/>
      <c r="B379" s="442"/>
      <c r="C379" s="510"/>
      <c r="F379" s="8"/>
      <c r="K379" s="1"/>
      <c r="L379" s="1"/>
      <c r="AD379" s="112"/>
      <c r="AE379" s="112"/>
      <c r="AF379" s="112"/>
      <c r="AG379" s="112"/>
      <c r="AH379" s="112"/>
      <c r="AI379" s="112"/>
      <c r="AJ379" s="112"/>
      <c r="AK379" s="112"/>
      <c r="AL379" s="112"/>
      <c r="AM379" s="112"/>
      <c r="AN379" s="112"/>
      <c r="AO379" s="112"/>
      <c r="AP379" s="112"/>
      <c r="AQ379" s="112"/>
      <c r="AR379" s="112"/>
      <c r="AS379" s="112"/>
      <c r="AT379" s="112"/>
      <c r="AU379" s="112"/>
      <c r="AV379" s="112"/>
      <c r="AW379" s="112"/>
      <c r="AX379" s="112"/>
      <c r="AY379" s="112"/>
      <c r="AZ379" s="112"/>
      <c r="BA379" s="112"/>
      <c r="BB379" s="112"/>
      <c r="BC379" s="112"/>
      <c r="BD379" s="112"/>
      <c r="BE379" s="112"/>
      <c r="BF379" s="112"/>
      <c r="BG379" s="112"/>
      <c r="BH379" s="112"/>
      <c r="BI379" s="112"/>
      <c r="BJ379" s="112"/>
      <c r="BK379" s="112"/>
      <c r="BL379" s="112"/>
      <c r="BM379" s="112"/>
      <c r="BN379" s="112"/>
      <c r="BO379" s="112"/>
      <c r="BP379" s="112"/>
      <c r="BQ379" s="112"/>
      <c r="BR379" s="112"/>
      <c r="BS379" s="112"/>
      <c r="BT379" s="112"/>
      <c r="BU379" s="112"/>
      <c r="BV379" s="112"/>
      <c r="BW379" s="112"/>
      <c r="BX379" s="112"/>
      <c r="BY379" s="112"/>
      <c r="BZ379" s="112"/>
    </row>
    <row r="380" spans="1:78" x14ac:dyDescent="0.2">
      <c r="A380" s="86"/>
      <c r="B380" s="442"/>
      <c r="C380" s="510"/>
      <c r="F380" s="8"/>
      <c r="K380" s="1"/>
      <c r="L380" s="1"/>
      <c r="AD380" s="112"/>
      <c r="AE380" s="112"/>
      <c r="AF380" s="112"/>
      <c r="AG380" s="112"/>
      <c r="AH380" s="112"/>
      <c r="AI380" s="112"/>
      <c r="AJ380" s="112"/>
      <c r="AK380" s="112"/>
      <c r="AL380" s="112"/>
      <c r="AM380" s="112"/>
      <c r="AN380" s="112"/>
      <c r="AO380" s="112"/>
      <c r="AP380" s="112"/>
      <c r="AQ380" s="112"/>
      <c r="AR380" s="112"/>
      <c r="AS380" s="112"/>
      <c r="AT380" s="112"/>
      <c r="AU380" s="112"/>
      <c r="AV380" s="112"/>
      <c r="AW380" s="112"/>
      <c r="AX380" s="112"/>
      <c r="AY380" s="112"/>
      <c r="AZ380" s="112"/>
      <c r="BA380" s="112"/>
      <c r="BB380" s="112"/>
      <c r="BC380" s="112"/>
      <c r="BD380" s="112"/>
      <c r="BE380" s="112"/>
      <c r="BF380" s="112"/>
      <c r="BG380" s="112"/>
      <c r="BH380" s="112"/>
      <c r="BI380" s="112"/>
      <c r="BJ380" s="112"/>
      <c r="BK380" s="112"/>
      <c r="BL380" s="112"/>
      <c r="BM380" s="112"/>
      <c r="BN380" s="112"/>
      <c r="BO380" s="112"/>
      <c r="BP380" s="112"/>
      <c r="BQ380" s="112"/>
      <c r="BR380" s="112"/>
      <c r="BS380" s="112"/>
      <c r="BT380" s="112"/>
      <c r="BU380" s="112"/>
      <c r="BV380" s="112"/>
      <c r="BW380" s="112"/>
      <c r="BX380" s="112"/>
      <c r="BY380" s="112"/>
      <c r="BZ380" s="112"/>
    </row>
    <row r="381" spans="1:78" x14ac:dyDescent="0.2">
      <c r="A381" s="86"/>
      <c r="B381" s="442"/>
      <c r="C381" s="510"/>
      <c r="F381" s="8"/>
      <c r="K381" s="1"/>
      <c r="L381" s="1"/>
      <c r="AD381" s="112"/>
      <c r="AE381" s="112"/>
      <c r="AF381" s="112"/>
      <c r="AG381" s="112"/>
      <c r="AH381" s="112"/>
      <c r="AI381" s="112"/>
      <c r="AJ381" s="112"/>
      <c r="AK381" s="112"/>
      <c r="AL381" s="112"/>
      <c r="AM381" s="112"/>
      <c r="AN381" s="112"/>
      <c r="AO381" s="112"/>
      <c r="AP381" s="112"/>
      <c r="AQ381" s="112"/>
      <c r="AR381" s="112"/>
      <c r="AS381" s="112"/>
      <c r="AT381" s="112"/>
      <c r="AU381" s="112"/>
      <c r="AV381" s="112"/>
      <c r="AW381" s="112"/>
      <c r="AX381" s="112"/>
      <c r="AY381" s="112"/>
      <c r="AZ381" s="112"/>
      <c r="BA381" s="112"/>
      <c r="BB381" s="112"/>
      <c r="BC381" s="112"/>
      <c r="BD381" s="112"/>
      <c r="BE381" s="112"/>
      <c r="BF381" s="112"/>
      <c r="BG381" s="112"/>
      <c r="BH381" s="112"/>
      <c r="BI381" s="112"/>
      <c r="BJ381" s="112"/>
      <c r="BK381" s="112"/>
      <c r="BL381" s="112"/>
      <c r="BM381" s="112"/>
      <c r="BN381" s="112"/>
      <c r="BO381" s="112"/>
      <c r="BP381" s="112"/>
      <c r="BQ381" s="112"/>
      <c r="BR381" s="112"/>
      <c r="BS381" s="112"/>
      <c r="BT381" s="112"/>
      <c r="BU381" s="112"/>
      <c r="BV381" s="112"/>
      <c r="BW381" s="112"/>
      <c r="BX381" s="112"/>
      <c r="BY381" s="112"/>
      <c r="BZ381" s="112"/>
    </row>
    <row r="382" spans="1:78" x14ac:dyDescent="0.2">
      <c r="A382" s="86"/>
      <c r="B382" s="442"/>
      <c r="C382" s="510"/>
      <c r="F382" s="8"/>
      <c r="K382" s="1"/>
      <c r="L382" s="1"/>
      <c r="AD382" s="112"/>
      <c r="AE382" s="112"/>
      <c r="AF382" s="112"/>
      <c r="AG382" s="112"/>
      <c r="AH382" s="112"/>
      <c r="AI382" s="112"/>
      <c r="AJ382" s="112"/>
      <c r="AK382" s="112"/>
      <c r="AL382" s="112"/>
      <c r="AM382" s="112"/>
      <c r="AN382" s="112"/>
      <c r="AO382" s="112"/>
      <c r="AP382" s="112"/>
      <c r="AQ382" s="112"/>
      <c r="AR382" s="112"/>
      <c r="AS382" s="112"/>
      <c r="AT382" s="112"/>
      <c r="AU382" s="112"/>
      <c r="AV382" s="112"/>
      <c r="AW382" s="112"/>
      <c r="AX382" s="112"/>
      <c r="AY382" s="112"/>
      <c r="AZ382" s="112"/>
      <c r="BA382" s="112"/>
      <c r="BB382" s="112"/>
      <c r="BC382" s="112"/>
      <c r="BD382" s="112"/>
      <c r="BE382" s="112"/>
      <c r="BF382" s="112"/>
      <c r="BG382" s="112"/>
      <c r="BH382" s="112"/>
      <c r="BI382" s="112"/>
      <c r="BJ382" s="112"/>
      <c r="BK382" s="112"/>
      <c r="BL382" s="112"/>
      <c r="BM382" s="112"/>
      <c r="BN382" s="112"/>
      <c r="BO382" s="112"/>
      <c r="BP382" s="112"/>
      <c r="BQ382" s="112"/>
      <c r="BR382" s="112"/>
      <c r="BS382" s="112"/>
      <c r="BT382" s="112"/>
      <c r="BU382" s="112"/>
      <c r="BV382" s="112"/>
      <c r="BW382" s="112"/>
      <c r="BX382" s="112"/>
      <c r="BY382" s="112"/>
      <c r="BZ382" s="112"/>
    </row>
    <row r="383" spans="1:78" x14ac:dyDescent="0.2">
      <c r="A383" s="86"/>
      <c r="B383" s="442"/>
      <c r="C383" s="510"/>
      <c r="F383" s="8"/>
      <c r="K383" s="1"/>
      <c r="L383" s="1"/>
      <c r="AD383" s="112"/>
      <c r="AE383" s="112"/>
      <c r="AF383" s="112"/>
      <c r="AG383" s="112"/>
      <c r="AH383" s="112"/>
      <c r="AI383" s="112"/>
      <c r="AJ383" s="112"/>
      <c r="AK383" s="112"/>
      <c r="AL383" s="112"/>
      <c r="AM383" s="112"/>
      <c r="AN383" s="112"/>
      <c r="AO383" s="112"/>
      <c r="AP383" s="112"/>
      <c r="AQ383" s="112"/>
      <c r="AR383" s="112"/>
      <c r="AS383" s="112"/>
      <c r="AT383" s="112"/>
      <c r="AU383" s="112"/>
      <c r="AV383" s="112"/>
      <c r="AW383" s="112"/>
      <c r="AX383" s="112"/>
      <c r="AY383" s="112"/>
      <c r="AZ383" s="112"/>
      <c r="BA383" s="112"/>
      <c r="BB383" s="112"/>
      <c r="BC383" s="112"/>
      <c r="BD383" s="112"/>
      <c r="BE383" s="112"/>
      <c r="BF383" s="112"/>
      <c r="BG383" s="112"/>
      <c r="BH383" s="112"/>
      <c r="BI383" s="112"/>
      <c r="BJ383" s="112"/>
      <c r="BK383" s="112"/>
      <c r="BL383" s="112"/>
      <c r="BM383" s="112"/>
      <c r="BN383" s="112"/>
      <c r="BO383" s="112"/>
      <c r="BP383" s="112"/>
      <c r="BQ383" s="112"/>
      <c r="BR383" s="112"/>
      <c r="BS383" s="112"/>
      <c r="BT383" s="112"/>
      <c r="BU383" s="112"/>
      <c r="BV383" s="112"/>
      <c r="BW383" s="112"/>
      <c r="BX383" s="112"/>
      <c r="BY383" s="112"/>
      <c r="BZ383" s="112"/>
    </row>
    <row r="384" spans="1:78" x14ac:dyDescent="0.2">
      <c r="A384" s="86"/>
      <c r="B384" s="442"/>
      <c r="C384" s="510"/>
      <c r="F384" s="8"/>
      <c r="K384" s="1"/>
      <c r="L384" s="1"/>
      <c r="AD384" s="112"/>
      <c r="AE384" s="112"/>
      <c r="AF384" s="112"/>
      <c r="AG384" s="112"/>
      <c r="AH384" s="112"/>
      <c r="AI384" s="112"/>
      <c r="AJ384" s="112"/>
      <c r="AK384" s="112"/>
      <c r="AL384" s="112"/>
      <c r="AM384" s="112"/>
      <c r="AN384" s="112"/>
      <c r="AO384" s="112"/>
      <c r="AP384" s="112"/>
      <c r="AQ384" s="112"/>
      <c r="AR384" s="112"/>
      <c r="AS384" s="112"/>
      <c r="AT384" s="112"/>
      <c r="AU384" s="112"/>
      <c r="AV384" s="112"/>
      <c r="AW384" s="112"/>
      <c r="AX384" s="112"/>
      <c r="AY384" s="112"/>
      <c r="AZ384" s="112"/>
      <c r="BA384" s="112"/>
      <c r="BB384" s="112"/>
      <c r="BC384" s="112"/>
      <c r="BD384" s="112"/>
      <c r="BE384" s="112"/>
      <c r="BF384" s="112"/>
      <c r="BG384" s="112"/>
      <c r="BH384" s="112"/>
      <c r="BI384" s="112"/>
      <c r="BJ384" s="112"/>
      <c r="BK384" s="112"/>
      <c r="BL384" s="112"/>
      <c r="BM384" s="112"/>
      <c r="BN384" s="112"/>
      <c r="BO384" s="112"/>
      <c r="BP384" s="112"/>
      <c r="BQ384" s="112"/>
      <c r="BR384" s="112"/>
      <c r="BS384" s="112"/>
      <c r="BT384" s="112"/>
      <c r="BU384" s="112"/>
      <c r="BV384" s="112"/>
      <c r="BW384" s="112"/>
      <c r="BX384" s="112"/>
      <c r="BY384" s="112"/>
      <c r="BZ384" s="112"/>
    </row>
    <row r="385" spans="1:78" x14ac:dyDescent="0.2">
      <c r="A385" s="86"/>
      <c r="B385" s="442"/>
      <c r="C385" s="510"/>
      <c r="F385" s="8"/>
      <c r="K385" s="1"/>
      <c r="L385" s="1"/>
      <c r="AD385" s="112"/>
      <c r="AE385" s="112"/>
      <c r="AF385" s="112"/>
      <c r="AG385" s="112"/>
      <c r="AH385" s="112"/>
      <c r="AI385" s="112"/>
      <c r="AJ385" s="112"/>
      <c r="AK385" s="112"/>
      <c r="AL385" s="112"/>
      <c r="AM385" s="112"/>
      <c r="AN385" s="112"/>
      <c r="AO385" s="112"/>
      <c r="AP385" s="112"/>
      <c r="AQ385" s="112"/>
      <c r="AR385" s="112"/>
      <c r="AS385" s="112"/>
      <c r="AT385" s="112"/>
      <c r="AU385" s="112"/>
      <c r="AV385" s="112"/>
      <c r="AW385" s="112"/>
      <c r="AX385" s="112"/>
      <c r="AY385" s="112"/>
      <c r="AZ385" s="112"/>
      <c r="BA385" s="112"/>
      <c r="BB385" s="112"/>
      <c r="BC385" s="112"/>
      <c r="BD385" s="112"/>
      <c r="BE385" s="112"/>
      <c r="BF385" s="112"/>
      <c r="BG385" s="112"/>
      <c r="BH385" s="112"/>
      <c r="BI385" s="112"/>
      <c r="BJ385" s="112"/>
      <c r="BK385" s="112"/>
      <c r="BL385" s="112"/>
      <c r="BM385" s="112"/>
      <c r="BN385" s="112"/>
      <c r="BO385" s="112"/>
      <c r="BP385" s="112"/>
      <c r="BQ385" s="112"/>
      <c r="BR385" s="112"/>
      <c r="BS385" s="112"/>
      <c r="BT385" s="112"/>
      <c r="BU385" s="112"/>
      <c r="BV385" s="112"/>
      <c r="BW385" s="112"/>
      <c r="BX385" s="112"/>
      <c r="BY385" s="112"/>
      <c r="BZ385" s="112"/>
    </row>
    <row r="386" spans="1:78" x14ac:dyDescent="0.2">
      <c r="A386" s="86"/>
      <c r="B386" s="442"/>
      <c r="C386" s="510"/>
      <c r="F386" s="8"/>
      <c r="K386" s="1"/>
      <c r="L386" s="1"/>
      <c r="AD386" s="112"/>
      <c r="AE386" s="112"/>
      <c r="AF386" s="112"/>
      <c r="AG386" s="112"/>
      <c r="AH386" s="112"/>
      <c r="AI386" s="112"/>
      <c r="AJ386" s="112"/>
      <c r="AK386" s="112"/>
      <c r="AL386" s="112"/>
      <c r="AM386" s="112"/>
      <c r="AN386" s="112"/>
      <c r="AO386" s="112"/>
      <c r="AP386" s="112"/>
      <c r="AQ386" s="112"/>
      <c r="AR386" s="112"/>
      <c r="AS386" s="112"/>
      <c r="AT386" s="112"/>
      <c r="AU386" s="112"/>
      <c r="AV386" s="112"/>
      <c r="AW386" s="112"/>
      <c r="AX386" s="112"/>
      <c r="AY386" s="112"/>
      <c r="AZ386" s="112"/>
      <c r="BA386" s="112"/>
      <c r="BB386" s="112"/>
      <c r="BC386" s="112"/>
      <c r="BD386" s="112"/>
      <c r="BE386" s="112"/>
      <c r="BF386" s="112"/>
      <c r="BG386" s="112"/>
      <c r="BH386" s="112"/>
      <c r="BI386" s="112"/>
      <c r="BJ386" s="112"/>
      <c r="BK386" s="112"/>
      <c r="BL386" s="112"/>
      <c r="BM386" s="112"/>
      <c r="BN386" s="112"/>
      <c r="BO386" s="112"/>
      <c r="BP386" s="112"/>
      <c r="BQ386" s="112"/>
      <c r="BR386" s="112"/>
      <c r="BS386" s="112"/>
      <c r="BT386" s="112"/>
      <c r="BU386" s="112"/>
      <c r="BV386" s="112"/>
      <c r="BW386" s="112"/>
      <c r="BX386" s="112"/>
      <c r="BY386" s="112"/>
      <c r="BZ386" s="112"/>
    </row>
    <row r="387" spans="1:78" x14ac:dyDescent="0.2">
      <c r="A387" s="86"/>
      <c r="B387" s="442"/>
      <c r="C387" s="510"/>
      <c r="F387" s="8"/>
      <c r="K387" s="1"/>
      <c r="L387" s="1"/>
      <c r="AD387" s="112"/>
      <c r="AE387" s="112"/>
      <c r="AF387" s="112"/>
      <c r="AG387" s="112"/>
      <c r="AH387" s="112"/>
      <c r="AI387" s="112"/>
      <c r="AJ387" s="112"/>
      <c r="AK387" s="112"/>
      <c r="AL387" s="112"/>
      <c r="AM387" s="112"/>
      <c r="AN387" s="112"/>
      <c r="AO387" s="112"/>
      <c r="AP387" s="112"/>
      <c r="AQ387" s="112"/>
      <c r="AR387" s="112"/>
      <c r="AS387" s="112"/>
      <c r="AT387" s="112"/>
      <c r="AU387" s="112"/>
      <c r="AV387" s="112"/>
      <c r="AW387" s="112"/>
      <c r="AX387" s="112"/>
      <c r="AY387" s="112"/>
      <c r="AZ387" s="112"/>
      <c r="BA387" s="112"/>
      <c r="BB387" s="112"/>
      <c r="BC387" s="112"/>
      <c r="BD387" s="112"/>
      <c r="BE387" s="112"/>
      <c r="BF387" s="112"/>
      <c r="BG387" s="112"/>
      <c r="BH387" s="112"/>
      <c r="BI387" s="112"/>
      <c r="BJ387" s="112"/>
      <c r="BK387" s="112"/>
      <c r="BL387" s="112"/>
      <c r="BM387" s="112"/>
      <c r="BN387" s="112"/>
      <c r="BO387" s="112"/>
      <c r="BP387" s="112"/>
      <c r="BQ387" s="112"/>
      <c r="BR387" s="112"/>
      <c r="BS387" s="112"/>
      <c r="BT387" s="112"/>
      <c r="BU387" s="112"/>
      <c r="BV387" s="112"/>
      <c r="BW387" s="112"/>
      <c r="BX387" s="112"/>
      <c r="BY387" s="112"/>
      <c r="BZ387" s="112"/>
    </row>
    <row r="388" spans="1:78" x14ac:dyDescent="0.2">
      <c r="A388" s="86"/>
      <c r="B388" s="442"/>
      <c r="C388" s="510"/>
      <c r="F388" s="8"/>
      <c r="K388" s="1"/>
      <c r="L388" s="1"/>
      <c r="AD388" s="112"/>
      <c r="AE388" s="112"/>
      <c r="AF388" s="112"/>
      <c r="AG388" s="112"/>
      <c r="AH388" s="112"/>
      <c r="AI388" s="112"/>
      <c r="AJ388" s="112"/>
      <c r="AK388" s="112"/>
      <c r="AL388" s="112"/>
      <c r="AM388" s="112"/>
      <c r="AN388" s="112"/>
      <c r="AO388" s="112"/>
      <c r="AP388" s="112"/>
      <c r="AQ388" s="112"/>
      <c r="AR388" s="112"/>
      <c r="AS388" s="112"/>
      <c r="AT388" s="112"/>
      <c r="AU388" s="112"/>
      <c r="AV388" s="112"/>
      <c r="AW388" s="112"/>
      <c r="AX388" s="112"/>
      <c r="AY388" s="112"/>
      <c r="AZ388" s="112"/>
      <c r="BA388" s="112"/>
      <c r="BB388" s="112"/>
      <c r="BC388" s="112"/>
      <c r="BD388" s="112"/>
      <c r="BE388" s="112"/>
      <c r="BF388" s="112"/>
      <c r="BG388" s="112"/>
      <c r="BH388" s="112"/>
      <c r="BI388" s="112"/>
      <c r="BJ388" s="112"/>
      <c r="BK388" s="112"/>
      <c r="BL388" s="112"/>
      <c r="BM388" s="112"/>
      <c r="BN388" s="112"/>
      <c r="BO388" s="112"/>
      <c r="BP388" s="112"/>
      <c r="BQ388" s="112"/>
      <c r="BR388" s="112"/>
      <c r="BS388" s="112"/>
      <c r="BT388" s="112"/>
      <c r="BU388" s="112"/>
      <c r="BV388" s="112"/>
      <c r="BW388" s="112"/>
      <c r="BX388" s="112"/>
      <c r="BY388" s="112"/>
      <c r="BZ388" s="112"/>
    </row>
    <row r="389" spans="1:78" x14ac:dyDescent="0.2">
      <c r="A389" s="86"/>
      <c r="B389" s="442"/>
      <c r="C389" s="510"/>
      <c r="F389" s="8"/>
      <c r="K389" s="1"/>
      <c r="L389" s="1"/>
      <c r="AD389" s="112"/>
      <c r="AE389" s="112"/>
      <c r="AF389" s="112"/>
      <c r="AG389" s="112"/>
      <c r="AH389" s="112"/>
      <c r="AI389" s="112"/>
      <c r="AJ389" s="112"/>
      <c r="AK389" s="112"/>
      <c r="AL389" s="112"/>
      <c r="AM389" s="112"/>
      <c r="AN389" s="112"/>
      <c r="AO389" s="112"/>
      <c r="AP389" s="112"/>
      <c r="AQ389" s="112"/>
      <c r="AR389" s="112"/>
      <c r="AS389" s="112"/>
      <c r="AT389" s="112"/>
      <c r="AU389" s="112"/>
      <c r="AV389" s="112"/>
      <c r="AW389" s="112"/>
      <c r="AX389" s="112"/>
      <c r="AY389" s="112"/>
      <c r="AZ389" s="112"/>
      <c r="BA389" s="112"/>
      <c r="BB389" s="112"/>
      <c r="BC389" s="112"/>
      <c r="BD389" s="112"/>
      <c r="BE389" s="112"/>
      <c r="BF389" s="112"/>
      <c r="BG389" s="112"/>
      <c r="BH389" s="112"/>
      <c r="BI389" s="112"/>
      <c r="BJ389" s="112"/>
      <c r="BK389" s="112"/>
      <c r="BL389" s="112"/>
      <c r="BM389" s="112"/>
      <c r="BN389" s="112"/>
      <c r="BO389" s="112"/>
      <c r="BP389" s="112"/>
      <c r="BQ389" s="112"/>
      <c r="BR389" s="112"/>
      <c r="BS389" s="112"/>
      <c r="BT389" s="112"/>
      <c r="BU389" s="112"/>
      <c r="BV389" s="112"/>
      <c r="BW389" s="112"/>
      <c r="BX389" s="112"/>
      <c r="BY389" s="112"/>
      <c r="BZ389" s="112"/>
    </row>
    <row r="390" spans="1:78" x14ac:dyDescent="0.2">
      <c r="A390" s="86"/>
      <c r="B390" s="442"/>
      <c r="C390" s="510"/>
      <c r="F390" s="8"/>
      <c r="K390" s="1"/>
      <c r="L390" s="1"/>
      <c r="AD390" s="112"/>
      <c r="AE390" s="112"/>
      <c r="AF390" s="112"/>
      <c r="AG390" s="112"/>
      <c r="AH390" s="112"/>
      <c r="AI390" s="112"/>
      <c r="AJ390" s="112"/>
      <c r="AK390" s="112"/>
      <c r="AL390" s="112"/>
      <c r="AM390" s="112"/>
      <c r="AN390" s="112"/>
      <c r="AO390" s="112"/>
      <c r="AP390" s="112"/>
      <c r="AQ390" s="112"/>
      <c r="AR390" s="112"/>
      <c r="AS390" s="112"/>
      <c r="AT390" s="112"/>
      <c r="AU390" s="112"/>
      <c r="AV390" s="112"/>
      <c r="AW390" s="112"/>
      <c r="AX390" s="112"/>
      <c r="AY390" s="112"/>
      <c r="AZ390" s="112"/>
      <c r="BA390" s="112"/>
      <c r="BB390" s="112"/>
      <c r="BC390" s="112"/>
      <c r="BD390" s="112"/>
      <c r="BE390" s="112"/>
      <c r="BF390" s="112"/>
      <c r="BG390" s="112"/>
      <c r="BH390" s="112"/>
      <c r="BI390" s="112"/>
      <c r="BJ390" s="112"/>
      <c r="BK390" s="112"/>
      <c r="BL390" s="112"/>
      <c r="BM390" s="112"/>
      <c r="BN390" s="112"/>
      <c r="BO390" s="112"/>
      <c r="BP390" s="112"/>
      <c r="BQ390" s="112"/>
      <c r="BR390" s="112"/>
      <c r="BS390" s="112"/>
      <c r="BT390" s="112"/>
      <c r="BU390" s="112"/>
      <c r="BV390" s="112"/>
      <c r="BW390" s="112"/>
      <c r="BX390" s="112"/>
      <c r="BY390" s="112"/>
      <c r="BZ390" s="112"/>
    </row>
    <row r="391" spans="1:78" x14ac:dyDescent="0.2">
      <c r="A391" s="86"/>
      <c r="B391" s="442"/>
      <c r="C391" s="510"/>
      <c r="F391" s="8"/>
      <c r="K391" s="1"/>
      <c r="L391" s="1"/>
      <c r="AD391" s="112"/>
      <c r="AE391" s="112"/>
      <c r="AF391" s="112"/>
      <c r="AG391" s="112"/>
      <c r="AH391" s="112"/>
      <c r="AI391" s="112"/>
      <c r="AJ391" s="112"/>
      <c r="AK391" s="112"/>
      <c r="AL391" s="112"/>
      <c r="AM391" s="112"/>
      <c r="AN391" s="112"/>
      <c r="AO391" s="112"/>
      <c r="AP391" s="112"/>
      <c r="AQ391" s="112"/>
      <c r="AR391" s="112"/>
      <c r="AS391" s="112"/>
      <c r="AT391" s="112"/>
      <c r="AU391" s="112"/>
      <c r="AV391" s="112"/>
      <c r="AW391" s="112"/>
      <c r="AX391" s="112"/>
      <c r="AY391" s="112"/>
      <c r="AZ391" s="112"/>
      <c r="BA391" s="112"/>
      <c r="BB391" s="112"/>
      <c r="BC391" s="112"/>
      <c r="BD391" s="112"/>
      <c r="BE391" s="112"/>
      <c r="BF391" s="112"/>
      <c r="BG391" s="112"/>
      <c r="BH391" s="112"/>
      <c r="BI391" s="112"/>
      <c r="BJ391" s="112"/>
      <c r="BK391" s="112"/>
      <c r="BL391" s="112"/>
      <c r="BM391" s="112"/>
      <c r="BN391" s="112"/>
      <c r="BO391" s="112"/>
      <c r="BP391" s="112"/>
      <c r="BQ391" s="112"/>
      <c r="BR391" s="112"/>
      <c r="BS391" s="112"/>
      <c r="BT391" s="112"/>
      <c r="BU391" s="112"/>
      <c r="BV391" s="112"/>
      <c r="BW391" s="112"/>
      <c r="BX391" s="112"/>
      <c r="BY391" s="112"/>
      <c r="BZ391" s="112"/>
    </row>
    <row r="392" spans="1:78" x14ac:dyDescent="0.2">
      <c r="A392" s="86"/>
      <c r="B392" s="442"/>
      <c r="C392" s="510"/>
      <c r="F392" s="8"/>
      <c r="K392" s="1"/>
      <c r="L392" s="1"/>
      <c r="AD392" s="112"/>
      <c r="AE392" s="112"/>
      <c r="AF392" s="112"/>
      <c r="AG392" s="112"/>
      <c r="AH392" s="112"/>
      <c r="AI392" s="112"/>
      <c r="AJ392" s="112"/>
      <c r="AK392" s="112"/>
      <c r="AL392" s="112"/>
      <c r="AM392" s="112"/>
      <c r="AN392" s="112"/>
      <c r="AO392" s="112"/>
      <c r="AP392" s="112"/>
      <c r="AQ392" s="112"/>
      <c r="AR392" s="112"/>
      <c r="AS392" s="112"/>
      <c r="AT392" s="112"/>
      <c r="AU392" s="112"/>
      <c r="AV392" s="112"/>
      <c r="AW392" s="112"/>
      <c r="AX392" s="112"/>
      <c r="AY392" s="112"/>
      <c r="AZ392" s="112"/>
      <c r="BA392" s="112"/>
      <c r="BB392" s="112"/>
      <c r="BC392" s="112"/>
      <c r="BD392" s="112"/>
      <c r="BE392" s="112"/>
      <c r="BF392" s="112"/>
      <c r="BG392" s="112"/>
      <c r="BH392" s="112"/>
      <c r="BI392" s="112"/>
      <c r="BJ392" s="112"/>
      <c r="BK392" s="112"/>
      <c r="BL392" s="112"/>
      <c r="BM392" s="112"/>
      <c r="BN392" s="112"/>
      <c r="BO392" s="112"/>
      <c r="BP392" s="112"/>
      <c r="BQ392" s="112"/>
      <c r="BR392" s="112"/>
      <c r="BS392" s="112"/>
      <c r="BT392" s="112"/>
      <c r="BU392" s="112"/>
      <c r="BV392" s="112"/>
      <c r="BW392" s="112"/>
      <c r="BX392" s="112"/>
      <c r="BY392" s="112"/>
      <c r="BZ392" s="112"/>
    </row>
    <row r="393" spans="1:78" x14ac:dyDescent="0.2">
      <c r="A393" s="86"/>
      <c r="B393" s="442"/>
      <c r="C393" s="510"/>
      <c r="F393" s="8"/>
      <c r="K393" s="1"/>
      <c r="L393" s="1"/>
      <c r="AD393" s="112"/>
      <c r="AE393" s="112"/>
      <c r="AF393" s="112"/>
      <c r="AG393" s="112"/>
      <c r="AH393" s="112"/>
      <c r="AI393" s="112"/>
      <c r="AJ393" s="112"/>
      <c r="AK393" s="112"/>
      <c r="AL393" s="112"/>
      <c r="AM393" s="112"/>
      <c r="AN393" s="112"/>
      <c r="AO393" s="112"/>
      <c r="AP393" s="112"/>
      <c r="AQ393" s="112"/>
      <c r="AR393" s="112"/>
      <c r="AS393" s="112"/>
      <c r="AT393" s="112"/>
      <c r="AU393" s="112"/>
      <c r="AV393" s="112"/>
      <c r="AW393" s="112"/>
      <c r="AX393" s="112"/>
      <c r="AY393" s="112"/>
      <c r="AZ393" s="112"/>
      <c r="BA393" s="112"/>
      <c r="BB393" s="112"/>
      <c r="BC393" s="112"/>
      <c r="BD393" s="112"/>
      <c r="BE393" s="112"/>
      <c r="BF393" s="112"/>
      <c r="BG393" s="112"/>
      <c r="BH393" s="112"/>
      <c r="BI393" s="112"/>
      <c r="BJ393" s="112"/>
      <c r="BK393" s="112"/>
      <c r="BL393" s="112"/>
      <c r="BM393" s="112"/>
      <c r="BN393" s="112"/>
      <c r="BO393" s="112"/>
      <c r="BP393" s="112"/>
      <c r="BQ393" s="112"/>
      <c r="BR393" s="112"/>
      <c r="BS393" s="112"/>
      <c r="BT393" s="112"/>
      <c r="BU393" s="112"/>
      <c r="BV393" s="112"/>
      <c r="BW393" s="112"/>
      <c r="BX393" s="112"/>
      <c r="BY393" s="112"/>
      <c r="BZ393" s="112"/>
    </row>
    <row r="394" spans="1:78" x14ac:dyDescent="0.2">
      <c r="A394" s="86"/>
      <c r="B394" s="442"/>
      <c r="C394" s="510"/>
      <c r="F394" s="8"/>
      <c r="K394" s="1"/>
      <c r="L394" s="1"/>
      <c r="AD394" s="112"/>
      <c r="AE394" s="112"/>
      <c r="AF394" s="112"/>
      <c r="AG394" s="112"/>
      <c r="AH394" s="112"/>
      <c r="AI394" s="112"/>
      <c r="AJ394" s="112"/>
      <c r="AK394" s="112"/>
      <c r="AL394" s="112"/>
      <c r="AM394" s="112"/>
      <c r="AN394" s="112"/>
      <c r="AO394" s="112"/>
      <c r="AP394" s="112"/>
      <c r="AQ394" s="112"/>
      <c r="AR394" s="112"/>
      <c r="AS394" s="112"/>
      <c r="AT394" s="112"/>
      <c r="AU394" s="112"/>
      <c r="AV394" s="112"/>
      <c r="AW394" s="112"/>
      <c r="AX394" s="112"/>
      <c r="AY394" s="112"/>
      <c r="AZ394" s="112"/>
      <c r="BA394" s="112"/>
      <c r="BB394" s="112"/>
      <c r="BC394" s="112"/>
      <c r="BD394" s="112"/>
      <c r="BE394" s="112"/>
      <c r="BF394" s="112"/>
      <c r="BG394" s="112"/>
      <c r="BH394" s="112"/>
      <c r="BI394" s="112"/>
      <c r="BJ394" s="112"/>
      <c r="BK394" s="112"/>
      <c r="BL394" s="112"/>
      <c r="BM394" s="112"/>
      <c r="BN394" s="112"/>
      <c r="BO394" s="112"/>
      <c r="BP394" s="112"/>
      <c r="BQ394" s="112"/>
      <c r="BR394" s="112"/>
      <c r="BS394" s="112"/>
      <c r="BT394" s="112"/>
      <c r="BU394" s="112"/>
      <c r="BV394" s="112"/>
      <c r="BW394" s="112"/>
      <c r="BX394" s="112"/>
      <c r="BY394" s="112"/>
      <c r="BZ394" s="112"/>
    </row>
    <row r="395" spans="1:78" x14ac:dyDescent="0.2">
      <c r="A395" s="86"/>
      <c r="B395" s="442"/>
      <c r="C395" s="510"/>
      <c r="F395" s="8"/>
      <c r="K395" s="1"/>
      <c r="L395" s="1"/>
      <c r="AD395" s="112"/>
      <c r="AE395" s="112"/>
      <c r="AF395" s="112"/>
      <c r="AG395" s="112"/>
      <c r="AH395" s="112"/>
      <c r="AI395" s="112"/>
      <c r="AJ395" s="112"/>
      <c r="AK395" s="112"/>
      <c r="AL395" s="112"/>
      <c r="AM395" s="112"/>
      <c r="AN395" s="112"/>
      <c r="AO395" s="112"/>
      <c r="AP395" s="112"/>
      <c r="AQ395" s="112"/>
      <c r="AR395" s="112"/>
      <c r="AS395" s="112"/>
      <c r="AT395" s="112"/>
      <c r="AU395" s="112"/>
      <c r="AV395" s="112"/>
      <c r="AW395" s="112"/>
      <c r="AX395" s="112"/>
      <c r="AY395" s="112"/>
      <c r="AZ395" s="112"/>
      <c r="BA395" s="112"/>
      <c r="BB395" s="112"/>
      <c r="BC395" s="112"/>
      <c r="BD395" s="112"/>
      <c r="BE395" s="112"/>
      <c r="BF395" s="112"/>
      <c r="BG395" s="112"/>
      <c r="BH395" s="112"/>
      <c r="BI395" s="112"/>
      <c r="BJ395" s="112"/>
      <c r="BK395" s="112"/>
      <c r="BL395" s="112"/>
      <c r="BM395" s="112"/>
      <c r="BN395" s="112"/>
      <c r="BO395" s="112"/>
      <c r="BP395" s="112"/>
      <c r="BQ395" s="112"/>
      <c r="BR395" s="112"/>
      <c r="BS395" s="112"/>
      <c r="BT395" s="112"/>
      <c r="BU395" s="112"/>
      <c r="BV395" s="112"/>
      <c r="BW395" s="112"/>
      <c r="BX395" s="112"/>
      <c r="BY395" s="112"/>
      <c r="BZ395" s="112"/>
    </row>
    <row r="396" spans="1:78" x14ac:dyDescent="0.2">
      <c r="A396" s="86"/>
      <c r="B396" s="442"/>
      <c r="C396" s="510"/>
      <c r="F396" s="8"/>
      <c r="K396" s="1"/>
      <c r="L396" s="1"/>
      <c r="AD396" s="112"/>
      <c r="AE396" s="112"/>
      <c r="AF396" s="112"/>
      <c r="AG396" s="112"/>
      <c r="AH396" s="112"/>
      <c r="AI396" s="112"/>
      <c r="AJ396" s="112"/>
      <c r="AK396" s="112"/>
      <c r="AL396" s="112"/>
      <c r="AM396" s="112"/>
      <c r="AN396" s="112"/>
      <c r="AO396" s="112"/>
      <c r="AP396" s="112"/>
      <c r="AQ396" s="112"/>
      <c r="AR396" s="112"/>
      <c r="AS396" s="112"/>
      <c r="AT396" s="112"/>
      <c r="AU396" s="112"/>
      <c r="AV396" s="112"/>
      <c r="AW396" s="112"/>
      <c r="AX396" s="112"/>
      <c r="AY396" s="112"/>
      <c r="AZ396" s="112"/>
      <c r="BA396" s="112"/>
      <c r="BB396" s="112"/>
      <c r="BC396" s="112"/>
      <c r="BD396" s="112"/>
      <c r="BE396" s="112"/>
      <c r="BF396" s="112"/>
      <c r="BG396" s="112"/>
      <c r="BH396" s="112"/>
      <c r="BI396" s="112"/>
      <c r="BJ396" s="112"/>
      <c r="BK396" s="112"/>
      <c r="BL396" s="112"/>
      <c r="BM396" s="112"/>
      <c r="BN396" s="112"/>
      <c r="BO396" s="112"/>
      <c r="BP396" s="112"/>
      <c r="BQ396" s="112"/>
      <c r="BR396" s="112"/>
      <c r="BS396" s="112"/>
      <c r="BT396" s="112"/>
      <c r="BU396" s="112"/>
      <c r="BV396" s="112"/>
      <c r="BW396" s="112"/>
      <c r="BX396" s="112"/>
      <c r="BY396" s="112"/>
      <c r="BZ396" s="112"/>
    </row>
    <row r="397" spans="1:78" x14ac:dyDescent="0.2">
      <c r="A397" s="86"/>
      <c r="B397" s="442"/>
      <c r="C397" s="510"/>
      <c r="F397" s="8"/>
      <c r="K397" s="1"/>
      <c r="L397" s="1"/>
      <c r="AD397" s="112"/>
      <c r="AE397" s="112"/>
      <c r="AF397" s="112"/>
      <c r="AG397" s="112"/>
      <c r="AH397" s="112"/>
      <c r="AI397" s="112"/>
      <c r="AJ397" s="112"/>
      <c r="AK397" s="112"/>
      <c r="AL397" s="112"/>
      <c r="AM397" s="112"/>
      <c r="AN397" s="112"/>
      <c r="AO397" s="112"/>
      <c r="AP397" s="112"/>
      <c r="AQ397" s="112"/>
      <c r="AR397" s="112"/>
      <c r="AS397" s="112"/>
      <c r="AT397" s="112"/>
      <c r="AU397" s="112"/>
      <c r="AV397" s="112"/>
      <c r="AW397" s="112"/>
      <c r="AX397" s="112"/>
      <c r="AY397" s="112"/>
      <c r="AZ397" s="112"/>
      <c r="BA397" s="112"/>
      <c r="BB397" s="112"/>
      <c r="BC397" s="112"/>
      <c r="BD397" s="112"/>
      <c r="BE397" s="112"/>
      <c r="BF397" s="112"/>
      <c r="BG397" s="112"/>
      <c r="BH397" s="112"/>
      <c r="BI397" s="112"/>
      <c r="BJ397" s="112"/>
      <c r="BK397" s="112"/>
      <c r="BL397" s="112"/>
      <c r="BM397" s="112"/>
      <c r="BN397" s="112"/>
      <c r="BO397" s="112"/>
      <c r="BP397" s="112"/>
      <c r="BQ397" s="112"/>
      <c r="BR397" s="112"/>
      <c r="BS397" s="112"/>
      <c r="BT397" s="112"/>
      <c r="BU397" s="112"/>
      <c r="BV397" s="112"/>
      <c r="BW397" s="112"/>
      <c r="BX397" s="112"/>
      <c r="BY397" s="112"/>
      <c r="BZ397" s="112"/>
    </row>
    <row r="398" spans="1:78" x14ac:dyDescent="0.2">
      <c r="A398" s="86"/>
      <c r="B398" s="442"/>
      <c r="C398" s="510"/>
      <c r="F398" s="8"/>
      <c r="K398" s="1"/>
      <c r="L398" s="1"/>
      <c r="AD398" s="112"/>
      <c r="AE398" s="112"/>
      <c r="AF398" s="112"/>
      <c r="AG398" s="112"/>
      <c r="AH398" s="112"/>
      <c r="AI398" s="112"/>
      <c r="AJ398" s="112"/>
      <c r="AK398" s="112"/>
      <c r="AL398" s="112"/>
      <c r="AM398" s="112"/>
      <c r="AN398" s="112"/>
      <c r="AO398" s="112"/>
      <c r="AP398" s="112"/>
      <c r="AQ398" s="112"/>
      <c r="AR398" s="112"/>
      <c r="AS398" s="112"/>
      <c r="AT398" s="112"/>
      <c r="AU398" s="112"/>
      <c r="AV398" s="112"/>
      <c r="AW398" s="112"/>
      <c r="AX398" s="112"/>
      <c r="AY398" s="112"/>
      <c r="AZ398" s="112"/>
      <c r="BA398" s="112"/>
      <c r="BB398" s="112"/>
      <c r="BC398" s="112"/>
      <c r="BD398" s="112"/>
      <c r="BE398" s="112"/>
      <c r="BF398" s="112"/>
      <c r="BG398" s="112"/>
      <c r="BH398" s="112"/>
      <c r="BI398" s="112"/>
      <c r="BJ398" s="112"/>
      <c r="BK398" s="112"/>
      <c r="BL398" s="112"/>
      <c r="BM398" s="112"/>
      <c r="BN398" s="112"/>
      <c r="BO398" s="112"/>
      <c r="BP398" s="112"/>
      <c r="BQ398" s="112"/>
      <c r="BR398" s="112"/>
      <c r="BS398" s="112"/>
      <c r="BT398" s="112"/>
      <c r="BU398" s="112"/>
      <c r="BV398" s="112"/>
      <c r="BW398" s="112"/>
      <c r="BX398" s="112"/>
      <c r="BY398" s="112"/>
      <c r="BZ398" s="112"/>
    </row>
    <row r="399" spans="1:78" x14ac:dyDescent="0.2">
      <c r="A399" s="86"/>
      <c r="B399" s="442"/>
      <c r="C399" s="510"/>
      <c r="F399" s="8"/>
      <c r="K399" s="1"/>
      <c r="L399" s="1"/>
      <c r="AD399" s="112"/>
      <c r="AE399" s="112"/>
      <c r="AF399" s="112"/>
      <c r="AG399" s="112"/>
      <c r="AH399" s="112"/>
      <c r="AI399" s="112"/>
      <c r="AJ399" s="112"/>
      <c r="AK399" s="112"/>
      <c r="AL399" s="112"/>
      <c r="AM399" s="112"/>
      <c r="AN399" s="112"/>
      <c r="AO399" s="112"/>
      <c r="AP399" s="112"/>
      <c r="AQ399" s="112"/>
      <c r="AR399" s="112"/>
      <c r="AS399" s="112"/>
      <c r="AT399" s="112"/>
      <c r="AU399" s="112"/>
      <c r="AV399" s="112"/>
      <c r="AW399" s="112"/>
      <c r="AX399" s="112"/>
      <c r="AY399" s="112"/>
      <c r="AZ399" s="112"/>
      <c r="BA399" s="112"/>
      <c r="BB399" s="112"/>
      <c r="BC399" s="112"/>
      <c r="BD399" s="112"/>
      <c r="BE399" s="112"/>
      <c r="BF399" s="112"/>
      <c r="BG399" s="112"/>
      <c r="BH399" s="112"/>
      <c r="BI399" s="112"/>
      <c r="BJ399" s="112"/>
      <c r="BK399" s="112"/>
      <c r="BL399" s="112"/>
      <c r="BM399" s="112"/>
      <c r="BN399" s="112"/>
      <c r="BO399" s="112"/>
      <c r="BP399" s="112"/>
      <c r="BQ399" s="112"/>
      <c r="BR399" s="112"/>
      <c r="BS399" s="112"/>
      <c r="BT399" s="112"/>
      <c r="BU399" s="112"/>
      <c r="BV399" s="112"/>
      <c r="BW399" s="112"/>
      <c r="BX399" s="112"/>
      <c r="BY399" s="112"/>
      <c r="BZ399" s="112"/>
    </row>
    <row r="400" spans="1:78" x14ac:dyDescent="0.2">
      <c r="A400" s="86"/>
      <c r="B400" s="442"/>
      <c r="C400" s="510"/>
      <c r="F400" s="8"/>
      <c r="K400" s="1"/>
      <c r="L400" s="1"/>
      <c r="AD400" s="112"/>
      <c r="AE400" s="112"/>
      <c r="AF400" s="112"/>
      <c r="AG400" s="112"/>
      <c r="AH400" s="112"/>
      <c r="AI400" s="112"/>
      <c r="AJ400" s="112"/>
      <c r="AK400" s="112"/>
      <c r="AL400" s="112"/>
      <c r="AM400" s="112"/>
      <c r="AN400" s="112"/>
      <c r="AO400" s="112"/>
      <c r="AP400" s="112"/>
      <c r="AQ400" s="112"/>
      <c r="AR400" s="112"/>
      <c r="AS400" s="112"/>
      <c r="AT400" s="112"/>
      <c r="AU400" s="112"/>
      <c r="AV400" s="112"/>
      <c r="AW400" s="112"/>
      <c r="AX400" s="112"/>
      <c r="AY400" s="112"/>
      <c r="AZ400" s="112"/>
      <c r="BA400" s="112"/>
      <c r="BB400" s="112"/>
      <c r="BC400" s="112"/>
      <c r="BD400" s="112"/>
      <c r="BE400" s="112"/>
      <c r="BF400" s="112"/>
      <c r="BG400" s="112"/>
      <c r="BH400" s="112"/>
      <c r="BI400" s="112"/>
      <c r="BJ400" s="112"/>
      <c r="BK400" s="112"/>
      <c r="BL400" s="112"/>
      <c r="BM400" s="112"/>
      <c r="BN400" s="112"/>
      <c r="BO400" s="112"/>
      <c r="BP400" s="112"/>
      <c r="BQ400" s="112"/>
      <c r="BR400" s="112"/>
      <c r="BS400" s="112"/>
      <c r="BT400" s="112"/>
      <c r="BU400" s="112"/>
      <c r="BV400" s="112"/>
      <c r="BW400" s="112"/>
      <c r="BX400" s="112"/>
      <c r="BY400" s="112"/>
      <c r="BZ400" s="112"/>
    </row>
    <row r="401" spans="1:78" x14ac:dyDescent="0.2">
      <c r="A401" s="86"/>
      <c r="B401" s="442"/>
      <c r="C401" s="510"/>
      <c r="F401" s="8"/>
      <c r="K401" s="1"/>
      <c r="L401" s="1"/>
      <c r="AD401" s="112"/>
      <c r="AE401" s="112"/>
      <c r="AF401" s="112"/>
      <c r="AG401" s="112"/>
      <c r="AH401" s="112"/>
      <c r="AI401" s="112"/>
      <c r="AJ401" s="112"/>
      <c r="AK401" s="112"/>
      <c r="AL401" s="112"/>
      <c r="AM401" s="112"/>
      <c r="AN401" s="112"/>
      <c r="AO401" s="112"/>
      <c r="AP401" s="112"/>
      <c r="AQ401" s="112"/>
      <c r="AR401" s="112"/>
      <c r="AS401" s="112"/>
      <c r="AT401" s="112"/>
      <c r="AU401" s="112"/>
      <c r="AV401" s="112"/>
      <c r="AW401" s="112"/>
      <c r="AX401" s="112"/>
      <c r="AY401" s="112"/>
      <c r="AZ401" s="112"/>
      <c r="BA401" s="112"/>
      <c r="BB401" s="112"/>
      <c r="BC401" s="112"/>
      <c r="BD401" s="112"/>
      <c r="BE401" s="112"/>
      <c r="BF401" s="112"/>
      <c r="BG401" s="112"/>
      <c r="BH401" s="112"/>
      <c r="BI401" s="112"/>
      <c r="BJ401" s="112"/>
      <c r="BK401" s="112"/>
      <c r="BL401" s="112"/>
      <c r="BM401" s="112"/>
      <c r="BN401" s="112"/>
      <c r="BO401" s="112"/>
      <c r="BP401" s="112"/>
      <c r="BQ401" s="112"/>
      <c r="BR401" s="112"/>
      <c r="BS401" s="112"/>
      <c r="BT401" s="112"/>
      <c r="BU401" s="112"/>
      <c r="BV401" s="112"/>
      <c r="BW401" s="112"/>
      <c r="BX401" s="112"/>
      <c r="BY401" s="112"/>
      <c r="BZ401" s="112"/>
    </row>
    <row r="402" spans="1:78" x14ac:dyDescent="0.2">
      <c r="A402" s="86"/>
      <c r="B402" s="442"/>
      <c r="C402" s="510"/>
      <c r="F402" s="8"/>
      <c r="K402" s="1"/>
      <c r="L402" s="1"/>
      <c r="AD402" s="112"/>
      <c r="AE402" s="112"/>
      <c r="AF402" s="112"/>
      <c r="AG402" s="112"/>
      <c r="AH402" s="112"/>
      <c r="AI402" s="112"/>
      <c r="AJ402" s="112"/>
      <c r="AK402" s="112"/>
      <c r="AL402" s="112"/>
      <c r="AM402" s="112"/>
      <c r="AN402" s="112"/>
      <c r="AO402" s="112"/>
      <c r="AP402" s="112"/>
      <c r="AQ402" s="112"/>
      <c r="AR402" s="112"/>
      <c r="AS402" s="112"/>
      <c r="AT402" s="112"/>
      <c r="AU402" s="112"/>
      <c r="AV402" s="112"/>
      <c r="AW402" s="112"/>
      <c r="AX402" s="112"/>
      <c r="AY402" s="112"/>
      <c r="AZ402" s="112"/>
      <c r="BA402" s="112"/>
      <c r="BB402" s="112"/>
      <c r="BC402" s="112"/>
      <c r="BD402" s="112"/>
      <c r="BE402" s="112"/>
      <c r="BF402" s="112"/>
      <c r="BG402" s="112"/>
      <c r="BH402" s="112"/>
      <c r="BI402" s="112"/>
      <c r="BJ402" s="112"/>
      <c r="BK402" s="112"/>
      <c r="BL402" s="112"/>
      <c r="BM402" s="112"/>
      <c r="BN402" s="112"/>
      <c r="BO402" s="112"/>
      <c r="BP402" s="112"/>
      <c r="BQ402" s="112"/>
      <c r="BR402" s="112"/>
      <c r="BS402" s="112"/>
      <c r="BT402" s="112"/>
      <c r="BU402" s="112"/>
      <c r="BV402" s="112"/>
      <c r="BW402" s="112"/>
      <c r="BX402" s="112"/>
      <c r="BY402" s="112"/>
      <c r="BZ402" s="112"/>
    </row>
    <row r="403" spans="1:78" x14ac:dyDescent="0.2">
      <c r="A403" s="86"/>
      <c r="B403" s="442"/>
      <c r="C403" s="510"/>
      <c r="F403" s="8"/>
      <c r="K403" s="1"/>
      <c r="L403" s="1"/>
      <c r="AD403" s="112"/>
      <c r="AE403" s="112"/>
      <c r="AF403" s="112"/>
      <c r="AG403" s="112"/>
      <c r="AH403" s="112"/>
      <c r="AI403" s="112"/>
      <c r="AJ403" s="112"/>
      <c r="AK403" s="112"/>
      <c r="AL403" s="112"/>
      <c r="AM403" s="112"/>
      <c r="AN403" s="112"/>
      <c r="AO403" s="112"/>
      <c r="AP403" s="112"/>
      <c r="AQ403" s="112"/>
      <c r="AR403" s="112"/>
      <c r="AS403" s="112"/>
      <c r="AT403" s="112"/>
      <c r="AU403" s="112"/>
      <c r="AV403" s="112"/>
      <c r="AW403" s="112"/>
      <c r="AX403" s="112"/>
      <c r="AY403" s="112"/>
      <c r="AZ403" s="112"/>
      <c r="BA403" s="112"/>
      <c r="BB403" s="112"/>
      <c r="BC403" s="112"/>
      <c r="BD403" s="112"/>
      <c r="BE403" s="112"/>
      <c r="BF403" s="112"/>
      <c r="BG403" s="112"/>
      <c r="BH403" s="112"/>
      <c r="BI403" s="112"/>
      <c r="BJ403" s="112"/>
      <c r="BK403" s="112"/>
      <c r="BL403" s="112"/>
      <c r="BM403" s="112"/>
      <c r="BN403" s="112"/>
      <c r="BO403" s="112"/>
      <c r="BP403" s="112"/>
      <c r="BQ403" s="112"/>
      <c r="BR403" s="112"/>
      <c r="BS403" s="112"/>
      <c r="BT403" s="112"/>
      <c r="BU403" s="112"/>
      <c r="BV403" s="112"/>
      <c r="BW403" s="112"/>
      <c r="BX403" s="112"/>
      <c r="BY403" s="112"/>
      <c r="BZ403" s="112"/>
    </row>
    <row r="404" spans="1:78" x14ac:dyDescent="0.2">
      <c r="A404" s="86"/>
      <c r="B404" s="442"/>
      <c r="C404" s="510"/>
      <c r="F404" s="8"/>
      <c r="K404" s="1"/>
      <c r="L404" s="1"/>
      <c r="AD404" s="112"/>
      <c r="AE404" s="112"/>
      <c r="AF404" s="112"/>
      <c r="AG404" s="112"/>
      <c r="AH404" s="112"/>
      <c r="AI404" s="112"/>
      <c r="AJ404" s="112"/>
      <c r="AK404" s="112"/>
      <c r="AL404" s="112"/>
      <c r="AM404" s="112"/>
      <c r="AN404" s="112"/>
      <c r="AO404" s="112"/>
      <c r="AP404" s="112"/>
      <c r="AQ404" s="112"/>
      <c r="AR404" s="112"/>
      <c r="AS404" s="112"/>
      <c r="AT404" s="112"/>
      <c r="AU404" s="112"/>
      <c r="AV404" s="112"/>
      <c r="AW404" s="112"/>
      <c r="AX404" s="112"/>
      <c r="AY404" s="112"/>
      <c r="AZ404" s="112"/>
      <c r="BA404" s="112"/>
      <c r="BB404" s="112"/>
      <c r="BC404" s="112"/>
      <c r="BD404" s="112"/>
      <c r="BE404" s="112"/>
      <c r="BF404" s="112"/>
      <c r="BG404" s="112"/>
      <c r="BH404" s="112"/>
      <c r="BI404" s="112"/>
      <c r="BJ404" s="112"/>
      <c r="BK404" s="112"/>
      <c r="BL404" s="112"/>
      <c r="BM404" s="112"/>
      <c r="BN404" s="112"/>
      <c r="BO404" s="112"/>
      <c r="BP404" s="112"/>
      <c r="BQ404" s="112"/>
      <c r="BR404" s="112"/>
      <c r="BS404" s="112"/>
      <c r="BT404" s="112"/>
      <c r="BU404" s="112"/>
      <c r="BV404" s="112"/>
      <c r="BW404" s="112"/>
      <c r="BX404" s="112"/>
      <c r="BY404" s="112"/>
      <c r="BZ404" s="112"/>
    </row>
    <row r="405" spans="1:78" x14ac:dyDescent="0.2">
      <c r="A405" s="86"/>
      <c r="B405" s="442"/>
      <c r="C405" s="510"/>
      <c r="F405" s="8"/>
      <c r="K405" s="1"/>
      <c r="L405" s="1"/>
      <c r="AD405" s="112"/>
      <c r="AE405" s="112"/>
      <c r="AF405" s="112"/>
      <c r="AG405" s="112"/>
      <c r="AH405" s="112"/>
      <c r="AI405" s="112"/>
      <c r="AJ405" s="112"/>
      <c r="AK405" s="112"/>
      <c r="AL405" s="112"/>
      <c r="AM405" s="112"/>
      <c r="AN405" s="112"/>
      <c r="AO405" s="112"/>
      <c r="AP405" s="112"/>
      <c r="AQ405" s="112"/>
      <c r="AR405" s="112"/>
      <c r="AS405" s="112"/>
      <c r="AT405" s="112"/>
      <c r="AU405" s="112"/>
      <c r="AV405" s="112"/>
      <c r="AW405" s="112"/>
      <c r="AX405" s="112"/>
      <c r="AY405" s="112"/>
      <c r="AZ405" s="112"/>
      <c r="BA405" s="112"/>
      <c r="BB405" s="112"/>
      <c r="BC405" s="112"/>
      <c r="BD405" s="112"/>
      <c r="BE405" s="112"/>
      <c r="BF405" s="112"/>
      <c r="BG405" s="112"/>
      <c r="BH405" s="112"/>
      <c r="BI405" s="112"/>
      <c r="BJ405" s="112"/>
      <c r="BK405" s="112"/>
      <c r="BL405" s="112"/>
      <c r="BM405" s="112"/>
      <c r="BN405" s="112"/>
      <c r="BO405" s="112"/>
      <c r="BP405" s="112"/>
      <c r="BQ405" s="112"/>
      <c r="BR405" s="112"/>
      <c r="BS405" s="112"/>
      <c r="BT405" s="112"/>
      <c r="BU405" s="112"/>
      <c r="BV405" s="112"/>
      <c r="BW405" s="112"/>
      <c r="BX405" s="112"/>
      <c r="BY405" s="112"/>
      <c r="BZ405" s="112"/>
    </row>
    <row r="406" spans="1:78" x14ac:dyDescent="0.2">
      <c r="A406" s="86"/>
      <c r="B406" s="442"/>
      <c r="C406" s="510"/>
      <c r="F406" s="8"/>
      <c r="K406" s="1"/>
      <c r="L406" s="1"/>
      <c r="AD406" s="112"/>
      <c r="AE406" s="112"/>
      <c r="AF406" s="112"/>
      <c r="AG406" s="112"/>
      <c r="AH406" s="112"/>
      <c r="AI406" s="112"/>
      <c r="AJ406" s="112"/>
      <c r="AK406" s="112"/>
      <c r="AL406" s="112"/>
      <c r="AM406" s="112"/>
      <c r="AN406" s="112"/>
      <c r="AO406" s="112"/>
      <c r="AP406" s="112"/>
      <c r="AQ406" s="112"/>
      <c r="AR406" s="112"/>
      <c r="AS406" s="112"/>
      <c r="AT406" s="112"/>
      <c r="AU406" s="112"/>
      <c r="AV406" s="112"/>
      <c r="AW406" s="112"/>
      <c r="AX406" s="112"/>
      <c r="AY406" s="112"/>
      <c r="AZ406" s="112"/>
      <c r="BA406" s="112"/>
      <c r="BB406" s="112"/>
      <c r="BC406" s="112"/>
      <c r="BD406" s="112"/>
      <c r="BE406" s="112"/>
      <c r="BF406" s="112"/>
      <c r="BG406" s="112"/>
      <c r="BH406" s="112"/>
      <c r="BI406" s="112"/>
      <c r="BJ406" s="112"/>
      <c r="BK406" s="112"/>
      <c r="BL406" s="112"/>
      <c r="BM406" s="112"/>
      <c r="BN406" s="112"/>
      <c r="BO406" s="112"/>
      <c r="BP406" s="112"/>
      <c r="BQ406" s="112"/>
      <c r="BR406" s="112"/>
      <c r="BS406" s="112"/>
      <c r="BT406" s="112"/>
      <c r="BU406" s="112"/>
      <c r="BV406" s="112"/>
      <c r="BW406" s="112"/>
      <c r="BX406" s="112"/>
      <c r="BY406" s="112"/>
      <c r="BZ406" s="112"/>
    </row>
    <row r="407" spans="1:78" x14ac:dyDescent="0.2">
      <c r="A407" s="86"/>
      <c r="B407" s="442"/>
      <c r="C407" s="510"/>
      <c r="F407" s="8"/>
      <c r="K407" s="1"/>
      <c r="L407" s="1"/>
      <c r="AD407" s="112"/>
      <c r="AE407" s="112"/>
      <c r="AF407" s="112"/>
      <c r="AG407" s="112"/>
      <c r="AH407" s="112"/>
      <c r="AI407" s="112"/>
      <c r="AJ407" s="112"/>
      <c r="AK407" s="112"/>
      <c r="AL407" s="112"/>
      <c r="AM407" s="112"/>
      <c r="AN407" s="112"/>
      <c r="AO407" s="112"/>
      <c r="AP407" s="112"/>
      <c r="AQ407" s="112"/>
      <c r="AR407" s="112"/>
      <c r="AS407" s="112"/>
      <c r="AT407" s="112"/>
      <c r="AU407" s="112"/>
      <c r="AV407" s="112"/>
      <c r="AW407" s="112"/>
      <c r="AX407" s="112"/>
      <c r="AY407" s="112"/>
      <c r="AZ407" s="112"/>
      <c r="BA407" s="112"/>
      <c r="BB407" s="112"/>
      <c r="BC407" s="112"/>
      <c r="BD407" s="112"/>
      <c r="BE407" s="112"/>
      <c r="BF407" s="112"/>
      <c r="BG407" s="112"/>
      <c r="BH407" s="112"/>
      <c r="BI407" s="112"/>
      <c r="BJ407" s="112"/>
      <c r="BK407" s="112"/>
      <c r="BL407" s="112"/>
      <c r="BM407" s="112"/>
      <c r="BN407" s="112"/>
      <c r="BO407" s="112"/>
      <c r="BP407" s="112"/>
      <c r="BQ407" s="112"/>
      <c r="BR407" s="112"/>
      <c r="BS407" s="112"/>
      <c r="BT407" s="112"/>
      <c r="BU407" s="112"/>
      <c r="BV407" s="112"/>
      <c r="BW407" s="112"/>
      <c r="BX407" s="112"/>
      <c r="BY407" s="112"/>
      <c r="BZ407" s="112"/>
    </row>
    <row r="408" spans="1:78" x14ac:dyDescent="0.2">
      <c r="A408" s="86"/>
      <c r="B408" s="442"/>
      <c r="C408" s="510"/>
      <c r="F408" s="8"/>
      <c r="K408" s="1"/>
      <c r="L408" s="1"/>
      <c r="AD408" s="112"/>
      <c r="AE408" s="112"/>
      <c r="AF408" s="112"/>
      <c r="AG408" s="112"/>
      <c r="AH408" s="112"/>
      <c r="AI408" s="112"/>
      <c r="AJ408" s="112"/>
      <c r="AK408" s="112"/>
      <c r="AL408" s="112"/>
      <c r="AM408" s="112"/>
      <c r="AN408" s="112"/>
      <c r="AO408" s="112"/>
      <c r="AP408" s="112"/>
      <c r="AQ408" s="112"/>
      <c r="AR408" s="112"/>
      <c r="AS408" s="112"/>
      <c r="AT408" s="112"/>
      <c r="AU408" s="112"/>
      <c r="AV408" s="112"/>
      <c r="AW408" s="112"/>
      <c r="AX408" s="112"/>
      <c r="AY408" s="112"/>
      <c r="AZ408" s="112"/>
      <c r="BA408" s="112"/>
      <c r="BB408" s="112"/>
      <c r="BC408" s="112"/>
      <c r="BD408" s="112"/>
      <c r="BE408" s="112"/>
      <c r="BF408" s="112"/>
      <c r="BG408" s="112"/>
      <c r="BH408" s="112"/>
      <c r="BI408" s="112"/>
      <c r="BJ408" s="112"/>
      <c r="BK408" s="112"/>
      <c r="BL408" s="112"/>
      <c r="BM408" s="112"/>
      <c r="BN408" s="112"/>
      <c r="BO408" s="112"/>
      <c r="BP408" s="112"/>
      <c r="BQ408" s="112"/>
      <c r="BR408" s="112"/>
      <c r="BS408" s="112"/>
      <c r="BT408" s="112"/>
      <c r="BU408" s="112"/>
      <c r="BV408" s="112"/>
      <c r="BW408" s="112"/>
      <c r="BX408" s="112"/>
      <c r="BY408" s="112"/>
      <c r="BZ408" s="112"/>
    </row>
    <row r="409" spans="1:78" x14ac:dyDescent="0.2">
      <c r="A409" s="86"/>
      <c r="B409" s="442"/>
      <c r="C409" s="510"/>
      <c r="F409" s="8"/>
      <c r="K409" s="1"/>
      <c r="L409" s="1"/>
      <c r="AD409" s="112"/>
      <c r="AE409" s="112"/>
      <c r="AF409" s="112"/>
      <c r="AG409" s="112"/>
      <c r="AH409" s="112"/>
      <c r="AI409" s="112"/>
      <c r="AJ409" s="112"/>
      <c r="AK409" s="112"/>
      <c r="AL409" s="112"/>
      <c r="AM409" s="112"/>
      <c r="AN409" s="112"/>
      <c r="AO409" s="112"/>
      <c r="AP409" s="112"/>
      <c r="AQ409" s="112"/>
      <c r="AR409" s="112"/>
      <c r="AS409" s="112"/>
      <c r="AT409" s="112"/>
      <c r="AU409" s="112"/>
      <c r="AV409" s="112"/>
      <c r="AW409" s="112"/>
      <c r="AX409" s="112"/>
      <c r="AY409" s="112"/>
      <c r="AZ409" s="112"/>
      <c r="BA409" s="112"/>
      <c r="BB409" s="112"/>
      <c r="BC409" s="112"/>
      <c r="BD409" s="112"/>
      <c r="BE409" s="112"/>
      <c r="BF409" s="112"/>
      <c r="BG409" s="112"/>
      <c r="BH409" s="112"/>
      <c r="BI409" s="112"/>
      <c r="BJ409" s="112"/>
      <c r="BK409" s="112"/>
      <c r="BL409" s="112"/>
      <c r="BM409" s="112"/>
      <c r="BN409" s="112"/>
      <c r="BO409" s="112"/>
      <c r="BP409" s="112"/>
      <c r="BQ409" s="112"/>
      <c r="BR409" s="112"/>
      <c r="BS409" s="112"/>
      <c r="BT409" s="112"/>
      <c r="BU409" s="112"/>
      <c r="BV409" s="112"/>
      <c r="BW409" s="112"/>
      <c r="BX409" s="112"/>
      <c r="BY409" s="112"/>
      <c r="BZ409" s="112"/>
    </row>
    <row r="410" spans="1:78" x14ac:dyDescent="0.2">
      <c r="A410" s="86"/>
      <c r="B410" s="442"/>
      <c r="C410" s="510"/>
      <c r="F410" s="8"/>
      <c r="K410" s="1"/>
      <c r="L410" s="1"/>
      <c r="AD410" s="112"/>
      <c r="AE410" s="112"/>
      <c r="AF410" s="112"/>
      <c r="AG410" s="112"/>
      <c r="AH410" s="112"/>
      <c r="AI410" s="112"/>
      <c r="AJ410" s="112"/>
      <c r="AK410" s="112"/>
      <c r="AL410" s="112"/>
      <c r="AM410" s="112"/>
      <c r="AN410" s="112"/>
      <c r="AO410" s="112"/>
      <c r="AP410" s="112"/>
      <c r="AQ410" s="112"/>
      <c r="AR410" s="112"/>
      <c r="AS410" s="112"/>
      <c r="AT410" s="112"/>
      <c r="AU410" s="112"/>
      <c r="AV410" s="112"/>
      <c r="AW410" s="112"/>
      <c r="AX410" s="112"/>
      <c r="AY410" s="112"/>
      <c r="AZ410" s="112"/>
      <c r="BA410" s="112"/>
      <c r="BB410" s="112"/>
      <c r="BC410" s="112"/>
      <c r="BD410" s="112"/>
      <c r="BE410" s="112"/>
      <c r="BF410" s="112"/>
      <c r="BG410" s="112"/>
      <c r="BH410" s="112"/>
      <c r="BI410" s="112"/>
      <c r="BJ410" s="112"/>
      <c r="BK410" s="112"/>
      <c r="BL410" s="112"/>
      <c r="BM410" s="112"/>
      <c r="BN410" s="112"/>
      <c r="BO410" s="112"/>
      <c r="BP410" s="112"/>
      <c r="BQ410" s="112"/>
      <c r="BR410" s="112"/>
      <c r="BS410" s="112"/>
      <c r="BT410" s="112"/>
      <c r="BU410" s="112"/>
      <c r="BV410" s="112"/>
      <c r="BW410" s="112"/>
      <c r="BX410" s="112"/>
      <c r="BY410" s="112"/>
      <c r="BZ410" s="112"/>
    </row>
    <row r="411" spans="1:78" x14ac:dyDescent="0.2">
      <c r="A411" s="86"/>
      <c r="B411" s="442"/>
      <c r="C411" s="510"/>
      <c r="F411" s="8"/>
      <c r="K411" s="1"/>
      <c r="L411" s="1"/>
      <c r="AD411" s="112"/>
      <c r="AE411" s="112"/>
      <c r="AF411" s="112"/>
      <c r="AG411" s="112"/>
      <c r="AH411" s="112"/>
      <c r="AI411" s="112"/>
      <c r="AJ411" s="112"/>
      <c r="AK411" s="112"/>
      <c r="AL411" s="112"/>
      <c r="AM411" s="112"/>
      <c r="AN411" s="112"/>
      <c r="AO411" s="112"/>
      <c r="AP411" s="112"/>
      <c r="AQ411" s="112"/>
      <c r="AR411" s="112"/>
      <c r="AS411" s="112"/>
      <c r="AT411" s="112"/>
      <c r="AU411" s="112"/>
      <c r="AV411" s="112"/>
      <c r="AW411" s="112"/>
      <c r="AX411" s="112"/>
      <c r="AY411" s="112"/>
      <c r="AZ411" s="112"/>
      <c r="BA411" s="112"/>
      <c r="BB411" s="112"/>
      <c r="BC411" s="112"/>
      <c r="BD411" s="112"/>
      <c r="BE411" s="112"/>
      <c r="BF411" s="112"/>
      <c r="BG411" s="112"/>
      <c r="BH411" s="112"/>
      <c r="BI411" s="112"/>
      <c r="BJ411" s="112"/>
      <c r="BK411" s="112"/>
      <c r="BL411" s="112"/>
      <c r="BM411" s="112"/>
      <c r="BN411" s="112"/>
      <c r="BO411" s="112"/>
      <c r="BP411" s="112"/>
      <c r="BQ411" s="112"/>
      <c r="BR411" s="112"/>
      <c r="BS411" s="112"/>
      <c r="BT411" s="112"/>
      <c r="BU411" s="112"/>
      <c r="BV411" s="112"/>
      <c r="BW411" s="112"/>
      <c r="BX411" s="112"/>
      <c r="BY411" s="112"/>
      <c r="BZ411" s="112"/>
    </row>
    <row r="412" spans="1:78" x14ac:dyDescent="0.2">
      <c r="A412" s="86"/>
      <c r="B412" s="442"/>
      <c r="C412" s="510"/>
      <c r="F412" s="8"/>
      <c r="K412" s="1"/>
      <c r="L412" s="1"/>
      <c r="AD412" s="112"/>
      <c r="AE412" s="112"/>
      <c r="AF412" s="112"/>
      <c r="AG412" s="112"/>
      <c r="AH412" s="112"/>
      <c r="AI412" s="112"/>
      <c r="AJ412" s="112"/>
      <c r="AK412" s="112"/>
      <c r="AL412" s="112"/>
      <c r="AM412" s="112"/>
      <c r="AN412" s="112"/>
      <c r="AO412" s="112"/>
      <c r="AP412" s="112"/>
      <c r="AQ412" s="112"/>
      <c r="AR412" s="112"/>
      <c r="AS412" s="112"/>
      <c r="AT412" s="112"/>
      <c r="AU412" s="112"/>
      <c r="AV412" s="112"/>
      <c r="AW412" s="112"/>
      <c r="AX412" s="112"/>
      <c r="AY412" s="112"/>
      <c r="AZ412" s="112"/>
      <c r="BA412" s="112"/>
      <c r="BB412" s="112"/>
      <c r="BC412" s="112"/>
      <c r="BD412" s="112"/>
      <c r="BE412" s="112"/>
      <c r="BF412" s="112"/>
      <c r="BG412" s="112"/>
      <c r="BH412" s="112"/>
      <c r="BI412" s="112"/>
      <c r="BJ412" s="112"/>
      <c r="BK412" s="112"/>
      <c r="BL412" s="112"/>
      <c r="BM412" s="112"/>
      <c r="BN412" s="112"/>
      <c r="BO412" s="112"/>
      <c r="BP412" s="112"/>
      <c r="BQ412" s="112"/>
      <c r="BR412" s="112"/>
      <c r="BS412" s="112"/>
      <c r="BT412" s="112"/>
      <c r="BU412" s="112"/>
      <c r="BV412" s="112"/>
      <c r="BW412" s="112"/>
      <c r="BX412" s="112"/>
      <c r="BY412" s="112"/>
      <c r="BZ412" s="112"/>
    </row>
    <row r="413" spans="1:78" x14ac:dyDescent="0.2">
      <c r="A413" s="86"/>
      <c r="B413" s="442"/>
      <c r="C413" s="510"/>
      <c r="F413" s="8"/>
      <c r="K413" s="1"/>
      <c r="L413" s="1"/>
      <c r="AD413" s="112"/>
      <c r="AE413" s="112"/>
      <c r="AF413" s="112"/>
      <c r="AG413" s="112"/>
      <c r="AH413" s="112"/>
      <c r="AI413" s="112"/>
      <c r="AJ413" s="112"/>
      <c r="AK413" s="112"/>
      <c r="AL413" s="112"/>
      <c r="AM413" s="112"/>
      <c r="AN413" s="112"/>
      <c r="AO413" s="112"/>
      <c r="AP413" s="112"/>
      <c r="AQ413" s="112"/>
      <c r="AR413" s="112"/>
      <c r="AS413" s="112"/>
      <c r="AT413" s="112"/>
      <c r="AU413" s="112"/>
      <c r="AV413" s="112"/>
      <c r="AW413" s="112"/>
      <c r="AX413" s="112"/>
      <c r="AY413" s="112"/>
      <c r="AZ413" s="112"/>
      <c r="BA413" s="112"/>
      <c r="BB413" s="112"/>
      <c r="BC413" s="112"/>
      <c r="BD413" s="112"/>
      <c r="BE413" s="112"/>
      <c r="BF413" s="112"/>
      <c r="BG413" s="112"/>
      <c r="BH413" s="112"/>
      <c r="BI413" s="112"/>
      <c r="BJ413" s="112"/>
      <c r="BK413" s="112"/>
      <c r="BL413" s="112"/>
      <c r="BM413" s="112"/>
      <c r="BN413" s="112"/>
      <c r="BO413" s="112"/>
      <c r="BP413" s="112"/>
      <c r="BQ413" s="112"/>
      <c r="BR413" s="112"/>
      <c r="BS413" s="112"/>
      <c r="BT413" s="112"/>
      <c r="BU413" s="112"/>
      <c r="BV413" s="112"/>
      <c r="BW413" s="112"/>
      <c r="BX413" s="112"/>
      <c r="BY413" s="112"/>
      <c r="BZ413" s="112"/>
    </row>
    <row r="414" spans="1:78" x14ac:dyDescent="0.2">
      <c r="A414" s="86"/>
      <c r="B414" s="442"/>
      <c r="C414" s="510"/>
      <c r="F414" s="8"/>
      <c r="K414" s="1"/>
      <c r="L414" s="1"/>
      <c r="AD414" s="112"/>
      <c r="AE414" s="112"/>
      <c r="AF414" s="112"/>
      <c r="AG414" s="112"/>
      <c r="AH414" s="112"/>
      <c r="AI414" s="112"/>
      <c r="AJ414" s="112"/>
      <c r="AK414" s="112"/>
      <c r="AL414" s="112"/>
      <c r="AM414" s="112"/>
      <c r="AN414" s="112"/>
      <c r="AO414" s="112"/>
      <c r="AP414" s="112"/>
      <c r="AQ414" s="112"/>
      <c r="AR414" s="112"/>
      <c r="AS414" s="112"/>
      <c r="AT414" s="112"/>
      <c r="AU414" s="112"/>
      <c r="AV414" s="112"/>
      <c r="AW414" s="112"/>
      <c r="AX414" s="112"/>
      <c r="AY414" s="112"/>
      <c r="AZ414" s="112"/>
      <c r="BA414" s="112"/>
      <c r="BB414" s="112"/>
      <c r="BC414" s="112"/>
      <c r="BD414" s="112"/>
      <c r="BE414" s="112"/>
      <c r="BF414" s="112"/>
      <c r="BG414" s="112"/>
      <c r="BH414" s="112"/>
      <c r="BI414" s="112"/>
      <c r="BJ414" s="112"/>
      <c r="BK414" s="112"/>
      <c r="BL414" s="112"/>
      <c r="BM414" s="112"/>
      <c r="BN414" s="112"/>
      <c r="BO414" s="112"/>
      <c r="BP414" s="112"/>
      <c r="BQ414" s="112"/>
      <c r="BR414" s="112"/>
      <c r="BS414" s="112"/>
      <c r="BT414" s="112"/>
      <c r="BU414" s="112"/>
      <c r="BV414" s="112"/>
      <c r="BW414" s="112"/>
      <c r="BX414" s="112"/>
      <c r="BY414" s="112"/>
      <c r="BZ414" s="112"/>
    </row>
    <row r="415" spans="1:78" x14ac:dyDescent="0.2">
      <c r="A415" s="86"/>
      <c r="B415" s="442"/>
      <c r="C415" s="510"/>
      <c r="F415" s="8"/>
      <c r="K415" s="1"/>
      <c r="L415" s="1"/>
      <c r="AD415" s="112"/>
      <c r="AE415" s="112"/>
      <c r="AF415" s="112"/>
      <c r="AG415" s="112"/>
      <c r="AH415" s="112"/>
      <c r="AI415" s="112"/>
      <c r="AJ415" s="112"/>
      <c r="AK415" s="112"/>
      <c r="AL415" s="112"/>
      <c r="AM415" s="112"/>
      <c r="AN415" s="112"/>
      <c r="AO415" s="112"/>
      <c r="AP415" s="112"/>
      <c r="AQ415" s="112"/>
      <c r="AR415" s="112"/>
      <c r="AS415" s="112"/>
      <c r="AT415" s="112"/>
      <c r="AU415" s="112"/>
      <c r="AV415" s="112"/>
      <c r="AW415" s="112"/>
      <c r="AX415" s="112"/>
      <c r="AY415" s="112"/>
      <c r="AZ415" s="112"/>
      <c r="BA415" s="112"/>
      <c r="BB415" s="112"/>
      <c r="BC415" s="112"/>
      <c r="BD415" s="112"/>
      <c r="BE415" s="112"/>
      <c r="BF415" s="112"/>
      <c r="BG415" s="112"/>
      <c r="BH415" s="112"/>
      <c r="BI415" s="112"/>
      <c r="BJ415" s="112"/>
      <c r="BK415" s="112"/>
      <c r="BL415" s="112"/>
      <c r="BM415" s="112"/>
      <c r="BN415" s="112"/>
      <c r="BO415" s="112"/>
      <c r="BP415" s="112"/>
      <c r="BQ415" s="112"/>
      <c r="BR415" s="112"/>
      <c r="BS415" s="112"/>
      <c r="BT415" s="112"/>
      <c r="BU415" s="112"/>
      <c r="BV415" s="112"/>
      <c r="BW415" s="112"/>
      <c r="BX415" s="112"/>
      <c r="BY415" s="112"/>
      <c r="BZ415" s="112"/>
    </row>
    <row r="416" spans="1:78" x14ac:dyDescent="0.2">
      <c r="A416" s="86"/>
      <c r="B416" s="442"/>
      <c r="C416" s="510"/>
      <c r="F416" s="8"/>
      <c r="K416" s="1"/>
      <c r="L416" s="1"/>
      <c r="AD416" s="112"/>
      <c r="AE416" s="112"/>
      <c r="AF416" s="112"/>
      <c r="AG416" s="112"/>
      <c r="AH416" s="112"/>
      <c r="AI416" s="112"/>
      <c r="AJ416" s="112"/>
      <c r="AK416" s="112"/>
      <c r="AL416" s="112"/>
      <c r="AM416" s="112"/>
      <c r="AN416" s="112"/>
      <c r="AO416" s="112"/>
      <c r="AP416" s="112"/>
      <c r="AQ416" s="112"/>
      <c r="AR416" s="112"/>
      <c r="AS416" s="112"/>
      <c r="AT416" s="112"/>
      <c r="AU416" s="112"/>
      <c r="AV416" s="112"/>
      <c r="AW416" s="112"/>
      <c r="AX416" s="112"/>
      <c r="AY416" s="112"/>
      <c r="AZ416" s="112"/>
      <c r="BA416" s="112"/>
      <c r="BB416" s="112"/>
      <c r="BC416" s="112"/>
      <c r="BD416" s="112"/>
      <c r="BE416" s="112"/>
      <c r="BF416" s="112"/>
      <c r="BG416" s="112"/>
      <c r="BH416" s="112"/>
      <c r="BI416" s="112"/>
      <c r="BJ416" s="112"/>
      <c r="BK416" s="112"/>
      <c r="BL416" s="112"/>
      <c r="BM416" s="112"/>
      <c r="BN416" s="112"/>
      <c r="BO416" s="112"/>
      <c r="BP416" s="112"/>
      <c r="BQ416" s="112"/>
      <c r="BR416" s="112"/>
      <c r="BS416" s="112"/>
      <c r="BT416" s="112"/>
      <c r="BU416" s="112"/>
      <c r="BV416" s="112"/>
      <c r="BW416" s="112"/>
      <c r="BX416" s="112"/>
      <c r="BY416" s="112"/>
      <c r="BZ416" s="112"/>
    </row>
    <row r="417" spans="1:78" x14ac:dyDescent="0.2">
      <c r="A417" s="86"/>
      <c r="B417" s="442"/>
      <c r="C417" s="510"/>
      <c r="F417" s="8"/>
      <c r="K417" s="1"/>
      <c r="L417" s="1"/>
      <c r="AD417" s="112"/>
      <c r="AE417" s="112"/>
      <c r="AF417" s="112"/>
      <c r="AG417" s="112"/>
      <c r="AH417" s="112"/>
      <c r="AI417" s="112"/>
      <c r="AJ417" s="112"/>
      <c r="AK417" s="112"/>
      <c r="AL417" s="112"/>
      <c r="AM417" s="112"/>
      <c r="AN417" s="112"/>
      <c r="AO417" s="112"/>
      <c r="AP417" s="112"/>
      <c r="AQ417" s="112"/>
      <c r="AR417" s="112"/>
      <c r="AS417" s="112"/>
      <c r="AT417" s="112"/>
      <c r="AU417" s="112"/>
      <c r="AV417" s="112"/>
      <c r="AW417" s="112"/>
      <c r="AX417" s="112"/>
      <c r="AY417" s="112"/>
      <c r="AZ417" s="112"/>
      <c r="BA417" s="112"/>
      <c r="BB417" s="112"/>
      <c r="BC417" s="112"/>
      <c r="BD417" s="112"/>
      <c r="BE417" s="112"/>
      <c r="BF417" s="112"/>
      <c r="BG417" s="112"/>
      <c r="BH417" s="112"/>
      <c r="BI417" s="112"/>
      <c r="BJ417" s="112"/>
      <c r="BK417" s="112"/>
      <c r="BL417" s="112"/>
      <c r="BM417" s="112"/>
      <c r="BN417" s="112"/>
      <c r="BO417" s="112"/>
      <c r="BP417" s="112"/>
      <c r="BQ417" s="112"/>
      <c r="BR417" s="112"/>
      <c r="BS417" s="112"/>
      <c r="BT417" s="112"/>
      <c r="BU417" s="112"/>
      <c r="BV417" s="112"/>
      <c r="BW417" s="112"/>
      <c r="BX417" s="112"/>
      <c r="BY417" s="112"/>
      <c r="BZ417" s="112"/>
    </row>
    <row r="418" spans="1:78" x14ac:dyDescent="0.2">
      <c r="A418" s="86"/>
      <c r="B418" s="442"/>
      <c r="C418" s="510"/>
      <c r="F418" s="8"/>
      <c r="K418" s="1"/>
      <c r="L418" s="1"/>
      <c r="AD418" s="112"/>
      <c r="AE418" s="112"/>
      <c r="AF418" s="112"/>
      <c r="AG418" s="112"/>
      <c r="AH418" s="112"/>
      <c r="AI418" s="112"/>
      <c r="AJ418" s="112"/>
      <c r="AK418" s="112"/>
      <c r="AL418" s="112"/>
      <c r="AM418" s="112"/>
      <c r="AN418" s="112"/>
      <c r="AO418" s="112"/>
      <c r="AP418" s="112"/>
      <c r="AQ418" s="112"/>
      <c r="AR418" s="112"/>
      <c r="AS418" s="112"/>
      <c r="AT418" s="112"/>
      <c r="AU418" s="112"/>
      <c r="AV418" s="112"/>
      <c r="AW418" s="112"/>
      <c r="AX418" s="112"/>
      <c r="AY418" s="112"/>
      <c r="AZ418" s="112"/>
      <c r="BA418" s="112"/>
      <c r="BB418" s="112"/>
      <c r="BC418" s="112"/>
      <c r="BD418" s="112"/>
      <c r="BE418" s="112"/>
      <c r="BF418" s="112"/>
      <c r="BG418" s="112"/>
      <c r="BH418" s="112"/>
      <c r="BI418" s="112"/>
      <c r="BJ418" s="112"/>
      <c r="BK418" s="112"/>
      <c r="BL418" s="112"/>
      <c r="BM418" s="112"/>
      <c r="BN418" s="112"/>
      <c r="BO418" s="112"/>
      <c r="BP418" s="112"/>
      <c r="BQ418" s="112"/>
      <c r="BR418" s="112"/>
      <c r="BS418" s="112"/>
      <c r="BT418" s="112"/>
      <c r="BU418" s="112"/>
      <c r="BV418" s="112"/>
      <c r="BW418" s="112"/>
      <c r="BX418" s="112"/>
      <c r="BY418" s="112"/>
      <c r="BZ418" s="112"/>
    </row>
    <row r="419" spans="1:78" x14ac:dyDescent="0.2">
      <c r="A419" s="86"/>
      <c r="B419" s="442"/>
      <c r="C419" s="510"/>
      <c r="F419" s="8"/>
      <c r="K419" s="1"/>
      <c r="L419" s="1"/>
      <c r="AD419" s="112"/>
      <c r="AE419" s="112"/>
      <c r="AF419" s="112"/>
      <c r="AG419" s="112"/>
      <c r="AH419" s="112"/>
      <c r="AI419" s="112"/>
      <c r="AJ419" s="112"/>
      <c r="AK419" s="112"/>
      <c r="AL419" s="112"/>
      <c r="AM419" s="112"/>
      <c r="AN419" s="112"/>
      <c r="AO419" s="112"/>
      <c r="AP419" s="112"/>
      <c r="AQ419" s="112"/>
      <c r="AR419" s="112"/>
      <c r="AS419" s="112"/>
      <c r="AT419" s="112"/>
      <c r="AU419" s="112"/>
      <c r="AV419" s="112"/>
      <c r="AW419" s="112"/>
      <c r="AX419" s="112"/>
      <c r="AY419" s="112"/>
      <c r="AZ419" s="112"/>
      <c r="BA419" s="112"/>
      <c r="BB419" s="112"/>
      <c r="BC419" s="112"/>
      <c r="BD419" s="112"/>
      <c r="BE419" s="112"/>
      <c r="BF419" s="112"/>
      <c r="BG419" s="112"/>
      <c r="BH419" s="112"/>
      <c r="BI419" s="112"/>
      <c r="BJ419" s="112"/>
      <c r="BK419" s="112"/>
      <c r="BL419" s="112"/>
      <c r="BM419" s="112"/>
      <c r="BN419" s="112"/>
      <c r="BO419" s="112"/>
      <c r="BP419" s="112"/>
      <c r="BQ419" s="112"/>
      <c r="BR419" s="112"/>
      <c r="BS419" s="112"/>
      <c r="BT419" s="112"/>
      <c r="BU419" s="112"/>
      <c r="BV419" s="112"/>
      <c r="BW419" s="112"/>
      <c r="BX419" s="112"/>
      <c r="BY419" s="112"/>
      <c r="BZ419" s="112"/>
    </row>
    <row r="420" spans="1:78" x14ac:dyDescent="0.2">
      <c r="A420" s="86"/>
      <c r="B420" s="442"/>
      <c r="C420" s="510"/>
      <c r="F420" s="8"/>
      <c r="K420" s="1"/>
      <c r="L420" s="1"/>
      <c r="AD420" s="112"/>
      <c r="AE420" s="112"/>
      <c r="AF420" s="112"/>
      <c r="AG420" s="112"/>
      <c r="AH420" s="112"/>
      <c r="AI420" s="112"/>
      <c r="AJ420" s="112"/>
      <c r="AK420" s="112"/>
      <c r="AL420" s="112"/>
      <c r="AM420" s="112"/>
      <c r="AN420" s="112"/>
      <c r="AO420" s="112"/>
      <c r="AP420" s="112"/>
      <c r="AQ420" s="112"/>
      <c r="AR420" s="112"/>
      <c r="AS420" s="112"/>
      <c r="AT420" s="112"/>
      <c r="AU420" s="112"/>
      <c r="AV420" s="112"/>
      <c r="AW420" s="112"/>
      <c r="AX420" s="112"/>
      <c r="AY420" s="112"/>
      <c r="AZ420" s="112"/>
      <c r="BA420" s="112"/>
      <c r="BB420" s="112"/>
      <c r="BC420" s="112"/>
      <c r="BD420" s="112"/>
      <c r="BE420" s="112"/>
      <c r="BF420" s="112"/>
      <c r="BG420" s="112"/>
      <c r="BH420" s="112"/>
      <c r="BI420" s="112"/>
      <c r="BJ420" s="112"/>
      <c r="BK420" s="112"/>
      <c r="BL420" s="112"/>
      <c r="BM420" s="112"/>
      <c r="BN420" s="112"/>
      <c r="BO420" s="112"/>
      <c r="BP420" s="112"/>
      <c r="BQ420" s="112"/>
      <c r="BR420" s="112"/>
      <c r="BS420" s="112"/>
      <c r="BT420" s="112"/>
      <c r="BU420" s="112"/>
      <c r="BV420" s="112"/>
      <c r="BW420" s="112"/>
      <c r="BX420" s="112"/>
      <c r="BY420" s="112"/>
      <c r="BZ420" s="112"/>
    </row>
    <row r="421" spans="1:78" x14ac:dyDescent="0.2">
      <c r="A421" s="86"/>
      <c r="B421" s="442"/>
      <c r="C421" s="510"/>
      <c r="F421" s="8"/>
      <c r="K421" s="1"/>
      <c r="L421" s="1"/>
      <c r="AD421" s="112"/>
      <c r="AE421" s="112"/>
      <c r="AF421" s="112"/>
      <c r="AG421" s="112"/>
      <c r="AH421" s="112"/>
      <c r="AI421" s="112"/>
      <c r="AJ421" s="112"/>
      <c r="AK421" s="112"/>
      <c r="AL421" s="112"/>
      <c r="AM421" s="112"/>
      <c r="AN421" s="112"/>
      <c r="AO421" s="112"/>
      <c r="AP421" s="112"/>
      <c r="AQ421" s="112"/>
      <c r="AR421" s="112"/>
      <c r="AS421" s="112"/>
      <c r="AT421" s="112"/>
      <c r="AU421" s="112"/>
      <c r="AV421" s="112"/>
      <c r="AW421" s="112"/>
      <c r="AX421" s="112"/>
      <c r="AY421" s="112"/>
      <c r="AZ421" s="112"/>
      <c r="BA421" s="112"/>
      <c r="BB421" s="112"/>
      <c r="BC421" s="112"/>
      <c r="BD421" s="112"/>
      <c r="BE421" s="112"/>
      <c r="BF421" s="112"/>
      <c r="BG421" s="112"/>
      <c r="BH421" s="112"/>
      <c r="BI421" s="112"/>
      <c r="BJ421" s="112"/>
      <c r="BK421" s="112"/>
      <c r="BL421" s="112"/>
      <c r="BM421" s="112"/>
      <c r="BN421" s="112"/>
      <c r="BO421" s="112"/>
      <c r="BP421" s="112"/>
      <c r="BQ421" s="112"/>
      <c r="BR421" s="112"/>
      <c r="BS421" s="112"/>
      <c r="BT421" s="112"/>
      <c r="BU421" s="112"/>
      <c r="BV421" s="112"/>
      <c r="BW421" s="112"/>
      <c r="BX421" s="112"/>
      <c r="BY421" s="112"/>
      <c r="BZ421" s="112"/>
    </row>
    <row r="422" spans="1:78" x14ac:dyDescent="0.2">
      <c r="A422" s="86"/>
      <c r="B422" s="442"/>
      <c r="C422" s="510"/>
      <c r="F422" s="8"/>
      <c r="K422" s="1"/>
      <c r="L422" s="1"/>
      <c r="AD422" s="112"/>
      <c r="AE422" s="112"/>
      <c r="AF422" s="112"/>
      <c r="AG422" s="112"/>
      <c r="AH422" s="112"/>
      <c r="AI422" s="112"/>
      <c r="AJ422" s="112"/>
      <c r="AK422" s="112"/>
      <c r="AL422" s="112"/>
      <c r="AM422" s="112"/>
      <c r="AN422" s="112"/>
      <c r="AO422" s="112"/>
      <c r="AP422" s="112"/>
      <c r="AQ422" s="112"/>
      <c r="AR422" s="112"/>
      <c r="AS422" s="112"/>
      <c r="AT422" s="112"/>
      <c r="AU422" s="112"/>
      <c r="AV422" s="112"/>
      <c r="AW422" s="112"/>
      <c r="AX422" s="112"/>
      <c r="AY422" s="112"/>
      <c r="AZ422" s="112"/>
      <c r="BA422" s="112"/>
      <c r="BB422" s="112"/>
      <c r="BC422" s="112"/>
      <c r="BD422" s="112"/>
      <c r="BE422" s="112"/>
      <c r="BF422" s="112"/>
      <c r="BG422" s="112"/>
      <c r="BH422" s="112"/>
      <c r="BI422" s="112"/>
      <c r="BJ422" s="112"/>
      <c r="BK422" s="112"/>
      <c r="BL422" s="112"/>
      <c r="BM422" s="112"/>
      <c r="BN422" s="112"/>
      <c r="BO422" s="112"/>
      <c r="BP422" s="112"/>
      <c r="BQ422" s="112"/>
      <c r="BR422" s="112"/>
      <c r="BS422" s="112"/>
      <c r="BT422" s="112"/>
      <c r="BU422" s="112"/>
      <c r="BV422" s="112"/>
      <c r="BW422" s="112"/>
      <c r="BX422" s="112"/>
      <c r="BY422" s="112"/>
      <c r="BZ422" s="112"/>
    </row>
    <row r="423" spans="1:78" x14ac:dyDescent="0.2">
      <c r="A423" s="86"/>
      <c r="B423" s="442"/>
      <c r="C423" s="510"/>
      <c r="F423" s="8"/>
      <c r="K423" s="1"/>
      <c r="L423" s="1"/>
      <c r="AD423" s="112"/>
      <c r="AE423" s="112"/>
      <c r="AF423" s="112"/>
      <c r="AG423" s="112"/>
      <c r="AH423" s="112"/>
      <c r="AI423" s="112"/>
      <c r="AJ423" s="112"/>
      <c r="AK423" s="112"/>
      <c r="AL423" s="112"/>
      <c r="AM423" s="112"/>
      <c r="AN423" s="112"/>
      <c r="AO423" s="112"/>
      <c r="AP423" s="112"/>
      <c r="AQ423" s="112"/>
      <c r="AR423" s="112"/>
      <c r="AS423" s="112"/>
      <c r="AT423" s="112"/>
      <c r="AU423" s="112"/>
      <c r="AV423" s="112"/>
      <c r="AW423" s="112"/>
      <c r="AX423" s="112"/>
      <c r="AY423" s="112"/>
      <c r="AZ423" s="112"/>
      <c r="BA423" s="112"/>
      <c r="BB423" s="112"/>
      <c r="BC423" s="112"/>
      <c r="BD423" s="112"/>
      <c r="BE423" s="112"/>
      <c r="BF423" s="112"/>
      <c r="BG423" s="112"/>
      <c r="BH423" s="112"/>
      <c r="BI423" s="112"/>
      <c r="BJ423" s="112"/>
      <c r="BK423" s="112"/>
      <c r="BL423" s="112"/>
      <c r="BM423" s="112"/>
      <c r="BN423" s="112"/>
      <c r="BO423" s="112"/>
      <c r="BP423" s="112"/>
      <c r="BQ423" s="112"/>
      <c r="BR423" s="112"/>
      <c r="BS423" s="112"/>
      <c r="BT423" s="112"/>
      <c r="BU423" s="112"/>
      <c r="BV423" s="112"/>
      <c r="BW423" s="112"/>
      <c r="BX423" s="112"/>
      <c r="BY423" s="112"/>
      <c r="BZ423" s="112"/>
    </row>
    <row r="424" spans="1:78" x14ac:dyDescent="0.2">
      <c r="A424" s="86"/>
      <c r="B424" s="442"/>
      <c r="C424" s="510"/>
      <c r="F424" s="8"/>
      <c r="K424" s="1"/>
      <c r="L424" s="1"/>
      <c r="AD424" s="112"/>
      <c r="AE424" s="112"/>
      <c r="AF424" s="112"/>
      <c r="AG424" s="112"/>
      <c r="AH424" s="112"/>
      <c r="AI424" s="112"/>
      <c r="AJ424" s="112"/>
      <c r="AK424" s="112"/>
      <c r="AL424" s="112"/>
      <c r="AM424" s="112"/>
      <c r="AN424" s="112"/>
      <c r="AO424" s="112"/>
      <c r="AP424" s="112"/>
      <c r="AQ424" s="112"/>
      <c r="AR424" s="112"/>
      <c r="AS424" s="112"/>
      <c r="AT424" s="112"/>
      <c r="AU424" s="112"/>
      <c r="AV424" s="112"/>
      <c r="AW424" s="112"/>
      <c r="AX424" s="112"/>
      <c r="AY424" s="112"/>
      <c r="AZ424" s="112"/>
      <c r="BA424" s="112"/>
      <c r="BB424" s="112"/>
      <c r="BC424" s="112"/>
      <c r="BD424" s="112"/>
      <c r="BE424" s="112"/>
      <c r="BF424" s="112"/>
      <c r="BG424" s="112"/>
      <c r="BH424" s="112"/>
      <c r="BI424" s="112"/>
      <c r="BJ424" s="112"/>
      <c r="BK424" s="112"/>
      <c r="BL424" s="112"/>
      <c r="BM424" s="112"/>
      <c r="BN424" s="112"/>
      <c r="BO424" s="112"/>
      <c r="BP424" s="112"/>
      <c r="BQ424" s="112"/>
      <c r="BR424" s="112"/>
      <c r="BS424" s="112"/>
      <c r="BT424" s="112"/>
      <c r="BU424" s="112"/>
      <c r="BV424" s="112"/>
      <c r="BW424" s="112"/>
      <c r="BX424" s="112"/>
      <c r="BY424" s="112"/>
      <c r="BZ424" s="112"/>
    </row>
    <row r="425" spans="1:78" x14ac:dyDescent="0.2">
      <c r="A425" s="86"/>
      <c r="B425" s="442"/>
      <c r="C425" s="510"/>
      <c r="F425" s="8"/>
      <c r="K425" s="1"/>
      <c r="L425" s="1"/>
      <c r="AD425" s="112"/>
      <c r="AE425" s="112"/>
      <c r="AF425" s="112"/>
      <c r="AG425" s="112"/>
      <c r="AH425" s="112"/>
      <c r="AI425" s="112"/>
      <c r="AJ425" s="112"/>
      <c r="AK425" s="112"/>
      <c r="AL425" s="112"/>
      <c r="AM425" s="112"/>
      <c r="AN425" s="112"/>
      <c r="AO425" s="112"/>
      <c r="AP425" s="112"/>
      <c r="AQ425" s="112"/>
      <c r="AR425" s="112"/>
      <c r="AS425" s="112"/>
      <c r="AT425" s="112"/>
      <c r="AU425" s="112"/>
      <c r="AV425" s="112"/>
      <c r="AW425" s="112"/>
      <c r="AX425" s="112"/>
      <c r="AY425" s="112"/>
      <c r="AZ425" s="112"/>
      <c r="BA425" s="112"/>
      <c r="BB425" s="112"/>
      <c r="BC425" s="112"/>
      <c r="BD425" s="112"/>
      <c r="BE425" s="112"/>
      <c r="BF425" s="112"/>
      <c r="BG425" s="112"/>
      <c r="BH425" s="112"/>
      <c r="BI425" s="112"/>
      <c r="BJ425" s="112"/>
      <c r="BK425" s="112"/>
      <c r="BL425" s="112"/>
      <c r="BM425" s="112"/>
      <c r="BN425" s="112"/>
      <c r="BO425" s="112"/>
      <c r="BP425" s="112"/>
      <c r="BQ425" s="112"/>
      <c r="BR425" s="112"/>
      <c r="BS425" s="112"/>
      <c r="BT425" s="112"/>
      <c r="BU425" s="112"/>
      <c r="BV425" s="112"/>
      <c r="BW425" s="112"/>
      <c r="BX425" s="112"/>
      <c r="BY425" s="112"/>
      <c r="BZ425" s="112"/>
    </row>
    <row r="426" spans="1:78" x14ac:dyDescent="0.2">
      <c r="A426" s="86"/>
      <c r="B426" s="442"/>
      <c r="C426" s="510"/>
      <c r="F426" s="8"/>
      <c r="K426" s="1"/>
      <c r="L426" s="1"/>
      <c r="AD426" s="112"/>
      <c r="AE426" s="112"/>
      <c r="AF426" s="112"/>
      <c r="AG426" s="112"/>
      <c r="AH426" s="112"/>
      <c r="AI426" s="112"/>
      <c r="AJ426" s="112"/>
      <c r="AK426" s="112"/>
      <c r="AL426" s="112"/>
      <c r="AM426" s="112"/>
      <c r="AN426" s="112"/>
      <c r="AO426" s="112"/>
      <c r="AP426" s="112"/>
      <c r="AQ426" s="112"/>
      <c r="AR426" s="112"/>
      <c r="AS426" s="112"/>
      <c r="AT426" s="112"/>
      <c r="AU426" s="112"/>
      <c r="AV426" s="112"/>
      <c r="AW426" s="112"/>
      <c r="AX426" s="112"/>
      <c r="AY426" s="112"/>
      <c r="AZ426" s="112"/>
      <c r="BA426" s="112"/>
      <c r="BB426" s="112"/>
      <c r="BC426" s="112"/>
      <c r="BD426" s="112"/>
      <c r="BE426" s="112"/>
      <c r="BF426" s="112"/>
      <c r="BG426" s="112"/>
      <c r="BH426" s="112"/>
      <c r="BI426" s="112"/>
      <c r="BJ426" s="112"/>
      <c r="BK426" s="112"/>
      <c r="BL426" s="112"/>
      <c r="BM426" s="112"/>
      <c r="BN426" s="112"/>
      <c r="BO426" s="112"/>
      <c r="BP426" s="112"/>
      <c r="BQ426" s="112"/>
      <c r="BR426" s="112"/>
      <c r="BS426" s="112"/>
      <c r="BT426" s="112"/>
      <c r="BU426" s="112"/>
      <c r="BV426" s="112"/>
      <c r="BW426" s="112"/>
      <c r="BX426" s="112"/>
      <c r="BY426" s="112"/>
      <c r="BZ426" s="112"/>
    </row>
    <row r="427" spans="1:78" x14ac:dyDescent="0.2">
      <c r="A427" s="86"/>
      <c r="B427" s="442"/>
      <c r="C427" s="510"/>
      <c r="F427" s="8"/>
      <c r="K427" s="1"/>
      <c r="L427" s="1"/>
      <c r="AD427" s="112"/>
      <c r="AE427" s="112"/>
      <c r="AF427" s="112"/>
      <c r="AG427" s="112"/>
      <c r="AH427" s="112"/>
      <c r="AI427" s="112"/>
      <c r="AJ427" s="112"/>
      <c r="AK427" s="112"/>
      <c r="AL427" s="112"/>
      <c r="AM427" s="112"/>
      <c r="AN427" s="112"/>
      <c r="AO427" s="112"/>
      <c r="AP427" s="112"/>
      <c r="AQ427" s="112"/>
      <c r="AR427" s="112"/>
      <c r="AS427" s="112"/>
      <c r="AT427" s="112"/>
      <c r="AU427" s="112"/>
      <c r="AV427" s="112"/>
      <c r="AW427" s="112"/>
      <c r="AX427" s="112"/>
      <c r="AY427" s="112"/>
      <c r="AZ427" s="112"/>
      <c r="BA427" s="112"/>
      <c r="BB427" s="112"/>
      <c r="BC427" s="112"/>
      <c r="BD427" s="112"/>
      <c r="BE427" s="112"/>
      <c r="BF427" s="112"/>
      <c r="BG427" s="112"/>
      <c r="BH427" s="112"/>
      <c r="BI427" s="112"/>
      <c r="BJ427" s="112"/>
      <c r="BK427" s="112"/>
      <c r="BL427" s="112"/>
      <c r="BM427" s="112"/>
      <c r="BN427" s="112"/>
      <c r="BO427" s="112"/>
      <c r="BP427" s="112"/>
      <c r="BQ427" s="112"/>
      <c r="BR427" s="112"/>
      <c r="BS427" s="112"/>
      <c r="BT427" s="112"/>
      <c r="BU427" s="112"/>
      <c r="BV427" s="112"/>
      <c r="BW427" s="112"/>
      <c r="BX427" s="112"/>
      <c r="BY427" s="112"/>
      <c r="BZ427" s="112"/>
    </row>
    <row r="428" spans="1:78" x14ac:dyDescent="0.2">
      <c r="A428" s="86"/>
      <c r="B428" s="442"/>
      <c r="C428" s="510"/>
      <c r="F428" s="8"/>
      <c r="K428" s="1"/>
      <c r="L428" s="1"/>
      <c r="AD428" s="112"/>
      <c r="AE428" s="112"/>
      <c r="AF428" s="112"/>
      <c r="AG428" s="112"/>
      <c r="AH428" s="112"/>
      <c r="AI428" s="112"/>
      <c r="AJ428" s="112"/>
      <c r="AK428" s="112"/>
      <c r="AL428" s="112"/>
      <c r="AM428" s="112"/>
      <c r="AN428" s="112"/>
      <c r="AO428" s="112"/>
      <c r="AP428" s="112"/>
      <c r="AQ428" s="112"/>
      <c r="AR428" s="112"/>
      <c r="AS428" s="112"/>
      <c r="AT428" s="112"/>
      <c r="AU428" s="112"/>
      <c r="AV428" s="112"/>
      <c r="AW428" s="112"/>
      <c r="AX428" s="112"/>
      <c r="AY428" s="112"/>
      <c r="AZ428" s="112"/>
      <c r="BA428" s="112"/>
      <c r="BB428" s="112"/>
      <c r="BC428" s="112"/>
      <c r="BD428" s="112"/>
      <c r="BE428" s="112"/>
      <c r="BF428" s="112"/>
      <c r="BG428" s="112"/>
      <c r="BH428" s="112"/>
      <c r="BI428" s="112"/>
      <c r="BJ428" s="112"/>
      <c r="BK428" s="112"/>
      <c r="BL428" s="112"/>
      <c r="BM428" s="112"/>
      <c r="BN428" s="112"/>
      <c r="BO428" s="112"/>
      <c r="BP428" s="112"/>
      <c r="BQ428" s="112"/>
      <c r="BR428" s="112"/>
      <c r="BS428" s="112"/>
      <c r="BT428" s="112"/>
      <c r="BU428" s="112"/>
      <c r="BV428" s="112"/>
      <c r="BW428" s="112"/>
      <c r="BX428" s="112"/>
      <c r="BY428" s="112"/>
      <c r="BZ428" s="112"/>
    </row>
    <row r="429" spans="1:78" x14ac:dyDescent="0.2">
      <c r="A429" s="86"/>
      <c r="B429" s="442"/>
      <c r="C429" s="510"/>
      <c r="F429" s="8"/>
      <c r="K429" s="1"/>
      <c r="L429" s="1"/>
      <c r="AD429" s="112"/>
      <c r="AE429" s="112"/>
      <c r="AF429" s="112"/>
      <c r="AG429" s="112"/>
      <c r="AH429" s="112"/>
      <c r="AI429" s="112"/>
      <c r="AJ429" s="112"/>
      <c r="AK429" s="112"/>
      <c r="AL429" s="112"/>
      <c r="AM429" s="112"/>
      <c r="AN429" s="112"/>
      <c r="AO429" s="112"/>
      <c r="AP429" s="112"/>
      <c r="AQ429" s="112"/>
      <c r="AR429" s="112"/>
      <c r="AS429" s="112"/>
      <c r="AT429" s="112"/>
      <c r="AU429" s="112"/>
      <c r="AV429" s="112"/>
      <c r="AW429" s="112"/>
      <c r="AX429" s="112"/>
      <c r="AY429" s="112"/>
      <c r="AZ429" s="112"/>
      <c r="BA429" s="112"/>
      <c r="BB429" s="112"/>
      <c r="BC429" s="112"/>
      <c r="BD429" s="112"/>
      <c r="BE429" s="112"/>
      <c r="BF429" s="112"/>
      <c r="BG429" s="112"/>
      <c r="BH429" s="112"/>
      <c r="BI429" s="112"/>
      <c r="BJ429" s="112"/>
      <c r="BK429" s="112"/>
      <c r="BL429" s="112"/>
      <c r="BM429" s="112"/>
      <c r="BN429" s="112"/>
      <c r="BO429" s="112"/>
      <c r="BP429" s="112"/>
      <c r="BQ429" s="112"/>
      <c r="BR429" s="112"/>
      <c r="BS429" s="112"/>
      <c r="BT429" s="112"/>
      <c r="BU429" s="112"/>
      <c r="BV429" s="112"/>
      <c r="BW429" s="112"/>
      <c r="BX429" s="112"/>
      <c r="BY429" s="112"/>
      <c r="BZ429" s="112"/>
    </row>
    <row r="430" spans="1:78" x14ac:dyDescent="0.2">
      <c r="A430" s="86"/>
      <c r="B430" s="442"/>
      <c r="J430"/>
      <c r="AD430" s="112"/>
      <c r="AE430" s="112"/>
      <c r="AF430" s="112"/>
      <c r="AG430" s="112"/>
      <c r="AH430" s="112"/>
      <c r="AI430" s="112"/>
      <c r="AJ430" s="112"/>
      <c r="AK430" s="112"/>
      <c r="AL430" s="112"/>
      <c r="AM430" s="112"/>
      <c r="AN430" s="112"/>
      <c r="AO430" s="112"/>
      <c r="AP430" s="112"/>
      <c r="AQ430" s="112"/>
      <c r="AR430" s="112"/>
      <c r="AS430" s="112"/>
      <c r="AT430" s="112"/>
      <c r="AU430" s="112"/>
      <c r="AV430" s="112"/>
      <c r="AW430" s="112"/>
      <c r="AX430" s="112"/>
      <c r="AY430" s="112"/>
      <c r="AZ430" s="112"/>
      <c r="BA430" s="112"/>
      <c r="BB430" s="112"/>
      <c r="BC430" s="112"/>
      <c r="BD430" s="112"/>
      <c r="BE430" s="112"/>
      <c r="BF430" s="112"/>
      <c r="BG430" s="112"/>
      <c r="BH430" s="112"/>
      <c r="BI430" s="112"/>
      <c r="BJ430" s="112"/>
      <c r="BK430" s="112"/>
      <c r="BL430" s="112"/>
      <c r="BM430" s="112"/>
      <c r="BN430" s="112"/>
      <c r="BO430" s="112"/>
      <c r="BP430" s="112"/>
      <c r="BQ430" s="112"/>
      <c r="BR430" s="112"/>
      <c r="BS430" s="112"/>
      <c r="BT430" s="112"/>
      <c r="BU430" s="112"/>
      <c r="BV430" s="112"/>
      <c r="BW430" s="112"/>
      <c r="BX430" s="112"/>
      <c r="BY430" s="112"/>
      <c r="BZ430" s="112"/>
    </row>
    <row r="431" spans="1:78" x14ac:dyDescent="0.2">
      <c r="A431" s="86"/>
      <c r="B431" s="442"/>
      <c r="J431"/>
      <c r="AD431" s="112"/>
      <c r="AE431" s="112"/>
      <c r="AF431" s="112"/>
      <c r="AG431" s="112"/>
      <c r="AH431" s="112"/>
      <c r="AI431" s="112"/>
      <c r="AJ431" s="112"/>
      <c r="AK431" s="112"/>
      <c r="AL431" s="112"/>
      <c r="AM431" s="112"/>
      <c r="AN431" s="112"/>
      <c r="AO431" s="112"/>
      <c r="AP431" s="112"/>
      <c r="AQ431" s="112"/>
      <c r="AR431" s="112"/>
      <c r="AS431" s="112"/>
      <c r="AT431" s="112"/>
      <c r="AU431" s="112"/>
      <c r="AV431" s="112"/>
      <c r="AW431" s="112"/>
      <c r="AX431" s="112"/>
      <c r="AY431" s="112"/>
      <c r="AZ431" s="112"/>
      <c r="BA431" s="112"/>
      <c r="BB431" s="112"/>
      <c r="BC431" s="112"/>
      <c r="BD431" s="112"/>
      <c r="BE431" s="112"/>
      <c r="BF431" s="112"/>
      <c r="BG431" s="112"/>
      <c r="BH431" s="112"/>
      <c r="BI431" s="112"/>
      <c r="BJ431" s="112"/>
      <c r="BK431" s="112"/>
      <c r="BL431" s="112"/>
      <c r="BM431" s="112"/>
      <c r="BN431" s="112"/>
      <c r="BO431" s="112"/>
      <c r="BP431" s="112"/>
      <c r="BQ431" s="112"/>
      <c r="BR431" s="112"/>
      <c r="BS431" s="112"/>
      <c r="BT431" s="112"/>
      <c r="BU431" s="112"/>
      <c r="BV431" s="112"/>
      <c r="BW431" s="112"/>
      <c r="BX431" s="112"/>
      <c r="BY431" s="112"/>
      <c r="BZ431" s="112"/>
    </row>
    <row r="432" spans="1:78" x14ac:dyDescent="0.2">
      <c r="A432" s="86"/>
      <c r="B432" s="442"/>
      <c r="J432"/>
      <c r="AD432" s="112"/>
      <c r="AE432" s="112"/>
      <c r="AF432" s="112"/>
      <c r="AG432" s="112"/>
      <c r="AH432" s="112"/>
      <c r="AI432" s="112"/>
      <c r="AJ432" s="112"/>
      <c r="AK432" s="112"/>
      <c r="AL432" s="112"/>
      <c r="AM432" s="112"/>
      <c r="AN432" s="112"/>
      <c r="AO432" s="112"/>
      <c r="AP432" s="112"/>
      <c r="AQ432" s="112"/>
      <c r="AR432" s="112"/>
      <c r="AS432" s="112"/>
      <c r="AT432" s="112"/>
      <c r="AU432" s="112"/>
      <c r="AV432" s="112"/>
      <c r="AW432" s="112"/>
      <c r="AX432" s="112"/>
      <c r="AY432" s="112"/>
      <c r="AZ432" s="112"/>
      <c r="BA432" s="112"/>
      <c r="BB432" s="112"/>
      <c r="BC432" s="112"/>
      <c r="BD432" s="112"/>
      <c r="BE432" s="112"/>
      <c r="BF432" s="112"/>
      <c r="BG432" s="112"/>
      <c r="BH432" s="112"/>
      <c r="BI432" s="112"/>
      <c r="BJ432" s="112"/>
      <c r="BK432" s="112"/>
      <c r="BL432" s="112"/>
      <c r="BM432" s="112"/>
      <c r="BN432" s="112"/>
      <c r="BO432" s="112"/>
      <c r="BP432" s="112"/>
      <c r="BQ432" s="112"/>
      <c r="BR432" s="112"/>
      <c r="BS432" s="112"/>
      <c r="BT432" s="112"/>
      <c r="BU432" s="112"/>
      <c r="BV432" s="112"/>
      <c r="BW432" s="112"/>
      <c r="BX432" s="112"/>
      <c r="BY432" s="112"/>
      <c r="BZ432" s="112"/>
    </row>
    <row r="433" spans="1:78" x14ac:dyDescent="0.2">
      <c r="A433" s="86"/>
      <c r="B433" s="442"/>
      <c r="J433"/>
      <c r="AD433" s="112"/>
      <c r="AE433" s="112"/>
      <c r="AF433" s="112"/>
      <c r="AG433" s="112"/>
      <c r="AH433" s="112"/>
      <c r="AI433" s="112"/>
      <c r="AJ433" s="112"/>
      <c r="AK433" s="112"/>
      <c r="AL433" s="112"/>
      <c r="AM433" s="112"/>
      <c r="AN433" s="112"/>
      <c r="AO433" s="112"/>
      <c r="AP433" s="112"/>
      <c r="AQ433" s="112"/>
      <c r="AR433" s="112"/>
      <c r="AS433" s="112"/>
      <c r="AT433" s="112"/>
      <c r="AU433" s="112"/>
      <c r="AV433" s="112"/>
      <c r="AW433" s="112"/>
      <c r="AX433" s="112"/>
      <c r="AY433" s="112"/>
      <c r="AZ433" s="112"/>
      <c r="BA433" s="112"/>
      <c r="BB433" s="112"/>
      <c r="BC433" s="112"/>
      <c r="BD433" s="112"/>
      <c r="BE433" s="112"/>
      <c r="BF433" s="112"/>
      <c r="BG433" s="112"/>
      <c r="BH433" s="112"/>
      <c r="BI433" s="112"/>
      <c r="BJ433" s="112"/>
      <c r="BK433" s="112"/>
      <c r="BL433" s="112"/>
      <c r="BM433" s="112"/>
      <c r="BN433" s="112"/>
      <c r="BO433" s="112"/>
      <c r="BP433" s="112"/>
      <c r="BQ433" s="112"/>
      <c r="BR433" s="112"/>
      <c r="BS433" s="112"/>
      <c r="BT433" s="112"/>
      <c r="BU433" s="112"/>
      <c r="BV433" s="112"/>
      <c r="BW433" s="112"/>
      <c r="BX433" s="112"/>
      <c r="BY433" s="112"/>
      <c r="BZ433" s="112"/>
    </row>
    <row r="434" spans="1:78" x14ac:dyDescent="0.2">
      <c r="A434" s="86"/>
      <c r="B434" s="442"/>
      <c r="J434"/>
      <c r="AD434" s="112"/>
      <c r="AE434" s="112"/>
      <c r="AF434" s="112"/>
      <c r="AG434" s="112"/>
      <c r="AH434" s="112"/>
      <c r="AI434" s="112"/>
      <c r="AJ434" s="112"/>
      <c r="AK434" s="112"/>
      <c r="AL434" s="112"/>
      <c r="AM434" s="112"/>
      <c r="AN434" s="112"/>
      <c r="AO434" s="112"/>
      <c r="AP434" s="112"/>
      <c r="AQ434" s="112"/>
      <c r="AR434" s="112"/>
      <c r="AS434" s="112"/>
      <c r="AT434" s="112"/>
      <c r="AU434" s="112"/>
      <c r="AV434" s="112"/>
      <c r="AW434" s="112"/>
      <c r="AX434" s="112"/>
      <c r="AY434" s="112"/>
      <c r="AZ434" s="112"/>
      <c r="BA434" s="112"/>
      <c r="BB434" s="112"/>
      <c r="BC434" s="112"/>
      <c r="BD434" s="112"/>
      <c r="BE434" s="112"/>
      <c r="BF434" s="112"/>
      <c r="BG434" s="112"/>
      <c r="BH434" s="112"/>
      <c r="BI434" s="112"/>
      <c r="BJ434" s="112"/>
      <c r="BK434" s="112"/>
      <c r="BL434" s="112"/>
      <c r="BM434" s="112"/>
      <c r="BN434" s="112"/>
      <c r="BO434" s="112"/>
      <c r="BP434" s="112"/>
      <c r="BQ434" s="112"/>
      <c r="BR434" s="112"/>
      <c r="BS434" s="112"/>
      <c r="BT434" s="112"/>
      <c r="BU434" s="112"/>
      <c r="BV434" s="112"/>
      <c r="BW434" s="112"/>
      <c r="BX434" s="112"/>
      <c r="BY434" s="112"/>
      <c r="BZ434" s="112"/>
    </row>
    <row r="435" spans="1:78" x14ac:dyDescent="0.2">
      <c r="A435" s="86"/>
      <c r="B435" s="442"/>
      <c r="AD435" s="112"/>
      <c r="AE435" s="112"/>
      <c r="AF435" s="112"/>
      <c r="AG435" s="112"/>
      <c r="AH435" s="112"/>
      <c r="AI435" s="112"/>
      <c r="AJ435" s="112"/>
      <c r="AK435" s="112"/>
      <c r="AL435" s="112"/>
      <c r="AM435" s="112"/>
      <c r="AN435" s="112"/>
      <c r="AO435" s="112"/>
      <c r="AP435" s="112"/>
      <c r="AQ435" s="112"/>
      <c r="AR435" s="112"/>
      <c r="AS435" s="112"/>
      <c r="AT435" s="112"/>
      <c r="AU435" s="112"/>
      <c r="AV435" s="112"/>
      <c r="AW435" s="112"/>
      <c r="AX435" s="112"/>
      <c r="AY435" s="112"/>
      <c r="AZ435" s="112"/>
      <c r="BA435" s="112"/>
      <c r="BB435" s="112"/>
      <c r="BC435" s="112"/>
      <c r="BD435" s="112"/>
      <c r="BE435" s="112"/>
      <c r="BF435" s="112"/>
      <c r="BG435" s="112"/>
      <c r="BH435" s="112"/>
      <c r="BI435" s="112"/>
      <c r="BJ435" s="112"/>
      <c r="BK435" s="112"/>
      <c r="BL435" s="112"/>
      <c r="BM435" s="112"/>
      <c r="BN435" s="112"/>
      <c r="BO435" s="112"/>
      <c r="BP435" s="112"/>
      <c r="BQ435" s="112"/>
      <c r="BR435" s="112"/>
      <c r="BS435" s="112"/>
      <c r="BT435" s="112"/>
      <c r="BU435" s="112"/>
      <c r="BV435" s="112"/>
      <c r="BW435" s="112"/>
      <c r="BX435" s="112"/>
      <c r="BY435" s="112"/>
      <c r="BZ435" s="112"/>
    </row>
    <row r="436" spans="1:78" x14ac:dyDescent="0.2">
      <c r="A436" s="86"/>
      <c r="B436" s="442"/>
      <c r="AD436" s="112"/>
      <c r="AE436" s="112"/>
      <c r="AF436" s="112"/>
      <c r="AG436" s="112"/>
      <c r="AH436" s="112"/>
      <c r="AI436" s="112"/>
      <c r="AJ436" s="112"/>
      <c r="AK436" s="112"/>
      <c r="AL436" s="112"/>
      <c r="AM436" s="112"/>
      <c r="AN436" s="112"/>
      <c r="AO436" s="112"/>
      <c r="AP436" s="112"/>
      <c r="AQ436" s="112"/>
      <c r="AR436" s="112"/>
      <c r="AS436" s="112"/>
      <c r="AT436" s="112"/>
      <c r="AU436" s="112"/>
      <c r="AV436" s="112"/>
      <c r="AW436" s="112"/>
      <c r="AX436" s="112"/>
      <c r="AY436" s="112"/>
      <c r="AZ436" s="112"/>
      <c r="BA436" s="112"/>
      <c r="BB436" s="112"/>
      <c r="BC436" s="112"/>
      <c r="BD436" s="112"/>
      <c r="BE436" s="112"/>
      <c r="BF436" s="112"/>
      <c r="BG436" s="112"/>
      <c r="BH436" s="112"/>
      <c r="BI436" s="112"/>
      <c r="BJ436" s="112"/>
      <c r="BK436" s="112"/>
      <c r="BL436" s="112"/>
      <c r="BM436" s="112"/>
      <c r="BN436" s="112"/>
      <c r="BO436" s="112"/>
      <c r="BP436" s="112"/>
      <c r="BQ436" s="112"/>
      <c r="BR436" s="112"/>
      <c r="BS436" s="112"/>
      <c r="BT436" s="112"/>
      <c r="BU436" s="112"/>
      <c r="BV436" s="112"/>
      <c r="BW436" s="112"/>
      <c r="BX436" s="112"/>
      <c r="BY436" s="112"/>
      <c r="BZ436" s="112"/>
    </row>
    <row r="437" spans="1:78" x14ac:dyDescent="0.2">
      <c r="A437" s="86"/>
      <c r="B437" s="442"/>
      <c r="AD437" s="112"/>
      <c r="AE437" s="112"/>
      <c r="AF437" s="112"/>
      <c r="AG437" s="112"/>
      <c r="AH437" s="112"/>
      <c r="AI437" s="112"/>
      <c r="AJ437" s="112"/>
      <c r="AK437" s="112"/>
      <c r="AL437" s="112"/>
      <c r="AM437" s="112"/>
      <c r="AN437" s="112"/>
      <c r="AO437" s="112"/>
      <c r="AP437" s="112"/>
      <c r="AQ437" s="112"/>
      <c r="AR437" s="112"/>
      <c r="AS437" s="112"/>
      <c r="AT437" s="112"/>
      <c r="AU437" s="112"/>
      <c r="AV437" s="112"/>
      <c r="AW437" s="112"/>
      <c r="AX437" s="112"/>
      <c r="AY437" s="112"/>
      <c r="AZ437" s="112"/>
      <c r="BA437" s="112"/>
      <c r="BB437" s="112"/>
      <c r="BC437" s="112"/>
      <c r="BD437" s="112"/>
      <c r="BE437" s="112"/>
      <c r="BF437" s="112"/>
      <c r="BG437" s="112"/>
      <c r="BH437" s="112"/>
      <c r="BI437" s="112"/>
      <c r="BJ437" s="112"/>
      <c r="BK437" s="112"/>
      <c r="BL437" s="112"/>
      <c r="BM437" s="112"/>
      <c r="BN437" s="112"/>
      <c r="BO437" s="112"/>
      <c r="BP437" s="112"/>
      <c r="BQ437" s="112"/>
      <c r="BR437" s="112"/>
      <c r="BS437" s="112"/>
      <c r="BT437" s="112"/>
      <c r="BU437" s="112"/>
      <c r="BV437" s="112"/>
      <c r="BW437" s="112"/>
      <c r="BX437" s="112"/>
      <c r="BY437" s="112"/>
      <c r="BZ437" s="112"/>
    </row>
    <row r="438" spans="1:78" x14ac:dyDescent="0.2">
      <c r="A438" s="86"/>
      <c r="B438" s="442"/>
      <c r="AD438" s="112"/>
      <c r="AE438" s="112"/>
      <c r="AF438" s="112"/>
      <c r="AG438" s="112"/>
      <c r="AH438" s="112"/>
      <c r="AI438" s="112"/>
      <c r="AJ438" s="112"/>
      <c r="AK438" s="112"/>
      <c r="AL438" s="112"/>
      <c r="AM438" s="112"/>
      <c r="AN438" s="112"/>
      <c r="AO438" s="112"/>
      <c r="AP438" s="112"/>
      <c r="AQ438" s="112"/>
      <c r="AR438" s="112"/>
      <c r="AS438" s="112"/>
      <c r="AT438" s="112"/>
      <c r="AU438" s="112"/>
      <c r="AV438" s="112"/>
      <c r="AW438" s="112"/>
      <c r="AX438" s="112"/>
      <c r="AY438" s="112"/>
      <c r="AZ438" s="112"/>
      <c r="BA438" s="112"/>
      <c r="BB438" s="112"/>
      <c r="BC438" s="112"/>
      <c r="BD438" s="112"/>
      <c r="BE438" s="112"/>
      <c r="BF438" s="112"/>
      <c r="BG438" s="112"/>
      <c r="BH438" s="112"/>
      <c r="BI438" s="112"/>
      <c r="BJ438" s="112"/>
      <c r="BK438" s="112"/>
      <c r="BL438" s="112"/>
      <c r="BM438" s="112"/>
      <c r="BN438" s="112"/>
      <c r="BO438" s="112"/>
      <c r="BP438" s="112"/>
      <c r="BQ438" s="112"/>
      <c r="BR438" s="112"/>
      <c r="BS438" s="112"/>
      <c r="BT438" s="112"/>
      <c r="BU438" s="112"/>
      <c r="BV438" s="112"/>
      <c r="BW438" s="112"/>
      <c r="BX438" s="112"/>
      <c r="BY438" s="112"/>
      <c r="BZ438" s="112"/>
    </row>
    <row r="439" spans="1:78" x14ac:dyDescent="0.2">
      <c r="A439" s="86"/>
      <c r="B439" s="442"/>
      <c r="AD439" s="112"/>
      <c r="AE439" s="112"/>
      <c r="AF439" s="112"/>
      <c r="AG439" s="112"/>
      <c r="AH439" s="112"/>
      <c r="AI439" s="112"/>
      <c r="AJ439" s="112"/>
      <c r="AK439" s="112"/>
      <c r="AL439" s="112"/>
      <c r="AM439" s="112"/>
      <c r="AN439" s="112"/>
      <c r="AO439" s="112"/>
      <c r="AP439" s="112"/>
      <c r="AQ439" s="112"/>
      <c r="AR439" s="112"/>
      <c r="AS439" s="112"/>
      <c r="AT439" s="112"/>
      <c r="AU439" s="112"/>
      <c r="AV439" s="112"/>
      <c r="AW439" s="112"/>
      <c r="AX439" s="112"/>
      <c r="AY439" s="112"/>
      <c r="AZ439" s="112"/>
      <c r="BA439" s="112"/>
      <c r="BB439" s="112"/>
      <c r="BC439" s="112"/>
      <c r="BD439" s="112"/>
      <c r="BE439" s="112"/>
      <c r="BF439" s="112"/>
      <c r="BG439" s="112"/>
      <c r="BH439" s="112"/>
      <c r="BI439" s="112"/>
      <c r="BJ439" s="112"/>
      <c r="BK439" s="112"/>
      <c r="BL439" s="112"/>
      <c r="BM439" s="112"/>
      <c r="BN439" s="112"/>
      <c r="BO439" s="112"/>
      <c r="BP439" s="112"/>
      <c r="BQ439" s="112"/>
      <c r="BR439" s="112"/>
      <c r="BS439" s="112"/>
      <c r="BT439" s="112"/>
      <c r="BU439" s="112"/>
      <c r="BV439" s="112"/>
      <c r="BW439" s="112"/>
      <c r="BX439" s="112"/>
      <c r="BY439" s="112"/>
      <c r="BZ439" s="112"/>
    </row>
    <row r="440" spans="1:78" x14ac:dyDescent="0.2">
      <c r="A440" s="86"/>
      <c r="B440" s="442"/>
      <c r="AD440" s="112"/>
      <c r="AE440" s="112"/>
      <c r="AF440" s="112"/>
      <c r="AG440" s="112"/>
      <c r="AH440" s="112"/>
      <c r="AI440" s="112"/>
      <c r="AJ440" s="112"/>
      <c r="AK440" s="112"/>
      <c r="AL440" s="112"/>
      <c r="AM440" s="112"/>
      <c r="AN440" s="112"/>
      <c r="AO440" s="112"/>
      <c r="AP440" s="112"/>
      <c r="AQ440" s="112"/>
      <c r="AR440" s="112"/>
      <c r="AS440" s="112"/>
      <c r="AT440" s="112"/>
      <c r="AU440" s="112"/>
      <c r="AV440" s="112"/>
      <c r="AW440" s="112"/>
      <c r="AX440" s="112"/>
      <c r="AY440" s="112"/>
      <c r="AZ440" s="112"/>
      <c r="BA440" s="112"/>
      <c r="BB440" s="112"/>
      <c r="BC440" s="112"/>
      <c r="BD440" s="112"/>
      <c r="BE440" s="112"/>
      <c r="BF440" s="112"/>
      <c r="BG440" s="112"/>
      <c r="BH440" s="112"/>
      <c r="BI440" s="112"/>
      <c r="BJ440" s="112"/>
      <c r="BK440" s="112"/>
      <c r="BL440" s="112"/>
      <c r="BM440" s="112"/>
      <c r="BN440" s="112"/>
      <c r="BO440" s="112"/>
      <c r="BP440" s="112"/>
      <c r="BQ440" s="112"/>
      <c r="BR440" s="112"/>
      <c r="BS440" s="112"/>
      <c r="BT440" s="112"/>
      <c r="BU440" s="112"/>
      <c r="BV440" s="112"/>
      <c r="BW440" s="112"/>
      <c r="BX440" s="112"/>
      <c r="BY440" s="112"/>
      <c r="BZ440" s="112"/>
    </row>
    <row r="441" spans="1:78" x14ac:dyDescent="0.2">
      <c r="A441" s="86"/>
      <c r="B441" s="442"/>
      <c r="AD441" s="112"/>
      <c r="AE441" s="112"/>
      <c r="AF441" s="112"/>
      <c r="AG441" s="112"/>
      <c r="AH441" s="112"/>
      <c r="AI441" s="112"/>
      <c r="AJ441" s="112"/>
      <c r="AK441" s="112"/>
      <c r="AL441" s="112"/>
      <c r="AM441" s="112"/>
      <c r="AN441" s="112"/>
      <c r="AO441" s="112"/>
      <c r="AP441" s="112"/>
      <c r="AQ441" s="112"/>
      <c r="AR441" s="112"/>
      <c r="AS441" s="112"/>
      <c r="AT441" s="112"/>
      <c r="AU441" s="112"/>
      <c r="AV441" s="112"/>
      <c r="AW441" s="112"/>
      <c r="AX441" s="112"/>
      <c r="AY441" s="112"/>
      <c r="AZ441" s="112"/>
      <c r="BA441" s="112"/>
      <c r="BB441" s="112"/>
      <c r="BC441" s="112"/>
      <c r="BD441" s="112"/>
      <c r="BE441" s="112"/>
      <c r="BF441" s="112"/>
      <c r="BG441" s="112"/>
      <c r="BH441" s="112"/>
      <c r="BI441" s="112"/>
      <c r="BJ441" s="112"/>
      <c r="BK441" s="112"/>
      <c r="BL441" s="112"/>
      <c r="BM441" s="112"/>
      <c r="BN441" s="112"/>
      <c r="BO441" s="112"/>
      <c r="BP441" s="112"/>
      <c r="BQ441" s="112"/>
      <c r="BR441" s="112"/>
      <c r="BS441" s="112"/>
      <c r="BT441" s="112"/>
      <c r="BU441" s="112"/>
      <c r="BV441" s="112"/>
      <c r="BW441" s="112"/>
      <c r="BX441" s="112"/>
      <c r="BY441" s="112"/>
      <c r="BZ441" s="112"/>
    </row>
    <row r="442" spans="1:78" x14ac:dyDescent="0.2">
      <c r="A442" s="86"/>
      <c r="B442" s="442"/>
      <c r="AD442" s="112"/>
      <c r="AE442" s="112"/>
      <c r="AF442" s="112"/>
      <c r="AG442" s="112"/>
      <c r="AH442" s="112"/>
      <c r="AI442" s="112"/>
      <c r="AJ442" s="112"/>
      <c r="AK442" s="112"/>
      <c r="AL442" s="112"/>
      <c r="AM442" s="112"/>
      <c r="AN442" s="112"/>
      <c r="AO442" s="112"/>
      <c r="AP442" s="112"/>
      <c r="AQ442" s="112"/>
      <c r="AR442" s="112"/>
      <c r="AS442" s="112"/>
      <c r="AT442" s="112"/>
      <c r="AU442" s="112"/>
      <c r="AV442" s="112"/>
      <c r="AW442" s="112"/>
      <c r="AX442" s="112"/>
      <c r="AY442" s="112"/>
      <c r="AZ442" s="112"/>
      <c r="BA442" s="112"/>
      <c r="BB442" s="112"/>
      <c r="BC442" s="112"/>
      <c r="BD442" s="112"/>
      <c r="BE442" s="112"/>
      <c r="BF442" s="112"/>
      <c r="BG442" s="112"/>
      <c r="BH442" s="112"/>
      <c r="BI442" s="112"/>
      <c r="BJ442" s="112"/>
      <c r="BK442" s="112"/>
      <c r="BL442" s="112"/>
      <c r="BM442" s="112"/>
      <c r="BN442" s="112"/>
      <c r="BO442" s="112"/>
      <c r="BP442" s="112"/>
      <c r="BQ442" s="112"/>
      <c r="BR442" s="112"/>
      <c r="BS442" s="112"/>
      <c r="BT442" s="112"/>
      <c r="BU442" s="112"/>
      <c r="BV442" s="112"/>
      <c r="BW442" s="112"/>
      <c r="BX442" s="112"/>
      <c r="BY442" s="112"/>
      <c r="BZ442" s="112"/>
    </row>
    <row r="443" spans="1:78" x14ac:dyDescent="0.2">
      <c r="A443" s="86"/>
      <c r="B443" s="442"/>
      <c r="AD443" s="112"/>
      <c r="AE443" s="112"/>
      <c r="AF443" s="112"/>
      <c r="AG443" s="112"/>
      <c r="AH443" s="112"/>
      <c r="AI443" s="112"/>
      <c r="AJ443" s="112"/>
      <c r="AK443" s="112"/>
      <c r="AL443" s="112"/>
      <c r="AM443" s="112"/>
      <c r="AN443" s="112"/>
      <c r="AO443" s="112"/>
      <c r="AP443" s="112"/>
      <c r="AQ443" s="112"/>
      <c r="AR443" s="112"/>
      <c r="AS443" s="112"/>
      <c r="AT443" s="112"/>
      <c r="AU443" s="112"/>
      <c r="AV443" s="112"/>
      <c r="AW443" s="112"/>
      <c r="AX443" s="112"/>
      <c r="AY443" s="112"/>
      <c r="AZ443" s="112"/>
      <c r="BA443" s="112"/>
      <c r="BB443" s="112"/>
      <c r="BC443" s="112"/>
      <c r="BD443" s="112"/>
      <c r="BE443" s="112"/>
      <c r="BF443" s="112"/>
      <c r="BG443" s="112"/>
      <c r="BH443" s="112"/>
      <c r="BI443" s="112"/>
      <c r="BJ443" s="112"/>
      <c r="BK443" s="112"/>
      <c r="BL443" s="112"/>
      <c r="BM443" s="112"/>
      <c r="BN443" s="112"/>
      <c r="BO443" s="112"/>
      <c r="BP443" s="112"/>
      <c r="BQ443" s="112"/>
      <c r="BR443" s="112"/>
      <c r="BS443" s="112"/>
      <c r="BT443" s="112"/>
      <c r="BU443" s="112"/>
      <c r="BV443" s="112"/>
      <c r="BW443" s="112"/>
      <c r="BX443" s="112"/>
      <c r="BY443" s="112"/>
      <c r="BZ443" s="112"/>
    </row>
    <row r="444" spans="1:78" x14ac:dyDescent="0.2">
      <c r="A444" s="86"/>
      <c r="B444" s="442"/>
      <c r="AD444" s="112"/>
      <c r="AE444" s="112"/>
      <c r="AF444" s="112"/>
      <c r="AG444" s="112"/>
      <c r="AH444" s="112"/>
      <c r="AI444" s="112"/>
      <c r="AJ444" s="112"/>
      <c r="AK444" s="112"/>
      <c r="AL444" s="112"/>
      <c r="AM444" s="112"/>
      <c r="AN444" s="112"/>
      <c r="AO444" s="112"/>
      <c r="AP444" s="112"/>
      <c r="AQ444" s="112"/>
      <c r="AR444" s="112"/>
      <c r="AS444" s="112"/>
      <c r="AT444" s="112"/>
      <c r="AU444" s="112"/>
      <c r="AV444" s="112"/>
      <c r="AW444" s="112"/>
      <c r="AX444" s="112"/>
      <c r="AY444" s="112"/>
      <c r="AZ444" s="112"/>
      <c r="BA444" s="112"/>
      <c r="BB444" s="112"/>
      <c r="BC444" s="112"/>
      <c r="BD444" s="112"/>
      <c r="BE444" s="112"/>
      <c r="BF444" s="112"/>
      <c r="BG444" s="112"/>
      <c r="BH444" s="112"/>
      <c r="BI444" s="112"/>
      <c r="BJ444" s="112"/>
      <c r="BK444" s="112"/>
      <c r="BL444" s="112"/>
      <c r="BM444" s="112"/>
      <c r="BN444" s="112"/>
      <c r="BO444" s="112"/>
      <c r="BP444" s="112"/>
      <c r="BQ444" s="112"/>
      <c r="BR444" s="112"/>
      <c r="BS444" s="112"/>
      <c r="BT444" s="112"/>
      <c r="BU444" s="112"/>
      <c r="BV444" s="112"/>
      <c r="BW444" s="112"/>
      <c r="BX444" s="112"/>
      <c r="BY444" s="112"/>
      <c r="BZ444" s="112"/>
    </row>
    <row r="445" spans="1:78" x14ac:dyDescent="0.2">
      <c r="A445" s="86"/>
      <c r="B445" s="442"/>
      <c r="AD445" s="112"/>
      <c r="AE445" s="112"/>
      <c r="AF445" s="112"/>
      <c r="AG445" s="112"/>
      <c r="AH445" s="112"/>
      <c r="AI445" s="112"/>
      <c r="AJ445" s="112"/>
      <c r="AK445" s="112"/>
      <c r="AL445" s="112"/>
      <c r="AM445" s="112"/>
      <c r="AN445" s="112"/>
      <c r="AO445" s="112"/>
      <c r="AP445" s="112"/>
      <c r="AQ445" s="112"/>
      <c r="AR445" s="112"/>
      <c r="AS445" s="112"/>
      <c r="AT445" s="112"/>
      <c r="AU445" s="112"/>
      <c r="AV445" s="112"/>
      <c r="AW445" s="112"/>
      <c r="AX445" s="112"/>
      <c r="AY445" s="112"/>
      <c r="AZ445" s="112"/>
      <c r="BA445" s="112"/>
      <c r="BB445" s="112"/>
      <c r="BC445" s="112"/>
      <c r="BD445" s="112"/>
      <c r="BE445" s="112"/>
      <c r="BF445" s="112"/>
      <c r="BG445" s="112"/>
      <c r="BH445" s="112"/>
      <c r="BI445" s="112"/>
      <c r="BJ445" s="112"/>
      <c r="BK445" s="112"/>
      <c r="BL445" s="112"/>
      <c r="BM445" s="112"/>
      <c r="BN445" s="112"/>
      <c r="BO445" s="112"/>
      <c r="BP445" s="112"/>
      <c r="BQ445" s="112"/>
      <c r="BR445" s="112"/>
      <c r="BS445" s="112"/>
      <c r="BT445" s="112"/>
      <c r="BU445" s="112"/>
      <c r="BV445" s="112"/>
      <c r="BW445" s="112"/>
      <c r="BX445" s="112"/>
      <c r="BY445" s="112"/>
      <c r="BZ445" s="112"/>
    </row>
    <row r="446" spans="1:78" x14ac:dyDescent="0.2">
      <c r="A446" s="86"/>
      <c r="B446" s="442"/>
      <c r="AD446" s="112"/>
      <c r="AE446" s="112"/>
      <c r="AF446" s="112"/>
      <c r="AG446" s="112"/>
      <c r="AH446" s="112"/>
      <c r="AI446" s="112"/>
      <c r="AJ446" s="112"/>
      <c r="AK446" s="112"/>
      <c r="AL446" s="112"/>
      <c r="AM446" s="112"/>
      <c r="AN446" s="112"/>
      <c r="AO446" s="112"/>
      <c r="AP446" s="112"/>
      <c r="AQ446" s="112"/>
      <c r="AR446" s="112"/>
      <c r="AS446" s="112"/>
      <c r="AT446" s="112"/>
      <c r="AU446" s="112"/>
      <c r="AV446" s="112"/>
      <c r="AW446" s="112"/>
      <c r="AX446" s="112"/>
      <c r="AY446" s="112"/>
      <c r="AZ446" s="112"/>
      <c r="BA446" s="112"/>
      <c r="BB446" s="112"/>
      <c r="BC446" s="112"/>
      <c r="BD446" s="112"/>
      <c r="BE446" s="112"/>
      <c r="BF446" s="112"/>
      <c r="BG446" s="112"/>
      <c r="BH446" s="112"/>
      <c r="BI446" s="112"/>
      <c r="BJ446" s="112"/>
      <c r="BK446" s="112"/>
      <c r="BL446" s="112"/>
      <c r="BM446" s="112"/>
      <c r="BN446" s="112"/>
      <c r="BO446" s="112"/>
      <c r="BP446" s="112"/>
      <c r="BQ446" s="112"/>
      <c r="BR446" s="112"/>
      <c r="BS446" s="112"/>
      <c r="BT446" s="112"/>
      <c r="BU446" s="112"/>
      <c r="BV446" s="112"/>
      <c r="BW446" s="112"/>
      <c r="BX446" s="112"/>
      <c r="BY446" s="112"/>
      <c r="BZ446" s="112"/>
    </row>
    <row r="447" spans="1:78" x14ac:dyDescent="0.2">
      <c r="A447" s="86"/>
      <c r="B447" s="442"/>
      <c r="AD447" s="112"/>
      <c r="AE447" s="112"/>
      <c r="AF447" s="112"/>
      <c r="AG447" s="112"/>
      <c r="AH447" s="112"/>
      <c r="AI447" s="112"/>
      <c r="AJ447" s="112"/>
      <c r="AK447" s="112"/>
      <c r="AL447" s="112"/>
      <c r="AM447" s="112"/>
      <c r="AN447" s="112"/>
      <c r="AO447" s="112"/>
      <c r="AP447" s="112"/>
      <c r="AQ447" s="112"/>
      <c r="AR447" s="112"/>
      <c r="AS447" s="112"/>
      <c r="AT447" s="112"/>
      <c r="AU447" s="112"/>
      <c r="AV447" s="112"/>
      <c r="AW447" s="112"/>
      <c r="AX447" s="112"/>
      <c r="AY447" s="112"/>
      <c r="AZ447" s="112"/>
      <c r="BA447" s="112"/>
      <c r="BB447" s="112"/>
      <c r="BC447" s="112"/>
      <c r="BD447" s="112"/>
      <c r="BE447" s="112"/>
      <c r="BF447" s="112"/>
      <c r="BG447" s="112"/>
      <c r="BH447" s="112"/>
      <c r="BI447" s="112"/>
      <c r="BJ447" s="112"/>
      <c r="BK447" s="112"/>
      <c r="BL447" s="112"/>
      <c r="BM447" s="112"/>
      <c r="BN447" s="112"/>
      <c r="BO447" s="112"/>
      <c r="BP447" s="112"/>
      <c r="BQ447" s="112"/>
      <c r="BR447" s="112"/>
      <c r="BS447" s="112"/>
      <c r="BT447" s="112"/>
      <c r="BU447" s="112"/>
      <c r="BV447" s="112"/>
      <c r="BW447" s="112"/>
      <c r="BX447" s="112"/>
      <c r="BY447" s="112"/>
      <c r="BZ447" s="112"/>
    </row>
    <row r="448" spans="1:78" x14ac:dyDescent="0.2">
      <c r="A448" s="86"/>
      <c r="B448" s="442"/>
      <c r="AD448" s="112"/>
      <c r="AE448" s="112"/>
      <c r="AF448" s="112"/>
      <c r="AG448" s="112"/>
      <c r="AH448" s="112"/>
      <c r="AI448" s="112"/>
      <c r="AJ448" s="112"/>
      <c r="AK448" s="112"/>
      <c r="AL448" s="112"/>
      <c r="AM448" s="112"/>
      <c r="AN448" s="112"/>
      <c r="AO448" s="112"/>
      <c r="AP448" s="112"/>
      <c r="AQ448" s="112"/>
      <c r="AR448" s="112"/>
      <c r="AS448" s="112"/>
      <c r="AT448" s="112"/>
      <c r="AU448" s="112"/>
      <c r="AV448" s="112"/>
      <c r="AW448" s="112"/>
      <c r="AX448" s="112"/>
      <c r="AY448" s="112"/>
      <c r="AZ448" s="112"/>
      <c r="BA448" s="112"/>
      <c r="BB448" s="112"/>
      <c r="BC448" s="112"/>
      <c r="BD448" s="112"/>
      <c r="BE448" s="112"/>
      <c r="BF448" s="112"/>
      <c r="BG448" s="112"/>
      <c r="BH448" s="112"/>
      <c r="BI448" s="112"/>
      <c r="BJ448" s="112"/>
      <c r="BK448" s="112"/>
      <c r="BL448" s="112"/>
      <c r="BM448" s="112"/>
      <c r="BN448" s="112"/>
      <c r="BO448" s="112"/>
      <c r="BP448" s="112"/>
      <c r="BQ448" s="112"/>
      <c r="BR448" s="112"/>
      <c r="BS448" s="112"/>
      <c r="BT448" s="112"/>
      <c r="BU448" s="112"/>
      <c r="BV448" s="112"/>
      <c r="BW448" s="112"/>
      <c r="BX448" s="112"/>
      <c r="BY448" s="112"/>
      <c r="BZ448" s="112"/>
    </row>
    <row r="449" spans="1:78" x14ac:dyDescent="0.2">
      <c r="A449" s="86"/>
      <c r="B449" s="442"/>
      <c r="AD449" s="112"/>
      <c r="AE449" s="112"/>
      <c r="AF449" s="112"/>
      <c r="AG449" s="112"/>
      <c r="AH449" s="112"/>
      <c r="AI449" s="112"/>
      <c r="AJ449" s="112"/>
      <c r="AK449" s="112"/>
      <c r="AL449" s="112"/>
      <c r="AM449" s="112"/>
      <c r="AN449" s="112"/>
      <c r="AO449" s="112"/>
      <c r="AP449" s="112"/>
      <c r="AQ449" s="112"/>
      <c r="AR449" s="112"/>
      <c r="AS449" s="112"/>
      <c r="AT449" s="112"/>
      <c r="AU449" s="112"/>
      <c r="AV449" s="112"/>
      <c r="AW449" s="112"/>
      <c r="AX449" s="112"/>
      <c r="AY449" s="112"/>
      <c r="AZ449" s="112"/>
      <c r="BA449" s="112"/>
      <c r="BB449" s="112"/>
      <c r="BC449" s="112"/>
      <c r="BD449" s="112"/>
      <c r="BE449" s="112"/>
      <c r="BF449" s="112"/>
      <c r="BG449" s="112"/>
      <c r="BH449" s="112"/>
      <c r="BI449" s="112"/>
      <c r="BJ449" s="112"/>
      <c r="BK449" s="112"/>
      <c r="BL449" s="112"/>
      <c r="BM449" s="112"/>
      <c r="BN449" s="112"/>
      <c r="BO449" s="112"/>
      <c r="BP449" s="112"/>
      <c r="BQ449" s="112"/>
      <c r="BR449" s="112"/>
      <c r="BS449" s="112"/>
      <c r="BT449" s="112"/>
      <c r="BU449" s="112"/>
      <c r="BV449" s="112"/>
      <c r="BW449" s="112"/>
      <c r="BX449" s="112"/>
      <c r="BY449" s="112"/>
      <c r="BZ449" s="112"/>
    </row>
    <row r="450" spans="1:78" x14ac:dyDescent="0.2">
      <c r="A450" s="86"/>
      <c r="B450" s="442"/>
      <c r="AD450" s="112"/>
      <c r="AE450" s="112"/>
      <c r="AF450" s="112"/>
      <c r="AG450" s="112"/>
      <c r="AH450" s="112"/>
      <c r="AI450" s="112"/>
      <c r="AJ450" s="112"/>
      <c r="AK450" s="112"/>
      <c r="AL450" s="112"/>
      <c r="AM450" s="112"/>
      <c r="AN450" s="112"/>
      <c r="AO450" s="112"/>
      <c r="AP450" s="112"/>
      <c r="AQ450" s="112"/>
      <c r="AR450" s="112"/>
      <c r="AS450" s="112"/>
      <c r="AT450" s="112"/>
      <c r="AU450" s="112"/>
      <c r="AV450" s="112"/>
      <c r="AW450" s="112"/>
      <c r="AX450" s="112"/>
      <c r="AY450" s="112"/>
      <c r="AZ450" s="112"/>
      <c r="BA450" s="112"/>
      <c r="BB450" s="112"/>
      <c r="BC450" s="112"/>
      <c r="BD450" s="112"/>
      <c r="BE450" s="112"/>
      <c r="BF450" s="112"/>
      <c r="BG450" s="112"/>
      <c r="BH450" s="112"/>
      <c r="BI450" s="112"/>
      <c r="BJ450" s="112"/>
      <c r="BK450" s="112"/>
      <c r="BL450" s="112"/>
      <c r="BM450" s="112"/>
      <c r="BN450" s="112"/>
      <c r="BO450" s="112"/>
      <c r="BP450" s="112"/>
      <c r="BQ450" s="112"/>
      <c r="BR450" s="112"/>
      <c r="BS450" s="112"/>
      <c r="BT450" s="112"/>
      <c r="BU450" s="112"/>
      <c r="BV450" s="112"/>
      <c r="BW450" s="112"/>
      <c r="BX450" s="112"/>
      <c r="BY450" s="112"/>
      <c r="BZ450" s="112"/>
    </row>
    <row r="451" spans="1:78" x14ac:dyDescent="0.2">
      <c r="A451" s="86"/>
      <c r="B451" s="442"/>
      <c r="AD451" s="112"/>
      <c r="AE451" s="112"/>
      <c r="AF451" s="112"/>
      <c r="AG451" s="112"/>
      <c r="AH451" s="112"/>
      <c r="AI451" s="112"/>
      <c r="AJ451" s="112"/>
      <c r="AK451" s="112"/>
      <c r="AL451" s="112"/>
      <c r="AM451" s="112"/>
      <c r="AN451" s="112"/>
      <c r="AO451" s="112"/>
      <c r="AP451" s="112"/>
      <c r="AQ451" s="112"/>
      <c r="AR451" s="112"/>
      <c r="AS451" s="112"/>
      <c r="AT451" s="112"/>
      <c r="AU451" s="112"/>
      <c r="AV451" s="112"/>
      <c r="AW451" s="112"/>
      <c r="AX451" s="112"/>
      <c r="AY451" s="112"/>
      <c r="AZ451" s="112"/>
      <c r="BA451" s="112"/>
      <c r="BB451" s="112"/>
      <c r="BC451" s="112"/>
      <c r="BD451" s="112"/>
      <c r="BE451" s="112"/>
      <c r="BF451" s="112"/>
      <c r="BG451" s="112"/>
      <c r="BH451" s="112"/>
      <c r="BI451" s="112"/>
      <c r="BJ451" s="112"/>
      <c r="BK451" s="112"/>
      <c r="BL451" s="112"/>
      <c r="BM451" s="112"/>
      <c r="BN451" s="112"/>
      <c r="BO451" s="112"/>
      <c r="BP451" s="112"/>
      <c r="BQ451" s="112"/>
      <c r="BR451" s="112"/>
      <c r="BS451" s="112"/>
      <c r="BT451" s="112"/>
      <c r="BU451" s="112"/>
      <c r="BV451" s="112"/>
      <c r="BW451" s="112"/>
      <c r="BX451" s="112"/>
      <c r="BY451" s="112"/>
      <c r="BZ451" s="112"/>
    </row>
    <row r="452" spans="1:78" x14ac:dyDescent="0.2">
      <c r="A452" s="86"/>
      <c r="B452" s="442"/>
      <c r="AD452" s="112"/>
      <c r="AE452" s="112"/>
      <c r="AF452" s="112"/>
      <c r="AG452" s="112"/>
      <c r="AH452" s="112"/>
      <c r="AI452" s="112"/>
      <c r="AJ452" s="112"/>
      <c r="AK452" s="112"/>
      <c r="AL452" s="112"/>
      <c r="AM452" s="112"/>
      <c r="AN452" s="112"/>
      <c r="AO452" s="112"/>
      <c r="AP452" s="112"/>
      <c r="AQ452" s="112"/>
      <c r="AR452" s="112"/>
      <c r="AS452" s="112"/>
      <c r="AT452" s="112"/>
      <c r="AU452" s="112"/>
      <c r="AV452" s="112"/>
      <c r="AW452" s="112"/>
      <c r="AX452" s="112"/>
      <c r="AY452" s="112"/>
      <c r="AZ452" s="112"/>
      <c r="BA452" s="112"/>
      <c r="BB452" s="112"/>
      <c r="BC452" s="112"/>
      <c r="BD452" s="112"/>
      <c r="BE452" s="112"/>
      <c r="BF452" s="112"/>
      <c r="BG452" s="112"/>
      <c r="BH452" s="112"/>
      <c r="BI452" s="112"/>
      <c r="BJ452" s="112"/>
      <c r="BK452" s="112"/>
      <c r="BL452" s="112"/>
      <c r="BM452" s="112"/>
      <c r="BN452" s="112"/>
      <c r="BO452" s="112"/>
      <c r="BP452" s="112"/>
      <c r="BQ452" s="112"/>
      <c r="BR452" s="112"/>
      <c r="BS452" s="112"/>
      <c r="BT452" s="112"/>
      <c r="BU452" s="112"/>
      <c r="BV452" s="112"/>
      <c r="BW452" s="112"/>
      <c r="BX452" s="112"/>
      <c r="BY452" s="112"/>
      <c r="BZ452" s="112"/>
    </row>
    <row r="453" spans="1:78" x14ac:dyDescent="0.2">
      <c r="A453" s="86"/>
      <c r="B453" s="442"/>
      <c r="AD453" s="112"/>
      <c r="AE453" s="112"/>
      <c r="AF453" s="112"/>
      <c r="AG453" s="112"/>
      <c r="AH453" s="112"/>
      <c r="AI453" s="112"/>
      <c r="AJ453" s="112"/>
      <c r="AK453" s="112"/>
      <c r="AL453" s="112"/>
      <c r="AM453" s="112"/>
      <c r="AN453" s="112"/>
      <c r="AO453" s="112"/>
      <c r="AP453" s="112"/>
      <c r="AQ453" s="112"/>
      <c r="AR453" s="112"/>
      <c r="AS453" s="112"/>
      <c r="AT453" s="112"/>
      <c r="AU453" s="112"/>
      <c r="AV453" s="112"/>
      <c r="AW453" s="112"/>
      <c r="AX453" s="112"/>
      <c r="AY453" s="112"/>
      <c r="AZ453" s="112"/>
      <c r="BA453" s="112"/>
      <c r="BB453" s="112"/>
      <c r="BC453" s="112"/>
      <c r="BD453" s="112"/>
      <c r="BE453" s="112"/>
      <c r="BF453" s="112"/>
      <c r="BG453" s="112"/>
      <c r="BH453" s="112"/>
      <c r="BI453" s="112"/>
      <c r="BJ453" s="112"/>
      <c r="BK453" s="112"/>
      <c r="BL453" s="112"/>
      <c r="BM453" s="112"/>
      <c r="BN453" s="112"/>
      <c r="BO453" s="112"/>
      <c r="BP453" s="112"/>
      <c r="BQ453" s="112"/>
      <c r="BR453" s="112"/>
      <c r="BS453" s="112"/>
      <c r="BT453" s="112"/>
      <c r="BU453" s="112"/>
      <c r="BV453" s="112"/>
      <c r="BW453" s="112"/>
      <c r="BX453" s="112"/>
      <c r="BY453" s="112"/>
      <c r="BZ453" s="112"/>
    </row>
    <row r="454" spans="1:78" x14ac:dyDescent="0.2">
      <c r="A454" s="86"/>
      <c r="B454" s="442"/>
      <c r="AD454" s="112"/>
      <c r="AE454" s="112"/>
      <c r="AF454" s="112"/>
      <c r="AG454" s="112"/>
      <c r="AH454" s="112"/>
      <c r="AI454" s="112"/>
      <c r="AJ454" s="112"/>
      <c r="AK454" s="112"/>
      <c r="AL454" s="112"/>
      <c r="AM454" s="112"/>
      <c r="AN454" s="112"/>
      <c r="AO454" s="112"/>
      <c r="AP454" s="112"/>
      <c r="AQ454" s="112"/>
      <c r="AR454" s="112"/>
      <c r="AS454" s="112"/>
      <c r="AT454" s="112"/>
      <c r="AU454" s="112"/>
      <c r="AV454" s="112"/>
      <c r="AW454" s="112"/>
      <c r="AX454" s="112"/>
      <c r="AY454" s="112"/>
      <c r="AZ454" s="112"/>
      <c r="BA454" s="112"/>
      <c r="BB454" s="112"/>
      <c r="BC454" s="112"/>
      <c r="BD454" s="112"/>
      <c r="BE454" s="112"/>
      <c r="BF454" s="112"/>
      <c r="BG454" s="112"/>
      <c r="BH454" s="112"/>
      <c r="BI454" s="112"/>
      <c r="BJ454" s="112"/>
      <c r="BK454" s="112"/>
      <c r="BL454" s="112"/>
      <c r="BM454" s="112"/>
      <c r="BN454" s="112"/>
      <c r="BO454" s="112"/>
      <c r="BP454" s="112"/>
      <c r="BQ454" s="112"/>
      <c r="BR454" s="112"/>
      <c r="BS454" s="112"/>
      <c r="BT454" s="112"/>
      <c r="BU454" s="112"/>
      <c r="BV454" s="112"/>
      <c r="BW454" s="112"/>
      <c r="BX454" s="112"/>
      <c r="BY454" s="112"/>
      <c r="BZ454" s="112"/>
    </row>
    <row r="455" spans="1:78" x14ac:dyDescent="0.2">
      <c r="A455" s="86"/>
      <c r="B455" s="442"/>
      <c r="AD455" s="112"/>
      <c r="AE455" s="112"/>
      <c r="AF455" s="112"/>
      <c r="AG455" s="112"/>
      <c r="AH455" s="112"/>
      <c r="AI455" s="112"/>
      <c r="AJ455" s="112"/>
      <c r="AK455" s="112"/>
      <c r="AL455" s="112"/>
      <c r="AM455" s="112"/>
      <c r="AN455" s="112"/>
      <c r="AO455" s="112"/>
      <c r="AP455" s="112"/>
      <c r="AQ455" s="112"/>
      <c r="AR455" s="112"/>
      <c r="AS455" s="112"/>
      <c r="AT455" s="112"/>
      <c r="AU455" s="112"/>
      <c r="AV455" s="112"/>
      <c r="AW455" s="112"/>
      <c r="AX455" s="112"/>
      <c r="AY455" s="112"/>
      <c r="AZ455" s="112"/>
      <c r="BA455" s="112"/>
      <c r="BB455" s="112"/>
      <c r="BC455" s="112"/>
      <c r="BD455" s="112"/>
      <c r="BE455" s="112"/>
      <c r="BF455" s="112"/>
      <c r="BG455" s="112"/>
      <c r="BH455" s="112"/>
      <c r="BI455" s="112"/>
      <c r="BJ455" s="112"/>
      <c r="BK455" s="112"/>
      <c r="BL455" s="112"/>
      <c r="BM455" s="112"/>
      <c r="BN455" s="112"/>
      <c r="BO455" s="112"/>
      <c r="BP455" s="112"/>
      <c r="BQ455" s="112"/>
      <c r="BR455" s="112"/>
      <c r="BS455" s="112"/>
      <c r="BT455" s="112"/>
      <c r="BU455" s="112"/>
      <c r="BV455" s="112"/>
      <c r="BW455" s="112"/>
      <c r="BX455" s="112"/>
      <c r="BY455" s="112"/>
      <c r="BZ455" s="112"/>
    </row>
    <row r="456" spans="1:78" x14ac:dyDescent="0.2">
      <c r="A456" s="86"/>
      <c r="B456" s="442"/>
      <c r="AD456" s="112"/>
      <c r="AE456" s="112"/>
      <c r="AF456" s="112"/>
      <c r="AG456" s="112"/>
      <c r="AH456" s="112"/>
      <c r="AI456" s="112"/>
      <c r="AJ456" s="112"/>
      <c r="AK456" s="112"/>
      <c r="AL456" s="112"/>
      <c r="AM456" s="112"/>
      <c r="AN456" s="112"/>
      <c r="AO456" s="112"/>
      <c r="AP456" s="112"/>
      <c r="AQ456" s="112"/>
      <c r="AR456" s="112"/>
      <c r="AS456" s="112"/>
      <c r="AT456" s="112"/>
      <c r="AU456" s="112"/>
      <c r="AV456" s="112"/>
      <c r="AW456" s="112"/>
      <c r="AX456" s="112"/>
      <c r="AY456" s="112"/>
      <c r="AZ456" s="112"/>
      <c r="BA456" s="112"/>
      <c r="BB456" s="112"/>
      <c r="BC456" s="112"/>
      <c r="BD456" s="112"/>
      <c r="BE456" s="112"/>
      <c r="BF456" s="112"/>
      <c r="BG456" s="112"/>
      <c r="BH456" s="112"/>
      <c r="BI456" s="112"/>
      <c r="BJ456" s="112"/>
      <c r="BK456" s="112"/>
      <c r="BL456" s="112"/>
      <c r="BM456" s="112"/>
      <c r="BN456" s="112"/>
      <c r="BO456" s="112"/>
      <c r="BP456" s="112"/>
      <c r="BQ456" s="112"/>
      <c r="BR456" s="112"/>
      <c r="BS456" s="112"/>
      <c r="BT456" s="112"/>
      <c r="BU456" s="112"/>
      <c r="BV456" s="112"/>
      <c r="BW456" s="112"/>
      <c r="BX456" s="112"/>
      <c r="BY456" s="112"/>
      <c r="BZ456" s="112"/>
    </row>
    <row r="457" spans="1:78" x14ac:dyDescent="0.2">
      <c r="A457" s="86"/>
      <c r="B457" s="442"/>
      <c r="AD457" s="112"/>
      <c r="AE457" s="112"/>
      <c r="AF457" s="112"/>
      <c r="AG457" s="112"/>
      <c r="AH457" s="112"/>
      <c r="AI457" s="112"/>
      <c r="AJ457" s="112"/>
      <c r="AK457" s="112"/>
      <c r="AL457" s="112"/>
      <c r="AM457" s="112"/>
      <c r="AN457" s="112"/>
      <c r="AO457" s="112"/>
      <c r="AP457" s="112"/>
      <c r="AQ457" s="112"/>
      <c r="AR457" s="112"/>
      <c r="AS457" s="112"/>
      <c r="AT457" s="112"/>
      <c r="AU457" s="112"/>
      <c r="AV457" s="112"/>
      <c r="AW457" s="112"/>
      <c r="AX457" s="112"/>
      <c r="AY457" s="112"/>
      <c r="AZ457" s="112"/>
      <c r="BA457" s="112"/>
      <c r="BB457" s="112"/>
      <c r="BC457" s="112"/>
      <c r="BD457" s="112"/>
      <c r="BE457" s="112"/>
      <c r="BF457" s="112"/>
      <c r="BG457" s="112"/>
      <c r="BH457" s="112"/>
      <c r="BI457" s="112"/>
      <c r="BJ457" s="112"/>
      <c r="BK457" s="112"/>
      <c r="BL457" s="112"/>
      <c r="BM457" s="112"/>
      <c r="BN457" s="112"/>
      <c r="BO457" s="112"/>
      <c r="BP457" s="112"/>
      <c r="BQ457" s="112"/>
      <c r="BR457" s="112"/>
      <c r="BS457" s="112"/>
      <c r="BT457" s="112"/>
      <c r="BU457" s="112"/>
      <c r="BV457" s="112"/>
      <c r="BW457" s="112"/>
      <c r="BX457" s="112"/>
      <c r="BY457" s="112"/>
      <c r="BZ457" s="112"/>
    </row>
    <row r="458" spans="1:78" x14ac:dyDescent="0.2">
      <c r="A458" s="86"/>
      <c r="B458" s="442"/>
      <c r="AD458" s="112"/>
      <c r="AE458" s="112"/>
      <c r="AF458" s="112"/>
      <c r="AG458" s="112"/>
      <c r="AH458" s="112"/>
      <c r="AI458" s="112"/>
      <c r="AJ458" s="112"/>
      <c r="AK458" s="112"/>
      <c r="AL458" s="112"/>
      <c r="AM458" s="112"/>
      <c r="AN458" s="112"/>
      <c r="AO458" s="112"/>
      <c r="AP458" s="112"/>
      <c r="AQ458" s="112"/>
      <c r="AR458" s="112"/>
      <c r="AS458" s="112"/>
      <c r="AT458" s="112"/>
      <c r="AU458" s="112"/>
      <c r="AV458" s="112"/>
      <c r="AW458" s="112"/>
      <c r="AX458" s="112"/>
      <c r="AY458" s="112"/>
      <c r="AZ458" s="112"/>
      <c r="BA458" s="112"/>
      <c r="BB458" s="112"/>
      <c r="BC458" s="112"/>
      <c r="BD458" s="112"/>
      <c r="BE458" s="112"/>
      <c r="BF458" s="112"/>
      <c r="BG458" s="112"/>
      <c r="BH458" s="112"/>
      <c r="BI458" s="112"/>
      <c r="BJ458" s="112"/>
      <c r="BK458" s="112"/>
      <c r="BL458" s="112"/>
      <c r="BM458" s="112"/>
      <c r="BN458" s="112"/>
      <c r="BO458" s="112"/>
      <c r="BP458" s="112"/>
      <c r="BQ458" s="112"/>
      <c r="BR458" s="112"/>
      <c r="BS458" s="112"/>
      <c r="BT458" s="112"/>
      <c r="BU458" s="112"/>
      <c r="BV458" s="112"/>
      <c r="BW458" s="112"/>
      <c r="BX458" s="112"/>
      <c r="BY458" s="112"/>
      <c r="BZ458" s="112"/>
    </row>
    <row r="459" spans="1:78" x14ac:dyDescent="0.2">
      <c r="A459" s="86"/>
      <c r="B459" s="442"/>
      <c r="AD459" s="112"/>
      <c r="AE459" s="112"/>
      <c r="AF459" s="112"/>
      <c r="AG459" s="112"/>
      <c r="AH459" s="112"/>
      <c r="AI459" s="112"/>
      <c r="AJ459" s="112"/>
      <c r="AK459" s="112"/>
      <c r="AL459" s="112"/>
      <c r="AM459" s="112"/>
      <c r="AN459" s="112"/>
      <c r="AO459" s="112"/>
      <c r="AP459" s="112"/>
      <c r="AQ459" s="112"/>
      <c r="AR459" s="112"/>
      <c r="AS459" s="112"/>
      <c r="AT459" s="112"/>
      <c r="AU459" s="112"/>
      <c r="AV459" s="112"/>
      <c r="AW459" s="112"/>
      <c r="AX459" s="112"/>
      <c r="AY459" s="112"/>
      <c r="AZ459" s="112"/>
      <c r="BA459" s="112"/>
      <c r="BB459" s="112"/>
      <c r="BC459" s="112"/>
      <c r="BD459" s="112"/>
      <c r="BE459" s="112"/>
      <c r="BF459" s="112"/>
      <c r="BG459" s="112"/>
      <c r="BH459" s="112"/>
      <c r="BI459" s="112"/>
      <c r="BJ459" s="112"/>
      <c r="BK459" s="112"/>
      <c r="BL459" s="112"/>
      <c r="BM459" s="112"/>
      <c r="BN459" s="112"/>
      <c r="BO459" s="112"/>
      <c r="BP459" s="112"/>
      <c r="BQ459" s="112"/>
      <c r="BR459" s="112"/>
      <c r="BS459" s="112"/>
      <c r="BT459" s="112"/>
      <c r="BU459" s="112"/>
      <c r="BV459" s="112"/>
      <c r="BW459" s="112"/>
      <c r="BX459" s="112"/>
      <c r="BY459" s="112"/>
      <c r="BZ459" s="112"/>
    </row>
    <row r="460" spans="1:78" x14ac:dyDescent="0.2">
      <c r="AD460" s="112"/>
      <c r="AE460" s="112"/>
      <c r="AF460" s="112"/>
      <c r="AG460" s="112"/>
      <c r="AH460" s="112"/>
      <c r="AI460" s="112"/>
      <c r="AJ460" s="112"/>
      <c r="AK460" s="112"/>
      <c r="AL460" s="112"/>
      <c r="AM460" s="112"/>
      <c r="AN460" s="112"/>
      <c r="AO460" s="112"/>
      <c r="AP460" s="112"/>
      <c r="AQ460" s="112"/>
      <c r="AR460" s="112"/>
      <c r="AS460" s="112"/>
      <c r="AT460" s="112"/>
      <c r="AU460" s="112"/>
      <c r="AV460" s="112"/>
      <c r="AW460" s="112"/>
      <c r="AX460" s="112"/>
      <c r="AY460" s="112"/>
      <c r="AZ460" s="112"/>
      <c r="BA460" s="112"/>
      <c r="BB460" s="112"/>
      <c r="BC460" s="112"/>
      <c r="BD460" s="112"/>
      <c r="BE460" s="112"/>
      <c r="BF460" s="112"/>
      <c r="BG460" s="112"/>
      <c r="BH460" s="112"/>
      <c r="BI460" s="112"/>
      <c r="BJ460" s="112"/>
      <c r="BK460" s="112"/>
      <c r="BL460" s="112"/>
      <c r="BM460" s="112"/>
      <c r="BN460" s="112"/>
      <c r="BO460" s="112"/>
      <c r="BP460" s="112"/>
      <c r="BQ460" s="112"/>
      <c r="BR460" s="112"/>
      <c r="BS460" s="112"/>
      <c r="BT460" s="112"/>
      <c r="BU460" s="112"/>
      <c r="BV460" s="112"/>
      <c r="BW460" s="112"/>
      <c r="BX460" s="112"/>
      <c r="BY460" s="112"/>
      <c r="BZ460" s="112"/>
    </row>
    <row r="461" spans="1:78" x14ac:dyDescent="0.2">
      <c r="AD461" s="112"/>
      <c r="AE461" s="112"/>
      <c r="AF461" s="112"/>
      <c r="AG461" s="112"/>
      <c r="AH461" s="112"/>
      <c r="AI461" s="112"/>
      <c r="AJ461" s="112"/>
      <c r="AK461" s="112"/>
      <c r="AL461" s="112"/>
      <c r="AM461" s="112"/>
      <c r="AN461" s="112"/>
      <c r="AO461" s="112"/>
      <c r="AP461" s="112"/>
      <c r="AQ461" s="112"/>
      <c r="AR461" s="112"/>
      <c r="AS461" s="112"/>
      <c r="AT461" s="112"/>
      <c r="AU461" s="112"/>
      <c r="AV461" s="112"/>
      <c r="AW461" s="112"/>
      <c r="AX461" s="112"/>
      <c r="AY461" s="112"/>
      <c r="AZ461" s="112"/>
      <c r="BA461" s="112"/>
      <c r="BB461" s="112"/>
      <c r="BC461" s="112"/>
      <c r="BD461" s="112"/>
      <c r="BE461" s="112"/>
      <c r="BF461" s="112"/>
      <c r="BG461" s="112"/>
      <c r="BH461" s="112"/>
      <c r="BI461" s="112"/>
      <c r="BJ461" s="112"/>
      <c r="BK461" s="112"/>
      <c r="BL461" s="112"/>
      <c r="BM461" s="112"/>
      <c r="BN461" s="112"/>
      <c r="BO461" s="112"/>
      <c r="BP461" s="112"/>
      <c r="BQ461" s="112"/>
      <c r="BR461" s="112"/>
      <c r="BS461" s="112"/>
      <c r="BT461" s="112"/>
      <c r="BU461" s="112"/>
      <c r="BV461" s="112"/>
      <c r="BW461" s="112"/>
      <c r="BX461" s="112"/>
      <c r="BY461" s="112"/>
      <c r="BZ461" s="112"/>
    </row>
    <row r="462" spans="1:78" x14ac:dyDescent="0.2">
      <c r="AD462" s="112"/>
      <c r="AE462" s="112"/>
      <c r="AF462" s="112"/>
      <c r="AG462" s="112"/>
      <c r="AH462" s="112"/>
      <c r="AI462" s="112"/>
      <c r="AJ462" s="112"/>
      <c r="AK462" s="112"/>
      <c r="AL462" s="112"/>
      <c r="AM462" s="112"/>
      <c r="AN462" s="112"/>
      <c r="AO462" s="112"/>
      <c r="AP462" s="112"/>
      <c r="AQ462" s="112"/>
      <c r="AR462" s="112"/>
      <c r="AS462" s="112"/>
      <c r="AT462" s="112"/>
      <c r="AU462" s="112"/>
      <c r="AV462" s="112"/>
      <c r="AW462" s="112"/>
      <c r="AX462" s="112"/>
      <c r="AY462" s="112"/>
      <c r="AZ462" s="112"/>
      <c r="BA462" s="112"/>
      <c r="BB462" s="112"/>
      <c r="BC462" s="112"/>
      <c r="BD462" s="112"/>
      <c r="BE462" s="112"/>
      <c r="BF462" s="112"/>
      <c r="BG462" s="112"/>
      <c r="BH462" s="112"/>
      <c r="BI462" s="112"/>
      <c r="BJ462" s="112"/>
      <c r="BK462" s="112"/>
      <c r="BL462" s="112"/>
      <c r="BM462" s="112"/>
      <c r="BN462" s="112"/>
      <c r="BO462" s="112"/>
      <c r="BP462" s="112"/>
      <c r="BQ462" s="112"/>
      <c r="BR462" s="112"/>
      <c r="BS462" s="112"/>
      <c r="BT462" s="112"/>
      <c r="BU462" s="112"/>
      <c r="BV462" s="112"/>
      <c r="BW462" s="112"/>
      <c r="BX462" s="112"/>
      <c r="BY462" s="112"/>
      <c r="BZ462" s="112"/>
    </row>
    <row r="463" spans="1:78" x14ac:dyDescent="0.2">
      <c r="AD463" s="112"/>
      <c r="AE463" s="112"/>
      <c r="AF463" s="112"/>
      <c r="AG463" s="112"/>
      <c r="AH463" s="112"/>
      <c r="AI463" s="112"/>
      <c r="AJ463" s="112"/>
      <c r="AK463" s="112"/>
      <c r="AL463" s="112"/>
      <c r="AM463" s="112"/>
      <c r="AN463" s="112"/>
      <c r="AO463" s="112"/>
      <c r="AP463" s="112"/>
      <c r="AQ463" s="112"/>
      <c r="AR463" s="112"/>
      <c r="AS463" s="112"/>
      <c r="AT463" s="112"/>
      <c r="AU463" s="112"/>
      <c r="AV463" s="112"/>
      <c r="AW463" s="112"/>
      <c r="AX463" s="112"/>
      <c r="AY463" s="112"/>
      <c r="AZ463" s="112"/>
      <c r="BA463" s="112"/>
      <c r="BB463" s="112"/>
      <c r="BC463" s="112"/>
      <c r="BD463" s="112"/>
      <c r="BE463" s="112"/>
      <c r="BF463" s="112"/>
      <c r="BG463" s="112"/>
      <c r="BH463" s="112"/>
      <c r="BI463" s="112"/>
      <c r="BJ463" s="112"/>
      <c r="BK463" s="112"/>
      <c r="BL463" s="112"/>
      <c r="BM463" s="112"/>
      <c r="BN463" s="112"/>
      <c r="BO463" s="112"/>
      <c r="BP463" s="112"/>
      <c r="BQ463" s="112"/>
      <c r="BR463" s="112"/>
      <c r="BS463" s="112"/>
      <c r="BT463" s="112"/>
      <c r="BU463" s="112"/>
      <c r="BV463" s="112"/>
      <c r="BW463" s="112"/>
      <c r="BX463" s="112"/>
      <c r="BY463" s="112"/>
      <c r="BZ463" s="112"/>
    </row>
    <row r="464" spans="1:78" x14ac:dyDescent="0.2">
      <c r="AD464" s="112"/>
      <c r="AE464" s="112"/>
      <c r="AF464" s="112"/>
      <c r="AG464" s="112"/>
      <c r="AH464" s="112"/>
      <c r="AI464" s="112"/>
      <c r="AJ464" s="112"/>
      <c r="AK464" s="112"/>
      <c r="AL464" s="112"/>
      <c r="AM464" s="112"/>
      <c r="AN464" s="112"/>
      <c r="AO464" s="112"/>
      <c r="AP464" s="112"/>
      <c r="AQ464" s="112"/>
      <c r="AR464" s="112"/>
      <c r="AS464" s="112"/>
      <c r="AT464" s="112"/>
      <c r="AU464" s="112"/>
      <c r="AV464" s="112"/>
      <c r="AW464" s="112"/>
      <c r="AX464" s="112"/>
      <c r="AY464" s="112"/>
      <c r="AZ464" s="112"/>
      <c r="BA464" s="112"/>
      <c r="BB464" s="112"/>
      <c r="BC464" s="112"/>
      <c r="BD464" s="112"/>
      <c r="BE464" s="112"/>
      <c r="BF464" s="112"/>
      <c r="BG464" s="112"/>
      <c r="BH464" s="112"/>
      <c r="BI464" s="112"/>
      <c r="BJ464" s="112"/>
      <c r="BK464" s="112"/>
      <c r="BL464" s="112"/>
      <c r="BM464" s="112"/>
      <c r="BN464" s="112"/>
      <c r="BO464" s="112"/>
      <c r="BP464" s="112"/>
      <c r="BQ464" s="112"/>
      <c r="BR464" s="112"/>
      <c r="BS464" s="112"/>
      <c r="BT464" s="112"/>
      <c r="BU464" s="112"/>
      <c r="BV464" s="112"/>
      <c r="BW464" s="112"/>
      <c r="BX464" s="112"/>
      <c r="BY464" s="112"/>
      <c r="BZ464" s="112"/>
    </row>
    <row r="465" spans="30:78" x14ac:dyDescent="0.2">
      <c r="AD465" s="112"/>
      <c r="AE465" s="112"/>
      <c r="AF465" s="112"/>
      <c r="AG465" s="112"/>
      <c r="AH465" s="112"/>
      <c r="AI465" s="112"/>
      <c r="AJ465" s="112"/>
      <c r="AK465" s="112"/>
      <c r="AL465" s="112"/>
      <c r="AM465" s="112"/>
      <c r="AN465" s="112"/>
      <c r="AO465" s="112"/>
      <c r="AP465" s="112"/>
      <c r="AQ465" s="112"/>
      <c r="AR465" s="112"/>
      <c r="AS465" s="112"/>
      <c r="AT465" s="112"/>
      <c r="AU465" s="112"/>
      <c r="AV465" s="112"/>
      <c r="AW465" s="112"/>
      <c r="AX465" s="112"/>
      <c r="AY465" s="112"/>
      <c r="AZ465" s="112"/>
      <c r="BA465" s="112"/>
      <c r="BB465" s="112"/>
      <c r="BC465" s="112"/>
      <c r="BD465" s="112"/>
      <c r="BE465" s="112"/>
      <c r="BF465" s="112"/>
      <c r="BG465" s="112"/>
      <c r="BH465" s="112"/>
      <c r="BI465" s="112"/>
      <c r="BJ465" s="112"/>
      <c r="BK465" s="112"/>
      <c r="BL465" s="112"/>
      <c r="BM465" s="112"/>
      <c r="BN465" s="112"/>
      <c r="BO465" s="112"/>
      <c r="BP465" s="112"/>
      <c r="BQ465" s="112"/>
      <c r="BR465" s="112"/>
      <c r="BS465" s="112"/>
      <c r="BT465" s="112"/>
      <c r="BU465" s="112"/>
      <c r="BV465" s="112"/>
      <c r="BW465" s="112"/>
      <c r="BX465" s="112"/>
      <c r="BY465" s="112"/>
      <c r="BZ465" s="112"/>
    </row>
    <row r="466" spans="30:78" x14ac:dyDescent="0.2">
      <c r="AD466" s="112"/>
      <c r="AE466" s="112"/>
      <c r="AF466" s="112"/>
      <c r="AG466" s="112"/>
      <c r="AH466" s="112"/>
      <c r="AI466" s="112"/>
      <c r="AJ466" s="112"/>
      <c r="AK466" s="112"/>
      <c r="AL466" s="112"/>
      <c r="AM466" s="112"/>
      <c r="AN466" s="112"/>
      <c r="AO466" s="112"/>
      <c r="AP466" s="112"/>
      <c r="AQ466" s="112"/>
      <c r="AR466" s="112"/>
      <c r="AS466" s="112"/>
      <c r="AT466" s="112"/>
      <c r="AU466" s="112"/>
      <c r="AV466" s="112"/>
      <c r="AW466" s="112"/>
      <c r="AX466" s="112"/>
      <c r="AY466" s="112"/>
      <c r="AZ466" s="112"/>
      <c r="BA466" s="112"/>
      <c r="BB466" s="112"/>
      <c r="BC466" s="112"/>
      <c r="BD466" s="112"/>
      <c r="BE466" s="112"/>
      <c r="BF466" s="112"/>
      <c r="BG466" s="112"/>
      <c r="BH466" s="112"/>
      <c r="BI466" s="112"/>
      <c r="BJ466" s="112"/>
      <c r="BK466" s="112"/>
      <c r="BL466" s="112"/>
      <c r="BM466" s="112"/>
      <c r="BN466" s="112"/>
      <c r="BO466" s="112"/>
      <c r="BP466" s="112"/>
      <c r="BQ466" s="112"/>
      <c r="BR466" s="112"/>
      <c r="BS466" s="112"/>
      <c r="BT466" s="112"/>
      <c r="BU466" s="112"/>
      <c r="BV466" s="112"/>
      <c r="BW466" s="112"/>
      <c r="BX466" s="112"/>
      <c r="BY466" s="112"/>
      <c r="BZ466" s="112"/>
    </row>
    <row r="467" spans="30:78" x14ac:dyDescent="0.2">
      <c r="AD467" s="112"/>
      <c r="AE467" s="112"/>
      <c r="AF467" s="112"/>
      <c r="AG467" s="112"/>
      <c r="AH467" s="112"/>
      <c r="AI467" s="112"/>
      <c r="AJ467" s="112"/>
      <c r="AK467" s="112"/>
      <c r="AL467" s="112"/>
      <c r="AM467" s="112"/>
      <c r="AN467" s="112"/>
      <c r="AO467" s="112"/>
      <c r="AP467" s="112"/>
      <c r="AQ467" s="112"/>
      <c r="AR467" s="112"/>
      <c r="AS467" s="112"/>
      <c r="AT467" s="112"/>
      <c r="AU467" s="112"/>
      <c r="AV467" s="112"/>
      <c r="AW467" s="112"/>
      <c r="AX467" s="112"/>
      <c r="AY467" s="112"/>
      <c r="AZ467" s="112"/>
      <c r="BA467" s="112"/>
      <c r="BB467" s="112"/>
      <c r="BC467" s="112"/>
      <c r="BD467" s="112"/>
      <c r="BE467" s="112"/>
      <c r="BF467" s="112"/>
      <c r="BG467" s="112"/>
      <c r="BH467" s="112"/>
      <c r="BI467" s="112"/>
      <c r="BJ467" s="112"/>
      <c r="BK467" s="112"/>
      <c r="BL467" s="112"/>
      <c r="BM467" s="112"/>
      <c r="BN467" s="112"/>
      <c r="BO467" s="112"/>
      <c r="BP467" s="112"/>
      <c r="BQ467" s="112"/>
      <c r="BR467" s="112"/>
      <c r="BS467" s="112"/>
      <c r="BT467" s="112"/>
      <c r="BU467" s="112"/>
      <c r="BV467" s="112"/>
      <c r="BW467" s="112"/>
      <c r="BX467" s="112"/>
      <c r="BY467" s="112"/>
      <c r="BZ467" s="112"/>
    </row>
    <row r="468" spans="30:78" x14ac:dyDescent="0.2">
      <c r="AD468" s="112"/>
      <c r="AE468" s="112"/>
      <c r="AF468" s="112"/>
      <c r="AG468" s="112"/>
      <c r="AH468" s="112"/>
      <c r="AI468" s="112"/>
      <c r="AJ468" s="112"/>
      <c r="AK468" s="112"/>
      <c r="AL468" s="112"/>
      <c r="AM468" s="112"/>
      <c r="AN468" s="112"/>
      <c r="AO468" s="112"/>
      <c r="AP468" s="112"/>
      <c r="AQ468" s="112"/>
      <c r="AR468" s="112"/>
      <c r="AS468" s="112"/>
      <c r="AT468" s="112"/>
      <c r="AU468" s="112"/>
      <c r="AV468" s="112"/>
      <c r="AW468" s="112"/>
      <c r="AX468" s="112"/>
      <c r="AY468" s="112"/>
      <c r="AZ468" s="112"/>
      <c r="BA468" s="112"/>
      <c r="BB468" s="112"/>
      <c r="BC468" s="112"/>
      <c r="BD468" s="112"/>
      <c r="BE468" s="112"/>
      <c r="BF468" s="112"/>
      <c r="BG468" s="112"/>
      <c r="BH468" s="112"/>
      <c r="BI468" s="112"/>
      <c r="BJ468" s="112"/>
      <c r="BK468" s="112"/>
      <c r="BL468" s="112"/>
      <c r="BM468" s="112"/>
      <c r="BN468" s="112"/>
      <c r="BO468" s="112"/>
      <c r="BP468" s="112"/>
      <c r="BQ468" s="112"/>
      <c r="BR468" s="112"/>
      <c r="BS468" s="112"/>
      <c r="BT468" s="112"/>
      <c r="BU468" s="112"/>
      <c r="BV468" s="112"/>
      <c r="BW468" s="112"/>
      <c r="BX468" s="112"/>
      <c r="BY468" s="112"/>
      <c r="BZ468" s="112"/>
    </row>
    <row r="469" spans="30:78" x14ac:dyDescent="0.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c r="BR469" s="112"/>
      <c r="BS469" s="112"/>
      <c r="BT469" s="112"/>
      <c r="BU469" s="112"/>
      <c r="BV469" s="112"/>
      <c r="BW469" s="112"/>
      <c r="BX469" s="112"/>
      <c r="BY469" s="112"/>
      <c r="BZ469" s="112"/>
    </row>
    <row r="470" spans="30:78" x14ac:dyDescent="0.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c r="BR470" s="112"/>
      <c r="BS470" s="112"/>
      <c r="BT470" s="112"/>
      <c r="BU470" s="112"/>
      <c r="BV470" s="112"/>
      <c r="BW470" s="112"/>
      <c r="BX470" s="112"/>
      <c r="BY470" s="112"/>
      <c r="BZ470" s="112"/>
    </row>
    <row r="471" spans="30:78" x14ac:dyDescent="0.2">
      <c r="AD471" s="112"/>
      <c r="AE471" s="112"/>
      <c r="AF471" s="112"/>
      <c r="AG471" s="112"/>
      <c r="AH471" s="112"/>
      <c r="AI471" s="112"/>
      <c r="AJ471" s="112"/>
      <c r="AK471" s="112"/>
      <c r="AL471" s="112"/>
      <c r="AM471" s="112"/>
      <c r="AN471" s="112"/>
      <c r="AO471" s="112"/>
      <c r="AP471" s="112"/>
      <c r="AQ471" s="112"/>
      <c r="AR471" s="112"/>
      <c r="AS471" s="112"/>
      <c r="AT471" s="112"/>
      <c r="AU471" s="112"/>
      <c r="AV471" s="112"/>
      <c r="AW471" s="112"/>
      <c r="AX471" s="112"/>
      <c r="AY471" s="112"/>
      <c r="AZ471" s="112"/>
      <c r="BA471" s="112"/>
      <c r="BB471" s="112"/>
      <c r="BC471" s="112"/>
      <c r="BD471" s="112"/>
      <c r="BE471" s="112"/>
      <c r="BF471" s="112"/>
      <c r="BG471" s="112"/>
      <c r="BH471" s="112"/>
      <c r="BI471" s="112"/>
      <c r="BJ471" s="112"/>
      <c r="BK471" s="112"/>
      <c r="BL471" s="112"/>
      <c r="BM471" s="112"/>
      <c r="BN471" s="112"/>
      <c r="BO471" s="112"/>
      <c r="BP471" s="112"/>
      <c r="BQ471" s="112"/>
      <c r="BR471" s="112"/>
      <c r="BS471" s="112"/>
      <c r="BT471" s="112"/>
      <c r="BU471" s="112"/>
      <c r="BV471" s="112"/>
      <c r="BW471" s="112"/>
      <c r="BX471" s="112"/>
      <c r="BY471" s="112"/>
      <c r="BZ471" s="112"/>
    </row>
    <row r="472" spans="30:78" x14ac:dyDescent="0.2">
      <c r="AD472" s="112"/>
      <c r="AE472" s="112"/>
      <c r="AF472" s="112"/>
      <c r="AG472" s="112"/>
      <c r="AH472" s="112"/>
      <c r="AI472" s="112"/>
      <c r="AJ472" s="112"/>
      <c r="AK472" s="112"/>
      <c r="AL472" s="112"/>
      <c r="AM472" s="112"/>
      <c r="AN472" s="112"/>
      <c r="AO472" s="112"/>
      <c r="AP472" s="112"/>
      <c r="AQ472" s="112"/>
      <c r="AR472" s="112"/>
      <c r="AS472" s="112"/>
      <c r="AT472" s="112"/>
      <c r="AU472" s="112"/>
      <c r="AV472" s="112"/>
      <c r="AW472" s="112"/>
      <c r="AX472" s="112"/>
      <c r="AY472" s="112"/>
      <c r="AZ472" s="112"/>
      <c r="BA472" s="112"/>
      <c r="BB472" s="112"/>
      <c r="BC472" s="112"/>
      <c r="BD472" s="112"/>
      <c r="BE472" s="112"/>
      <c r="BF472" s="112"/>
      <c r="BG472" s="112"/>
      <c r="BH472" s="112"/>
      <c r="BI472" s="112"/>
      <c r="BJ472" s="112"/>
      <c r="BK472" s="112"/>
      <c r="BL472" s="112"/>
      <c r="BM472" s="112"/>
      <c r="BN472" s="112"/>
      <c r="BO472" s="112"/>
      <c r="BP472" s="112"/>
      <c r="BQ472" s="112"/>
      <c r="BR472" s="112"/>
      <c r="BS472" s="112"/>
      <c r="BT472" s="112"/>
      <c r="BU472" s="112"/>
      <c r="BV472" s="112"/>
      <c r="BW472" s="112"/>
      <c r="BX472" s="112"/>
      <c r="BY472" s="112"/>
      <c r="BZ472" s="112"/>
    </row>
    <row r="473" spans="30:78" x14ac:dyDescent="0.2">
      <c r="AD473" s="112"/>
      <c r="AE473" s="112"/>
      <c r="AF473" s="112"/>
      <c r="AG473" s="112"/>
      <c r="AH473" s="112"/>
      <c r="AI473" s="112"/>
      <c r="AJ473" s="112"/>
      <c r="AK473" s="112"/>
      <c r="AL473" s="112"/>
      <c r="AM473" s="112"/>
      <c r="AN473" s="112"/>
      <c r="AO473" s="112"/>
      <c r="AP473" s="112"/>
      <c r="AQ473" s="112"/>
      <c r="AR473" s="112"/>
      <c r="AS473" s="112"/>
      <c r="AT473" s="112"/>
      <c r="AU473" s="112"/>
      <c r="AV473" s="112"/>
      <c r="AW473" s="112"/>
      <c r="AX473" s="112"/>
      <c r="AY473" s="112"/>
      <c r="AZ473" s="112"/>
      <c r="BA473" s="112"/>
      <c r="BB473" s="112"/>
      <c r="BC473" s="112"/>
      <c r="BD473" s="112"/>
      <c r="BE473" s="112"/>
      <c r="BF473" s="112"/>
      <c r="BG473" s="112"/>
      <c r="BH473" s="112"/>
      <c r="BI473" s="112"/>
      <c r="BJ473" s="112"/>
      <c r="BK473" s="112"/>
      <c r="BL473" s="112"/>
      <c r="BM473" s="112"/>
      <c r="BN473" s="112"/>
      <c r="BO473" s="112"/>
      <c r="BP473" s="112"/>
      <c r="BQ473" s="112"/>
      <c r="BR473" s="112"/>
      <c r="BS473" s="112"/>
      <c r="BT473" s="112"/>
      <c r="BU473" s="112"/>
      <c r="BV473" s="112"/>
      <c r="BW473" s="112"/>
      <c r="BX473" s="112"/>
      <c r="BY473" s="112"/>
      <c r="BZ473" s="112"/>
    </row>
    <row r="474" spans="30:78" x14ac:dyDescent="0.2">
      <c r="AD474" s="112"/>
      <c r="AE474" s="112"/>
      <c r="AF474" s="112"/>
      <c r="AG474" s="112"/>
      <c r="AH474" s="112"/>
      <c r="AI474" s="112"/>
      <c r="AJ474" s="112"/>
      <c r="AK474" s="112"/>
      <c r="AL474" s="112"/>
      <c r="AM474" s="112"/>
      <c r="AN474" s="112"/>
      <c r="AO474" s="112"/>
      <c r="AP474" s="112"/>
      <c r="AQ474" s="112"/>
      <c r="AR474" s="112"/>
      <c r="AS474" s="112"/>
      <c r="AT474" s="112"/>
      <c r="AU474" s="112"/>
      <c r="AV474" s="112"/>
      <c r="AW474" s="112"/>
      <c r="AX474" s="112"/>
      <c r="AY474" s="112"/>
      <c r="AZ474" s="112"/>
      <c r="BA474" s="112"/>
      <c r="BB474" s="112"/>
      <c r="BC474" s="112"/>
      <c r="BD474" s="112"/>
      <c r="BE474" s="112"/>
      <c r="BF474" s="112"/>
      <c r="BG474" s="112"/>
      <c r="BH474" s="112"/>
      <c r="BI474" s="112"/>
      <c r="BJ474" s="112"/>
      <c r="BK474" s="112"/>
      <c r="BL474" s="112"/>
      <c r="BM474" s="112"/>
      <c r="BN474" s="112"/>
      <c r="BO474" s="112"/>
      <c r="BP474" s="112"/>
      <c r="BQ474" s="112"/>
      <c r="BR474" s="112"/>
      <c r="BS474" s="112"/>
      <c r="BT474" s="112"/>
      <c r="BU474" s="112"/>
      <c r="BV474" s="112"/>
      <c r="BW474" s="112"/>
      <c r="BX474" s="112"/>
      <c r="BY474" s="112"/>
      <c r="BZ474" s="112"/>
    </row>
    <row r="475" spans="30:78" x14ac:dyDescent="0.2">
      <c r="AD475" s="112"/>
      <c r="AE475" s="112"/>
      <c r="AF475" s="112"/>
      <c r="AG475" s="112"/>
      <c r="AH475" s="112"/>
      <c r="AI475" s="112"/>
      <c r="AJ475" s="112"/>
      <c r="AK475" s="112"/>
      <c r="AL475" s="112"/>
      <c r="AM475" s="112"/>
      <c r="AN475" s="112"/>
      <c r="AO475" s="112"/>
      <c r="AP475" s="112"/>
      <c r="AQ475" s="112"/>
      <c r="AR475" s="112"/>
      <c r="AS475" s="112"/>
      <c r="AT475" s="112"/>
      <c r="AU475" s="112"/>
      <c r="AV475" s="112"/>
      <c r="AW475" s="112"/>
      <c r="AX475" s="112"/>
      <c r="AY475" s="112"/>
      <c r="AZ475" s="112"/>
      <c r="BA475" s="112"/>
      <c r="BB475" s="112"/>
      <c r="BC475" s="112"/>
      <c r="BD475" s="112"/>
      <c r="BE475" s="112"/>
      <c r="BF475" s="112"/>
      <c r="BG475" s="112"/>
      <c r="BH475" s="112"/>
      <c r="BI475" s="112"/>
      <c r="BJ475" s="112"/>
      <c r="BK475" s="112"/>
      <c r="BL475" s="112"/>
      <c r="BM475" s="112"/>
      <c r="BN475" s="112"/>
      <c r="BO475" s="112"/>
      <c r="BP475" s="112"/>
      <c r="BQ475" s="112"/>
      <c r="BR475" s="112"/>
      <c r="BS475" s="112"/>
      <c r="BT475" s="112"/>
      <c r="BU475" s="112"/>
      <c r="BV475" s="112"/>
      <c r="BW475" s="112"/>
      <c r="BX475" s="112"/>
      <c r="BY475" s="112"/>
      <c r="BZ475" s="112"/>
    </row>
    <row r="476" spans="30:78" x14ac:dyDescent="0.2">
      <c r="AD476" s="112"/>
      <c r="AE476" s="112"/>
      <c r="AF476" s="112"/>
      <c r="AG476" s="112"/>
      <c r="AH476" s="112"/>
      <c r="AI476" s="112"/>
      <c r="AJ476" s="112"/>
      <c r="AK476" s="112"/>
      <c r="AL476" s="112"/>
      <c r="AM476" s="112"/>
      <c r="AN476" s="112"/>
      <c r="AO476" s="112"/>
      <c r="AP476" s="112"/>
      <c r="AQ476" s="112"/>
      <c r="AR476" s="112"/>
      <c r="AS476" s="112"/>
      <c r="AT476" s="112"/>
      <c r="AU476" s="112"/>
      <c r="AV476" s="112"/>
      <c r="AW476" s="112"/>
      <c r="AX476" s="112"/>
      <c r="AY476" s="112"/>
      <c r="AZ476" s="112"/>
      <c r="BA476" s="112"/>
      <c r="BB476" s="112"/>
      <c r="BC476" s="112"/>
      <c r="BD476" s="112"/>
      <c r="BE476" s="112"/>
      <c r="BF476" s="112"/>
      <c r="BG476" s="112"/>
      <c r="BH476" s="112"/>
      <c r="BI476" s="112"/>
      <c r="BJ476" s="112"/>
      <c r="BK476" s="112"/>
      <c r="BL476" s="112"/>
      <c r="BM476" s="112"/>
      <c r="BN476" s="112"/>
      <c r="BO476" s="112"/>
      <c r="BP476" s="112"/>
      <c r="BQ476" s="112"/>
      <c r="BR476" s="112"/>
      <c r="BS476" s="112"/>
      <c r="BT476" s="112"/>
      <c r="BU476" s="112"/>
      <c r="BV476" s="112"/>
      <c r="BW476" s="112"/>
      <c r="BX476" s="112"/>
      <c r="BY476" s="112"/>
      <c r="BZ476" s="112"/>
    </row>
    <row r="477" spans="30:78" x14ac:dyDescent="0.2">
      <c r="AD477" s="112"/>
      <c r="AE477" s="112"/>
      <c r="AF477" s="112"/>
      <c r="AG477" s="112"/>
      <c r="AH477" s="112"/>
      <c r="AI477" s="112"/>
      <c r="AJ477" s="112"/>
      <c r="AK477" s="112"/>
      <c r="AL477" s="112"/>
      <c r="AM477" s="112"/>
      <c r="AN477" s="112"/>
      <c r="AO477" s="112"/>
      <c r="AP477" s="112"/>
      <c r="AQ477" s="112"/>
      <c r="AR477" s="112"/>
      <c r="AS477" s="112"/>
      <c r="AT477" s="112"/>
      <c r="AU477" s="112"/>
      <c r="AV477" s="112"/>
      <c r="AW477" s="112"/>
      <c r="AX477" s="112"/>
      <c r="AY477" s="112"/>
      <c r="AZ477" s="112"/>
      <c r="BA477" s="112"/>
      <c r="BB477" s="112"/>
      <c r="BC477" s="112"/>
      <c r="BD477" s="112"/>
      <c r="BE477" s="112"/>
      <c r="BF477" s="112"/>
      <c r="BG477" s="112"/>
      <c r="BH477" s="112"/>
      <c r="BI477" s="112"/>
      <c r="BJ477" s="112"/>
      <c r="BK477" s="112"/>
      <c r="BL477" s="112"/>
      <c r="BM477" s="112"/>
      <c r="BN477" s="112"/>
      <c r="BO477" s="112"/>
      <c r="BP477" s="112"/>
      <c r="BQ477" s="112"/>
      <c r="BR477" s="112"/>
      <c r="BS477" s="112"/>
      <c r="BT477" s="112"/>
      <c r="BU477" s="112"/>
      <c r="BV477" s="112"/>
      <c r="BW477" s="112"/>
      <c r="BX477" s="112"/>
      <c r="BY477" s="112"/>
      <c r="BZ477" s="112"/>
    </row>
    <row r="478" spans="30:78" x14ac:dyDescent="0.2">
      <c r="AD478" s="112"/>
      <c r="AE478" s="112"/>
      <c r="AF478" s="112"/>
      <c r="AG478" s="112"/>
      <c r="AH478" s="112"/>
      <c r="AI478" s="112"/>
      <c r="AJ478" s="112"/>
      <c r="AK478" s="112"/>
      <c r="AL478" s="112"/>
      <c r="AM478" s="112"/>
      <c r="AN478" s="112"/>
      <c r="AO478" s="112"/>
      <c r="AP478" s="112"/>
      <c r="AQ478" s="112"/>
      <c r="AR478" s="112"/>
      <c r="AS478" s="112"/>
      <c r="AT478" s="112"/>
      <c r="AU478" s="112"/>
      <c r="AV478" s="112"/>
      <c r="AW478" s="112"/>
      <c r="AX478" s="112"/>
      <c r="AY478" s="112"/>
      <c r="AZ478" s="112"/>
      <c r="BA478" s="112"/>
      <c r="BB478" s="112"/>
      <c r="BC478" s="112"/>
      <c r="BD478" s="112"/>
      <c r="BE478" s="112"/>
      <c r="BF478" s="112"/>
      <c r="BG478" s="112"/>
      <c r="BH478" s="112"/>
      <c r="BI478" s="112"/>
      <c r="BJ478" s="112"/>
      <c r="BK478" s="112"/>
      <c r="BL478" s="112"/>
      <c r="BM478" s="112"/>
      <c r="BN478" s="112"/>
      <c r="BO478" s="112"/>
      <c r="BP478" s="112"/>
      <c r="BQ478" s="112"/>
      <c r="BR478" s="112"/>
      <c r="BS478" s="112"/>
      <c r="BT478" s="112"/>
      <c r="BU478" s="112"/>
      <c r="BV478" s="112"/>
      <c r="BW478" s="112"/>
      <c r="BX478" s="112"/>
      <c r="BY478" s="112"/>
      <c r="BZ478" s="112"/>
    </row>
    <row r="479" spans="30:78" x14ac:dyDescent="0.2">
      <c r="AD479" s="112"/>
      <c r="AE479" s="112"/>
      <c r="AF479" s="112"/>
      <c r="AG479" s="112"/>
      <c r="AH479" s="112"/>
      <c r="AI479" s="112"/>
      <c r="AJ479" s="112"/>
      <c r="AK479" s="112"/>
      <c r="AL479" s="112"/>
      <c r="AM479" s="112"/>
      <c r="AN479" s="112"/>
      <c r="AO479" s="112"/>
      <c r="AP479" s="112"/>
      <c r="AQ479" s="112"/>
      <c r="AR479" s="112"/>
      <c r="AS479" s="112"/>
      <c r="AT479" s="112"/>
      <c r="AU479" s="112"/>
      <c r="AV479" s="112"/>
      <c r="AW479" s="112"/>
      <c r="AX479" s="112"/>
      <c r="AY479" s="112"/>
      <c r="AZ479" s="112"/>
      <c r="BA479" s="112"/>
      <c r="BB479" s="112"/>
      <c r="BC479" s="112"/>
      <c r="BD479" s="112"/>
      <c r="BE479" s="112"/>
      <c r="BF479" s="112"/>
      <c r="BG479" s="112"/>
      <c r="BH479" s="112"/>
      <c r="BI479" s="112"/>
      <c r="BJ479" s="112"/>
      <c r="BK479" s="112"/>
      <c r="BL479" s="112"/>
      <c r="BM479" s="112"/>
      <c r="BN479" s="112"/>
      <c r="BO479" s="112"/>
      <c r="BP479" s="112"/>
      <c r="BQ479" s="112"/>
      <c r="BR479" s="112"/>
      <c r="BS479" s="112"/>
      <c r="BT479" s="112"/>
      <c r="BU479" s="112"/>
      <c r="BV479" s="112"/>
      <c r="BW479" s="112"/>
      <c r="BX479" s="112"/>
      <c r="BY479" s="112"/>
      <c r="BZ479" s="112"/>
    </row>
    <row r="480" spans="30:78" x14ac:dyDescent="0.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c r="BR480" s="112"/>
      <c r="BS480" s="112"/>
      <c r="BT480" s="112"/>
      <c r="BU480" s="112"/>
      <c r="BV480" s="112"/>
      <c r="BW480" s="112"/>
      <c r="BX480" s="112"/>
      <c r="BY480" s="112"/>
      <c r="BZ480" s="112"/>
    </row>
    <row r="481" spans="30:78" x14ac:dyDescent="0.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c r="BR481" s="112"/>
      <c r="BS481" s="112"/>
      <c r="BT481" s="112"/>
      <c r="BU481" s="112"/>
      <c r="BV481" s="112"/>
      <c r="BW481" s="112"/>
      <c r="BX481" s="112"/>
      <c r="BY481" s="112"/>
      <c r="BZ481" s="112"/>
    </row>
    <row r="482" spans="30:78" x14ac:dyDescent="0.2">
      <c r="AD482" s="112"/>
      <c r="AE482" s="112"/>
      <c r="AF482" s="112"/>
      <c r="AG482" s="112"/>
      <c r="AH482" s="112"/>
      <c r="AI482" s="112"/>
      <c r="AJ482" s="112"/>
      <c r="AK482" s="112"/>
      <c r="AL482" s="112"/>
      <c r="AM482" s="112"/>
      <c r="AN482" s="112"/>
      <c r="AO482" s="112"/>
      <c r="AP482" s="112"/>
      <c r="AQ482" s="112"/>
      <c r="AR482" s="112"/>
      <c r="AS482" s="112"/>
      <c r="AT482" s="112"/>
      <c r="AU482" s="112"/>
      <c r="AV482" s="112"/>
      <c r="AW482" s="112"/>
      <c r="AX482" s="112"/>
      <c r="AY482" s="112"/>
      <c r="AZ482" s="112"/>
      <c r="BA482" s="112"/>
      <c r="BB482" s="112"/>
      <c r="BC482" s="112"/>
      <c r="BD482" s="112"/>
      <c r="BE482" s="112"/>
      <c r="BF482" s="112"/>
      <c r="BG482" s="112"/>
      <c r="BH482" s="112"/>
      <c r="BI482" s="112"/>
      <c r="BJ482" s="112"/>
      <c r="BK482" s="112"/>
      <c r="BL482" s="112"/>
      <c r="BM482" s="112"/>
      <c r="BN482" s="112"/>
      <c r="BO482" s="112"/>
      <c r="BP482" s="112"/>
      <c r="BQ482" s="112"/>
      <c r="BR482" s="112"/>
      <c r="BS482" s="112"/>
      <c r="BT482" s="112"/>
      <c r="BU482" s="112"/>
      <c r="BV482" s="112"/>
      <c r="BW482" s="112"/>
      <c r="BX482" s="112"/>
      <c r="BY482" s="112"/>
      <c r="BZ482" s="112"/>
    </row>
    <row r="483" spans="30:78" x14ac:dyDescent="0.2">
      <c r="AD483" s="112"/>
      <c r="AE483" s="112"/>
      <c r="AF483" s="112"/>
      <c r="AG483" s="112"/>
      <c r="AH483" s="112"/>
      <c r="AI483" s="112"/>
      <c r="AJ483" s="112"/>
      <c r="AK483" s="112"/>
      <c r="AL483" s="112"/>
      <c r="AM483" s="112"/>
      <c r="AN483" s="112"/>
      <c r="AO483" s="112"/>
      <c r="AP483" s="112"/>
      <c r="AQ483" s="112"/>
      <c r="AR483" s="112"/>
      <c r="AS483" s="112"/>
      <c r="AT483" s="112"/>
      <c r="AU483" s="112"/>
      <c r="AV483" s="112"/>
      <c r="AW483" s="112"/>
      <c r="AX483" s="112"/>
      <c r="AY483" s="112"/>
      <c r="AZ483" s="112"/>
      <c r="BA483" s="112"/>
      <c r="BB483" s="112"/>
      <c r="BC483" s="112"/>
      <c r="BD483" s="112"/>
      <c r="BE483" s="112"/>
      <c r="BF483" s="112"/>
      <c r="BG483" s="112"/>
      <c r="BH483" s="112"/>
      <c r="BI483" s="112"/>
      <c r="BJ483" s="112"/>
      <c r="BK483" s="112"/>
      <c r="BL483" s="112"/>
      <c r="BM483" s="112"/>
      <c r="BN483" s="112"/>
      <c r="BO483" s="112"/>
      <c r="BP483" s="112"/>
      <c r="BQ483" s="112"/>
      <c r="BR483" s="112"/>
      <c r="BS483" s="112"/>
      <c r="BT483" s="112"/>
      <c r="BU483" s="112"/>
      <c r="BV483" s="112"/>
      <c r="BW483" s="112"/>
      <c r="BX483" s="112"/>
      <c r="BY483" s="112"/>
      <c r="BZ483" s="112"/>
    </row>
    <row r="484" spans="30:78" x14ac:dyDescent="0.2">
      <c r="AD484" s="112"/>
      <c r="AE484" s="112"/>
      <c r="AF484" s="112"/>
      <c r="AG484" s="112"/>
      <c r="AH484" s="112"/>
      <c r="AI484" s="112"/>
      <c r="AJ484" s="112"/>
      <c r="AK484" s="112"/>
      <c r="AL484" s="112"/>
      <c r="AM484" s="112"/>
      <c r="AN484" s="112"/>
      <c r="AO484" s="112"/>
      <c r="AP484" s="112"/>
      <c r="AQ484" s="112"/>
      <c r="AR484" s="112"/>
      <c r="AS484" s="112"/>
      <c r="AT484" s="112"/>
      <c r="AU484" s="112"/>
      <c r="AV484" s="112"/>
      <c r="AW484" s="112"/>
      <c r="AX484" s="112"/>
      <c r="AY484" s="112"/>
      <c r="AZ484" s="112"/>
      <c r="BA484" s="112"/>
      <c r="BB484" s="112"/>
      <c r="BC484" s="112"/>
      <c r="BD484" s="112"/>
      <c r="BE484" s="112"/>
      <c r="BF484" s="112"/>
      <c r="BG484" s="112"/>
      <c r="BH484" s="112"/>
      <c r="BI484" s="112"/>
      <c r="BJ484" s="112"/>
      <c r="BK484" s="112"/>
      <c r="BL484" s="112"/>
      <c r="BM484" s="112"/>
      <c r="BN484" s="112"/>
      <c r="BO484" s="112"/>
      <c r="BP484" s="112"/>
      <c r="BQ484" s="112"/>
      <c r="BR484" s="112"/>
      <c r="BS484" s="112"/>
      <c r="BT484" s="112"/>
      <c r="BU484" s="112"/>
      <c r="BV484" s="112"/>
      <c r="BW484" s="112"/>
      <c r="BX484" s="112"/>
      <c r="BY484" s="112"/>
      <c r="BZ484" s="112"/>
    </row>
    <row r="485" spans="30:78" x14ac:dyDescent="0.2">
      <c r="AD485" s="112"/>
      <c r="AE485" s="112"/>
      <c r="AF485" s="112"/>
      <c r="AG485" s="112"/>
      <c r="AH485" s="112"/>
      <c r="AI485" s="112"/>
      <c r="AJ485" s="112"/>
      <c r="AK485" s="112"/>
      <c r="AL485" s="112"/>
      <c r="AM485" s="112"/>
      <c r="AN485" s="112"/>
      <c r="AO485" s="112"/>
      <c r="AP485" s="112"/>
      <c r="AQ485" s="112"/>
      <c r="AR485" s="112"/>
      <c r="AS485" s="112"/>
      <c r="AT485" s="112"/>
      <c r="AU485" s="112"/>
      <c r="AV485" s="112"/>
      <c r="AW485" s="112"/>
      <c r="AX485" s="112"/>
      <c r="AY485" s="112"/>
      <c r="AZ485" s="112"/>
      <c r="BA485" s="112"/>
      <c r="BB485" s="112"/>
      <c r="BC485" s="112"/>
      <c r="BD485" s="112"/>
      <c r="BE485" s="112"/>
      <c r="BF485" s="112"/>
      <c r="BG485" s="112"/>
      <c r="BH485" s="112"/>
      <c r="BI485" s="112"/>
      <c r="BJ485" s="112"/>
      <c r="BK485" s="112"/>
      <c r="BL485" s="112"/>
      <c r="BM485" s="112"/>
      <c r="BN485" s="112"/>
      <c r="BO485" s="112"/>
      <c r="BP485" s="112"/>
      <c r="BQ485" s="112"/>
      <c r="BR485" s="112"/>
      <c r="BS485" s="112"/>
      <c r="BT485" s="112"/>
      <c r="BU485" s="112"/>
      <c r="BV485" s="112"/>
      <c r="BW485" s="112"/>
      <c r="BX485" s="112"/>
      <c r="BY485" s="112"/>
      <c r="BZ485" s="112"/>
    </row>
    <row r="486" spans="30:78" x14ac:dyDescent="0.2">
      <c r="AD486" s="112"/>
      <c r="AE486" s="112"/>
      <c r="AF486" s="112"/>
      <c r="AG486" s="112"/>
      <c r="AH486" s="112"/>
      <c r="AI486" s="112"/>
      <c r="AJ486" s="112"/>
      <c r="AK486" s="112"/>
      <c r="AL486" s="112"/>
      <c r="AM486" s="112"/>
      <c r="AN486" s="112"/>
      <c r="AO486" s="112"/>
      <c r="AP486" s="112"/>
      <c r="AQ486" s="112"/>
      <c r="AR486" s="112"/>
      <c r="AS486" s="112"/>
      <c r="AT486" s="112"/>
      <c r="AU486" s="112"/>
      <c r="AV486" s="112"/>
      <c r="AW486" s="112"/>
      <c r="AX486" s="112"/>
      <c r="AY486" s="112"/>
      <c r="AZ486" s="112"/>
      <c r="BA486" s="112"/>
      <c r="BB486" s="112"/>
      <c r="BC486" s="112"/>
      <c r="BD486" s="112"/>
      <c r="BE486" s="112"/>
      <c r="BF486" s="112"/>
      <c r="BG486" s="112"/>
      <c r="BH486" s="112"/>
      <c r="BI486" s="112"/>
      <c r="BJ486" s="112"/>
      <c r="BK486" s="112"/>
      <c r="BL486" s="112"/>
      <c r="BM486" s="112"/>
      <c r="BN486" s="112"/>
      <c r="BO486" s="112"/>
      <c r="BP486" s="112"/>
      <c r="BQ486" s="112"/>
      <c r="BR486" s="112"/>
      <c r="BS486" s="112"/>
      <c r="BT486" s="112"/>
      <c r="BU486" s="112"/>
      <c r="BV486" s="112"/>
      <c r="BW486" s="112"/>
      <c r="BX486" s="112"/>
      <c r="BY486" s="112"/>
      <c r="BZ486" s="112"/>
    </row>
    <row r="487" spans="30:78" x14ac:dyDescent="0.2">
      <c r="AD487" s="112"/>
      <c r="AE487" s="112"/>
      <c r="AF487" s="112"/>
      <c r="AG487" s="112"/>
      <c r="AH487" s="112"/>
      <c r="AI487" s="112"/>
      <c r="AJ487" s="112"/>
      <c r="AK487" s="112"/>
      <c r="AL487" s="112"/>
      <c r="AM487" s="112"/>
      <c r="AN487" s="112"/>
      <c r="AO487" s="112"/>
      <c r="AP487" s="112"/>
      <c r="AQ487" s="112"/>
      <c r="AR487" s="112"/>
      <c r="AS487" s="112"/>
      <c r="AT487" s="112"/>
      <c r="AU487" s="112"/>
      <c r="AV487" s="112"/>
      <c r="AW487" s="112"/>
      <c r="AX487" s="112"/>
      <c r="AY487" s="112"/>
      <c r="AZ487" s="112"/>
      <c r="BA487" s="112"/>
      <c r="BB487" s="112"/>
      <c r="BC487" s="112"/>
      <c r="BD487" s="112"/>
      <c r="BE487" s="112"/>
      <c r="BF487" s="112"/>
      <c r="BG487" s="112"/>
      <c r="BH487" s="112"/>
      <c r="BI487" s="112"/>
      <c r="BJ487" s="112"/>
      <c r="BK487" s="112"/>
      <c r="BL487" s="112"/>
      <c r="BM487" s="112"/>
      <c r="BN487" s="112"/>
      <c r="BO487" s="112"/>
      <c r="BP487" s="112"/>
      <c r="BQ487" s="112"/>
      <c r="BR487" s="112"/>
      <c r="BS487" s="112"/>
      <c r="BT487" s="112"/>
      <c r="BU487" s="112"/>
      <c r="BV487" s="112"/>
      <c r="BW487" s="112"/>
      <c r="BX487" s="112"/>
      <c r="BY487" s="112"/>
      <c r="BZ487" s="112"/>
    </row>
    <row r="488" spans="30:78" x14ac:dyDescent="0.2">
      <c r="AD488" s="112"/>
      <c r="AE488" s="112"/>
      <c r="AF488" s="112"/>
      <c r="AG488" s="112"/>
      <c r="AH488" s="112"/>
      <c r="AI488" s="112"/>
      <c r="AJ488" s="112"/>
      <c r="AK488" s="112"/>
      <c r="AL488" s="112"/>
      <c r="AM488" s="112"/>
      <c r="AN488" s="112"/>
      <c r="AO488" s="112"/>
      <c r="AP488" s="112"/>
      <c r="AQ488" s="112"/>
      <c r="AR488" s="112"/>
      <c r="AS488" s="112"/>
      <c r="AT488" s="112"/>
      <c r="AU488" s="112"/>
      <c r="AV488" s="112"/>
      <c r="AW488" s="112"/>
      <c r="AX488" s="112"/>
      <c r="AY488" s="112"/>
      <c r="AZ488" s="112"/>
      <c r="BA488" s="112"/>
      <c r="BB488" s="112"/>
      <c r="BC488" s="112"/>
      <c r="BD488" s="112"/>
      <c r="BE488" s="112"/>
      <c r="BF488" s="112"/>
      <c r="BG488" s="112"/>
      <c r="BH488" s="112"/>
      <c r="BI488" s="112"/>
      <c r="BJ488" s="112"/>
      <c r="BK488" s="112"/>
      <c r="BL488" s="112"/>
      <c r="BM488" s="112"/>
      <c r="BN488" s="112"/>
      <c r="BO488" s="112"/>
      <c r="BP488" s="112"/>
      <c r="BQ488" s="112"/>
      <c r="BR488" s="112"/>
      <c r="BS488" s="112"/>
      <c r="BT488" s="112"/>
      <c r="BU488" s="112"/>
      <c r="BV488" s="112"/>
      <c r="BW488" s="112"/>
      <c r="BX488" s="112"/>
      <c r="BY488" s="112"/>
      <c r="BZ488" s="112"/>
    </row>
    <row r="489" spans="30:78" x14ac:dyDescent="0.2">
      <c r="AD489" s="112"/>
      <c r="AE489" s="112"/>
      <c r="AF489" s="112"/>
      <c r="AG489" s="112"/>
      <c r="AH489" s="112"/>
      <c r="AI489" s="112"/>
      <c r="AJ489" s="112"/>
      <c r="AK489" s="112"/>
      <c r="AL489" s="112"/>
      <c r="AM489" s="112"/>
      <c r="AN489" s="112"/>
      <c r="AO489" s="112"/>
      <c r="AP489" s="112"/>
      <c r="AQ489" s="112"/>
      <c r="AR489" s="112"/>
      <c r="AS489" s="112"/>
      <c r="AT489" s="112"/>
      <c r="AU489" s="112"/>
      <c r="AV489" s="112"/>
      <c r="AW489" s="112"/>
      <c r="AX489" s="112"/>
      <c r="AY489" s="112"/>
      <c r="AZ489" s="112"/>
      <c r="BA489" s="112"/>
      <c r="BB489" s="112"/>
      <c r="BC489" s="112"/>
      <c r="BD489" s="112"/>
      <c r="BE489" s="112"/>
      <c r="BF489" s="112"/>
      <c r="BG489" s="112"/>
      <c r="BH489" s="112"/>
      <c r="BI489" s="112"/>
      <c r="BJ489" s="112"/>
      <c r="BK489" s="112"/>
      <c r="BL489" s="112"/>
      <c r="BM489" s="112"/>
      <c r="BN489" s="112"/>
      <c r="BO489" s="112"/>
      <c r="BP489" s="112"/>
      <c r="BQ489" s="112"/>
      <c r="BR489" s="112"/>
      <c r="BS489" s="112"/>
      <c r="BT489" s="112"/>
      <c r="BU489" s="112"/>
      <c r="BV489" s="112"/>
      <c r="BW489" s="112"/>
      <c r="BX489" s="112"/>
      <c r="BY489" s="112"/>
      <c r="BZ489" s="112"/>
    </row>
    <row r="490" spans="30:78" x14ac:dyDescent="0.2">
      <c r="AD490" s="112"/>
      <c r="AE490" s="112"/>
      <c r="AF490" s="112"/>
      <c r="AG490" s="112"/>
      <c r="AH490" s="112"/>
      <c r="AI490" s="112"/>
      <c r="AJ490" s="112"/>
      <c r="AK490" s="112"/>
      <c r="AL490" s="112"/>
      <c r="AM490" s="112"/>
      <c r="AN490" s="112"/>
      <c r="AO490" s="112"/>
      <c r="AP490" s="112"/>
      <c r="AQ490" s="112"/>
      <c r="AR490" s="112"/>
      <c r="AS490" s="112"/>
      <c r="AT490" s="112"/>
      <c r="AU490" s="112"/>
      <c r="AV490" s="112"/>
      <c r="AW490" s="112"/>
      <c r="AX490" s="112"/>
      <c r="AY490" s="112"/>
      <c r="AZ490" s="112"/>
      <c r="BA490" s="112"/>
      <c r="BB490" s="112"/>
      <c r="BC490" s="112"/>
      <c r="BD490" s="112"/>
      <c r="BE490" s="112"/>
      <c r="BF490" s="112"/>
      <c r="BG490" s="112"/>
      <c r="BH490" s="112"/>
      <c r="BI490" s="112"/>
      <c r="BJ490" s="112"/>
      <c r="BK490" s="112"/>
      <c r="BL490" s="112"/>
      <c r="BM490" s="112"/>
      <c r="BN490" s="112"/>
      <c r="BO490" s="112"/>
      <c r="BP490" s="112"/>
      <c r="BQ490" s="112"/>
      <c r="BR490" s="112"/>
      <c r="BS490" s="112"/>
      <c r="BT490" s="112"/>
      <c r="BU490" s="112"/>
      <c r="BV490" s="112"/>
      <c r="BW490" s="112"/>
      <c r="BX490" s="112"/>
      <c r="BY490" s="112"/>
      <c r="BZ490" s="112"/>
    </row>
    <row r="491" spans="30:78" x14ac:dyDescent="0.2">
      <c r="AD491" s="112"/>
      <c r="AE491" s="112"/>
      <c r="AF491" s="112"/>
      <c r="AG491" s="112"/>
      <c r="AH491" s="112"/>
      <c r="AI491" s="112"/>
      <c r="AJ491" s="112"/>
      <c r="AK491" s="112"/>
      <c r="AL491" s="112"/>
      <c r="AM491" s="112"/>
      <c r="AN491" s="112"/>
      <c r="AO491" s="112"/>
      <c r="AP491" s="112"/>
      <c r="AQ491" s="112"/>
      <c r="AR491" s="112"/>
      <c r="AS491" s="112"/>
      <c r="AT491" s="112"/>
      <c r="AU491" s="112"/>
      <c r="AV491" s="112"/>
      <c r="AW491" s="112"/>
      <c r="AX491" s="112"/>
      <c r="AY491" s="112"/>
      <c r="AZ491" s="112"/>
      <c r="BA491" s="112"/>
      <c r="BB491" s="112"/>
      <c r="BC491" s="112"/>
      <c r="BD491" s="112"/>
      <c r="BE491" s="112"/>
      <c r="BF491" s="112"/>
      <c r="BG491" s="112"/>
      <c r="BH491" s="112"/>
      <c r="BI491" s="112"/>
      <c r="BJ491" s="112"/>
      <c r="BK491" s="112"/>
      <c r="BL491" s="112"/>
      <c r="BM491" s="112"/>
      <c r="BN491" s="112"/>
      <c r="BO491" s="112"/>
      <c r="BP491" s="112"/>
      <c r="BQ491" s="112"/>
      <c r="BR491" s="112"/>
      <c r="BS491" s="112"/>
      <c r="BT491" s="112"/>
      <c r="BU491" s="112"/>
      <c r="BV491" s="112"/>
      <c r="BW491" s="112"/>
      <c r="BX491" s="112"/>
      <c r="BY491" s="112"/>
      <c r="BZ491" s="112"/>
    </row>
    <row r="492" spans="30:78" x14ac:dyDescent="0.2">
      <c r="AD492" s="112"/>
      <c r="AE492" s="112"/>
      <c r="AF492" s="112"/>
      <c r="AG492" s="112"/>
      <c r="AH492" s="112"/>
      <c r="AI492" s="112"/>
      <c r="AJ492" s="112"/>
      <c r="AK492" s="112"/>
      <c r="AL492" s="112"/>
      <c r="AM492" s="112"/>
      <c r="AN492" s="112"/>
      <c r="AO492" s="112"/>
      <c r="AP492" s="112"/>
      <c r="AQ492" s="112"/>
      <c r="AR492" s="112"/>
      <c r="AS492" s="112"/>
      <c r="AT492" s="112"/>
      <c r="AU492" s="112"/>
      <c r="AV492" s="112"/>
      <c r="AW492" s="112"/>
      <c r="AX492" s="112"/>
      <c r="AY492" s="112"/>
      <c r="AZ492" s="112"/>
      <c r="BA492" s="112"/>
      <c r="BB492" s="112"/>
      <c r="BC492" s="112"/>
      <c r="BD492" s="112"/>
      <c r="BE492" s="112"/>
      <c r="BF492" s="112"/>
      <c r="BG492" s="112"/>
      <c r="BH492" s="112"/>
      <c r="BI492" s="112"/>
      <c r="BJ492" s="112"/>
      <c r="BK492" s="112"/>
      <c r="BL492" s="112"/>
      <c r="BM492" s="112"/>
      <c r="BN492" s="112"/>
      <c r="BO492" s="112"/>
      <c r="BP492" s="112"/>
      <c r="BQ492" s="112"/>
      <c r="BR492" s="112"/>
      <c r="BS492" s="112"/>
      <c r="BT492" s="112"/>
      <c r="BU492" s="112"/>
      <c r="BV492" s="112"/>
      <c r="BW492" s="112"/>
      <c r="BX492" s="112"/>
      <c r="BY492" s="112"/>
      <c r="BZ492" s="112"/>
    </row>
    <row r="493" spans="30:78" x14ac:dyDescent="0.2">
      <c r="AD493" s="112"/>
      <c r="AE493" s="112"/>
      <c r="AF493" s="112"/>
      <c r="AG493" s="112"/>
      <c r="AH493" s="112"/>
      <c r="AI493" s="112"/>
      <c r="AJ493" s="112"/>
      <c r="AK493" s="112"/>
      <c r="AL493" s="112"/>
      <c r="AM493" s="112"/>
      <c r="AN493" s="112"/>
      <c r="AO493" s="112"/>
      <c r="AP493" s="112"/>
      <c r="AQ493" s="112"/>
      <c r="AR493" s="112"/>
      <c r="AS493" s="112"/>
      <c r="AT493" s="112"/>
      <c r="AU493" s="112"/>
      <c r="AV493" s="112"/>
      <c r="AW493" s="112"/>
      <c r="AX493" s="112"/>
      <c r="AY493" s="112"/>
      <c r="AZ493" s="112"/>
      <c r="BA493" s="112"/>
      <c r="BB493" s="112"/>
      <c r="BC493" s="112"/>
      <c r="BD493" s="112"/>
      <c r="BE493" s="112"/>
      <c r="BF493" s="112"/>
      <c r="BG493" s="112"/>
      <c r="BH493" s="112"/>
      <c r="BI493" s="112"/>
      <c r="BJ493" s="112"/>
      <c r="BK493" s="112"/>
      <c r="BL493" s="112"/>
      <c r="BM493" s="112"/>
      <c r="BN493" s="112"/>
      <c r="BO493" s="112"/>
      <c r="BP493" s="112"/>
      <c r="BQ493" s="112"/>
      <c r="BR493" s="112"/>
      <c r="BS493" s="112"/>
      <c r="BT493" s="112"/>
      <c r="BU493" s="112"/>
      <c r="BV493" s="112"/>
      <c r="BW493" s="112"/>
      <c r="BX493" s="112"/>
      <c r="BY493" s="112"/>
      <c r="BZ493" s="112"/>
    </row>
    <row r="494" spans="30:78" x14ac:dyDescent="0.2">
      <c r="AD494" s="112"/>
      <c r="AE494" s="112"/>
      <c r="AF494" s="112"/>
      <c r="AG494" s="112"/>
      <c r="AH494" s="112"/>
      <c r="AI494" s="112"/>
      <c r="AJ494" s="112"/>
      <c r="AK494" s="112"/>
      <c r="AL494" s="112"/>
      <c r="AM494" s="112"/>
      <c r="AN494" s="112"/>
      <c r="AO494" s="112"/>
      <c r="AP494" s="112"/>
      <c r="AQ494" s="112"/>
      <c r="AR494" s="112"/>
      <c r="AS494" s="112"/>
      <c r="AT494" s="112"/>
      <c r="AU494" s="112"/>
      <c r="AV494" s="112"/>
      <c r="AW494" s="112"/>
      <c r="AX494" s="112"/>
      <c r="AY494" s="112"/>
      <c r="AZ494" s="112"/>
      <c r="BA494" s="112"/>
      <c r="BB494" s="112"/>
      <c r="BC494" s="112"/>
      <c r="BD494" s="112"/>
      <c r="BE494" s="112"/>
      <c r="BF494" s="112"/>
      <c r="BG494" s="112"/>
      <c r="BH494" s="112"/>
      <c r="BI494" s="112"/>
      <c r="BJ494" s="112"/>
      <c r="BK494" s="112"/>
      <c r="BL494" s="112"/>
      <c r="BM494" s="112"/>
      <c r="BN494" s="112"/>
      <c r="BO494" s="112"/>
      <c r="BP494" s="112"/>
      <c r="BQ494" s="112"/>
      <c r="BR494" s="112"/>
      <c r="BS494" s="112"/>
      <c r="BT494" s="112"/>
      <c r="BU494" s="112"/>
      <c r="BV494" s="112"/>
      <c r="BW494" s="112"/>
      <c r="BX494" s="112"/>
      <c r="BY494" s="112"/>
      <c r="BZ494" s="112"/>
    </row>
    <row r="495" spans="30:78" x14ac:dyDescent="0.2">
      <c r="AD495" s="112"/>
      <c r="AE495" s="112"/>
      <c r="AF495" s="112"/>
      <c r="AG495" s="112"/>
      <c r="AH495" s="112"/>
      <c r="AI495" s="112"/>
      <c r="AJ495" s="112"/>
      <c r="AK495" s="112"/>
      <c r="AL495" s="112"/>
      <c r="AM495" s="112"/>
      <c r="AN495" s="112"/>
      <c r="AO495" s="112"/>
      <c r="AP495" s="112"/>
      <c r="AQ495" s="112"/>
      <c r="AR495" s="112"/>
      <c r="AS495" s="112"/>
      <c r="AT495" s="112"/>
      <c r="AU495" s="112"/>
      <c r="AV495" s="112"/>
      <c r="AW495" s="112"/>
      <c r="AX495" s="112"/>
      <c r="AY495" s="112"/>
      <c r="AZ495" s="112"/>
      <c r="BA495" s="112"/>
      <c r="BB495" s="112"/>
      <c r="BC495" s="112"/>
      <c r="BD495" s="112"/>
      <c r="BE495" s="112"/>
      <c r="BF495" s="112"/>
      <c r="BG495" s="112"/>
      <c r="BH495" s="112"/>
      <c r="BI495" s="112"/>
      <c r="BJ495" s="112"/>
      <c r="BK495" s="112"/>
      <c r="BL495" s="112"/>
      <c r="BM495" s="112"/>
      <c r="BN495" s="112"/>
      <c r="BO495" s="112"/>
      <c r="BP495" s="112"/>
      <c r="BQ495" s="112"/>
      <c r="BR495" s="112"/>
      <c r="BS495" s="112"/>
      <c r="BT495" s="112"/>
      <c r="BU495" s="112"/>
      <c r="BV495" s="112"/>
      <c r="BW495" s="112"/>
      <c r="BX495" s="112"/>
      <c r="BY495" s="112"/>
      <c r="BZ495" s="112"/>
    </row>
    <row r="496" spans="30:78" x14ac:dyDescent="0.2">
      <c r="AD496" s="112"/>
      <c r="AE496" s="112"/>
      <c r="AF496" s="112"/>
      <c r="AG496" s="112"/>
      <c r="AH496" s="112"/>
      <c r="AI496" s="112"/>
      <c r="AJ496" s="112"/>
      <c r="AK496" s="112"/>
      <c r="AL496" s="112"/>
      <c r="AM496" s="112"/>
      <c r="AN496" s="112"/>
      <c r="AO496" s="112"/>
      <c r="AP496" s="112"/>
      <c r="AQ496" s="112"/>
      <c r="AR496" s="112"/>
      <c r="AS496" s="112"/>
      <c r="AT496" s="112"/>
      <c r="AU496" s="112"/>
      <c r="AV496" s="112"/>
      <c r="AW496" s="112"/>
      <c r="AX496" s="112"/>
      <c r="AY496" s="112"/>
      <c r="AZ496" s="112"/>
      <c r="BA496" s="112"/>
      <c r="BB496" s="112"/>
      <c r="BC496" s="112"/>
      <c r="BD496" s="112"/>
      <c r="BE496" s="112"/>
      <c r="BF496" s="112"/>
      <c r="BG496" s="112"/>
      <c r="BH496" s="112"/>
      <c r="BI496" s="112"/>
      <c r="BJ496" s="112"/>
      <c r="BK496" s="112"/>
      <c r="BL496" s="112"/>
      <c r="BM496" s="112"/>
      <c r="BN496" s="112"/>
      <c r="BO496" s="112"/>
      <c r="BP496" s="112"/>
      <c r="BQ496" s="112"/>
      <c r="BR496" s="112"/>
      <c r="BS496" s="112"/>
      <c r="BT496" s="112"/>
      <c r="BU496" s="112"/>
      <c r="BV496" s="112"/>
      <c r="BW496" s="112"/>
      <c r="BX496" s="112"/>
      <c r="BY496" s="112"/>
      <c r="BZ496" s="112"/>
    </row>
    <row r="497" spans="30:78" x14ac:dyDescent="0.2">
      <c r="AD497" s="112"/>
      <c r="AE497" s="112"/>
      <c r="AF497" s="112"/>
      <c r="AG497" s="112"/>
      <c r="AH497" s="112"/>
      <c r="AI497" s="112"/>
      <c r="AJ497" s="112"/>
      <c r="AK497" s="112"/>
      <c r="AL497" s="112"/>
      <c r="AM497" s="112"/>
      <c r="AN497" s="112"/>
      <c r="AO497" s="112"/>
      <c r="AP497" s="112"/>
      <c r="AQ497" s="112"/>
      <c r="AR497" s="112"/>
      <c r="AS497" s="112"/>
      <c r="AT497" s="112"/>
      <c r="AU497" s="112"/>
      <c r="AV497" s="112"/>
      <c r="AW497" s="112"/>
      <c r="AX497" s="112"/>
      <c r="AY497" s="112"/>
      <c r="AZ497" s="112"/>
      <c r="BA497" s="112"/>
      <c r="BB497" s="112"/>
      <c r="BC497" s="112"/>
      <c r="BD497" s="112"/>
      <c r="BE497" s="112"/>
      <c r="BF497" s="112"/>
      <c r="BG497" s="112"/>
      <c r="BH497" s="112"/>
      <c r="BI497" s="112"/>
      <c r="BJ497" s="112"/>
      <c r="BK497" s="112"/>
      <c r="BL497" s="112"/>
      <c r="BM497" s="112"/>
      <c r="BN497" s="112"/>
      <c r="BO497" s="112"/>
      <c r="BP497" s="112"/>
      <c r="BQ497" s="112"/>
      <c r="BR497" s="112"/>
      <c r="BS497" s="112"/>
      <c r="BT497" s="112"/>
      <c r="BU497" s="112"/>
      <c r="BV497" s="112"/>
      <c r="BW497" s="112"/>
      <c r="BX497" s="112"/>
      <c r="BY497" s="112"/>
      <c r="BZ497" s="112"/>
    </row>
    <row r="498" spans="30:78" x14ac:dyDescent="0.2">
      <c r="AD498" s="112"/>
      <c r="AE498" s="112"/>
      <c r="AF498" s="112"/>
      <c r="AG498" s="112"/>
      <c r="AH498" s="112"/>
      <c r="AI498" s="112"/>
      <c r="AJ498" s="112"/>
      <c r="AK498" s="112"/>
      <c r="AL498" s="112"/>
      <c r="AM498" s="112"/>
      <c r="AN498" s="112"/>
      <c r="AO498" s="112"/>
      <c r="AP498" s="112"/>
      <c r="AQ498" s="112"/>
      <c r="AR498" s="112"/>
      <c r="AS498" s="112"/>
      <c r="AT498" s="112"/>
      <c r="AU498" s="112"/>
      <c r="AV498" s="112"/>
      <c r="AW498" s="112"/>
      <c r="AX498" s="112"/>
      <c r="AY498" s="112"/>
      <c r="AZ498" s="112"/>
      <c r="BA498" s="112"/>
      <c r="BB498" s="112"/>
      <c r="BC498" s="112"/>
      <c r="BD498" s="112"/>
      <c r="BE498" s="112"/>
      <c r="BF498" s="112"/>
      <c r="BG498" s="112"/>
      <c r="BH498" s="112"/>
      <c r="BI498" s="112"/>
      <c r="BJ498" s="112"/>
      <c r="BK498" s="112"/>
      <c r="BL498" s="112"/>
      <c r="BM498" s="112"/>
      <c r="BN498" s="112"/>
      <c r="BO498" s="112"/>
      <c r="BP498" s="112"/>
      <c r="BQ498" s="112"/>
      <c r="BR498" s="112"/>
      <c r="BS498" s="112"/>
      <c r="BT498" s="112"/>
      <c r="BU498" s="112"/>
      <c r="BV498" s="112"/>
      <c r="BW498" s="112"/>
      <c r="BX498" s="112"/>
      <c r="BY498" s="112"/>
      <c r="BZ498" s="112"/>
    </row>
    <row r="499" spans="30:78" x14ac:dyDescent="0.2">
      <c r="AD499" s="112"/>
      <c r="AE499" s="112"/>
      <c r="AF499" s="112"/>
      <c r="AG499" s="112"/>
      <c r="AH499" s="112"/>
      <c r="AI499" s="112"/>
      <c r="AJ499" s="112"/>
      <c r="AK499" s="112"/>
      <c r="AL499" s="112"/>
      <c r="AM499" s="112"/>
      <c r="AN499" s="112"/>
      <c r="AO499" s="112"/>
      <c r="AP499" s="112"/>
      <c r="AQ499" s="112"/>
      <c r="AR499" s="112"/>
      <c r="AS499" s="112"/>
      <c r="AT499" s="112"/>
      <c r="AU499" s="112"/>
      <c r="AV499" s="112"/>
      <c r="AW499" s="112"/>
      <c r="AX499" s="112"/>
      <c r="AY499" s="112"/>
      <c r="AZ499" s="112"/>
      <c r="BA499" s="112"/>
      <c r="BB499" s="112"/>
      <c r="BC499" s="112"/>
      <c r="BD499" s="112"/>
      <c r="BE499" s="112"/>
      <c r="BF499" s="112"/>
      <c r="BG499" s="112"/>
      <c r="BH499" s="112"/>
      <c r="BI499" s="112"/>
      <c r="BJ499" s="112"/>
      <c r="BK499" s="112"/>
      <c r="BL499" s="112"/>
      <c r="BM499" s="112"/>
      <c r="BN499" s="112"/>
      <c r="BO499" s="112"/>
      <c r="BP499" s="112"/>
      <c r="BQ499" s="112"/>
      <c r="BR499" s="112"/>
      <c r="BS499" s="112"/>
      <c r="BT499" s="112"/>
      <c r="BU499" s="112"/>
      <c r="BV499" s="112"/>
      <c r="BW499" s="112"/>
      <c r="BX499" s="112"/>
      <c r="BY499" s="112"/>
      <c r="BZ499" s="112"/>
    </row>
    <row r="500" spans="30:78" x14ac:dyDescent="0.2">
      <c r="AD500" s="112"/>
      <c r="AE500" s="112"/>
      <c r="AF500" s="112"/>
      <c r="AG500" s="112"/>
      <c r="AH500" s="112"/>
      <c r="AI500" s="112"/>
      <c r="AJ500" s="112"/>
      <c r="AK500" s="112"/>
      <c r="AL500" s="112"/>
      <c r="AM500" s="112"/>
      <c r="AN500" s="112"/>
      <c r="AO500" s="112"/>
      <c r="AP500" s="112"/>
      <c r="AQ500" s="112"/>
      <c r="AR500" s="112"/>
      <c r="AS500" s="112"/>
      <c r="AT500" s="112"/>
      <c r="AU500" s="112"/>
      <c r="AV500" s="112"/>
      <c r="AW500" s="112"/>
      <c r="AX500" s="112"/>
      <c r="AY500" s="112"/>
      <c r="AZ500" s="112"/>
      <c r="BA500" s="112"/>
      <c r="BB500" s="112"/>
      <c r="BC500" s="112"/>
      <c r="BD500" s="112"/>
      <c r="BE500" s="112"/>
      <c r="BF500" s="112"/>
      <c r="BG500" s="112"/>
      <c r="BH500" s="112"/>
      <c r="BI500" s="112"/>
      <c r="BJ500" s="112"/>
      <c r="BK500" s="112"/>
      <c r="BL500" s="112"/>
      <c r="BM500" s="112"/>
      <c r="BN500" s="112"/>
      <c r="BO500" s="112"/>
      <c r="BP500" s="112"/>
      <c r="BQ500" s="112"/>
      <c r="BR500" s="112"/>
      <c r="BS500" s="112"/>
      <c r="BT500" s="112"/>
      <c r="BU500" s="112"/>
      <c r="BV500" s="112"/>
      <c r="BW500" s="112"/>
      <c r="BX500" s="112"/>
      <c r="BY500" s="112"/>
      <c r="BZ500" s="112"/>
    </row>
    <row r="501" spans="30:78" x14ac:dyDescent="0.2">
      <c r="AD501" s="112"/>
      <c r="AE501" s="112"/>
      <c r="AF501" s="112"/>
      <c r="AG501" s="112"/>
      <c r="AH501" s="112"/>
      <c r="AI501" s="112"/>
      <c r="AJ501" s="112"/>
      <c r="AK501" s="112"/>
      <c r="AL501" s="112"/>
      <c r="AM501" s="112"/>
      <c r="AN501" s="112"/>
      <c r="AO501" s="112"/>
      <c r="AP501" s="112"/>
      <c r="AQ501" s="112"/>
      <c r="AR501" s="112"/>
      <c r="AS501" s="112"/>
      <c r="AT501" s="112"/>
      <c r="AU501" s="112"/>
      <c r="AV501" s="112"/>
      <c r="AW501" s="112"/>
      <c r="AX501" s="112"/>
      <c r="AY501" s="112"/>
      <c r="AZ501" s="112"/>
      <c r="BA501" s="112"/>
      <c r="BB501" s="112"/>
      <c r="BC501" s="112"/>
      <c r="BD501" s="112"/>
      <c r="BE501" s="112"/>
      <c r="BF501" s="112"/>
      <c r="BG501" s="112"/>
      <c r="BH501" s="112"/>
      <c r="BI501" s="112"/>
      <c r="BJ501" s="112"/>
      <c r="BK501" s="112"/>
      <c r="BL501" s="112"/>
      <c r="BM501" s="112"/>
      <c r="BN501" s="112"/>
      <c r="BO501" s="112"/>
      <c r="BP501" s="112"/>
      <c r="BQ501" s="112"/>
      <c r="BR501" s="112"/>
      <c r="BS501" s="112"/>
      <c r="BT501" s="112"/>
      <c r="BU501" s="112"/>
      <c r="BV501" s="112"/>
      <c r="BW501" s="112"/>
      <c r="BX501" s="112"/>
      <c r="BY501" s="112"/>
      <c r="BZ501" s="112"/>
    </row>
    <row r="502" spans="30:78" x14ac:dyDescent="0.2">
      <c r="AD502" s="112"/>
      <c r="AE502" s="112"/>
      <c r="AF502" s="112"/>
      <c r="AG502" s="112"/>
      <c r="AH502" s="112"/>
      <c r="AI502" s="112"/>
      <c r="AJ502" s="112"/>
      <c r="AK502" s="112"/>
      <c r="AL502" s="112"/>
      <c r="AM502" s="112"/>
      <c r="AN502" s="112"/>
      <c r="AO502" s="112"/>
      <c r="AP502" s="112"/>
      <c r="AQ502" s="112"/>
      <c r="AR502" s="112"/>
      <c r="AS502" s="112"/>
      <c r="AT502" s="112"/>
      <c r="AU502" s="112"/>
      <c r="AV502" s="112"/>
      <c r="AW502" s="112"/>
      <c r="AX502" s="112"/>
      <c r="AY502" s="112"/>
      <c r="AZ502" s="112"/>
      <c r="BA502" s="112"/>
      <c r="BB502" s="112"/>
      <c r="BC502" s="112"/>
      <c r="BD502" s="112"/>
      <c r="BE502" s="112"/>
      <c r="BF502" s="112"/>
      <c r="BG502" s="112"/>
      <c r="BH502" s="112"/>
      <c r="BI502" s="112"/>
      <c r="BJ502" s="112"/>
      <c r="BK502" s="112"/>
      <c r="BL502" s="112"/>
      <c r="BM502" s="112"/>
      <c r="BN502" s="112"/>
      <c r="BO502" s="112"/>
      <c r="BP502" s="112"/>
      <c r="BQ502" s="112"/>
      <c r="BR502" s="112"/>
      <c r="BS502" s="112"/>
      <c r="BT502" s="112"/>
      <c r="BU502" s="112"/>
      <c r="BV502" s="112"/>
      <c r="BW502" s="112"/>
      <c r="BX502" s="112"/>
      <c r="BY502" s="112"/>
      <c r="BZ502" s="112"/>
    </row>
    <row r="503" spans="30:78" x14ac:dyDescent="0.2">
      <c r="AD503" s="112"/>
      <c r="AE503" s="112"/>
      <c r="AF503" s="112"/>
      <c r="AG503" s="112"/>
      <c r="AH503" s="112"/>
      <c r="AI503" s="112"/>
      <c r="AJ503" s="112"/>
      <c r="AK503" s="112"/>
      <c r="AL503" s="112"/>
      <c r="AM503" s="112"/>
      <c r="AN503" s="112"/>
      <c r="AO503" s="112"/>
      <c r="AP503" s="112"/>
      <c r="AQ503" s="112"/>
      <c r="AR503" s="112"/>
      <c r="AS503" s="112"/>
      <c r="AT503" s="112"/>
      <c r="AU503" s="112"/>
      <c r="AV503" s="112"/>
      <c r="AW503" s="112"/>
      <c r="AX503" s="112"/>
      <c r="AY503" s="112"/>
      <c r="AZ503" s="112"/>
      <c r="BA503" s="112"/>
      <c r="BB503" s="112"/>
      <c r="BC503" s="112"/>
      <c r="BD503" s="112"/>
      <c r="BE503" s="112"/>
      <c r="BF503" s="112"/>
      <c r="BG503" s="112"/>
      <c r="BH503" s="112"/>
      <c r="BI503" s="112"/>
      <c r="BJ503" s="112"/>
      <c r="BK503" s="112"/>
      <c r="BL503" s="112"/>
      <c r="BM503" s="112"/>
      <c r="BN503" s="112"/>
      <c r="BO503" s="112"/>
      <c r="BP503" s="112"/>
      <c r="BQ503" s="112"/>
      <c r="BR503" s="112"/>
      <c r="BS503" s="112"/>
      <c r="BT503" s="112"/>
      <c r="BU503" s="112"/>
      <c r="BV503" s="112"/>
      <c r="BW503" s="112"/>
      <c r="BX503" s="112"/>
      <c r="BY503" s="112"/>
      <c r="BZ503" s="112"/>
    </row>
    <row r="504" spans="30:78" x14ac:dyDescent="0.2">
      <c r="AD504" s="112"/>
      <c r="AE504" s="112"/>
      <c r="AF504" s="112"/>
      <c r="AG504" s="112"/>
      <c r="AH504" s="112"/>
      <c r="AI504" s="112"/>
      <c r="AJ504" s="112"/>
      <c r="AK504" s="112"/>
      <c r="AL504" s="112"/>
      <c r="AM504" s="112"/>
      <c r="AN504" s="112"/>
      <c r="AO504" s="112"/>
      <c r="AP504" s="112"/>
      <c r="AQ504" s="112"/>
      <c r="AR504" s="112"/>
      <c r="AS504" s="112"/>
      <c r="AT504" s="112"/>
      <c r="AU504" s="112"/>
      <c r="AV504" s="112"/>
      <c r="AW504" s="112"/>
      <c r="AX504" s="112"/>
      <c r="AY504" s="112"/>
      <c r="AZ504" s="112"/>
      <c r="BA504" s="112"/>
      <c r="BB504" s="112"/>
      <c r="BC504" s="112"/>
      <c r="BD504" s="112"/>
      <c r="BE504" s="112"/>
      <c r="BF504" s="112"/>
      <c r="BG504" s="112"/>
      <c r="BH504" s="112"/>
      <c r="BI504" s="112"/>
      <c r="BJ504" s="112"/>
      <c r="BK504" s="112"/>
      <c r="BL504" s="112"/>
      <c r="BM504" s="112"/>
      <c r="BN504" s="112"/>
      <c r="BO504" s="112"/>
      <c r="BP504" s="112"/>
      <c r="BQ504" s="112"/>
      <c r="BR504" s="112"/>
      <c r="BS504" s="112"/>
      <c r="BT504" s="112"/>
      <c r="BU504" s="112"/>
      <c r="BV504" s="112"/>
      <c r="BW504" s="112"/>
      <c r="BX504" s="112"/>
      <c r="BY504" s="112"/>
      <c r="BZ504" s="112"/>
    </row>
    <row r="505" spans="30:78" x14ac:dyDescent="0.2">
      <c r="AD505" s="112"/>
      <c r="AE505" s="112"/>
      <c r="AF505" s="112"/>
      <c r="AG505" s="112"/>
      <c r="AH505" s="112"/>
      <c r="AI505" s="112"/>
      <c r="AJ505" s="112"/>
      <c r="AK505" s="112"/>
      <c r="AL505" s="112"/>
      <c r="AM505" s="112"/>
      <c r="AN505" s="112"/>
      <c r="AO505" s="112"/>
      <c r="AP505" s="112"/>
      <c r="AQ505" s="112"/>
      <c r="AR505" s="112"/>
      <c r="AS505" s="112"/>
      <c r="AT505" s="112"/>
      <c r="AU505" s="112"/>
      <c r="AV505" s="112"/>
      <c r="AW505" s="112"/>
      <c r="AX505" s="112"/>
      <c r="AY505" s="112"/>
      <c r="AZ505" s="112"/>
      <c r="BA505" s="112"/>
      <c r="BB505" s="112"/>
      <c r="BC505" s="112"/>
      <c r="BD505" s="112"/>
      <c r="BE505" s="112"/>
      <c r="BF505" s="112"/>
      <c r="BG505" s="112"/>
      <c r="BH505" s="112"/>
      <c r="BI505" s="112"/>
      <c r="BJ505" s="112"/>
      <c r="BK505" s="112"/>
      <c r="BL505" s="112"/>
      <c r="BM505" s="112"/>
      <c r="BN505" s="112"/>
      <c r="BO505" s="112"/>
      <c r="BP505" s="112"/>
      <c r="BQ505" s="112"/>
      <c r="BR505" s="112"/>
      <c r="BS505" s="112"/>
      <c r="BT505" s="112"/>
      <c r="BU505" s="112"/>
      <c r="BV505" s="112"/>
      <c r="BW505" s="112"/>
      <c r="BX505" s="112"/>
      <c r="BY505" s="112"/>
      <c r="BZ505" s="112"/>
    </row>
    <row r="506" spans="30:78" x14ac:dyDescent="0.2">
      <c r="AD506" s="112"/>
      <c r="AE506" s="112"/>
      <c r="AF506" s="112"/>
      <c r="AG506" s="112"/>
      <c r="AH506" s="112"/>
      <c r="AI506" s="112"/>
      <c r="AJ506" s="112"/>
      <c r="AK506" s="112"/>
      <c r="AL506" s="112"/>
      <c r="AM506" s="112"/>
      <c r="AN506" s="112"/>
      <c r="AO506" s="112"/>
      <c r="AP506" s="112"/>
      <c r="AQ506" s="112"/>
      <c r="AR506" s="112"/>
      <c r="AS506" s="112"/>
      <c r="AT506" s="112"/>
      <c r="AU506" s="112"/>
      <c r="AV506" s="112"/>
      <c r="AW506" s="112"/>
      <c r="AX506" s="112"/>
      <c r="AY506" s="112"/>
      <c r="AZ506" s="112"/>
      <c r="BA506" s="112"/>
      <c r="BB506" s="112"/>
      <c r="BC506" s="112"/>
      <c r="BD506" s="112"/>
      <c r="BE506" s="112"/>
      <c r="BF506" s="112"/>
      <c r="BG506" s="112"/>
      <c r="BH506" s="112"/>
      <c r="BI506" s="112"/>
      <c r="BJ506" s="112"/>
      <c r="BK506" s="112"/>
      <c r="BL506" s="112"/>
      <c r="BM506" s="112"/>
      <c r="BN506" s="112"/>
      <c r="BO506" s="112"/>
      <c r="BP506" s="112"/>
      <c r="BQ506" s="112"/>
      <c r="BR506" s="112"/>
      <c r="BS506" s="112"/>
      <c r="BT506" s="112"/>
      <c r="BU506" s="112"/>
      <c r="BV506" s="112"/>
      <c r="BW506" s="112"/>
      <c r="BX506" s="112"/>
      <c r="BY506" s="112"/>
      <c r="BZ506" s="112"/>
    </row>
    <row r="507" spans="30:78" x14ac:dyDescent="0.2">
      <c r="AD507" s="112"/>
      <c r="AE507" s="112"/>
      <c r="AF507" s="112"/>
      <c r="AG507" s="112"/>
      <c r="AH507" s="112"/>
      <c r="AI507" s="112"/>
      <c r="AJ507" s="112"/>
      <c r="AK507" s="112"/>
      <c r="AL507" s="112"/>
      <c r="AM507" s="112"/>
      <c r="AN507" s="112"/>
      <c r="AO507" s="112"/>
      <c r="AP507" s="112"/>
      <c r="AQ507" s="112"/>
      <c r="AR507" s="112"/>
      <c r="AS507" s="112"/>
      <c r="AT507" s="112"/>
      <c r="AU507" s="112"/>
      <c r="AV507" s="112"/>
      <c r="AW507" s="112"/>
      <c r="AX507" s="112"/>
      <c r="AY507" s="112"/>
      <c r="AZ507" s="112"/>
      <c r="BA507" s="112"/>
      <c r="BB507" s="112"/>
      <c r="BC507" s="112"/>
      <c r="BD507" s="112"/>
      <c r="BE507" s="112"/>
      <c r="BF507" s="112"/>
      <c r="BG507" s="112"/>
      <c r="BH507" s="112"/>
      <c r="BI507" s="112"/>
      <c r="BJ507" s="112"/>
      <c r="BK507" s="112"/>
      <c r="BL507" s="112"/>
      <c r="BM507" s="112"/>
      <c r="BN507" s="112"/>
      <c r="BO507" s="112"/>
      <c r="BP507" s="112"/>
      <c r="BQ507" s="112"/>
      <c r="BR507" s="112"/>
      <c r="BS507" s="112"/>
      <c r="BT507" s="112"/>
      <c r="BU507" s="112"/>
      <c r="BV507" s="112"/>
      <c r="BW507" s="112"/>
      <c r="BX507" s="112"/>
      <c r="BY507" s="112"/>
      <c r="BZ507" s="112"/>
    </row>
    <row r="508" spans="30:78" x14ac:dyDescent="0.2">
      <c r="AD508" s="112"/>
      <c r="AE508" s="112"/>
      <c r="AF508" s="112"/>
      <c r="AG508" s="112"/>
      <c r="AH508" s="112"/>
      <c r="AI508" s="112"/>
      <c r="AJ508" s="112"/>
      <c r="AK508" s="112"/>
      <c r="AL508" s="112"/>
      <c r="AM508" s="112"/>
      <c r="AN508" s="112"/>
      <c r="AO508" s="112"/>
      <c r="AP508" s="112"/>
      <c r="AQ508" s="112"/>
      <c r="AR508" s="112"/>
      <c r="AS508" s="112"/>
      <c r="AT508" s="112"/>
      <c r="AU508" s="112"/>
      <c r="AV508" s="112"/>
      <c r="AW508" s="112"/>
      <c r="AX508" s="112"/>
      <c r="AY508" s="112"/>
      <c r="AZ508" s="112"/>
      <c r="BA508" s="112"/>
      <c r="BB508" s="112"/>
      <c r="BC508" s="112"/>
      <c r="BD508" s="112"/>
      <c r="BE508" s="112"/>
      <c r="BF508" s="112"/>
      <c r="BG508" s="112"/>
      <c r="BH508" s="112"/>
      <c r="BI508" s="112"/>
      <c r="BJ508" s="112"/>
      <c r="BK508" s="112"/>
      <c r="BL508" s="112"/>
      <c r="BM508" s="112"/>
      <c r="BN508" s="112"/>
      <c r="BO508" s="112"/>
      <c r="BP508" s="112"/>
      <c r="BQ508" s="112"/>
      <c r="BR508" s="112"/>
      <c r="BS508" s="112"/>
      <c r="BT508" s="112"/>
      <c r="BU508" s="112"/>
      <c r="BV508" s="112"/>
      <c r="BW508" s="112"/>
      <c r="BX508" s="112"/>
      <c r="BY508" s="112"/>
      <c r="BZ508" s="112"/>
    </row>
    <row r="509" spans="30:78" x14ac:dyDescent="0.2">
      <c r="AD509" s="112"/>
      <c r="AE509" s="112"/>
      <c r="AF509" s="112"/>
      <c r="AG509" s="112"/>
      <c r="AH509" s="112"/>
      <c r="AI509" s="112"/>
      <c r="AJ509" s="112"/>
      <c r="AK509" s="112"/>
      <c r="AL509" s="112"/>
      <c r="AM509" s="112"/>
      <c r="AN509" s="112"/>
      <c r="AO509" s="112"/>
      <c r="AP509" s="112"/>
      <c r="AQ509" s="112"/>
      <c r="AR509" s="112"/>
      <c r="AS509" s="112"/>
      <c r="AT509" s="112"/>
      <c r="AU509" s="112"/>
      <c r="AV509" s="112"/>
      <c r="AW509" s="112"/>
      <c r="AX509" s="112"/>
      <c r="AY509" s="112"/>
      <c r="AZ509" s="112"/>
      <c r="BA509" s="112"/>
      <c r="BB509" s="112"/>
      <c r="BC509" s="112"/>
      <c r="BD509" s="112"/>
      <c r="BE509" s="112"/>
      <c r="BF509" s="112"/>
      <c r="BG509" s="112"/>
      <c r="BH509" s="112"/>
      <c r="BI509" s="112"/>
      <c r="BJ509" s="112"/>
      <c r="BK509" s="112"/>
      <c r="BL509" s="112"/>
      <c r="BM509" s="112"/>
      <c r="BN509" s="112"/>
      <c r="BO509" s="112"/>
      <c r="BP509" s="112"/>
      <c r="BQ509" s="112"/>
      <c r="BR509" s="112"/>
      <c r="BS509" s="112"/>
      <c r="BT509" s="112"/>
      <c r="BU509" s="112"/>
      <c r="BV509" s="112"/>
      <c r="BW509" s="112"/>
      <c r="BX509" s="112"/>
      <c r="BY509" s="112"/>
      <c r="BZ509" s="112"/>
    </row>
    <row r="510" spans="30:78" x14ac:dyDescent="0.2">
      <c r="AD510" s="112"/>
      <c r="AE510" s="112"/>
      <c r="AF510" s="112"/>
      <c r="AG510" s="112"/>
      <c r="AH510" s="112"/>
      <c r="AI510" s="112"/>
      <c r="AJ510" s="112"/>
      <c r="AK510" s="112"/>
      <c r="AL510" s="112"/>
      <c r="AM510" s="112"/>
      <c r="AN510" s="112"/>
      <c r="AO510" s="112"/>
      <c r="AP510" s="112"/>
      <c r="AQ510" s="112"/>
      <c r="AR510" s="112"/>
      <c r="AS510" s="112"/>
      <c r="AT510" s="112"/>
      <c r="AU510" s="112"/>
      <c r="AV510" s="112"/>
      <c r="AW510" s="112"/>
      <c r="AX510" s="112"/>
      <c r="AY510" s="112"/>
      <c r="AZ510" s="112"/>
      <c r="BA510" s="112"/>
      <c r="BB510" s="112"/>
      <c r="BC510" s="112"/>
      <c r="BD510" s="112"/>
      <c r="BE510" s="112"/>
      <c r="BF510" s="112"/>
      <c r="BG510" s="112"/>
      <c r="BH510" s="112"/>
      <c r="BI510" s="112"/>
      <c r="BJ510" s="112"/>
      <c r="BK510" s="112"/>
      <c r="BL510" s="112"/>
      <c r="BM510" s="112"/>
      <c r="BN510" s="112"/>
      <c r="BO510" s="112"/>
      <c r="BP510" s="112"/>
      <c r="BQ510" s="112"/>
      <c r="BR510" s="112"/>
      <c r="BS510" s="112"/>
      <c r="BT510" s="112"/>
      <c r="BU510" s="112"/>
      <c r="BV510" s="112"/>
      <c r="BW510" s="112"/>
      <c r="BX510" s="112"/>
      <c r="BY510" s="112"/>
      <c r="BZ510" s="112"/>
    </row>
    <row r="511" spans="30:78" x14ac:dyDescent="0.2">
      <c r="AD511" s="112"/>
      <c r="AE511" s="112"/>
      <c r="AF511" s="112"/>
      <c r="AG511" s="112"/>
      <c r="AH511" s="112"/>
      <c r="AI511" s="112"/>
      <c r="AJ511" s="112"/>
      <c r="AK511" s="112"/>
      <c r="AL511" s="112"/>
      <c r="AM511" s="112"/>
      <c r="AN511" s="112"/>
      <c r="AO511" s="112"/>
      <c r="AP511" s="112"/>
      <c r="AQ511" s="112"/>
      <c r="AR511" s="112"/>
      <c r="AS511" s="112"/>
      <c r="AT511" s="112"/>
      <c r="AU511" s="112"/>
      <c r="AV511" s="112"/>
      <c r="AW511" s="112"/>
      <c r="AX511" s="112"/>
      <c r="AY511" s="112"/>
      <c r="AZ511" s="112"/>
      <c r="BA511" s="112"/>
      <c r="BB511" s="112"/>
      <c r="BC511" s="112"/>
      <c r="BD511" s="112"/>
      <c r="BE511" s="112"/>
      <c r="BF511" s="112"/>
      <c r="BG511" s="112"/>
      <c r="BH511" s="112"/>
      <c r="BI511" s="112"/>
      <c r="BJ511" s="112"/>
      <c r="BK511" s="112"/>
      <c r="BL511" s="112"/>
      <c r="BM511" s="112"/>
      <c r="BN511" s="112"/>
      <c r="BO511" s="112"/>
      <c r="BP511" s="112"/>
      <c r="BQ511" s="112"/>
      <c r="BR511" s="112"/>
      <c r="BS511" s="112"/>
      <c r="BT511" s="112"/>
      <c r="BU511" s="112"/>
      <c r="BV511" s="112"/>
      <c r="BW511" s="112"/>
      <c r="BX511" s="112"/>
      <c r="BY511" s="112"/>
      <c r="BZ511" s="112"/>
    </row>
    <row r="512" spans="30:78" x14ac:dyDescent="0.2">
      <c r="AD512" s="112"/>
      <c r="AE512" s="112"/>
      <c r="AF512" s="112"/>
      <c r="AG512" s="112"/>
      <c r="AH512" s="112"/>
      <c r="AI512" s="112"/>
      <c r="AJ512" s="112"/>
      <c r="AK512" s="112"/>
      <c r="AL512" s="112"/>
      <c r="AM512" s="112"/>
      <c r="AN512" s="112"/>
      <c r="AO512" s="112"/>
      <c r="AP512" s="112"/>
      <c r="AQ512" s="112"/>
      <c r="AR512" s="112"/>
      <c r="AS512" s="112"/>
      <c r="AT512" s="112"/>
      <c r="AU512" s="112"/>
      <c r="AV512" s="112"/>
      <c r="AW512" s="112"/>
      <c r="AX512" s="112"/>
      <c r="AY512" s="112"/>
      <c r="AZ512" s="112"/>
      <c r="BA512" s="112"/>
      <c r="BB512" s="112"/>
      <c r="BC512" s="112"/>
      <c r="BD512" s="112"/>
      <c r="BE512" s="112"/>
      <c r="BF512" s="112"/>
      <c r="BG512" s="112"/>
      <c r="BH512" s="112"/>
      <c r="BI512" s="112"/>
      <c r="BJ512" s="112"/>
      <c r="BK512" s="112"/>
      <c r="BL512" s="112"/>
      <c r="BM512" s="112"/>
      <c r="BN512" s="112"/>
      <c r="BO512" s="112"/>
      <c r="BP512" s="112"/>
      <c r="BQ512" s="112"/>
      <c r="BR512" s="112"/>
      <c r="BS512" s="112"/>
      <c r="BT512" s="112"/>
      <c r="BU512" s="112"/>
      <c r="BV512" s="112"/>
      <c r="BW512" s="112"/>
      <c r="BX512" s="112"/>
      <c r="BY512" s="112"/>
      <c r="BZ512" s="112"/>
    </row>
    <row r="513" spans="30:78" x14ac:dyDescent="0.2">
      <c r="AD513" s="112"/>
      <c r="AE513" s="112"/>
      <c r="AF513" s="112"/>
      <c r="AG513" s="112"/>
      <c r="AH513" s="112"/>
      <c r="AI513" s="112"/>
      <c r="AJ513" s="112"/>
      <c r="AK513" s="112"/>
      <c r="AL513" s="112"/>
      <c r="AM513" s="112"/>
      <c r="AN513" s="112"/>
      <c r="AO513" s="112"/>
      <c r="AP513" s="112"/>
      <c r="AQ513" s="112"/>
      <c r="AR513" s="112"/>
      <c r="AS513" s="112"/>
      <c r="AT513" s="112"/>
      <c r="AU513" s="112"/>
      <c r="AV513" s="112"/>
      <c r="AW513" s="112"/>
      <c r="AX513" s="112"/>
      <c r="AY513" s="112"/>
      <c r="AZ513" s="112"/>
      <c r="BA513" s="112"/>
      <c r="BB513" s="112"/>
      <c r="BC513" s="112"/>
      <c r="BD513" s="112"/>
      <c r="BE513" s="112"/>
      <c r="BF513" s="112"/>
      <c r="BG513" s="112"/>
      <c r="BH513" s="112"/>
      <c r="BI513" s="112"/>
      <c r="BJ513" s="112"/>
      <c r="BK513" s="112"/>
      <c r="BL513" s="112"/>
      <c r="BM513" s="112"/>
      <c r="BN513" s="112"/>
      <c r="BO513" s="112"/>
      <c r="BP513" s="112"/>
      <c r="BQ513" s="112"/>
      <c r="BR513" s="112"/>
      <c r="BS513" s="112"/>
      <c r="BT513" s="112"/>
      <c r="BU513" s="112"/>
      <c r="BV513" s="112"/>
      <c r="BW513" s="112"/>
      <c r="BX513" s="112"/>
      <c r="BY513" s="112"/>
      <c r="BZ513" s="112"/>
    </row>
    <row r="514" spans="30:78" x14ac:dyDescent="0.2">
      <c r="AD514" s="112"/>
      <c r="AE514" s="112"/>
      <c r="AF514" s="112"/>
      <c r="AG514" s="112"/>
      <c r="AH514" s="112"/>
      <c r="AI514" s="112"/>
      <c r="AJ514" s="112"/>
      <c r="AK514" s="112"/>
      <c r="AL514" s="112"/>
      <c r="AM514" s="112"/>
      <c r="AN514" s="112"/>
      <c r="AO514" s="112"/>
      <c r="AP514" s="112"/>
      <c r="AQ514" s="112"/>
      <c r="AR514" s="112"/>
      <c r="AS514" s="112"/>
      <c r="AT514" s="112"/>
      <c r="AU514" s="112"/>
      <c r="AV514" s="112"/>
      <c r="AW514" s="112"/>
      <c r="AX514" s="112"/>
      <c r="AY514" s="112"/>
      <c r="AZ514" s="112"/>
      <c r="BA514" s="112"/>
      <c r="BB514" s="112"/>
      <c r="BC514" s="112"/>
      <c r="BD514" s="112"/>
      <c r="BE514" s="112"/>
      <c r="BF514" s="112"/>
      <c r="BG514" s="112"/>
      <c r="BH514" s="112"/>
      <c r="BI514" s="112"/>
      <c r="BJ514" s="112"/>
      <c r="BK514" s="112"/>
      <c r="BL514" s="112"/>
      <c r="BM514" s="112"/>
      <c r="BN514" s="112"/>
      <c r="BO514" s="112"/>
      <c r="BP514" s="112"/>
      <c r="BQ514" s="112"/>
      <c r="BR514" s="112"/>
      <c r="BS514" s="112"/>
      <c r="BT514" s="112"/>
      <c r="BU514" s="112"/>
      <c r="BV514" s="112"/>
      <c r="BW514" s="112"/>
      <c r="BX514" s="112"/>
      <c r="BY514" s="112"/>
      <c r="BZ514" s="112"/>
    </row>
    <row r="515" spans="30:78" x14ac:dyDescent="0.2">
      <c r="AD515" s="112"/>
      <c r="AE515" s="112"/>
      <c r="AF515" s="112"/>
      <c r="AG515" s="112"/>
      <c r="AH515" s="112"/>
      <c r="AI515" s="112"/>
      <c r="AJ515" s="112"/>
      <c r="AK515" s="112"/>
      <c r="AL515" s="112"/>
      <c r="AM515" s="112"/>
      <c r="AN515" s="112"/>
      <c r="AO515" s="112"/>
      <c r="AP515" s="112"/>
      <c r="AQ515" s="112"/>
      <c r="AR515" s="112"/>
      <c r="AS515" s="112"/>
      <c r="AT515" s="112"/>
      <c r="AU515" s="112"/>
      <c r="AV515" s="112"/>
      <c r="AW515" s="112"/>
      <c r="AX515" s="112"/>
      <c r="AY515" s="112"/>
      <c r="AZ515" s="112"/>
      <c r="BA515" s="112"/>
      <c r="BB515" s="112"/>
      <c r="BC515" s="112"/>
      <c r="BD515" s="112"/>
      <c r="BE515" s="112"/>
      <c r="BF515" s="112"/>
      <c r="BG515" s="112"/>
      <c r="BH515" s="112"/>
      <c r="BI515" s="112"/>
      <c r="BJ515" s="112"/>
      <c r="BK515" s="112"/>
      <c r="BL515" s="112"/>
      <c r="BM515" s="112"/>
      <c r="BN515" s="112"/>
      <c r="BO515" s="112"/>
      <c r="BP515" s="112"/>
      <c r="BQ515" s="112"/>
      <c r="BR515" s="112"/>
      <c r="BS515" s="112"/>
      <c r="BT515" s="112"/>
      <c r="BU515" s="112"/>
      <c r="BV515" s="112"/>
      <c r="BW515" s="112"/>
      <c r="BX515" s="112"/>
      <c r="BY515" s="112"/>
      <c r="BZ515" s="112"/>
    </row>
    <row r="516" spans="30:78" x14ac:dyDescent="0.2">
      <c r="AD516" s="112"/>
      <c r="AE516" s="112"/>
      <c r="AF516" s="112"/>
      <c r="AG516" s="112"/>
      <c r="AH516" s="112"/>
      <c r="AI516" s="112"/>
      <c r="AJ516" s="112"/>
      <c r="AK516" s="112"/>
      <c r="AL516" s="112"/>
      <c r="AM516" s="112"/>
      <c r="AN516" s="112"/>
      <c r="AO516" s="112"/>
      <c r="AP516" s="112"/>
      <c r="AQ516" s="112"/>
      <c r="AR516" s="112"/>
      <c r="AS516" s="112"/>
      <c r="AT516" s="112"/>
      <c r="AU516" s="112"/>
      <c r="AV516" s="112"/>
      <c r="AW516" s="112"/>
      <c r="AX516" s="112"/>
      <c r="AY516" s="112"/>
      <c r="AZ516" s="112"/>
      <c r="BA516" s="112"/>
      <c r="BB516" s="112"/>
      <c r="BC516" s="112"/>
      <c r="BD516" s="112"/>
      <c r="BE516" s="112"/>
      <c r="BF516" s="112"/>
      <c r="BG516" s="112"/>
      <c r="BH516" s="112"/>
      <c r="BI516" s="112"/>
      <c r="BJ516" s="112"/>
      <c r="BK516" s="112"/>
      <c r="BL516" s="112"/>
      <c r="BM516" s="112"/>
      <c r="BN516" s="112"/>
      <c r="BO516" s="112"/>
      <c r="BP516" s="112"/>
      <c r="BQ516" s="112"/>
      <c r="BR516" s="112"/>
      <c r="BS516" s="112"/>
      <c r="BT516" s="112"/>
      <c r="BU516" s="112"/>
      <c r="BV516" s="112"/>
      <c r="BW516" s="112"/>
      <c r="BX516" s="112"/>
      <c r="BY516" s="112"/>
      <c r="BZ516" s="112"/>
    </row>
    <row r="517" spans="30:78" x14ac:dyDescent="0.2">
      <c r="AD517" s="112"/>
      <c r="AE517" s="112"/>
      <c r="AF517" s="112"/>
      <c r="AG517" s="112"/>
      <c r="AH517" s="112"/>
      <c r="AI517" s="112"/>
      <c r="AJ517" s="112"/>
      <c r="AK517" s="112"/>
      <c r="AL517" s="112"/>
      <c r="AM517" s="112"/>
      <c r="AN517" s="112"/>
      <c r="AO517" s="112"/>
      <c r="AP517" s="112"/>
      <c r="AQ517" s="112"/>
      <c r="AR517" s="112"/>
      <c r="AS517" s="112"/>
      <c r="AT517" s="112"/>
      <c r="AU517" s="112"/>
      <c r="AV517" s="112"/>
      <c r="AW517" s="112"/>
      <c r="AX517" s="112"/>
      <c r="AY517" s="112"/>
      <c r="AZ517" s="112"/>
      <c r="BA517" s="112"/>
      <c r="BB517" s="112"/>
      <c r="BC517" s="112"/>
      <c r="BD517" s="112"/>
      <c r="BE517" s="112"/>
      <c r="BF517" s="112"/>
      <c r="BG517" s="112"/>
      <c r="BH517" s="112"/>
      <c r="BI517" s="112"/>
      <c r="BJ517" s="112"/>
      <c r="BK517" s="112"/>
      <c r="BL517" s="112"/>
      <c r="BM517" s="112"/>
      <c r="BN517" s="112"/>
      <c r="BO517" s="112"/>
      <c r="BP517" s="112"/>
      <c r="BQ517" s="112"/>
      <c r="BR517" s="112"/>
      <c r="BS517" s="112"/>
      <c r="BT517" s="112"/>
      <c r="BU517" s="112"/>
      <c r="BV517" s="112"/>
      <c r="BW517" s="112"/>
      <c r="BX517" s="112"/>
      <c r="BY517" s="112"/>
      <c r="BZ517" s="112"/>
    </row>
    <row r="518" spans="30:78" x14ac:dyDescent="0.2">
      <c r="AD518" s="112"/>
      <c r="AE518" s="112"/>
      <c r="AF518" s="112"/>
      <c r="AG518" s="112"/>
      <c r="AH518" s="112"/>
      <c r="AI518" s="112"/>
      <c r="AJ518" s="112"/>
      <c r="AK518" s="112"/>
      <c r="AL518" s="112"/>
      <c r="AM518" s="112"/>
      <c r="AN518" s="112"/>
      <c r="AO518" s="112"/>
      <c r="AP518" s="112"/>
      <c r="AQ518" s="112"/>
      <c r="AR518" s="112"/>
      <c r="AS518" s="112"/>
      <c r="AT518" s="112"/>
      <c r="AU518" s="112"/>
      <c r="AV518" s="112"/>
      <c r="AW518" s="112"/>
      <c r="AX518" s="112"/>
      <c r="AY518" s="112"/>
      <c r="AZ518" s="112"/>
      <c r="BA518" s="112"/>
      <c r="BB518" s="112"/>
      <c r="BC518" s="112"/>
      <c r="BD518" s="112"/>
      <c r="BE518" s="112"/>
      <c r="BF518" s="112"/>
      <c r="BG518" s="112"/>
      <c r="BH518" s="112"/>
      <c r="BI518" s="112"/>
      <c r="BJ518" s="112"/>
      <c r="BK518" s="112"/>
      <c r="BL518" s="112"/>
      <c r="BM518" s="112"/>
      <c r="BN518" s="112"/>
      <c r="BO518" s="112"/>
      <c r="BP518" s="112"/>
      <c r="BQ518" s="112"/>
      <c r="BR518" s="112"/>
      <c r="BS518" s="112"/>
      <c r="BT518" s="112"/>
      <c r="BU518" s="112"/>
      <c r="BV518" s="112"/>
      <c r="BW518" s="112"/>
      <c r="BX518" s="112"/>
      <c r="BY518" s="112"/>
      <c r="BZ518" s="112"/>
    </row>
    <row r="519" spans="30:78" x14ac:dyDescent="0.2">
      <c r="AD519" s="112"/>
      <c r="AE519" s="112"/>
      <c r="AF519" s="112"/>
      <c r="AG519" s="112"/>
      <c r="AH519" s="112"/>
      <c r="AI519" s="112"/>
      <c r="AJ519" s="112"/>
      <c r="AK519" s="112"/>
      <c r="AL519" s="112"/>
      <c r="AM519" s="112"/>
      <c r="AN519" s="112"/>
      <c r="AO519" s="112"/>
      <c r="AP519" s="112"/>
      <c r="AQ519" s="112"/>
      <c r="AR519" s="112"/>
      <c r="AS519" s="112"/>
      <c r="AT519" s="112"/>
      <c r="AU519" s="112"/>
      <c r="AV519" s="112"/>
      <c r="AW519" s="112"/>
      <c r="AX519" s="112"/>
      <c r="AY519" s="112"/>
      <c r="AZ519" s="112"/>
      <c r="BA519" s="112"/>
      <c r="BB519" s="112"/>
      <c r="BC519" s="112"/>
      <c r="BD519" s="112"/>
      <c r="BE519" s="112"/>
      <c r="BF519" s="112"/>
      <c r="BG519" s="112"/>
      <c r="BH519" s="112"/>
      <c r="BI519" s="112"/>
      <c r="BJ519" s="112"/>
      <c r="BK519" s="112"/>
      <c r="BL519" s="112"/>
      <c r="BM519" s="112"/>
      <c r="BN519" s="112"/>
      <c r="BO519" s="112"/>
      <c r="BP519" s="112"/>
      <c r="BQ519" s="112"/>
      <c r="BR519" s="112"/>
      <c r="BS519" s="112"/>
      <c r="BT519" s="112"/>
      <c r="BU519" s="112"/>
      <c r="BV519" s="112"/>
      <c r="BW519" s="112"/>
      <c r="BX519" s="112"/>
      <c r="BY519" s="112"/>
      <c r="BZ519" s="112"/>
    </row>
    <row r="520" spans="30:78" x14ac:dyDescent="0.2">
      <c r="AD520" s="112"/>
      <c r="AE520" s="112"/>
      <c r="AF520" s="112"/>
      <c r="AG520" s="112"/>
      <c r="AH520" s="112"/>
      <c r="AI520" s="112"/>
      <c r="AJ520" s="112"/>
      <c r="AK520" s="112"/>
      <c r="AL520" s="112"/>
      <c r="AM520" s="112"/>
      <c r="AN520" s="112"/>
      <c r="AO520" s="112"/>
      <c r="AP520" s="112"/>
      <c r="AQ520" s="112"/>
      <c r="AR520" s="112"/>
      <c r="AS520" s="112"/>
      <c r="AT520" s="112"/>
      <c r="AU520" s="112"/>
      <c r="AV520" s="112"/>
      <c r="AW520" s="112"/>
      <c r="AX520" s="112"/>
      <c r="AY520" s="112"/>
      <c r="AZ520" s="112"/>
      <c r="BA520" s="112"/>
      <c r="BB520" s="112"/>
      <c r="BC520" s="112"/>
      <c r="BD520" s="112"/>
      <c r="BE520" s="112"/>
      <c r="BF520" s="112"/>
      <c r="BG520" s="112"/>
      <c r="BH520" s="112"/>
      <c r="BI520" s="112"/>
      <c r="BJ520" s="112"/>
      <c r="BK520" s="112"/>
      <c r="BL520" s="112"/>
      <c r="BM520" s="112"/>
      <c r="BN520" s="112"/>
      <c r="BO520" s="112"/>
      <c r="BP520" s="112"/>
      <c r="BQ520" s="112"/>
      <c r="BR520" s="112"/>
      <c r="BS520" s="112"/>
      <c r="BT520" s="112"/>
      <c r="BU520" s="112"/>
      <c r="BV520" s="112"/>
      <c r="BW520" s="112"/>
      <c r="BX520" s="112"/>
      <c r="BY520" s="112"/>
      <c r="BZ520" s="112"/>
    </row>
    <row r="521" spans="30:78" x14ac:dyDescent="0.2">
      <c r="AD521" s="112"/>
      <c r="AE521" s="112"/>
      <c r="AF521" s="112"/>
      <c r="AG521" s="112"/>
      <c r="AH521" s="112"/>
      <c r="AI521" s="112"/>
      <c r="AJ521" s="112"/>
      <c r="AK521" s="112"/>
      <c r="AL521" s="112"/>
      <c r="AM521" s="112"/>
      <c r="AN521" s="112"/>
      <c r="AO521" s="112"/>
      <c r="AP521" s="112"/>
      <c r="AQ521" s="112"/>
      <c r="AR521" s="112"/>
      <c r="AS521" s="112"/>
      <c r="AT521" s="112"/>
      <c r="AU521" s="112"/>
      <c r="AV521" s="112"/>
      <c r="AW521" s="112"/>
      <c r="AX521" s="112"/>
      <c r="AY521" s="112"/>
      <c r="AZ521" s="112"/>
      <c r="BA521" s="112"/>
      <c r="BB521" s="112"/>
      <c r="BC521" s="112"/>
      <c r="BD521" s="112"/>
      <c r="BE521" s="112"/>
      <c r="BF521" s="112"/>
      <c r="BG521" s="112"/>
      <c r="BH521" s="112"/>
      <c r="BI521" s="112"/>
      <c r="BJ521" s="112"/>
      <c r="BK521" s="112"/>
      <c r="BL521" s="112"/>
      <c r="BM521" s="112"/>
      <c r="BN521" s="112"/>
      <c r="BO521" s="112"/>
      <c r="BP521" s="112"/>
      <c r="BQ521" s="112"/>
      <c r="BR521" s="112"/>
      <c r="BS521" s="112"/>
      <c r="BT521" s="112"/>
      <c r="BU521" s="112"/>
      <c r="BV521" s="112"/>
      <c r="BW521" s="112"/>
      <c r="BX521" s="112"/>
      <c r="BY521" s="112"/>
      <c r="BZ521" s="112"/>
    </row>
    <row r="522" spans="30:78" x14ac:dyDescent="0.2">
      <c r="AD522" s="112"/>
      <c r="AE522" s="112"/>
      <c r="AF522" s="112"/>
      <c r="AG522" s="112"/>
      <c r="AH522" s="112"/>
      <c r="AI522" s="112"/>
      <c r="AJ522" s="112"/>
      <c r="AK522" s="112"/>
      <c r="AL522" s="112"/>
      <c r="AM522" s="112"/>
      <c r="AN522" s="112"/>
      <c r="AO522" s="112"/>
      <c r="AP522" s="112"/>
      <c r="AQ522" s="112"/>
      <c r="AR522" s="112"/>
      <c r="AS522" s="112"/>
      <c r="AT522" s="112"/>
      <c r="AU522" s="112"/>
      <c r="AV522" s="112"/>
      <c r="AW522" s="112"/>
      <c r="AX522" s="112"/>
      <c r="AY522" s="112"/>
      <c r="AZ522" s="112"/>
      <c r="BA522" s="112"/>
      <c r="BB522" s="112"/>
      <c r="BC522" s="112"/>
      <c r="BD522" s="112"/>
      <c r="BE522" s="112"/>
      <c r="BF522" s="112"/>
      <c r="BG522" s="112"/>
      <c r="BH522" s="112"/>
      <c r="BI522" s="112"/>
      <c r="BJ522" s="112"/>
      <c r="BK522" s="112"/>
      <c r="BL522" s="112"/>
      <c r="BM522" s="112"/>
      <c r="BN522" s="112"/>
      <c r="BO522" s="112"/>
      <c r="BP522" s="112"/>
      <c r="BQ522" s="112"/>
      <c r="BR522" s="112"/>
      <c r="BS522" s="112"/>
      <c r="BT522" s="112"/>
      <c r="BU522" s="112"/>
      <c r="BV522" s="112"/>
      <c r="BW522" s="112"/>
      <c r="BX522" s="112"/>
      <c r="BY522" s="112"/>
      <c r="BZ522" s="112"/>
    </row>
    <row r="523" spans="30:78" x14ac:dyDescent="0.2">
      <c r="AD523" s="112"/>
      <c r="AE523" s="112"/>
      <c r="AF523" s="112"/>
      <c r="AG523" s="112"/>
      <c r="AH523" s="112"/>
      <c r="AI523" s="112"/>
      <c r="AJ523" s="112"/>
      <c r="AK523" s="112"/>
      <c r="AL523" s="112"/>
      <c r="AM523" s="112"/>
      <c r="AN523" s="112"/>
      <c r="AO523" s="112"/>
      <c r="AP523" s="112"/>
      <c r="AQ523" s="112"/>
      <c r="AR523" s="112"/>
      <c r="AS523" s="112"/>
      <c r="AT523" s="112"/>
      <c r="AU523" s="112"/>
      <c r="AV523" s="112"/>
      <c r="AW523" s="112"/>
      <c r="AX523" s="112"/>
      <c r="AY523" s="112"/>
      <c r="AZ523" s="112"/>
      <c r="BA523" s="112"/>
      <c r="BB523" s="112"/>
      <c r="BC523" s="112"/>
      <c r="BD523" s="112"/>
      <c r="BE523" s="112"/>
      <c r="BF523" s="112"/>
      <c r="BG523" s="112"/>
      <c r="BH523" s="112"/>
      <c r="BI523" s="112"/>
      <c r="BJ523" s="112"/>
      <c r="BK523" s="112"/>
      <c r="BL523" s="112"/>
      <c r="BM523" s="112"/>
      <c r="BN523" s="112"/>
      <c r="BO523" s="112"/>
      <c r="BP523" s="112"/>
      <c r="BQ523" s="112"/>
      <c r="BR523" s="112"/>
      <c r="BS523" s="112"/>
      <c r="BT523" s="112"/>
      <c r="BU523" s="112"/>
      <c r="BV523" s="112"/>
      <c r="BW523" s="112"/>
      <c r="BX523" s="112"/>
      <c r="BY523" s="112"/>
      <c r="BZ523" s="112"/>
    </row>
    <row r="524" spans="30:78" x14ac:dyDescent="0.2">
      <c r="AD524" s="112"/>
      <c r="AE524" s="112"/>
      <c r="AF524" s="112"/>
      <c r="AG524" s="112"/>
      <c r="AH524" s="112"/>
      <c r="AI524" s="112"/>
      <c r="AJ524" s="112"/>
      <c r="AK524" s="112"/>
      <c r="AL524" s="112"/>
      <c r="AM524" s="112"/>
      <c r="AN524" s="112"/>
      <c r="AO524" s="112"/>
      <c r="AP524" s="112"/>
      <c r="AQ524" s="112"/>
      <c r="AR524" s="112"/>
      <c r="AS524" s="112"/>
      <c r="AT524" s="112"/>
      <c r="AU524" s="112"/>
      <c r="AV524" s="112"/>
      <c r="AW524" s="112"/>
      <c r="AX524" s="112"/>
      <c r="AY524" s="112"/>
      <c r="AZ524" s="112"/>
      <c r="BA524" s="112"/>
      <c r="BB524" s="112"/>
      <c r="BC524" s="112"/>
      <c r="BD524" s="112"/>
      <c r="BE524" s="112"/>
      <c r="BF524" s="112"/>
      <c r="BG524" s="112"/>
      <c r="BH524" s="112"/>
      <c r="BI524" s="112"/>
      <c r="BJ524" s="112"/>
      <c r="BK524" s="112"/>
      <c r="BL524" s="112"/>
      <c r="BM524" s="112"/>
      <c r="BN524" s="112"/>
      <c r="BO524" s="112"/>
      <c r="BP524" s="112"/>
      <c r="BQ524" s="112"/>
      <c r="BR524" s="112"/>
      <c r="BS524" s="112"/>
      <c r="BT524" s="112"/>
      <c r="BU524" s="112"/>
      <c r="BV524" s="112"/>
      <c r="BW524" s="112"/>
      <c r="BX524" s="112"/>
      <c r="BY524" s="112"/>
      <c r="BZ524" s="112"/>
    </row>
    <row r="525" spans="30:78" x14ac:dyDescent="0.2">
      <c r="AD525" s="112"/>
      <c r="AE525" s="112"/>
      <c r="AF525" s="112"/>
      <c r="AG525" s="112"/>
      <c r="AH525" s="112"/>
      <c r="AI525" s="112"/>
      <c r="AJ525" s="112"/>
      <c r="AK525" s="112"/>
      <c r="AL525" s="112"/>
      <c r="AM525" s="112"/>
      <c r="AN525" s="112"/>
      <c r="AO525" s="112"/>
      <c r="AP525" s="112"/>
      <c r="AQ525" s="112"/>
      <c r="AR525" s="112"/>
      <c r="AS525" s="112"/>
      <c r="AT525" s="112"/>
      <c r="AU525" s="112"/>
      <c r="AV525" s="112"/>
      <c r="AW525" s="112"/>
      <c r="AX525" s="112"/>
      <c r="AY525" s="112"/>
      <c r="AZ525" s="112"/>
      <c r="BA525" s="112"/>
      <c r="BB525" s="112"/>
      <c r="BC525" s="112"/>
      <c r="BD525" s="112"/>
      <c r="BE525" s="112"/>
      <c r="BF525" s="112"/>
      <c r="BG525" s="112"/>
      <c r="BH525" s="112"/>
      <c r="BI525" s="112"/>
      <c r="BJ525" s="112"/>
      <c r="BK525" s="112"/>
      <c r="BL525" s="112"/>
      <c r="BM525" s="112"/>
      <c r="BN525" s="112"/>
      <c r="BO525" s="112"/>
      <c r="BP525" s="112"/>
      <c r="BQ525" s="112"/>
      <c r="BR525" s="112"/>
      <c r="BS525" s="112"/>
      <c r="BT525" s="112"/>
      <c r="BU525" s="112"/>
      <c r="BV525" s="112"/>
      <c r="BW525" s="112"/>
      <c r="BX525" s="112"/>
      <c r="BY525" s="112"/>
      <c r="BZ525" s="112"/>
    </row>
    <row r="526" spans="30:78" x14ac:dyDescent="0.2">
      <c r="AD526" s="112"/>
      <c r="AE526" s="112"/>
      <c r="AF526" s="112"/>
      <c r="AG526" s="112"/>
      <c r="AH526" s="112"/>
      <c r="AI526" s="112"/>
      <c r="AJ526" s="112"/>
      <c r="AK526" s="112"/>
      <c r="AL526" s="112"/>
      <c r="AM526" s="112"/>
      <c r="AN526" s="112"/>
      <c r="AO526" s="112"/>
      <c r="AP526" s="112"/>
      <c r="AQ526" s="112"/>
      <c r="AR526" s="112"/>
      <c r="AS526" s="112"/>
      <c r="AT526" s="112"/>
      <c r="AU526" s="112"/>
      <c r="AV526" s="112"/>
      <c r="AW526" s="112"/>
      <c r="AX526" s="112"/>
      <c r="AY526" s="112"/>
      <c r="AZ526" s="112"/>
      <c r="BA526" s="112"/>
      <c r="BB526" s="112"/>
      <c r="BC526" s="112"/>
      <c r="BD526" s="112"/>
      <c r="BE526" s="112"/>
      <c r="BF526" s="112"/>
      <c r="BG526" s="112"/>
      <c r="BH526" s="112"/>
      <c r="BI526" s="112"/>
      <c r="BJ526" s="112"/>
      <c r="BK526" s="112"/>
      <c r="BL526" s="112"/>
      <c r="BM526" s="112"/>
      <c r="BN526" s="112"/>
      <c r="BO526" s="112"/>
      <c r="BP526" s="112"/>
      <c r="BQ526" s="112"/>
      <c r="BR526" s="112"/>
      <c r="BS526" s="112"/>
      <c r="BT526" s="112"/>
      <c r="BU526" s="112"/>
      <c r="BV526" s="112"/>
      <c r="BW526" s="112"/>
      <c r="BX526" s="112"/>
      <c r="BY526" s="112"/>
      <c r="BZ526" s="112"/>
    </row>
    <row r="527" spans="30:78" x14ac:dyDescent="0.2">
      <c r="AD527" s="112"/>
      <c r="AE527" s="112"/>
      <c r="AF527" s="112"/>
      <c r="AG527" s="112"/>
      <c r="AH527" s="112"/>
      <c r="AI527" s="112"/>
      <c r="AJ527" s="112"/>
      <c r="AK527" s="112"/>
      <c r="AL527" s="112"/>
      <c r="AM527" s="112"/>
      <c r="AN527" s="112"/>
      <c r="AO527" s="112"/>
      <c r="AP527" s="112"/>
      <c r="AQ527" s="112"/>
      <c r="AR527" s="112"/>
      <c r="AS527" s="112"/>
      <c r="AT527" s="112"/>
      <c r="AU527" s="112"/>
      <c r="AV527" s="112"/>
      <c r="AW527" s="112"/>
      <c r="AX527" s="112"/>
      <c r="AY527" s="112"/>
      <c r="AZ527" s="112"/>
      <c r="BA527" s="112"/>
      <c r="BB527" s="112"/>
      <c r="BC527" s="112"/>
      <c r="BD527" s="112"/>
      <c r="BE527" s="112"/>
      <c r="BF527" s="112"/>
      <c r="BG527" s="112"/>
      <c r="BH527" s="112"/>
      <c r="BI527" s="112"/>
      <c r="BJ527" s="112"/>
      <c r="BK527" s="112"/>
      <c r="BL527" s="112"/>
      <c r="BM527" s="112"/>
      <c r="BN527" s="112"/>
      <c r="BO527" s="112"/>
      <c r="BP527" s="112"/>
      <c r="BQ527" s="112"/>
      <c r="BR527" s="112"/>
      <c r="BS527" s="112"/>
      <c r="BT527" s="112"/>
      <c r="BU527" s="112"/>
      <c r="BV527" s="112"/>
      <c r="BW527" s="112"/>
      <c r="BX527" s="112"/>
      <c r="BY527" s="112"/>
      <c r="BZ527" s="112"/>
    </row>
    <row r="528" spans="30:78" x14ac:dyDescent="0.2">
      <c r="AD528" s="112"/>
      <c r="AE528" s="112"/>
      <c r="AF528" s="112"/>
      <c r="AG528" s="112"/>
      <c r="AH528" s="112"/>
      <c r="AI528" s="112"/>
      <c r="AJ528" s="112"/>
      <c r="AK528" s="112"/>
      <c r="AL528" s="112"/>
      <c r="AM528" s="112"/>
      <c r="AN528" s="112"/>
      <c r="AO528" s="112"/>
      <c r="AP528" s="112"/>
      <c r="AQ528" s="112"/>
      <c r="AR528" s="112"/>
      <c r="AS528" s="112"/>
      <c r="AT528" s="112"/>
      <c r="AU528" s="112"/>
      <c r="AV528" s="112"/>
      <c r="AW528" s="112"/>
      <c r="AX528" s="112"/>
      <c r="AY528" s="112"/>
      <c r="AZ528" s="112"/>
      <c r="BA528" s="112"/>
      <c r="BB528" s="112"/>
      <c r="BC528" s="112"/>
      <c r="BD528" s="112"/>
      <c r="BE528" s="112"/>
      <c r="BF528" s="112"/>
      <c r="BG528" s="112"/>
      <c r="BH528" s="112"/>
      <c r="BI528" s="112"/>
      <c r="BJ528" s="112"/>
      <c r="BK528" s="112"/>
      <c r="BL528" s="112"/>
      <c r="BM528" s="112"/>
      <c r="BN528" s="112"/>
      <c r="BO528" s="112"/>
      <c r="BP528" s="112"/>
      <c r="BQ528" s="112"/>
      <c r="BR528" s="112"/>
      <c r="BS528" s="112"/>
      <c r="BT528" s="112"/>
      <c r="BU528" s="112"/>
      <c r="BV528" s="112"/>
      <c r="BW528" s="112"/>
      <c r="BX528" s="112"/>
      <c r="BY528" s="112"/>
      <c r="BZ528" s="112"/>
    </row>
    <row r="529" spans="30:78" x14ac:dyDescent="0.2">
      <c r="AD529" s="112"/>
      <c r="AE529" s="112"/>
      <c r="AF529" s="112"/>
      <c r="AG529" s="112"/>
      <c r="AH529" s="112"/>
      <c r="AI529" s="112"/>
      <c r="AJ529" s="112"/>
      <c r="AK529" s="112"/>
      <c r="AL529" s="112"/>
      <c r="AM529" s="112"/>
      <c r="AN529" s="112"/>
      <c r="AO529" s="112"/>
      <c r="AP529" s="112"/>
      <c r="AQ529" s="112"/>
      <c r="AR529" s="112"/>
      <c r="AS529" s="112"/>
      <c r="AT529" s="112"/>
      <c r="AU529" s="112"/>
      <c r="AV529" s="112"/>
      <c r="AW529" s="112"/>
      <c r="AX529" s="112"/>
      <c r="AY529" s="112"/>
      <c r="AZ529" s="112"/>
      <c r="BA529" s="112"/>
      <c r="BB529" s="112"/>
      <c r="BC529" s="112"/>
      <c r="BD529" s="112"/>
      <c r="BE529" s="112"/>
      <c r="BF529" s="112"/>
      <c r="BG529" s="112"/>
      <c r="BH529" s="112"/>
      <c r="BI529" s="112"/>
      <c r="BJ529" s="112"/>
      <c r="BK529" s="112"/>
      <c r="BL529" s="112"/>
      <c r="BM529" s="112"/>
      <c r="BN529" s="112"/>
      <c r="BO529" s="112"/>
      <c r="BP529" s="112"/>
      <c r="BQ529" s="112"/>
      <c r="BR529" s="112"/>
      <c r="BS529" s="112"/>
      <c r="BT529" s="112"/>
      <c r="BU529" s="112"/>
      <c r="BV529" s="112"/>
      <c r="BW529" s="112"/>
      <c r="BX529" s="112"/>
      <c r="BY529" s="112"/>
      <c r="BZ529" s="112"/>
    </row>
    <row r="530" spans="30:78" x14ac:dyDescent="0.2">
      <c r="AD530" s="112"/>
      <c r="AE530" s="112"/>
      <c r="AF530" s="112"/>
      <c r="AG530" s="112"/>
      <c r="AH530" s="112"/>
      <c r="AI530" s="112"/>
      <c r="AJ530" s="112"/>
      <c r="AK530" s="112"/>
      <c r="AL530" s="112"/>
      <c r="AM530" s="112"/>
      <c r="AN530" s="112"/>
      <c r="AO530" s="112"/>
      <c r="AP530" s="112"/>
      <c r="AQ530" s="112"/>
      <c r="AR530" s="112"/>
      <c r="AS530" s="112"/>
      <c r="AT530" s="112"/>
      <c r="AU530" s="112"/>
      <c r="AV530" s="112"/>
      <c r="AW530" s="112"/>
      <c r="AX530" s="112"/>
      <c r="AY530" s="112"/>
      <c r="AZ530" s="112"/>
      <c r="BA530" s="112"/>
      <c r="BB530" s="112"/>
      <c r="BC530" s="112"/>
      <c r="BD530" s="112"/>
      <c r="BE530" s="112"/>
      <c r="BF530" s="112"/>
      <c r="BG530" s="112"/>
      <c r="BH530" s="112"/>
      <c r="BI530" s="112"/>
      <c r="BJ530" s="112"/>
      <c r="BK530" s="112"/>
      <c r="BL530" s="112"/>
      <c r="BM530" s="112"/>
      <c r="BN530" s="112"/>
      <c r="BO530" s="112"/>
      <c r="BP530" s="112"/>
      <c r="BQ530" s="112"/>
      <c r="BR530" s="112"/>
      <c r="BS530" s="112"/>
      <c r="BT530" s="112"/>
      <c r="BU530" s="112"/>
      <c r="BV530" s="112"/>
      <c r="BW530" s="112"/>
      <c r="BX530" s="112"/>
      <c r="BY530" s="112"/>
      <c r="BZ530" s="112"/>
    </row>
    <row r="531" spans="30:78" x14ac:dyDescent="0.2">
      <c r="AD531" s="112"/>
      <c r="AE531" s="112"/>
      <c r="AF531" s="112"/>
      <c r="AG531" s="112"/>
      <c r="AH531" s="112"/>
      <c r="AI531" s="112"/>
      <c r="AJ531" s="112"/>
      <c r="AK531" s="112"/>
      <c r="AL531" s="112"/>
      <c r="AM531" s="112"/>
      <c r="AN531" s="112"/>
      <c r="AO531" s="112"/>
      <c r="AP531" s="112"/>
      <c r="AQ531" s="112"/>
      <c r="AR531" s="112"/>
      <c r="AS531" s="112"/>
      <c r="AT531" s="112"/>
      <c r="AU531" s="112"/>
      <c r="AV531" s="112"/>
      <c r="AW531" s="112"/>
      <c r="AX531" s="112"/>
      <c r="AY531" s="112"/>
      <c r="AZ531" s="112"/>
      <c r="BA531" s="112"/>
      <c r="BB531" s="112"/>
      <c r="BC531" s="112"/>
      <c r="BD531" s="112"/>
      <c r="BE531" s="112"/>
      <c r="BF531" s="112"/>
      <c r="BG531" s="112"/>
      <c r="BH531" s="112"/>
      <c r="BI531" s="112"/>
      <c r="BJ531" s="112"/>
      <c r="BK531" s="112"/>
      <c r="BL531" s="112"/>
      <c r="BM531" s="112"/>
      <c r="BN531" s="112"/>
      <c r="BO531" s="112"/>
      <c r="BP531" s="112"/>
      <c r="BQ531" s="112"/>
      <c r="BR531" s="112"/>
      <c r="BS531" s="112"/>
      <c r="BT531" s="112"/>
      <c r="BU531" s="112"/>
      <c r="BV531" s="112"/>
      <c r="BW531" s="112"/>
      <c r="BX531" s="112"/>
      <c r="BY531" s="112"/>
      <c r="BZ531" s="112"/>
    </row>
    <row r="532" spans="30:78" x14ac:dyDescent="0.2">
      <c r="AD532" s="112"/>
      <c r="AE532" s="112"/>
      <c r="AF532" s="112"/>
      <c r="AG532" s="112"/>
      <c r="AH532" s="112"/>
      <c r="AI532" s="112"/>
      <c r="AJ532" s="112"/>
      <c r="AK532" s="112"/>
      <c r="AL532" s="112"/>
      <c r="AM532" s="112"/>
      <c r="AN532" s="112"/>
      <c r="AO532" s="112"/>
      <c r="AP532" s="112"/>
      <c r="AQ532" s="112"/>
      <c r="AR532" s="112"/>
      <c r="AS532" s="112"/>
      <c r="AT532" s="112"/>
      <c r="AU532" s="112"/>
      <c r="AV532" s="112"/>
      <c r="AW532" s="112"/>
      <c r="AX532" s="112"/>
      <c r="AY532" s="112"/>
      <c r="AZ532" s="112"/>
      <c r="BA532" s="112"/>
      <c r="BB532" s="112"/>
      <c r="BC532" s="112"/>
      <c r="BD532" s="112"/>
      <c r="BE532" s="112"/>
      <c r="BF532" s="112"/>
      <c r="BG532" s="112"/>
      <c r="BH532" s="112"/>
      <c r="BI532" s="112"/>
      <c r="BJ532" s="112"/>
      <c r="BK532" s="112"/>
      <c r="BL532" s="112"/>
      <c r="BM532" s="112"/>
      <c r="BN532" s="112"/>
      <c r="BO532" s="112"/>
      <c r="BP532" s="112"/>
      <c r="BQ532" s="112"/>
      <c r="BR532" s="112"/>
      <c r="BS532" s="112"/>
      <c r="BT532" s="112"/>
      <c r="BU532" s="112"/>
      <c r="BV532" s="112"/>
      <c r="BW532" s="112"/>
      <c r="BX532" s="112"/>
      <c r="BY532" s="112"/>
      <c r="BZ532" s="112"/>
    </row>
    <row r="533" spans="30:78" x14ac:dyDescent="0.2">
      <c r="AD533" s="112"/>
      <c r="AE533" s="112"/>
      <c r="AF533" s="112"/>
      <c r="AG533" s="112"/>
      <c r="AH533" s="112"/>
      <c r="AI533" s="112"/>
      <c r="AJ533" s="112"/>
      <c r="AK533" s="112"/>
      <c r="AL533" s="112"/>
      <c r="AM533" s="112"/>
      <c r="AN533" s="112"/>
      <c r="AO533" s="112"/>
      <c r="AP533" s="112"/>
      <c r="AQ533" s="112"/>
      <c r="AR533" s="112"/>
      <c r="AS533" s="112"/>
      <c r="AT533" s="112"/>
      <c r="AU533" s="112"/>
      <c r="AV533" s="112"/>
      <c r="AW533" s="112"/>
      <c r="AX533" s="112"/>
      <c r="AY533" s="112"/>
      <c r="AZ533" s="112"/>
      <c r="BA533" s="112"/>
      <c r="BB533" s="112"/>
      <c r="BC533" s="112"/>
      <c r="BD533" s="112"/>
      <c r="BE533" s="112"/>
      <c r="BF533" s="112"/>
      <c r="BG533" s="112"/>
      <c r="BH533" s="112"/>
      <c r="BI533" s="112"/>
      <c r="BJ533" s="112"/>
      <c r="BK533" s="112"/>
      <c r="BL533" s="112"/>
      <c r="BM533" s="112"/>
      <c r="BN533" s="112"/>
      <c r="BO533" s="112"/>
      <c r="BP533" s="112"/>
      <c r="BQ533" s="112"/>
      <c r="BR533" s="112"/>
      <c r="BS533" s="112"/>
      <c r="BT533" s="112"/>
      <c r="BU533" s="112"/>
      <c r="BV533" s="112"/>
      <c r="BW533" s="112"/>
      <c r="BX533" s="112"/>
      <c r="BY533" s="112"/>
      <c r="BZ533" s="112"/>
    </row>
    <row r="534" spans="30:78" x14ac:dyDescent="0.2">
      <c r="AD534" s="112"/>
      <c r="AE534" s="112"/>
      <c r="AF534" s="112"/>
      <c r="AG534" s="112"/>
      <c r="AH534" s="112"/>
      <c r="AI534" s="112"/>
      <c r="AJ534" s="112"/>
      <c r="AK534" s="112"/>
      <c r="AL534" s="112"/>
      <c r="AM534" s="112"/>
      <c r="AN534" s="112"/>
      <c r="AO534" s="112"/>
      <c r="AP534" s="112"/>
      <c r="AQ534" s="112"/>
      <c r="AR534" s="112"/>
      <c r="AS534" s="112"/>
      <c r="AT534" s="112"/>
      <c r="AU534" s="112"/>
      <c r="AV534" s="112"/>
      <c r="AW534" s="112"/>
      <c r="AX534" s="112"/>
      <c r="AY534" s="112"/>
      <c r="AZ534" s="112"/>
      <c r="BA534" s="112"/>
      <c r="BB534" s="112"/>
      <c r="BC534" s="112"/>
      <c r="BD534" s="112"/>
      <c r="BE534" s="112"/>
      <c r="BF534" s="112"/>
      <c r="BG534" s="112"/>
      <c r="BH534" s="112"/>
      <c r="BI534" s="112"/>
      <c r="BJ534" s="112"/>
      <c r="BK534" s="112"/>
      <c r="BL534" s="112"/>
      <c r="BM534" s="112"/>
      <c r="BN534" s="112"/>
      <c r="BO534" s="112"/>
      <c r="BP534" s="112"/>
      <c r="BQ534" s="112"/>
      <c r="BR534" s="112"/>
      <c r="BS534" s="112"/>
      <c r="BT534" s="112"/>
      <c r="BU534" s="112"/>
      <c r="BV534" s="112"/>
      <c r="BW534" s="112"/>
      <c r="BX534" s="112"/>
      <c r="BY534" s="112"/>
      <c r="BZ534" s="112"/>
    </row>
    <row r="535" spans="30:78" x14ac:dyDescent="0.2">
      <c r="AD535" s="112"/>
      <c r="AE535" s="112"/>
      <c r="AF535" s="112"/>
      <c r="AG535" s="112"/>
      <c r="AH535" s="112"/>
      <c r="AI535" s="112"/>
      <c r="AJ535" s="112"/>
      <c r="AK535" s="112"/>
      <c r="AL535" s="112"/>
      <c r="AM535" s="112"/>
      <c r="AN535" s="112"/>
      <c r="AO535" s="112"/>
      <c r="AP535" s="112"/>
      <c r="AQ535" s="112"/>
      <c r="AR535" s="112"/>
      <c r="AS535" s="112"/>
      <c r="AT535" s="112"/>
      <c r="AU535" s="112"/>
      <c r="AV535" s="112"/>
      <c r="AW535" s="112"/>
      <c r="AX535" s="112"/>
      <c r="AY535" s="112"/>
      <c r="AZ535" s="112"/>
      <c r="BA535" s="112"/>
      <c r="BB535" s="112"/>
      <c r="BC535" s="112"/>
      <c r="BD535" s="112"/>
      <c r="BE535" s="112"/>
      <c r="BF535" s="112"/>
      <c r="BG535" s="112"/>
      <c r="BH535" s="112"/>
      <c r="BI535" s="112"/>
      <c r="BJ535" s="112"/>
      <c r="BK535" s="112"/>
      <c r="BL535" s="112"/>
      <c r="BM535" s="112"/>
      <c r="BN535" s="112"/>
      <c r="BO535" s="112"/>
      <c r="BP535" s="112"/>
      <c r="BQ535" s="112"/>
      <c r="BR535" s="112"/>
      <c r="BS535" s="112"/>
      <c r="BT535" s="112"/>
      <c r="BU535" s="112"/>
      <c r="BV535" s="112"/>
      <c r="BW535" s="112"/>
      <c r="BX535" s="112"/>
      <c r="BY535" s="112"/>
      <c r="BZ535" s="112"/>
    </row>
    <row r="536" spans="30:78" x14ac:dyDescent="0.2">
      <c r="AD536" s="112"/>
      <c r="AE536" s="112"/>
      <c r="AF536" s="112"/>
      <c r="AG536" s="112"/>
      <c r="AH536" s="112"/>
      <c r="AI536" s="112"/>
      <c r="AJ536" s="112"/>
      <c r="AK536" s="112"/>
      <c r="AL536" s="112"/>
      <c r="AM536" s="112"/>
      <c r="AN536" s="112"/>
      <c r="AO536" s="112"/>
      <c r="AP536" s="112"/>
      <c r="AQ536" s="112"/>
      <c r="AR536" s="112"/>
      <c r="AS536" s="112"/>
      <c r="AT536" s="112"/>
      <c r="AU536" s="112"/>
      <c r="AV536" s="112"/>
      <c r="AW536" s="112"/>
      <c r="AX536" s="112"/>
      <c r="AY536" s="112"/>
      <c r="AZ536" s="112"/>
      <c r="BA536" s="112"/>
      <c r="BB536" s="112"/>
      <c r="BC536" s="112"/>
      <c r="BD536" s="112"/>
      <c r="BE536" s="112"/>
      <c r="BF536" s="112"/>
      <c r="BG536" s="112"/>
      <c r="BH536" s="112"/>
      <c r="BI536" s="112"/>
      <c r="BJ536" s="112"/>
      <c r="BK536" s="112"/>
      <c r="BL536" s="112"/>
      <c r="BM536" s="112"/>
      <c r="BN536" s="112"/>
      <c r="BO536" s="112"/>
      <c r="BP536" s="112"/>
      <c r="BQ536" s="112"/>
      <c r="BR536" s="112"/>
      <c r="BS536" s="112"/>
      <c r="BT536" s="112"/>
      <c r="BU536" s="112"/>
      <c r="BV536" s="112"/>
      <c r="BW536" s="112"/>
      <c r="BX536" s="112"/>
      <c r="BY536" s="112"/>
      <c r="BZ536" s="112"/>
    </row>
    <row r="537" spans="30:78" x14ac:dyDescent="0.2">
      <c r="AD537" s="112"/>
      <c r="AE537" s="112"/>
      <c r="AF537" s="112"/>
      <c r="AG537" s="112"/>
      <c r="AH537" s="112"/>
      <c r="AI537" s="112"/>
      <c r="AJ537" s="112"/>
      <c r="AK537" s="112"/>
      <c r="AL537" s="112"/>
      <c r="AM537" s="112"/>
      <c r="AN537" s="112"/>
      <c r="AO537" s="112"/>
      <c r="AP537" s="112"/>
      <c r="AQ537" s="112"/>
      <c r="AR537" s="112"/>
      <c r="AS537" s="112"/>
      <c r="AT537" s="112"/>
      <c r="AU537" s="112"/>
      <c r="AV537" s="112"/>
      <c r="AW537" s="112"/>
      <c r="AX537" s="112"/>
      <c r="AY537" s="112"/>
      <c r="AZ537" s="112"/>
      <c r="BA537" s="112"/>
      <c r="BB537" s="112"/>
      <c r="BC537" s="112"/>
      <c r="BD537" s="112"/>
      <c r="BE537" s="112"/>
      <c r="BF537" s="112"/>
      <c r="BG537" s="112"/>
      <c r="BH537" s="112"/>
      <c r="BI537" s="112"/>
      <c r="BJ537" s="112"/>
      <c r="BK537" s="112"/>
      <c r="BL537" s="112"/>
      <c r="BM537" s="112"/>
      <c r="BN537" s="112"/>
      <c r="BO537" s="112"/>
      <c r="BP537" s="112"/>
      <c r="BQ537" s="112"/>
      <c r="BR537" s="112"/>
      <c r="BS537" s="112"/>
      <c r="BT537" s="112"/>
      <c r="BU537" s="112"/>
      <c r="BV537" s="112"/>
      <c r="BW537" s="112"/>
      <c r="BX537" s="112"/>
      <c r="BY537" s="112"/>
      <c r="BZ537" s="112"/>
    </row>
    <row r="538" spans="30:78" x14ac:dyDescent="0.2">
      <c r="AD538" s="112"/>
      <c r="AE538" s="112"/>
      <c r="AF538" s="112"/>
      <c r="AG538" s="112"/>
      <c r="AH538" s="112"/>
      <c r="AI538" s="112"/>
      <c r="AJ538" s="112"/>
      <c r="AK538" s="112"/>
      <c r="AL538" s="112"/>
      <c r="AM538" s="112"/>
      <c r="AN538" s="112"/>
      <c r="AO538" s="112"/>
      <c r="AP538" s="112"/>
      <c r="AQ538" s="112"/>
      <c r="AR538" s="112"/>
      <c r="AS538" s="112"/>
      <c r="AT538" s="112"/>
      <c r="AU538" s="112"/>
      <c r="AV538" s="112"/>
      <c r="AW538" s="112"/>
      <c r="AX538" s="112"/>
      <c r="AY538" s="112"/>
      <c r="AZ538" s="112"/>
      <c r="BA538" s="112"/>
      <c r="BB538" s="112"/>
      <c r="BC538" s="112"/>
      <c r="BD538" s="112"/>
      <c r="BE538" s="112"/>
      <c r="BF538" s="112"/>
      <c r="BG538" s="112"/>
      <c r="BH538" s="112"/>
      <c r="BI538" s="112"/>
      <c r="BJ538" s="112"/>
      <c r="BK538" s="112"/>
      <c r="BL538" s="112"/>
      <c r="BM538" s="112"/>
      <c r="BN538" s="112"/>
      <c r="BO538" s="112"/>
      <c r="BP538" s="112"/>
      <c r="BQ538" s="112"/>
      <c r="BR538" s="112"/>
      <c r="BS538" s="112"/>
      <c r="BT538" s="112"/>
      <c r="BU538" s="112"/>
      <c r="BV538" s="112"/>
      <c r="BW538" s="112"/>
      <c r="BX538" s="112"/>
      <c r="BY538" s="112"/>
      <c r="BZ538" s="112"/>
    </row>
    <row r="539" spans="30:78" x14ac:dyDescent="0.2">
      <c r="AD539" s="112"/>
      <c r="AE539" s="112"/>
      <c r="AF539" s="112"/>
      <c r="AG539" s="112"/>
      <c r="AH539" s="112"/>
      <c r="AI539" s="112"/>
      <c r="AJ539" s="112"/>
      <c r="AK539" s="112"/>
      <c r="AL539" s="112"/>
      <c r="AM539" s="112"/>
      <c r="AN539" s="112"/>
      <c r="AO539" s="112"/>
      <c r="AP539" s="112"/>
      <c r="AQ539" s="112"/>
      <c r="AR539" s="112"/>
      <c r="AS539" s="112"/>
      <c r="AT539" s="112"/>
      <c r="AU539" s="112"/>
      <c r="AV539" s="112"/>
      <c r="AW539" s="112"/>
      <c r="AX539" s="112"/>
      <c r="AY539" s="112"/>
      <c r="AZ539" s="112"/>
      <c r="BA539" s="112"/>
      <c r="BB539" s="112"/>
      <c r="BC539" s="112"/>
      <c r="BD539" s="112"/>
      <c r="BE539" s="112"/>
      <c r="BF539" s="112"/>
      <c r="BG539" s="112"/>
      <c r="BH539" s="112"/>
      <c r="BI539" s="112"/>
      <c r="BJ539" s="112"/>
      <c r="BK539" s="112"/>
      <c r="BL539" s="112"/>
      <c r="BM539" s="112"/>
      <c r="BN539" s="112"/>
      <c r="BO539" s="112"/>
      <c r="BP539" s="112"/>
      <c r="BQ539" s="112"/>
      <c r="BR539" s="112"/>
      <c r="BS539" s="112"/>
      <c r="BT539" s="112"/>
      <c r="BU539" s="112"/>
      <c r="BV539" s="112"/>
      <c r="BW539" s="112"/>
      <c r="BX539" s="112"/>
      <c r="BY539" s="112"/>
      <c r="BZ539" s="112"/>
    </row>
    <row r="540" spans="30:78" x14ac:dyDescent="0.2">
      <c r="AD540" s="112"/>
      <c r="AE540" s="112"/>
      <c r="AF540" s="112"/>
      <c r="AG540" s="112"/>
      <c r="AH540" s="112"/>
      <c r="AI540" s="112"/>
      <c r="AJ540" s="112"/>
      <c r="AK540" s="112"/>
      <c r="AL540" s="112"/>
      <c r="AM540" s="112"/>
      <c r="AN540" s="112"/>
      <c r="AO540" s="112"/>
      <c r="AP540" s="112"/>
      <c r="AQ540" s="112"/>
      <c r="AR540" s="112"/>
      <c r="AS540" s="112"/>
      <c r="AT540" s="112"/>
      <c r="AU540" s="112"/>
      <c r="AV540" s="112"/>
      <c r="AW540" s="112"/>
      <c r="AX540" s="112"/>
      <c r="AY540" s="112"/>
      <c r="AZ540" s="112"/>
      <c r="BA540" s="112"/>
      <c r="BB540" s="112"/>
      <c r="BC540" s="112"/>
      <c r="BD540" s="112"/>
      <c r="BE540" s="112"/>
      <c r="BF540" s="112"/>
      <c r="BG540" s="112"/>
      <c r="BH540" s="112"/>
      <c r="BI540" s="112"/>
      <c r="BJ540" s="112"/>
      <c r="BK540" s="112"/>
      <c r="BL540" s="112"/>
      <c r="BM540" s="112"/>
      <c r="BN540" s="112"/>
      <c r="BO540" s="112"/>
      <c r="BP540" s="112"/>
      <c r="BQ540" s="112"/>
      <c r="BR540" s="112"/>
      <c r="BS540" s="112"/>
      <c r="BT540" s="112"/>
      <c r="BU540" s="112"/>
      <c r="BV540" s="112"/>
      <c r="BW540" s="112"/>
      <c r="BX540" s="112"/>
      <c r="BY540" s="112"/>
      <c r="BZ540" s="112"/>
    </row>
    <row r="541" spans="30:78" x14ac:dyDescent="0.2">
      <c r="AD541" s="112"/>
      <c r="AE541" s="112"/>
      <c r="AF541" s="112"/>
      <c r="AG541" s="112"/>
      <c r="AH541" s="112"/>
      <c r="AI541" s="112"/>
      <c r="AJ541" s="112"/>
      <c r="AK541" s="112"/>
      <c r="AL541" s="112"/>
      <c r="AM541" s="112"/>
      <c r="AN541" s="112"/>
      <c r="AO541" s="112"/>
      <c r="AP541" s="112"/>
      <c r="AQ541" s="112"/>
      <c r="AR541" s="112"/>
      <c r="AS541" s="112"/>
      <c r="AT541" s="112"/>
      <c r="AU541" s="112"/>
      <c r="AV541" s="112"/>
      <c r="AW541" s="112"/>
      <c r="AX541" s="112"/>
      <c r="AY541" s="112"/>
      <c r="AZ541" s="112"/>
      <c r="BA541" s="112"/>
      <c r="BB541" s="112"/>
      <c r="BC541" s="112"/>
      <c r="BD541" s="112"/>
      <c r="BE541" s="112"/>
      <c r="BF541" s="112"/>
      <c r="BG541" s="112"/>
      <c r="BH541" s="112"/>
      <c r="BI541" s="112"/>
      <c r="BJ541" s="112"/>
      <c r="BK541" s="112"/>
      <c r="BL541" s="112"/>
      <c r="BM541" s="112"/>
      <c r="BN541" s="112"/>
      <c r="BO541" s="112"/>
      <c r="BP541" s="112"/>
      <c r="BQ541" s="112"/>
      <c r="BR541" s="112"/>
      <c r="BS541" s="112"/>
      <c r="BT541" s="112"/>
      <c r="BU541" s="112"/>
      <c r="BV541" s="112"/>
      <c r="BW541" s="112"/>
      <c r="BX541" s="112"/>
      <c r="BY541" s="112"/>
      <c r="BZ541" s="112"/>
    </row>
    <row r="542" spans="30:78" x14ac:dyDescent="0.2">
      <c r="AD542" s="112"/>
      <c r="AE542" s="112"/>
      <c r="AF542" s="112"/>
      <c r="AG542" s="112"/>
      <c r="AH542" s="112"/>
      <c r="AI542" s="112"/>
      <c r="AJ542" s="112"/>
      <c r="AK542" s="112"/>
      <c r="AL542" s="112"/>
      <c r="AM542" s="112"/>
      <c r="AN542" s="112"/>
      <c r="AO542" s="112"/>
      <c r="AP542" s="112"/>
      <c r="AQ542" s="112"/>
      <c r="AR542" s="112"/>
      <c r="AS542" s="112"/>
      <c r="AT542" s="112"/>
      <c r="AU542" s="112"/>
      <c r="AV542" s="112"/>
      <c r="AW542" s="112"/>
      <c r="AX542" s="112"/>
      <c r="AY542" s="112"/>
      <c r="AZ542" s="112"/>
      <c r="BA542" s="112"/>
      <c r="BB542" s="112"/>
      <c r="BC542" s="112"/>
      <c r="BD542" s="112"/>
      <c r="BE542" s="112"/>
      <c r="BF542" s="112"/>
      <c r="BG542" s="112"/>
      <c r="BH542" s="112"/>
      <c r="BI542" s="112"/>
      <c r="BJ542" s="112"/>
      <c r="BK542" s="112"/>
      <c r="BL542" s="112"/>
      <c r="BM542" s="112"/>
      <c r="BN542" s="112"/>
      <c r="BO542" s="112"/>
      <c r="BP542" s="112"/>
      <c r="BQ542" s="112"/>
      <c r="BR542" s="112"/>
      <c r="BS542" s="112"/>
      <c r="BT542" s="112"/>
      <c r="BU542" s="112"/>
      <c r="BV542" s="112"/>
      <c r="BW542" s="112"/>
      <c r="BX542" s="112"/>
      <c r="BY542" s="112"/>
      <c r="BZ542" s="112"/>
    </row>
    <row r="543" spans="30:78" x14ac:dyDescent="0.2">
      <c r="AD543" s="112"/>
      <c r="AE543" s="112"/>
      <c r="AF543" s="112"/>
      <c r="AG543" s="112"/>
      <c r="AH543" s="112"/>
      <c r="AI543" s="112"/>
      <c r="AJ543" s="112"/>
      <c r="AK543" s="112"/>
      <c r="AL543" s="112"/>
      <c r="AM543" s="112"/>
      <c r="AN543" s="112"/>
      <c r="AO543" s="112"/>
      <c r="AP543" s="112"/>
      <c r="AQ543" s="112"/>
      <c r="AR543" s="112"/>
      <c r="AS543" s="112"/>
      <c r="AT543" s="112"/>
      <c r="AU543" s="112"/>
      <c r="AV543" s="112"/>
      <c r="AW543" s="112"/>
      <c r="AX543" s="112"/>
      <c r="AY543" s="112"/>
      <c r="AZ543" s="112"/>
      <c r="BA543" s="112"/>
      <c r="BB543" s="112"/>
      <c r="BC543" s="112"/>
      <c r="BD543" s="112"/>
      <c r="BE543" s="112"/>
      <c r="BF543" s="112"/>
      <c r="BG543" s="112"/>
      <c r="BH543" s="112"/>
      <c r="BI543" s="112"/>
      <c r="BJ543" s="112"/>
      <c r="BK543" s="112"/>
      <c r="BL543" s="112"/>
      <c r="BM543" s="112"/>
      <c r="BN543" s="112"/>
      <c r="BO543" s="112"/>
      <c r="BP543" s="112"/>
      <c r="BQ543" s="112"/>
      <c r="BR543" s="112"/>
      <c r="BS543" s="112"/>
      <c r="BT543" s="112"/>
      <c r="BU543" s="112"/>
      <c r="BV543" s="112"/>
      <c r="BW543" s="112"/>
      <c r="BX543" s="112"/>
      <c r="BY543" s="112"/>
      <c r="BZ543" s="112"/>
    </row>
    <row r="544" spans="30:78" x14ac:dyDescent="0.2">
      <c r="AD544" s="112"/>
      <c r="AE544" s="112"/>
      <c r="AF544" s="112"/>
      <c r="AG544" s="112"/>
      <c r="AH544" s="112"/>
      <c r="AI544" s="112"/>
      <c r="AJ544" s="112"/>
      <c r="AK544" s="112"/>
      <c r="AL544" s="112"/>
      <c r="AM544" s="112"/>
      <c r="AN544" s="112"/>
      <c r="AO544" s="112"/>
      <c r="AP544" s="112"/>
      <c r="AQ544" s="112"/>
      <c r="AR544" s="112"/>
      <c r="AS544" s="112"/>
      <c r="AT544" s="112"/>
      <c r="AU544" s="112"/>
      <c r="AV544" s="112"/>
      <c r="AW544" s="112"/>
      <c r="AX544" s="112"/>
      <c r="AY544" s="112"/>
      <c r="AZ544" s="112"/>
      <c r="BA544" s="112"/>
      <c r="BB544" s="112"/>
      <c r="BC544" s="112"/>
      <c r="BD544" s="112"/>
      <c r="BE544" s="112"/>
      <c r="BF544" s="112"/>
      <c r="BG544" s="112"/>
      <c r="BH544" s="112"/>
      <c r="BI544" s="112"/>
      <c r="BJ544" s="112"/>
      <c r="BK544" s="112"/>
      <c r="BL544" s="112"/>
      <c r="BM544" s="112"/>
      <c r="BN544" s="112"/>
      <c r="BO544" s="112"/>
      <c r="BP544" s="112"/>
      <c r="BQ544" s="112"/>
      <c r="BR544" s="112"/>
      <c r="BS544" s="112"/>
      <c r="BT544" s="112"/>
      <c r="BU544" s="112"/>
      <c r="BV544" s="112"/>
      <c r="BW544" s="112"/>
      <c r="BX544" s="112"/>
      <c r="BY544" s="112"/>
      <c r="BZ544" s="112"/>
    </row>
    <row r="545" spans="30:78" x14ac:dyDescent="0.2">
      <c r="AD545" s="112"/>
      <c r="AE545" s="112"/>
      <c r="AF545" s="112"/>
      <c r="AG545" s="112"/>
      <c r="AH545" s="112"/>
      <c r="AI545" s="112"/>
      <c r="AJ545" s="112"/>
      <c r="AK545" s="112"/>
      <c r="AL545" s="112"/>
      <c r="AM545" s="112"/>
      <c r="AN545" s="112"/>
      <c r="AO545" s="112"/>
      <c r="AP545" s="112"/>
      <c r="AQ545" s="112"/>
      <c r="AR545" s="112"/>
      <c r="AS545" s="112"/>
      <c r="AT545" s="112"/>
      <c r="AU545" s="112"/>
      <c r="AV545" s="112"/>
      <c r="AW545" s="112"/>
      <c r="AX545" s="112"/>
      <c r="AY545" s="112"/>
      <c r="AZ545" s="112"/>
      <c r="BA545" s="112"/>
      <c r="BB545" s="112"/>
      <c r="BC545" s="112"/>
      <c r="BD545" s="112"/>
      <c r="BE545" s="112"/>
      <c r="BF545" s="112"/>
      <c r="BG545" s="112"/>
      <c r="BH545" s="112"/>
      <c r="BI545" s="112"/>
      <c r="BJ545" s="112"/>
      <c r="BK545" s="112"/>
      <c r="BL545" s="112"/>
      <c r="BM545" s="112"/>
      <c r="BN545" s="112"/>
      <c r="BO545" s="112"/>
      <c r="BP545" s="112"/>
      <c r="BQ545" s="112"/>
      <c r="BR545" s="112"/>
      <c r="BS545" s="112"/>
      <c r="BT545" s="112"/>
      <c r="BU545" s="112"/>
      <c r="BV545" s="112"/>
      <c r="BW545" s="112"/>
      <c r="BX545" s="112"/>
      <c r="BY545" s="112"/>
      <c r="BZ545" s="112"/>
    </row>
    <row r="546" spans="30:78" x14ac:dyDescent="0.2">
      <c r="AD546" s="112"/>
      <c r="AE546" s="112"/>
      <c r="AF546" s="112"/>
      <c r="AG546" s="112"/>
      <c r="AH546" s="112"/>
      <c r="AI546" s="112"/>
      <c r="AJ546" s="112"/>
      <c r="AK546" s="112"/>
      <c r="AL546" s="112"/>
      <c r="AM546" s="112"/>
      <c r="AN546" s="112"/>
      <c r="AO546" s="112"/>
      <c r="AP546" s="112"/>
      <c r="AQ546" s="112"/>
      <c r="AR546" s="112"/>
      <c r="AS546" s="112"/>
      <c r="AT546" s="112"/>
      <c r="AU546" s="112"/>
      <c r="AV546" s="112"/>
      <c r="AW546" s="112"/>
      <c r="AX546" s="112"/>
      <c r="AY546" s="112"/>
      <c r="AZ546" s="112"/>
      <c r="BA546" s="112"/>
      <c r="BB546" s="112"/>
      <c r="BC546" s="112"/>
      <c r="BD546" s="112"/>
      <c r="BE546" s="112"/>
      <c r="BF546" s="112"/>
      <c r="BG546" s="112"/>
      <c r="BH546" s="112"/>
      <c r="BI546" s="112"/>
      <c r="BJ546" s="112"/>
      <c r="BK546" s="112"/>
      <c r="BL546" s="112"/>
      <c r="BM546" s="112"/>
      <c r="BN546" s="112"/>
      <c r="BO546" s="112"/>
      <c r="BP546" s="112"/>
      <c r="BQ546" s="112"/>
      <c r="BR546" s="112"/>
      <c r="BS546" s="112"/>
      <c r="BT546" s="112"/>
      <c r="BU546" s="112"/>
      <c r="BV546" s="112"/>
      <c r="BW546" s="112"/>
      <c r="BX546" s="112"/>
      <c r="BY546" s="112"/>
      <c r="BZ546" s="112"/>
    </row>
    <row r="547" spans="30:78" x14ac:dyDescent="0.2">
      <c r="AD547" s="112"/>
      <c r="AE547" s="112"/>
      <c r="AF547" s="112"/>
      <c r="AG547" s="112"/>
      <c r="AH547" s="112"/>
      <c r="AI547" s="112"/>
      <c r="AJ547" s="112"/>
      <c r="AK547" s="112"/>
      <c r="AL547" s="112"/>
      <c r="AM547" s="112"/>
      <c r="AN547" s="112"/>
      <c r="AO547" s="112"/>
      <c r="AP547" s="112"/>
      <c r="AQ547" s="112"/>
      <c r="AR547" s="112"/>
      <c r="AS547" s="112"/>
      <c r="AT547" s="112"/>
      <c r="AU547" s="112"/>
      <c r="AV547" s="112"/>
      <c r="AW547" s="112"/>
      <c r="AX547" s="112"/>
      <c r="AY547" s="112"/>
      <c r="AZ547" s="112"/>
      <c r="BA547" s="112"/>
      <c r="BB547" s="112"/>
      <c r="BC547" s="112"/>
      <c r="BD547" s="112"/>
      <c r="BE547" s="112"/>
      <c r="BF547" s="112"/>
      <c r="BG547" s="112"/>
      <c r="BH547" s="112"/>
      <c r="BI547" s="112"/>
      <c r="BJ547" s="112"/>
      <c r="BK547" s="112"/>
      <c r="BL547" s="112"/>
      <c r="BM547" s="112"/>
      <c r="BN547" s="112"/>
      <c r="BO547" s="112"/>
      <c r="BP547" s="112"/>
      <c r="BQ547" s="112"/>
      <c r="BR547" s="112"/>
      <c r="BS547" s="112"/>
      <c r="BT547" s="112"/>
      <c r="BU547" s="112"/>
      <c r="BV547" s="112"/>
      <c r="BW547" s="112"/>
      <c r="BX547" s="112"/>
      <c r="BY547" s="112"/>
      <c r="BZ547" s="112"/>
    </row>
    <row r="548" spans="30:78" x14ac:dyDescent="0.2">
      <c r="AD548" s="112"/>
      <c r="AE548" s="112"/>
      <c r="AF548" s="112"/>
      <c r="AG548" s="112"/>
      <c r="AH548" s="112"/>
      <c r="AI548" s="112"/>
      <c r="AJ548" s="112"/>
      <c r="AK548" s="112"/>
      <c r="AL548" s="112"/>
      <c r="AM548" s="112"/>
      <c r="AN548" s="112"/>
      <c r="AO548" s="112"/>
      <c r="AP548" s="112"/>
      <c r="AQ548" s="112"/>
      <c r="AR548" s="112"/>
      <c r="AS548" s="112"/>
      <c r="AT548" s="112"/>
      <c r="AU548" s="112"/>
      <c r="AV548" s="112"/>
      <c r="AW548" s="112"/>
      <c r="AX548" s="112"/>
      <c r="AY548" s="112"/>
      <c r="AZ548" s="112"/>
      <c r="BA548" s="112"/>
      <c r="BB548" s="112"/>
      <c r="BC548" s="112"/>
      <c r="BD548" s="112"/>
      <c r="BE548" s="112"/>
      <c r="BF548" s="112"/>
      <c r="BG548" s="112"/>
      <c r="BH548" s="112"/>
      <c r="BI548" s="112"/>
      <c r="BJ548" s="112"/>
      <c r="BK548" s="112"/>
      <c r="BL548" s="112"/>
      <c r="BM548" s="112"/>
      <c r="BN548" s="112"/>
      <c r="BO548" s="112"/>
      <c r="BP548" s="112"/>
      <c r="BQ548" s="112"/>
      <c r="BR548" s="112"/>
      <c r="BS548" s="112"/>
      <c r="BT548" s="112"/>
      <c r="BU548" s="112"/>
      <c r="BV548" s="112"/>
      <c r="BW548" s="112"/>
      <c r="BX548" s="112"/>
      <c r="BY548" s="112"/>
      <c r="BZ548" s="112"/>
    </row>
    <row r="549" spans="30:78" x14ac:dyDescent="0.2">
      <c r="AD549" s="112"/>
      <c r="AE549" s="112"/>
      <c r="AF549" s="112"/>
      <c r="AG549" s="112"/>
      <c r="AH549" s="112"/>
      <c r="AI549" s="112"/>
      <c r="AJ549" s="112"/>
      <c r="AK549" s="112"/>
      <c r="AL549" s="112"/>
      <c r="AM549" s="112"/>
      <c r="AN549" s="112"/>
      <c r="AO549" s="112"/>
      <c r="AP549" s="112"/>
      <c r="AQ549" s="112"/>
      <c r="AR549" s="112"/>
      <c r="AS549" s="112"/>
      <c r="AT549" s="112"/>
      <c r="AU549" s="112"/>
      <c r="AV549" s="112"/>
      <c r="AW549" s="112"/>
      <c r="AX549" s="112"/>
      <c r="AY549" s="112"/>
      <c r="AZ549" s="112"/>
      <c r="BA549" s="112"/>
      <c r="BB549" s="112"/>
      <c r="BC549" s="112"/>
      <c r="BD549" s="112"/>
      <c r="BE549" s="112"/>
      <c r="BF549" s="112"/>
      <c r="BG549" s="112"/>
      <c r="BH549" s="112"/>
      <c r="BI549" s="112"/>
      <c r="BJ549" s="112"/>
      <c r="BK549" s="112"/>
      <c r="BL549" s="112"/>
      <c r="BM549" s="112"/>
      <c r="BN549" s="112"/>
      <c r="BO549" s="112"/>
      <c r="BP549" s="112"/>
      <c r="BQ549" s="112"/>
      <c r="BR549" s="112"/>
      <c r="BS549" s="112"/>
      <c r="BT549" s="112"/>
      <c r="BU549" s="112"/>
      <c r="BV549" s="112"/>
      <c r="BW549" s="112"/>
      <c r="BX549" s="112"/>
      <c r="BY549" s="112"/>
      <c r="BZ549" s="112"/>
    </row>
    <row r="550" spans="30:78" x14ac:dyDescent="0.2">
      <c r="AD550" s="112"/>
      <c r="AE550" s="112"/>
      <c r="AF550" s="112"/>
      <c r="AG550" s="112"/>
      <c r="AH550" s="112"/>
      <c r="AI550" s="112"/>
      <c r="AJ550" s="112"/>
      <c r="AK550" s="112"/>
      <c r="AL550" s="112"/>
      <c r="AM550" s="112"/>
      <c r="AN550" s="112"/>
      <c r="AO550" s="112"/>
      <c r="AP550" s="112"/>
      <c r="AQ550" s="112"/>
      <c r="AR550" s="112"/>
      <c r="AS550" s="112"/>
      <c r="AT550" s="112"/>
      <c r="AU550" s="112"/>
      <c r="AV550" s="112"/>
      <c r="AW550" s="112"/>
      <c r="AX550" s="112"/>
      <c r="AY550" s="112"/>
      <c r="AZ550" s="112"/>
      <c r="BA550" s="112"/>
      <c r="BB550" s="112"/>
      <c r="BC550" s="112"/>
      <c r="BD550" s="112"/>
      <c r="BE550" s="112"/>
      <c r="BF550" s="112"/>
      <c r="BG550" s="112"/>
      <c r="BH550" s="112"/>
      <c r="BI550" s="112"/>
      <c r="BJ550" s="112"/>
      <c r="BK550" s="112"/>
      <c r="BL550" s="112"/>
      <c r="BM550" s="112"/>
      <c r="BN550" s="112"/>
      <c r="BO550" s="112"/>
      <c r="BP550" s="112"/>
      <c r="BQ550" s="112"/>
      <c r="BR550" s="112"/>
      <c r="BS550" s="112"/>
      <c r="BT550" s="112"/>
      <c r="BU550" s="112"/>
      <c r="BV550" s="112"/>
      <c r="BW550" s="112"/>
      <c r="BX550" s="112"/>
      <c r="BY550" s="112"/>
      <c r="BZ550" s="112"/>
    </row>
    <row r="551" spans="30:78" x14ac:dyDescent="0.2">
      <c r="AD551" s="112"/>
      <c r="AE551" s="112"/>
      <c r="AF551" s="112"/>
      <c r="AG551" s="112"/>
      <c r="AH551" s="112"/>
      <c r="AI551" s="112"/>
      <c r="AJ551" s="112"/>
      <c r="AK551" s="112"/>
      <c r="AL551" s="112"/>
      <c r="AM551" s="112"/>
      <c r="AN551" s="112"/>
      <c r="AO551" s="112"/>
      <c r="AP551" s="112"/>
      <c r="AQ551" s="112"/>
      <c r="AR551" s="112"/>
      <c r="AS551" s="112"/>
      <c r="AT551" s="112"/>
      <c r="AU551" s="112"/>
      <c r="AV551" s="112"/>
      <c r="AW551" s="112"/>
      <c r="AX551" s="112"/>
      <c r="AY551" s="112"/>
      <c r="AZ551" s="112"/>
      <c r="BA551" s="112"/>
      <c r="BB551" s="112"/>
      <c r="BC551" s="112"/>
      <c r="BD551" s="112"/>
      <c r="BE551" s="112"/>
      <c r="BF551" s="112"/>
      <c r="BG551" s="112"/>
      <c r="BH551" s="112"/>
      <c r="BI551" s="112"/>
      <c r="BJ551" s="112"/>
      <c r="BK551" s="112"/>
      <c r="BL551" s="112"/>
      <c r="BM551" s="112"/>
      <c r="BN551" s="112"/>
      <c r="BO551" s="112"/>
      <c r="BP551" s="112"/>
      <c r="BQ551" s="112"/>
      <c r="BR551" s="112"/>
      <c r="BS551" s="112"/>
      <c r="BT551" s="112"/>
      <c r="BU551" s="112"/>
      <c r="BV551" s="112"/>
      <c r="BW551" s="112"/>
      <c r="BX551" s="112"/>
      <c r="BY551" s="112"/>
      <c r="BZ551" s="112"/>
    </row>
    <row r="552" spans="30:78" x14ac:dyDescent="0.2">
      <c r="AD552" s="112"/>
      <c r="AE552" s="112"/>
      <c r="AF552" s="112"/>
      <c r="AG552" s="112"/>
      <c r="AH552" s="112"/>
      <c r="AI552" s="112"/>
      <c r="AJ552" s="112"/>
      <c r="AK552" s="112"/>
      <c r="AL552" s="112"/>
      <c r="AM552" s="112"/>
      <c r="AN552" s="112"/>
      <c r="AO552" s="112"/>
      <c r="AP552" s="112"/>
      <c r="AQ552" s="112"/>
      <c r="AR552" s="112"/>
      <c r="AS552" s="112"/>
      <c r="AT552" s="112"/>
      <c r="AU552" s="112"/>
      <c r="AV552" s="112"/>
      <c r="AW552" s="112"/>
      <c r="AX552" s="112"/>
      <c r="AY552" s="112"/>
      <c r="AZ552" s="112"/>
      <c r="BA552" s="112"/>
      <c r="BB552" s="112"/>
      <c r="BC552" s="112"/>
      <c r="BD552" s="112"/>
      <c r="BE552" s="112"/>
      <c r="BF552" s="112"/>
      <c r="BG552" s="112"/>
      <c r="BH552" s="112"/>
      <c r="BI552" s="112"/>
      <c r="BJ552" s="112"/>
      <c r="BK552" s="112"/>
      <c r="BL552" s="112"/>
      <c r="BM552" s="112"/>
      <c r="BN552" s="112"/>
      <c r="BO552" s="112"/>
      <c r="BP552" s="112"/>
      <c r="BQ552" s="112"/>
      <c r="BR552" s="112"/>
      <c r="BS552" s="112"/>
      <c r="BT552" s="112"/>
      <c r="BU552" s="112"/>
      <c r="BV552" s="112"/>
      <c r="BW552" s="112"/>
      <c r="BX552" s="112"/>
      <c r="BY552" s="112"/>
      <c r="BZ552" s="112"/>
    </row>
    <row r="553" spans="30:78" x14ac:dyDescent="0.2">
      <c r="AD553" s="112"/>
      <c r="AE553" s="112"/>
      <c r="AF553" s="112"/>
      <c r="AG553" s="112"/>
      <c r="AH553" s="112"/>
      <c r="AI553" s="112"/>
      <c r="AJ553" s="112"/>
      <c r="AK553" s="112"/>
      <c r="AL553" s="112"/>
      <c r="AM553" s="112"/>
      <c r="AN553" s="112"/>
      <c r="AO553" s="112"/>
      <c r="AP553" s="112"/>
      <c r="AQ553" s="112"/>
      <c r="AR553" s="112"/>
      <c r="AS553" s="112"/>
      <c r="AT553" s="112"/>
      <c r="AU553" s="112"/>
      <c r="AV553" s="112"/>
      <c r="AW553" s="112"/>
      <c r="AX553" s="112"/>
      <c r="AY553" s="112"/>
      <c r="AZ553" s="112"/>
      <c r="BA553" s="112"/>
      <c r="BB553" s="112"/>
      <c r="BC553" s="112"/>
      <c r="BD553" s="112"/>
      <c r="BE553" s="112"/>
      <c r="BF553" s="112"/>
      <c r="BG553" s="112"/>
      <c r="BH553" s="112"/>
      <c r="BI553" s="112"/>
      <c r="BJ553" s="112"/>
      <c r="BK553" s="112"/>
      <c r="BL553" s="112"/>
      <c r="BM553" s="112"/>
      <c r="BN553" s="112"/>
      <c r="BO553" s="112"/>
      <c r="BP553" s="112"/>
      <c r="BQ553" s="112"/>
      <c r="BR553" s="112"/>
      <c r="BS553" s="112"/>
      <c r="BT553" s="112"/>
      <c r="BU553" s="112"/>
      <c r="BV553" s="112"/>
      <c r="BW553" s="112"/>
      <c r="BX553" s="112"/>
      <c r="BY553" s="112"/>
      <c r="BZ553" s="112"/>
    </row>
    <row r="554" spans="30:78" x14ac:dyDescent="0.2">
      <c r="AD554" s="112"/>
      <c r="AE554" s="112"/>
      <c r="AF554" s="112"/>
      <c r="AG554" s="112"/>
      <c r="AH554" s="112"/>
      <c r="AI554" s="112"/>
      <c r="AJ554" s="112"/>
      <c r="AK554" s="112"/>
      <c r="AL554" s="112"/>
      <c r="AM554" s="112"/>
      <c r="AN554" s="112"/>
      <c r="AO554" s="112"/>
      <c r="AP554" s="112"/>
      <c r="AQ554" s="112"/>
      <c r="AR554" s="112"/>
      <c r="AS554" s="112"/>
      <c r="AT554" s="112"/>
      <c r="AU554" s="112"/>
      <c r="AV554" s="112"/>
      <c r="AW554" s="112"/>
      <c r="AX554" s="112"/>
      <c r="AY554" s="112"/>
      <c r="AZ554" s="112"/>
      <c r="BA554" s="112"/>
      <c r="BB554" s="112"/>
      <c r="BC554" s="112"/>
      <c r="BD554" s="112"/>
      <c r="BE554" s="112"/>
      <c r="BF554" s="112"/>
      <c r="BG554" s="112"/>
      <c r="BH554" s="112"/>
      <c r="BI554" s="112"/>
      <c r="BJ554" s="112"/>
      <c r="BK554" s="112"/>
      <c r="BL554" s="112"/>
      <c r="BM554" s="112"/>
      <c r="BN554" s="112"/>
      <c r="BO554" s="112"/>
      <c r="BP554" s="112"/>
      <c r="BQ554" s="112"/>
      <c r="BR554" s="112"/>
      <c r="BS554" s="112"/>
      <c r="BT554" s="112"/>
      <c r="BU554" s="112"/>
      <c r="BV554" s="112"/>
      <c r="BW554" s="112"/>
      <c r="BX554" s="112"/>
      <c r="BY554" s="112"/>
      <c r="BZ554" s="112"/>
    </row>
    <row r="555" spans="30:78" x14ac:dyDescent="0.2">
      <c r="AD555" s="112"/>
      <c r="AE555" s="112"/>
      <c r="AF555" s="112"/>
      <c r="AG555" s="112"/>
      <c r="AH555" s="112"/>
      <c r="AI555" s="112"/>
      <c r="AJ555" s="112"/>
      <c r="AK555" s="112"/>
      <c r="AL555" s="112"/>
      <c r="AM555" s="112"/>
      <c r="AN555" s="112"/>
      <c r="AO555" s="112"/>
      <c r="AP555" s="112"/>
      <c r="AQ555" s="112"/>
      <c r="AR555" s="112"/>
      <c r="AS555" s="112"/>
      <c r="AT555" s="112"/>
      <c r="AU555" s="112"/>
      <c r="AV555" s="112"/>
      <c r="AW555" s="112"/>
      <c r="AX555" s="112"/>
      <c r="AY555" s="112"/>
      <c r="AZ555" s="112"/>
      <c r="BA555" s="112"/>
      <c r="BB555" s="112"/>
      <c r="BC555" s="112"/>
      <c r="BD555" s="112"/>
      <c r="BE555" s="112"/>
      <c r="BF555" s="112"/>
      <c r="BG555" s="112"/>
      <c r="BH555" s="112"/>
      <c r="BI555" s="112"/>
      <c r="BJ555" s="112"/>
      <c r="BK555" s="112"/>
      <c r="BL555" s="112"/>
      <c r="BM555" s="112"/>
      <c r="BN555" s="112"/>
      <c r="BO555" s="112"/>
      <c r="BP555" s="112"/>
      <c r="BQ555" s="112"/>
      <c r="BR555" s="112"/>
      <c r="BS555" s="112"/>
      <c r="BT555" s="112"/>
      <c r="BU555" s="112"/>
      <c r="BV555" s="112"/>
      <c r="BW555" s="112"/>
      <c r="BX555" s="112"/>
      <c r="BY555" s="112"/>
      <c r="BZ555" s="112"/>
    </row>
    <row r="556" spans="30:78" x14ac:dyDescent="0.2">
      <c r="AD556" s="112"/>
      <c r="AE556" s="112"/>
      <c r="AF556" s="112"/>
      <c r="AG556" s="112"/>
      <c r="AH556" s="112"/>
      <c r="AI556" s="112"/>
      <c r="AJ556" s="112"/>
      <c r="AK556" s="112"/>
      <c r="AL556" s="112"/>
      <c r="AM556" s="112"/>
      <c r="AN556" s="112"/>
      <c r="AO556" s="112"/>
      <c r="AP556" s="112"/>
      <c r="AQ556" s="112"/>
      <c r="AR556" s="112"/>
      <c r="AS556" s="112"/>
      <c r="AT556" s="112"/>
      <c r="AU556" s="112"/>
      <c r="AV556" s="112"/>
      <c r="AW556" s="112"/>
      <c r="AX556" s="112"/>
      <c r="AY556" s="112"/>
      <c r="AZ556" s="112"/>
      <c r="BA556" s="112"/>
      <c r="BB556" s="112"/>
      <c r="BC556" s="112"/>
      <c r="BD556" s="112"/>
      <c r="BE556" s="112"/>
      <c r="BF556" s="112"/>
      <c r="BG556" s="112"/>
      <c r="BH556" s="112"/>
      <c r="BI556" s="112"/>
      <c r="BJ556" s="112"/>
      <c r="BK556" s="112"/>
      <c r="BL556" s="112"/>
      <c r="BM556" s="112"/>
      <c r="BN556" s="112"/>
      <c r="BO556" s="112"/>
      <c r="BP556" s="112"/>
      <c r="BQ556" s="112"/>
      <c r="BR556" s="112"/>
      <c r="BS556" s="112"/>
      <c r="BT556" s="112"/>
      <c r="BU556" s="112"/>
      <c r="BV556" s="112"/>
      <c r="BW556" s="112"/>
      <c r="BX556" s="112"/>
      <c r="BY556" s="112"/>
      <c r="BZ556" s="112"/>
    </row>
    <row r="557" spans="30:78" x14ac:dyDescent="0.2">
      <c r="AD557" s="112"/>
      <c r="AE557" s="112"/>
      <c r="AF557" s="112"/>
      <c r="AG557" s="112"/>
      <c r="AH557" s="112"/>
      <c r="AI557" s="112"/>
      <c r="AJ557" s="112"/>
      <c r="AK557" s="112"/>
      <c r="AL557" s="112"/>
      <c r="AM557" s="112"/>
      <c r="AN557" s="112"/>
      <c r="AO557" s="112"/>
      <c r="AP557" s="112"/>
      <c r="AQ557" s="112"/>
      <c r="AR557" s="112"/>
      <c r="AS557" s="112"/>
      <c r="AT557" s="112"/>
      <c r="AU557" s="112"/>
      <c r="AV557" s="112"/>
      <c r="AW557" s="112"/>
      <c r="AX557" s="112"/>
      <c r="AY557" s="112"/>
      <c r="AZ557" s="112"/>
      <c r="BA557" s="112"/>
      <c r="BB557" s="112"/>
      <c r="BC557" s="112"/>
      <c r="BD557" s="112"/>
      <c r="BE557" s="112"/>
      <c r="BF557" s="112"/>
      <c r="BG557" s="112"/>
      <c r="BH557" s="112"/>
      <c r="BI557" s="112"/>
      <c r="BJ557" s="112"/>
      <c r="BK557" s="112"/>
      <c r="BL557" s="112"/>
      <c r="BM557" s="112"/>
      <c r="BN557" s="112"/>
      <c r="BO557" s="112"/>
      <c r="BP557" s="112"/>
      <c r="BQ557" s="112"/>
      <c r="BR557" s="112"/>
      <c r="BS557" s="112"/>
      <c r="BT557" s="112"/>
      <c r="BU557" s="112"/>
      <c r="BV557" s="112"/>
      <c r="BW557" s="112"/>
      <c r="BX557" s="112"/>
      <c r="BY557" s="112"/>
      <c r="BZ557" s="112"/>
    </row>
    <row r="558" spans="30:78" x14ac:dyDescent="0.2">
      <c r="AD558" s="112"/>
      <c r="AE558" s="112"/>
      <c r="AF558" s="112"/>
      <c r="AG558" s="112"/>
      <c r="AH558" s="112"/>
      <c r="AI558" s="112"/>
      <c r="AJ558" s="112"/>
      <c r="AK558" s="112"/>
      <c r="AL558" s="112"/>
      <c r="AM558" s="112"/>
      <c r="AN558" s="112"/>
      <c r="AO558" s="112"/>
      <c r="AP558" s="112"/>
      <c r="AQ558" s="112"/>
      <c r="AR558" s="112"/>
      <c r="AS558" s="112"/>
      <c r="AT558" s="112"/>
      <c r="AU558" s="112"/>
      <c r="AV558" s="112"/>
      <c r="AW558" s="112"/>
      <c r="AX558" s="112"/>
      <c r="AY558" s="112"/>
      <c r="AZ558" s="112"/>
      <c r="BA558" s="112"/>
      <c r="BB558" s="112"/>
      <c r="BC558" s="112"/>
      <c r="BD558" s="112"/>
      <c r="BE558" s="112"/>
      <c r="BF558" s="112"/>
      <c r="BG558" s="112"/>
      <c r="BH558" s="112"/>
      <c r="BI558" s="112"/>
      <c r="BJ558" s="112"/>
      <c r="BK558" s="112"/>
      <c r="BL558" s="112"/>
      <c r="BM558" s="112"/>
      <c r="BN558" s="112"/>
      <c r="BO558" s="112"/>
      <c r="BP558" s="112"/>
      <c r="BQ558" s="112"/>
      <c r="BR558" s="112"/>
      <c r="BS558" s="112"/>
      <c r="BT558" s="112"/>
      <c r="BU558" s="112"/>
      <c r="BV558" s="112"/>
      <c r="BW558" s="112"/>
      <c r="BX558" s="112"/>
      <c r="BY558" s="112"/>
      <c r="BZ558" s="112"/>
    </row>
    <row r="559" spans="30:78" x14ac:dyDescent="0.2">
      <c r="AD559" s="112"/>
      <c r="AE559" s="112"/>
      <c r="AF559" s="112"/>
      <c r="AG559" s="112"/>
      <c r="AH559" s="112"/>
      <c r="AI559" s="112"/>
      <c r="AJ559" s="112"/>
      <c r="AK559" s="112"/>
      <c r="AL559" s="112"/>
      <c r="AM559" s="112"/>
      <c r="AN559" s="112"/>
      <c r="AO559" s="112"/>
      <c r="AP559" s="112"/>
      <c r="AQ559" s="112"/>
      <c r="AR559" s="112"/>
      <c r="AS559" s="112"/>
      <c r="AT559" s="112"/>
      <c r="AU559" s="112"/>
      <c r="AV559" s="112"/>
      <c r="AW559" s="112"/>
      <c r="AX559" s="112"/>
      <c r="AY559" s="112"/>
      <c r="AZ559" s="112"/>
      <c r="BA559" s="112"/>
      <c r="BB559" s="112"/>
      <c r="BC559" s="112"/>
      <c r="BD559" s="112"/>
      <c r="BE559" s="112"/>
      <c r="BF559" s="112"/>
      <c r="BG559" s="112"/>
      <c r="BH559" s="112"/>
      <c r="BI559" s="112"/>
      <c r="BJ559" s="112"/>
      <c r="BK559" s="112"/>
      <c r="BL559" s="112"/>
      <c r="BM559" s="112"/>
      <c r="BN559" s="112"/>
      <c r="BO559" s="112"/>
      <c r="BP559" s="112"/>
      <c r="BQ559" s="112"/>
      <c r="BR559" s="112"/>
      <c r="BS559" s="112"/>
      <c r="BT559" s="112"/>
      <c r="BU559" s="112"/>
      <c r="BV559" s="112"/>
      <c r="BW559" s="112"/>
      <c r="BX559" s="112"/>
      <c r="BY559" s="112"/>
      <c r="BZ559" s="112"/>
    </row>
    <row r="560" spans="30:78" x14ac:dyDescent="0.2">
      <c r="AD560" s="112"/>
      <c r="AE560" s="112"/>
      <c r="AF560" s="112"/>
      <c r="AG560" s="112"/>
      <c r="AH560" s="112"/>
      <c r="AI560" s="112"/>
      <c r="AJ560" s="112"/>
      <c r="AK560" s="112"/>
      <c r="AL560" s="112"/>
      <c r="AM560" s="112"/>
      <c r="AN560" s="112"/>
      <c r="AO560" s="112"/>
      <c r="AP560" s="112"/>
      <c r="AQ560" s="112"/>
      <c r="AR560" s="112"/>
      <c r="AS560" s="112"/>
      <c r="AT560" s="112"/>
      <c r="AU560" s="112"/>
      <c r="AV560" s="112"/>
      <c r="AW560" s="112"/>
      <c r="AX560" s="112"/>
      <c r="AY560" s="112"/>
      <c r="AZ560" s="112"/>
      <c r="BA560" s="112"/>
      <c r="BB560" s="112"/>
      <c r="BC560" s="112"/>
      <c r="BD560" s="112"/>
      <c r="BE560" s="112"/>
      <c r="BF560" s="112"/>
      <c r="BG560" s="112"/>
      <c r="BH560" s="112"/>
      <c r="BI560" s="112"/>
      <c r="BJ560" s="112"/>
      <c r="BK560" s="112"/>
      <c r="BL560" s="112"/>
      <c r="BM560" s="112"/>
      <c r="BN560" s="112"/>
      <c r="BO560" s="112"/>
      <c r="BP560" s="112"/>
      <c r="BQ560" s="112"/>
      <c r="BR560" s="112"/>
      <c r="BS560" s="112"/>
      <c r="BT560" s="112"/>
      <c r="BU560" s="112"/>
      <c r="BV560" s="112"/>
      <c r="BW560" s="112"/>
      <c r="BX560" s="112"/>
      <c r="BY560" s="112"/>
      <c r="BZ560" s="112"/>
    </row>
    <row r="561" spans="30:78" x14ac:dyDescent="0.2">
      <c r="AD561" s="112"/>
      <c r="AE561" s="112"/>
      <c r="AF561" s="112"/>
      <c r="AG561" s="112"/>
      <c r="AH561" s="112"/>
      <c r="AI561" s="112"/>
      <c r="AJ561" s="112"/>
      <c r="AK561" s="112"/>
      <c r="AL561" s="112"/>
      <c r="AM561" s="112"/>
      <c r="AN561" s="112"/>
      <c r="AO561" s="112"/>
      <c r="AP561" s="112"/>
      <c r="AQ561" s="112"/>
      <c r="AR561" s="112"/>
      <c r="AS561" s="112"/>
      <c r="AT561" s="112"/>
      <c r="AU561" s="112"/>
      <c r="AV561" s="112"/>
      <c r="AW561" s="112"/>
      <c r="AX561" s="112"/>
      <c r="AY561" s="112"/>
      <c r="AZ561" s="112"/>
      <c r="BA561" s="112"/>
      <c r="BB561" s="112"/>
      <c r="BC561" s="112"/>
      <c r="BD561" s="112"/>
      <c r="BE561" s="112"/>
      <c r="BF561" s="112"/>
      <c r="BG561" s="112"/>
      <c r="BH561" s="112"/>
      <c r="BI561" s="112"/>
      <c r="BJ561" s="112"/>
      <c r="BK561" s="112"/>
      <c r="BL561" s="112"/>
      <c r="BM561" s="112"/>
      <c r="BN561" s="112"/>
      <c r="BO561" s="112"/>
      <c r="BP561" s="112"/>
      <c r="BQ561" s="112"/>
      <c r="BR561" s="112"/>
      <c r="BS561" s="112"/>
      <c r="BT561" s="112"/>
      <c r="BU561" s="112"/>
      <c r="BV561" s="112"/>
      <c r="BW561" s="112"/>
      <c r="BX561" s="112"/>
      <c r="BY561" s="112"/>
      <c r="BZ561" s="112"/>
    </row>
    <row r="562" spans="30:78" x14ac:dyDescent="0.2">
      <c r="AD562" s="112"/>
      <c r="AE562" s="112"/>
      <c r="AF562" s="112"/>
      <c r="AG562" s="112"/>
      <c r="AH562" s="112"/>
      <c r="AI562" s="112"/>
      <c r="AJ562" s="112"/>
      <c r="AK562" s="112"/>
      <c r="AL562" s="112"/>
      <c r="AM562" s="112"/>
      <c r="AN562" s="112"/>
      <c r="AO562" s="112"/>
      <c r="AP562" s="112"/>
      <c r="AQ562" s="112"/>
      <c r="AR562" s="112"/>
      <c r="AS562" s="112"/>
      <c r="AT562" s="112"/>
      <c r="AU562" s="112"/>
      <c r="AV562" s="112"/>
      <c r="AW562" s="112"/>
      <c r="AX562" s="112"/>
      <c r="AY562" s="112"/>
      <c r="AZ562" s="112"/>
      <c r="BA562" s="112"/>
      <c r="BB562" s="112"/>
      <c r="BC562" s="112"/>
      <c r="BD562" s="112"/>
      <c r="BE562" s="112"/>
      <c r="BF562" s="112"/>
      <c r="BG562" s="112"/>
      <c r="BH562" s="112"/>
      <c r="BI562" s="112"/>
      <c r="BJ562" s="112"/>
      <c r="BK562" s="112"/>
      <c r="BL562" s="112"/>
      <c r="BM562" s="112"/>
      <c r="BN562" s="112"/>
      <c r="BO562" s="112"/>
      <c r="BP562" s="112"/>
      <c r="BQ562" s="112"/>
      <c r="BR562" s="112"/>
      <c r="BS562" s="112"/>
      <c r="BT562" s="112"/>
      <c r="BU562" s="112"/>
      <c r="BV562" s="112"/>
      <c r="BW562" s="112"/>
      <c r="BX562" s="112"/>
      <c r="BY562" s="112"/>
      <c r="BZ562" s="112"/>
    </row>
    <row r="563" spans="30:78" x14ac:dyDescent="0.2">
      <c r="AD563" s="112"/>
      <c r="AE563" s="112"/>
      <c r="AF563" s="112"/>
      <c r="AG563" s="112"/>
      <c r="AH563" s="112"/>
      <c r="AI563" s="112"/>
      <c r="AJ563" s="112"/>
      <c r="AK563" s="112"/>
      <c r="AL563" s="112"/>
      <c r="AM563" s="112"/>
      <c r="AN563" s="112"/>
      <c r="AO563" s="112"/>
      <c r="AP563" s="112"/>
      <c r="AQ563" s="112"/>
      <c r="AR563" s="112"/>
      <c r="AS563" s="112"/>
      <c r="AT563" s="112"/>
      <c r="AU563" s="112"/>
      <c r="AV563" s="112"/>
      <c r="AW563" s="112"/>
      <c r="AX563" s="112"/>
      <c r="AY563" s="112"/>
      <c r="AZ563" s="112"/>
      <c r="BA563" s="112"/>
      <c r="BB563" s="112"/>
      <c r="BC563" s="112"/>
      <c r="BD563" s="112"/>
      <c r="BE563" s="112"/>
      <c r="BF563" s="112"/>
      <c r="BG563" s="112"/>
      <c r="BH563" s="112"/>
      <c r="BI563" s="112"/>
      <c r="BJ563" s="112"/>
      <c r="BK563" s="112"/>
      <c r="BL563" s="112"/>
      <c r="BM563" s="112"/>
      <c r="BN563" s="112"/>
      <c r="BO563" s="112"/>
      <c r="BP563" s="112"/>
      <c r="BQ563" s="112"/>
      <c r="BR563" s="112"/>
      <c r="BS563" s="112"/>
      <c r="BT563" s="112"/>
      <c r="BU563" s="112"/>
      <c r="BV563" s="112"/>
      <c r="BW563" s="112"/>
      <c r="BX563" s="112"/>
      <c r="BY563" s="112"/>
      <c r="BZ563" s="112"/>
    </row>
    <row r="564" spans="30:78" x14ac:dyDescent="0.2">
      <c r="AD564" s="112"/>
      <c r="AE564" s="112"/>
      <c r="AF564" s="112"/>
      <c r="AG564" s="112"/>
      <c r="AH564" s="112"/>
      <c r="AI564" s="112"/>
      <c r="AJ564" s="112"/>
      <c r="AK564" s="112"/>
      <c r="AL564" s="112"/>
      <c r="AM564" s="112"/>
      <c r="AN564" s="112"/>
      <c r="AO564" s="112"/>
      <c r="AP564" s="112"/>
      <c r="AQ564" s="112"/>
      <c r="AR564" s="112"/>
      <c r="AS564" s="112"/>
      <c r="AT564" s="112"/>
      <c r="AU564" s="112"/>
      <c r="AV564" s="112"/>
      <c r="AW564" s="112"/>
      <c r="AX564" s="112"/>
      <c r="AY564" s="112"/>
      <c r="AZ564" s="112"/>
      <c r="BA564" s="112"/>
      <c r="BB564" s="112"/>
      <c r="BC564" s="112"/>
      <c r="BD564" s="112"/>
      <c r="BE564" s="112"/>
      <c r="BF564" s="112"/>
      <c r="BG564" s="112"/>
      <c r="BH564" s="112"/>
      <c r="BI564" s="112"/>
      <c r="BJ564" s="112"/>
      <c r="BK564" s="112"/>
      <c r="BL564" s="112"/>
      <c r="BM564" s="112"/>
      <c r="BN564" s="112"/>
      <c r="BO564" s="112"/>
      <c r="BP564" s="112"/>
      <c r="BQ564" s="112"/>
      <c r="BR564" s="112"/>
      <c r="BS564" s="112"/>
      <c r="BT564" s="112"/>
      <c r="BU564" s="112"/>
      <c r="BV564" s="112"/>
      <c r="BW564" s="112"/>
      <c r="BX564" s="112"/>
      <c r="BY564" s="112"/>
      <c r="BZ564" s="112"/>
    </row>
    <row r="565" spans="30:78" x14ac:dyDescent="0.2">
      <c r="AD565" s="112"/>
      <c r="AE565" s="112"/>
      <c r="AF565" s="112"/>
      <c r="AG565" s="112"/>
      <c r="AH565" s="112"/>
      <c r="AI565" s="112"/>
      <c r="AJ565" s="112"/>
      <c r="AK565" s="112"/>
      <c r="AL565" s="112"/>
      <c r="AM565" s="112"/>
      <c r="AN565" s="112"/>
      <c r="AO565" s="112"/>
      <c r="AP565" s="112"/>
      <c r="AQ565" s="112"/>
      <c r="AR565" s="112"/>
      <c r="AS565" s="112"/>
      <c r="AT565" s="112"/>
      <c r="AU565" s="112"/>
      <c r="AV565" s="112"/>
      <c r="AW565" s="112"/>
      <c r="AX565" s="112"/>
      <c r="AY565" s="112"/>
      <c r="AZ565" s="112"/>
      <c r="BA565" s="112"/>
      <c r="BB565" s="112"/>
      <c r="BC565" s="112"/>
      <c r="BD565" s="112"/>
      <c r="BE565" s="112"/>
      <c r="BF565" s="112"/>
      <c r="BG565" s="112"/>
      <c r="BH565" s="112"/>
      <c r="BI565" s="112"/>
      <c r="BJ565" s="112"/>
      <c r="BK565" s="112"/>
      <c r="BL565" s="112"/>
      <c r="BM565" s="112"/>
      <c r="BN565" s="112"/>
      <c r="BO565" s="112"/>
      <c r="BP565" s="112"/>
      <c r="BQ565" s="112"/>
      <c r="BR565" s="112"/>
      <c r="BS565" s="112"/>
      <c r="BT565" s="112"/>
      <c r="BU565" s="112"/>
      <c r="BV565" s="112"/>
      <c r="BW565" s="112"/>
      <c r="BX565" s="112"/>
      <c r="BY565" s="112"/>
      <c r="BZ565" s="112"/>
    </row>
    <row r="566" spans="30:78" x14ac:dyDescent="0.2">
      <c r="AD566" s="112"/>
      <c r="AE566" s="112"/>
      <c r="AF566" s="112"/>
      <c r="AG566" s="112"/>
      <c r="AH566" s="112"/>
      <c r="AI566" s="112"/>
      <c r="AJ566" s="112"/>
      <c r="AK566" s="112"/>
      <c r="AL566" s="112"/>
      <c r="AM566" s="112"/>
      <c r="AN566" s="112"/>
      <c r="AO566" s="112"/>
      <c r="AP566" s="112"/>
      <c r="AQ566" s="112"/>
      <c r="AR566" s="112"/>
      <c r="AS566" s="112"/>
      <c r="AT566" s="112"/>
      <c r="AU566" s="112"/>
      <c r="AV566" s="112"/>
      <c r="AW566" s="112"/>
      <c r="AX566" s="112"/>
      <c r="AY566" s="112"/>
      <c r="AZ566" s="112"/>
      <c r="BA566" s="112"/>
      <c r="BB566" s="112"/>
      <c r="BC566" s="112"/>
      <c r="BD566" s="112"/>
      <c r="BE566" s="112"/>
      <c r="BF566" s="112"/>
      <c r="BG566" s="112"/>
      <c r="BH566" s="112"/>
      <c r="BI566" s="112"/>
      <c r="BJ566" s="112"/>
      <c r="BK566" s="112"/>
      <c r="BL566" s="112"/>
      <c r="BM566" s="112"/>
      <c r="BN566" s="112"/>
      <c r="BO566" s="112"/>
      <c r="BP566" s="112"/>
      <c r="BQ566" s="112"/>
      <c r="BR566" s="112"/>
      <c r="BS566" s="112"/>
      <c r="BT566" s="112"/>
      <c r="BU566" s="112"/>
      <c r="BV566" s="112"/>
      <c r="BW566" s="112"/>
      <c r="BX566" s="112"/>
      <c r="BY566" s="112"/>
      <c r="BZ566" s="112"/>
    </row>
    <row r="567" spans="30:78" x14ac:dyDescent="0.2">
      <c r="AD567" s="112"/>
      <c r="AE567" s="112"/>
      <c r="AF567" s="112"/>
      <c r="AG567" s="112"/>
      <c r="AH567" s="112"/>
      <c r="AI567" s="112"/>
      <c r="AJ567" s="112"/>
      <c r="AK567" s="112"/>
      <c r="AL567" s="112"/>
      <c r="AM567" s="112"/>
      <c r="AN567" s="112"/>
      <c r="AO567" s="112"/>
      <c r="AP567" s="112"/>
      <c r="AQ567" s="112"/>
      <c r="AR567" s="112"/>
      <c r="AS567" s="112"/>
      <c r="AT567" s="112"/>
      <c r="AU567" s="112"/>
      <c r="AV567" s="112"/>
      <c r="AW567" s="112"/>
      <c r="AX567" s="112"/>
      <c r="AY567" s="112"/>
      <c r="AZ567" s="112"/>
      <c r="BA567" s="112"/>
      <c r="BB567" s="112"/>
      <c r="BC567" s="112"/>
      <c r="BD567" s="112"/>
      <c r="BE567" s="112"/>
      <c r="BF567" s="112"/>
      <c r="BG567" s="112"/>
      <c r="BH567" s="112"/>
      <c r="BI567" s="112"/>
      <c r="BJ567" s="112"/>
      <c r="BK567" s="112"/>
      <c r="BL567" s="112"/>
      <c r="BM567" s="112"/>
      <c r="BN567" s="112"/>
      <c r="BO567" s="112"/>
      <c r="BP567" s="112"/>
      <c r="BQ567" s="112"/>
      <c r="BR567" s="112"/>
      <c r="BS567" s="112"/>
      <c r="BT567" s="112"/>
      <c r="BU567" s="112"/>
      <c r="BV567" s="112"/>
      <c r="BW567" s="112"/>
      <c r="BX567" s="112"/>
      <c r="BY567" s="112"/>
      <c r="BZ567" s="112"/>
    </row>
    <row r="568" spans="30:78" x14ac:dyDescent="0.2">
      <c r="AD568" s="112"/>
      <c r="AE568" s="112"/>
      <c r="AF568" s="112"/>
      <c r="AG568" s="112"/>
      <c r="AH568" s="112"/>
      <c r="AI568" s="112"/>
      <c r="AJ568" s="112"/>
      <c r="AK568" s="112"/>
      <c r="AL568" s="112"/>
      <c r="AM568" s="112"/>
      <c r="AN568" s="112"/>
      <c r="AO568" s="112"/>
      <c r="AP568" s="112"/>
      <c r="AQ568" s="112"/>
      <c r="AR568" s="112"/>
      <c r="AS568" s="112"/>
      <c r="AT568" s="112"/>
      <c r="AU568" s="112"/>
      <c r="AV568" s="112"/>
      <c r="AW568" s="112"/>
      <c r="AX568" s="112"/>
      <c r="AY568" s="112"/>
      <c r="AZ568" s="112"/>
      <c r="BA568" s="112"/>
      <c r="BB568" s="112"/>
      <c r="BC568" s="112"/>
      <c r="BD568" s="112"/>
      <c r="BE568" s="112"/>
      <c r="BF568" s="112"/>
      <c r="BG568" s="112"/>
      <c r="BH568" s="112"/>
      <c r="BI568" s="112"/>
      <c r="BJ568" s="112"/>
      <c r="BK568" s="112"/>
      <c r="BL568" s="112"/>
      <c r="BM568" s="112"/>
      <c r="BN568" s="112"/>
      <c r="BO568" s="112"/>
      <c r="BP568" s="112"/>
      <c r="BQ568" s="112"/>
      <c r="BR568" s="112"/>
      <c r="BS568" s="112"/>
      <c r="BT568" s="112"/>
      <c r="BU568" s="112"/>
      <c r="BV568" s="112"/>
      <c r="BW568" s="112"/>
      <c r="BX568" s="112"/>
      <c r="BY568" s="112"/>
      <c r="BZ568" s="112"/>
    </row>
    <row r="569" spans="30:78" x14ac:dyDescent="0.2">
      <c r="AD569" s="112"/>
      <c r="AE569" s="112"/>
      <c r="AF569" s="112"/>
      <c r="AG569" s="112"/>
      <c r="AH569" s="112"/>
      <c r="AI569" s="112"/>
      <c r="AJ569" s="112"/>
      <c r="AK569" s="112"/>
      <c r="AL569" s="112"/>
      <c r="AM569" s="112"/>
      <c r="AN569" s="112"/>
      <c r="AO569" s="112"/>
      <c r="AP569" s="112"/>
      <c r="AQ569" s="112"/>
      <c r="AR569" s="112"/>
      <c r="AS569" s="112"/>
      <c r="AT569" s="112"/>
      <c r="AU569" s="112"/>
      <c r="AV569" s="112"/>
      <c r="AW569" s="112"/>
      <c r="AX569" s="112"/>
      <c r="AY569" s="112"/>
      <c r="AZ569" s="112"/>
      <c r="BA569" s="112"/>
      <c r="BB569" s="112"/>
      <c r="BC569" s="112"/>
      <c r="BD569" s="112"/>
      <c r="BE569" s="112"/>
      <c r="BF569" s="112"/>
      <c r="BG569" s="112"/>
      <c r="BH569" s="112"/>
      <c r="BI569" s="112"/>
      <c r="BJ569" s="112"/>
      <c r="BK569" s="112"/>
      <c r="BL569" s="112"/>
      <c r="BM569" s="112"/>
      <c r="BN569" s="112"/>
      <c r="BO569" s="112"/>
      <c r="BP569" s="112"/>
      <c r="BQ569" s="112"/>
      <c r="BR569" s="112"/>
      <c r="BS569" s="112"/>
      <c r="BT569" s="112"/>
      <c r="BU569" s="112"/>
      <c r="BV569" s="112"/>
      <c r="BW569" s="112"/>
      <c r="BX569" s="112"/>
      <c r="BY569" s="112"/>
      <c r="BZ569" s="112"/>
    </row>
    <row r="570" spans="30:78" x14ac:dyDescent="0.2">
      <c r="AD570" s="112"/>
      <c r="AE570" s="112"/>
      <c r="AF570" s="112"/>
      <c r="AG570" s="112"/>
      <c r="AH570" s="112"/>
      <c r="AI570" s="112"/>
      <c r="AJ570" s="112"/>
      <c r="AK570" s="112"/>
      <c r="AL570" s="112"/>
      <c r="AM570" s="112"/>
      <c r="AN570" s="112"/>
      <c r="AO570" s="112"/>
      <c r="AP570" s="112"/>
      <c r="AQ570" s="112"/>
      <c r="AR570" s="112"/>
      <c r="AS570" s="112"/>
      <c r="AT570" s="112"/>
      <c r="AU570" s="112"/>
      <c r="AV570" s="112"/>
      <c r="AW570" s="112"/>
      <c r="AX570" s="112"/>
      <c r="AY570" s="112"/>
      <c r="AZ570" s="112"/>
      <c r="BA570" s="112"/>
      <c r="BB570" s="112"/>
      <c r="BC570" s="112"/>
      <c r="BD570" s="112"/>
      <c r="BE570" s="112"/>
      <c r="BF570" s="112"/>
      <c r="BG570" s="112"/>
      <c r="BH570" s="112"/>
      <c r="BI570" s="112"/>
      <c r="BJ570" s="112"/>
      <c r="BK570" s="112"/>
      <c r="BL570" s="112"/>
      <c r="BM570" s="112"/>
      <c r="BN570" s="112"/>
      <c r="BO570" s="112"/>
      <c r="BP570" s="112"/>
      <c r="BQ570" s="112"/>
      <c r="BR570" s="112"/>
      <c r="BS570" s="112"/>
      <c r="BT570" s="112"/>
      <c r="BU570" s="112"/>
      <c r="BV570" s="112"/>
      <c r="BW570" s="112"/>
      <c r="BX570" s="112"/>
      <c r="BY570" s="112"/>
      <c r="BZ570" s="112"/>
    </row>
    <row r="571" spans="30:78" x14ac:dyDescent="0.2">
      <c r="AD571" s="112"/>
      <c r="AE571" s="112"/>
      <c r="AF571" s="112"/>
      <c r="AG571" s="112"/>
      <c r="AH571" s="112"/>
      <c r="AI571" s="112"/>
      <c r="AJ571" s="112"/>
      <c r="AK571" s="112"/>
      <c r="AL571" s="112"/>
      <c r="AM571" s="112"/>
      <c r="AN571" s="112"/>
      <c r="AO571" s="112"/>
      <c r="AP571" s="112"/>
      <c r="AQ571" s="112"/>
      <c r="AR571" s="112"/>
      <c r="AS571" s="112"/>
      <c r="AT571" s="112"/>
      <c r="AU571" s="112"/>
      <c r="AV571" s="112"/>
      <c r="AW571" s="112"/>
      <c r="AX571" s="112"/>
      <c r="AY571" s="112"/>
      <c r="AZ571" s="112"/>
      <c r="BA571" s="112"/>
      <c r="BB571" s="112"/>
      <c r="BC571" s="112"/>
      <c r="BD571" s="112"/>
      <c r="BE571" s="112"/>
      <c r="BF571" s="112"/>
      <c r="BG571" s="112"/>
      <c r="BH571" s="112"/>
      <c r="BI571" s="112"/>
      <c r="BJ571" s="112"/>
      <c r="BK571" s="112"/>
      <c r="BL571" s="112"/>
      <c r="BM571" s="112"/>
      <c r="BN571" s="112"/>
      <c r="BO571" s="112"/>
      <c r="BP571" s="112"/>
      <c r="BQ571" s="112"/>
      <c r="BR571" s="112"/>
      <c r="BS571" s="112"/>
      <c r="BT571" s="112"/>
      <c r="BU571" s="112"/>
      <c r="BV571" s="112"/>
      <c r="BW571" s="112"/>
      <c r="BX571" s="112"/>
      <c r="BY571" s="112"/>
      <c r="BZ571" s="112"/>
    </row>
    <row r="572" spans="30:78" x14ac:dyDescent="0.2">
      <c r="AD572" s="112"/>
      <c r="AE572" s="112"/>
      <c r="AF572" s="112"/>
      <c r="AG572" s="112"/>
      <c r="AH572" s="112"/>
      <c r="AI572" s="112"/>
      <c r="AJ572" s="112"/>
      <c r="AK572" s="112"/>
      <c r="AL572" s="112"/>
      <c r="AM572" s="112"/>
      <c r="AN572" s="112"/>
      <c r="AO572" s="112"/>
      <c r="AP572" s="112"/>
      <c r="AQ572" s="112"/>
      <c r="AR572" s="112"/>
      <c r="AS572" s="112"/>
      <c r="AT572" s="112"/>
      <c r="AU572" s="112"/>
      <c r="AV572" s="112"/>
      <c r="AW572" s="112"/>
      <c r="AX572" s="112"/>
      <c r="AY572" s="112"/>
      <c r="AZ572" s="112"/>
      <c r="BA572" s="112"/>
      <c r="BB572" s="112"/>
      <c r="BC572" s="112"/>
      <c r="BD572" s="112"/>
      <c r="BE572" s="112"/>
      <c r="BF572" s="112"/>
      <c r="BG572" s="112"/>
      <c r="BH572" s="112"/>
      <c r="BI572" s="112"/>
      <c r="BJ572" s="112"/>
      <c r="BK572" s="112"/>
      <c r="BL572" s="112"/>
      <c r="BM572" s="112"/>
      <c r="BN572" s="112"/>
      <c r="BO572" s="112"/>
      <c r="BP572" s="112"/>
      <c r="BQ572" s="112"/>
      <c r="BR572" s="112"/>
      <c r="BS572" s="112"/>
      <c r="BT572" s="112"/>
      <c r="BU572" s="112"/>
      <c r="BV572" s="112"/>
      <c r="BW572" s="112"/>
      <c r="BX572" s="112"/>
      <c r="BY572" s="112"/>
      <c r="BZ572" s="112"/>
    </row>
    <row r="573" spans="30:78" x14ac:dyDescent="0.2">
      <c r="AD573" s="112"/>
      <c r="AE573" s="112"/>
      <c r="AF573" s="112"/>
      <c r="AG573" s="112"/>
      <c r="AH573" s="112"/>
      <c r="AI573" s="112"/>
      <c r="AJ573" s="112"/>
      <c r="AK573" s="112"/>
      <c r="AL573" s="112"/>
      <c r="AM573" s="112"/>
      <c r="AN573" s="112"/>
      <c r="AO573" s="112"/>
      <c r="AP573" s="112"/>
      <c r="AQ573" s="112"/>
      <c r="AR573" s="112"/>
      <c r="AS573" s="112"/>
      <c r="AT573" s="112"/>
      <c r="AU573" s="112"/>
      <c r="AV573" s="112"/>
      <c r="AW573" s="112"/>
      <c r="AX573" s="112"/>
      <c r="AY573" s="112"/>
      <c r="AZ573" s="112"/>
      <c r="BA573" s="112"/>
      <c r="BB573" s="112"/>
      <c r="BC573" s="112"/>
      <c r="BD573" s="112"/>
      <c r="BE573" s="112"/>
      <c r="BF573" s="112"/>
      <c r="BG573" s="112"/>
      <c r="BH573" s="112"/>
      <c r="BI573" s="112"/>
      <c r="BJ573" s="112"/>
      <c r="BK573" s="112"/>
      <c r="BL573" s="112"/>
      <c r="BM573" s="112"/>
      <c r="BN573" s="112"/>
      <c r="BO573" s="112"/>
      <c r="BP573" s="112"/>
      <c r="BQ573" s="112"/>
      <c r="BR573" s="112"/>
      <c r="BS573" s="112"/>
      <c r="BT573" s="112"/>
      <c r="BU573" s="112"/>
      <c r="BV573" s="112"/>
      <c r="BW573" s="112"/>
      <c r="BX573" s="112"/>
      <c r="BY573" s="112"/>
      <c r="BZ573" s="112"/>
    </row>
    <row r="574" spans="30:78" x14ac:dyDescent="0.2">
      <c r="AD574" s="112"/>
      <c r="AE574" s="112"/>
      <c r="AF574" s="112"/>
      <c r="AG574" s="112"/>
      <c r="AH574" s="112"/>
      <c r="AI574" s="112"/>
      <c r="AJ574" s="112"/>
      <c r="AK574" s="112"/>
      <c r="AL574" s="112"/>
      <c r="AM574" s="112"/>
      <c r="AN574" s="112"/>
      <c r="AO574" s="112"/>
      <c r="AP574" s="112"/>
      <c r="AQ574" s="112"/>
      <c r="AR574" s="112"/>
      <c r="AS574" s="112"/>
      <c r="AT574" s="112"/>
      <c r="AU574" s="112"/>
      <c r="AV574" s="112"/>
      <c r="AW574" s="112"/>
      <c r="AX574" s="112"/>
      <c r="AY574" s="112"/>
      <c r="AZ574" s="112"/>
      <c r="BA574" s="112"/>
      <c r="BB574" s="112"/>
      <c r="BC574" s="112"/>
      <c r="BD574" s="112"/>
      <c r="BE574" s="112"/>
      <c r="BF574" s="112"/>
      <c r="BG574" s="112"/>
      <c r="BH574" s="112"/>
      <c r="BI574" s="112"/>
      <c r="BJ574" s="112"/>
      <c r="BK574" s="112"/>
      <c r="BL574" s="112"/>
      <c r="BM574" s="112"/>
      <c r="BN574" s="112"/>
      <c r="BO574" s="112"/>
      <c r="BP574" s="112"/>
      <c r="BQ574" s="112"/>
      <c r="BR574" s="112"/>
      <c r="BS574" s="112"/>
      <c r="BT574" s="112"/>
      <c r="BU574" s="112"/>
      <c r="BV574" s="112"/>
      <c r="BW574" s="112"/>
      <c r="BX574" s="112"/>
      <c r="BY574" s="112"/>
      <c r="BZ574" s="112"/>
    </row>
    <row r="575" spans="30:78" x14ac:dyDescent="0.2">
      <c r="AD575" s="112"/>
      <c r="AE575" s="112"/>
      <c r="AF575" s="112"/>
      <c r="AG575" s="112"/>
      <c r="AH575" s="112"/>
      <c r="AI575" s="112"/>
      <c r="AJ575" s="112"/>
      <c r="AK575" s="112"/>
      <c r="AL575" s="112"/>
      <c r="AM575" s="112"/>
      <c r="AN575" s="112"/>
      <c r="AO575" s="112"/>
      <c r="AP575" s="112"/>
      <c r="AQ575" s="112"/>
      <c r="AR575" s="112"/>
      <c r="AS575" s="112"/>
      <c r="AT575" s="112"/>
      <c r="AU575" s="112"/>
      <c r="AV575" s="112"/>
      <c r="AW575" s="112"/>
      <c r="AX575" s="112"/>
      <c r="AY575" s="112"/>
      <c r="AZ575" s="112"/>
      <c r="BA575" s="112"/>
      <c r="BB575" s="112"/>
      <c r="BC575" s="112"/>
      <c r="BD575" s="112"/>
      <c r="BE575" s="112"/>
      <c r="BF575" s="112"/>
      <c r="BG575" s="112"/>
      <c r="BH575" s="112"/>
      <c r="BI575" s="112"/>
      <c r="BJ575" s="112"/>
      <c r="BK575" s="112"/>
      <c r="BL575" s="112"/>
      <c r="BM575" s="112"/>
      <c r="BN575" s="112"/>
      <c r="BO575" s="112"/>
      <c r="BP575" s="112"/>
      <c r="BQ575" s="112"/>
      <c r="BR575" s="112"/>
      <c r="BS575" s="112"/>
      <c r="BT575" s="112"/>
      <c r="BU575" s="112"/>
      <c r="BV575" s="112"/>
      <c r="BW575" s="112"/>
      <c r="BX575" s="112"/>
      <c r="BY575" s="112"/>
      <c r="BZ575" s="112"/>
    </row>
    <row r="576" spans="30:78" x14ac:dyDescent="0.2">
      <c r="AD576" s="112"/>
      <c r="AE576" s="112"/>
      <c r="AF576" s="112"/>
      <c r="AG576" s="112"/>
      <c r="AH576" s="112"/>
      <c r="AI576" s="112"/>
      <c r="AJ576" s="112"/>
      <c r="AK576" s="112"/>
      <c r="AL576" s="112"/>
      <c r="AM576" s="112"/>
      <c r="AN576" s="112"/>
      <c r="AO576" s="112"/>
      <c r="AP576" s="112"/>
      <c r="AQ576" s="112"/>
      <c r="AR576" s="112"/>
      <c r="AS576" s="112"/>
      <c r="AT576" s="112"/>
      <c r="AU576" s="112"/>
      <c r="AV576" s="112"/>
      <c r="AW576" s="112"/>
      <c r="AX576" s="112"/>
      <c r="AY576" s="112"/>
      <c r="AZ576" s="112"/>
      <c r="BA576" s="112"/>
      <c r="BB576" s="112"/>
      <c r="BC576" s="112"/>
      <c r="BD576" s="112"/>
      <c r="BE576" s="112"/>
      <c r="BF576" s="112"/>
      <c r="BG576" s="112"/>
      <c r="BH576" s="112"/>
      <c r="BI576" s="112"/>
      <c r="BJ576" s="112"/>
      <c r="BK576" s="112"/>
      <c r="BL576" s="112"/>
      <c r="BM576" s="112"/>
      <c r="BN576" s="112"/>
      <c r="BO576" s="112"/>
      <c r="BP576" s="112"/>
      <c r="BQ576" s="112"/>
      <c r="BR576" s="112"/>
      <c r="BS576" s="112"/>
      <c r="BT576" s="112"/>
      <c r="BU576" s="112"/>
      <c r="BV576" s="112"/>
      <c r="BW576" s="112"/>
      <c r="BX576" s="112"/>
      <c r="BY576" s="112"/>
      <c r="BZ576" s="112"/>
    </row>
    <row r="577" spans="30:78" x14ac:dyDescent="0.2">
      <c r="AD577" s="112"/>
      <c r="AE577" s="112"/>
      <c r="AF577" s="112"/>
      <c r="AG577" s="112"/>
      <c r="AH577" s="112"/>
      <c r="AI577" s="112"/>
      <c r="AJ577" s="112"/>
      <c r="AK577" s="112"/>
      <c r="AL577" s="112"/>
      <c r="AM577" s="112"/>
      <c r="AN577" s="112"/>
      <c r="AO577" s="112"/>
      <c r="AP577" s="112"/>
      <c r="AQ577" s="112"/>
      <c r="AR577" s="112"/>
      <c r="AS577" s="112"/>
      <c r="AT577" s="112"/>
      <c r="AU577" s="112"/>
      <c r="AV577" s="112"/>
      <c r="AW577" s="112"/>
      <c r="AX577" s="112"/>
      <c r="AY577" s="112"/>
      <c r="AZ577" s="112"/>
      <c r="BA577" s="112"/>
      <c r="BB577" s="112"/>
      <c r="BC577" s="112"/>
      <c r="BD577" s="112"/>
      <c r="BE577" s="112"/>
      <c r="BF577" s="112"/>
      <c r="BG577" s="112"/>
      <c r="BH577" s="112"/>
      <c r="BI577" s="112"/>
      <c r="BJ577" s="112"/>
      <c r="BK577" s="112"/>
      <c r="BL577" s="112"/>
      <c r="BM577" s="112"/>
      <c r="BN577" s="112"/>
      <c r="BO577" s="112"/>
      <c r="BP577" s="112"/>
      <c r="BQ577" s="112"/>
      <c r="BR577" s="112"/>
      <c r="BS577" s="112"/>
      <c r="BT577" s="112"/>
      <c r="BU577" s="112"/>
      <c r="BV577" s="112"/>
      <c r="BW577" s="112"/>
      <c r="BX577" s="112"/>
      <c r="BY577" s="112"/>
      <c r="BZ577" s="112"/>
    </row>
    <row r="578" spans="30:78" x14ac:dyDescent="0.2">
      <c r="AD578" s="112"/>
      <c r="AE578" s="112"/>
      <c r="AF578" s="112"/>
      <c r="AG578" s="112"/>
      <c r="AH578" s="112"/>
      <c r="AI578" s="112"/>
      <c r="AJ578" s="112"/>
      <c r="AK578" s="112"/>
      <c r="AL578" s="112"/>
      <c r="AM578" s="112"/>
      <c r="AN578" s="112"/>
      <c r="AO578" s="112"/>
      <c r="AP578" s="112"/>
      <c r="AQ578" s="112"/>
      <c r="AR578" s="112"/>
      <c r="AS578" s="112"/>
      <c r="AT578" s="112"/>
      <c r="AU578" s="112"/>
      <c r="AV578" s="112"/>
      <c r="AW578" s="112"/>
      <c r="AX578" s="112"/>
      <c r="AY578" s="112"/>
      <c r="AZ578" s="112"/>
      <c r="BA578" s="112"/>
      <c r="BB578" s="112"/>
      <c r="BC578" s="112"/>
      <c r="BD578" s="112"/>
      <c r="BE578" s="112"/>
      <c r="BF578" s="112"/>
      <c r="BG578" s="112"/>
      <c r="BH578" s="112"/>
      <c r="BI578" s="112"/>
      <c r="BJ578" s="112"/>
      <c r="BK578" s="112"/>
      <c r="BL578" s="112"/>
      <c r="BM578" s="112"/>
      <c r="BN578" s="112"/>
      <c r="BO578" s="112"/>
      <c r="BP578" s="112"/>
      <c r="BQ578" s="112"/>
      <c r="BR578" s="112"/>
      <c r="BS578" s="112"/>
      <c r="BT578" s="112"/>
      <c r="BU578" s="112"/>
      <c r="BV578" s="112"/>
      <c r="BW578" s="112"/>
      <c r="BX578" s="112"/>
      <c r="BY578" s="112"/>
      <c r="BZ578" s="112"/>
    </row>
    <row r="579" spans="30:78" x14ac:dyDescent="0.2">
      <c r="AD579" s="112"/>
      <c r="AE579" s="112"/>
      <c r="AF579" s="112"/>
      <c r="AG579" s="112"/>
      <c r="AH579" s="112"/>
      <c r="AI579" s="112"/>
      <c r="AJ579" s="112"/>
      <c r="AK579" s="112"/>
      <c r="AL579" s="112"/>
      <c r="AM579" s="112"/>
      <c r="AN579" s="112"/>
      <c r="AO579" s="112"/>
      <c r="AP579" s="112"/>
      <c r="AQ579" s="112"/>
      <c r="AR579" s="112"/>
      <c r="AS579" s="112"/>
      <c r="AT579" s="112"/>
      <c r="AU579" s="112"/>
      <c r="AV579" s="112"/>
      <c r="AW579" s="112"/>
      <c r="AX579" s="112"/>
      <c r="AY579" s="112"/>
      <c r="AZ579" s="112"/>
      <c r="BA579" s="112"/>
      <c r="BB579" s="112"/>
      <c r="BC579" s="112"/>
      <c r="BD579" s="112"/>
      <c r="BE579" s="112"/>
      <c r="BF579" s="112"/>
      <c r="BG579" s="112"/>
      <c r="BH579" s="112"/>
      <c r="BI579" s="112"/>
      <c r="BJ579" s="112"/>
      <c r="BK579" s="112"/>
      <c r="BL579" s="112"/>
      <c r="BM579" s="112"/>
      <c r="BN579" s="112"/>
      <c r="BO579" s="112"/>
      <c r="BP579" s="112"/>
      <c r="BQ579" s="112"/>
      <c r="BR579" s="112"/>
      <c r="BS579" s="112"/>
      <c r="BT579" s="112"/>
      <c r="BU579" s="112"/>
      <c r="BV579" s="112"/>
      <c r="BW579" s="112"/>
      <c r="BX579" s="112"/>
      <c r="BY579" s="112"/>
      <c r="BZ579" s="112"/>
    </row>
    <row r="580" spans="30:78" x14ac:dyDescent="0.2">
      <c r="AD580" s="112"/>
      <c r="AE580" s="112"/>
      <c r="AF580" s="112"/>
      <c r="AG580" s="112"/>
      <c r="AH580" s="112"/>
      <c r="AI580" s="112"/>
      <c r="AJ580" s="112"/>
      <c r="AK580" s="112"/>
      <c r="AL580" s="112"/>
      <c r="AM580" s="112"/>
      <c r="AN580" s="112"/>
      <c r="AO580" s="112"/>
      <c r="AP580" s="112"/>
      <c r="AQ580" s="112"/>
      <c r="AR580" s="112"/>
      <c r="AS580" s="112"/>
      <c r="AT580" s="112"/>
      <c r="AU580" s="112"/>
      <c r="AV580" s="112"/>
      <c r="AW580" s="112"/>
      <c r="AX580" s="112"/>
      <c r="AY580" s="112"/>
      <c r="AZ580" s="112"/>
      <c r="BA580" s="112"/>
      <c r="BB580" s="112"/>
      <c r="BC580" s="112"/>
      <c r="BD580" s="112"/>
      <c r="BE580" s="112"/>
      <c r="BF580" s="112"/>
      <c r="BG580" s="112"/>
      <c r="BH580" s="112"/>
      <c r="BI580" s="112"/>
      <c r="BJ580" s="112"/>
      <c r="BK580" s="112"/>
      <c r="BL580" s="112"/>
      <c r="BM580" s="112"/>
      <c r="BN580" s="112"/>
      <c r="BO580" s="112"/>
      <c r="BP580" s="112"/>
      <c r="BQ580" s="112"/>
      <c r="BR580" s="112"/>
      <c r="BS580" s="112"/>
      <c r="BT580" s="112"/>
      <c r="BU580" s="112"/>
      <c r="BV580" s="112"/>
      <c r="BW580" s="112"/>
      <c r="BX580" s="112"/>
      <c r="BY580" s="112"/>
      <c r="BZ580" s="112"/>
    </row>
    <row r="581" spans="30:78" x14ac:dyDescent="0.2">
      <c r="AD581" s="112"/>
      <c r="AE581" s="112"/>
      <c r="AF581" s="112"/>
      <c r="AG581" s="112"/>
      <c r="AH581" s="112"/>
      <c r="AI581" s="112"/>
      <c r="AJ581" s="112"/>
      <c r="AK581" s="112"/>
      <c r="AL581" s="112"/>
      <c r="AM581" s="112"/>
      <c r="AN581" s="112"/>
      <c r="AO581" s="112"/>
      <c r="AP581" s="112"/>
      <c r="AQ581" s="112"/>
      <c r="AR581" s="112"/>
      <c r="AS581" s="112"/>
      <c r="AT581" s="112"/>
      <c r="AU581" s="112"/>
      <c r="AV581" s="112"/>
      <c r="AW581" s="112"/>
      <c r="AX581" s="112"/>
      <c r="AY581" s="112"/>
      <c r="AZ581" s="112"/>
      <c r="BA581" s="112"/>
      <c r="BB581" s="112"/>
      <c r="BC581" s="112"/>
      <c r="BD581" s="112"/>
      <c r="BE581" s="112"/>
      <c r="BF581" s="112"/>
      <c r="BG581" s="112"/>
      <c r="BH581" s="112"/>
      <c r="BI581" s="112"/>
      <c r="BJ581" s="112"/>
      <c r="BK581" s="112"/>
      <c r="BL581" s="112"/>
      <c r="BM581" s="112"/>
      <c r="BN581" s="112"/>
      <c r="BO581" s="112"/>
      <c r="BP581" s="112"/>
      <c r="BQ581" s="112"/>
      <c r="BR581" s="112"/>
      <c r="BS581" s="112"/>
      <c r="BT581" s="112"/>
      <c r="BU581" s="112"/>
      <c r="BV581" s="112"/>
      <c r="BW581" s="112"/>
      <c r="BX581" s="112"/>
      <c r="BY581" s="112"/>
      <c r="BZ581" s="112"/>
    </row>
    <row r="582" spans="30:78" x14ac:dyDescent="0.2">
      <c r="AD582" s="112"/>
      <c r="AE582" s="112"/>
      <c r="AF582" s="112"/>
      <c r="AG582" s="112"/>
      <c r="AH582" s="112"/>
      <c r="AI582" s="112"/>
      <c r="AJ582" s="112"/>
      <c r="AK582" s="112"/>
      <c r="AL582" s="112"/>
      <c r="AM582" s="112"/>
      <c r="AN582" s="112"/>
      <c r="AO582" s="112"/>
      <c r="AP582" s="112"/>
      <c r="AQ582" s="112"/>
      <c r="AR582" s="112"/>
      <c r="AS582" s="112"/>
      <c r="AT582" s="112"/>
      <c r="AU582" s="112"/>
      <c r="AV582" s="112"/>
      <c r="AW582" s="112"/>
      <c r="AX582" s="112"/>
      <c r="AY582" s="112"/>
      <c r="AZ582" s="112"/>
      <c r="BA582" s="112"/>
      <c r="BB582" s="112"/>
      <c r="BC582" s="112"/>
      <c r="BD582" s="112"/>
      <c r="BE582" s="112"/>
      <c r="BF582" s="112"/>
      <c r="BG582" s="112"/>
      <c r="BH582" s="112"/>
      <c r="BI582" s="112"/>
      <c r="BJ582" s="112"/>
      <c r="BK582" s="112"/>
      <c r="BL582" s="112"/>
      <c r="BM582" s="112"/>
      <c r="BN582" s="112"/>
      <c r="BO582" s="112"/>
      <c r="BP582" s="112"/>
      <c r="BQ582" s="112"/>
      <c r="BR582" s="112"/>
      <c r="BS582" s="112"/>
      <c r="BT582" s="112"/>
      <c r="BU582" s="112"/>
      <c r="BV582" s="112"/>
      <c r="BW582" s="112"/>
      <c r="BX582" s="112"/>
      <c r="BY582" s="112"/>
      <c r="BZ582" s="112"/>
    </row>
    <row r="583" spans="30:78" x14ac:dyDescent="0.2">
      <c r="AD583" s="112"/>
      <c r="AE583" s="112"/>
      <c r="AF583" s="112"/>
      <c r="AG583" s="112"/>
      <c r="AH583" s="112"/>
      <c r="AI583" s="112"/>
      <c r="AJ583" s="112"/>
      <c r="AK583" s="112"/>
      <c r="AL583" s="112"/>
      <c r="AM583" s="112"/>
      <c r="AN583" s="112"/>
      <c r="AO583" s="112"/>
      <c r="AP583" s="112"/>
      <c r="AQ583" s="112"/>
      <c r="AR583" s="112"/>
      <c r="AS583" s="112"/>
      <c r="AT583" s="112"/>
      <c r="AU583" s="112"/>
      <c r="AV583" s="112"/>
      <c r="AW583" s="112"/>
      <c r="AX583" s="112"/>
      <c r="AY583" s="112"/>
      <c r="AZ583" s="112"/>
      <c r="BA583" s="112"/>
      <c r="BB583" s="112"/>
      <c r="BC583" s="112"/>
      <c r="BD583" s="112"/>
      <c r="BE583" s="112"/>
      <c r="BF583" s="112"/>
      <c r="BG583" s="112"/>
      <c r="BH583" s="112"/>
      <c r="BI583" s="112"/>
      <c r="BJ583" s="112"/>
      <c r="BK583" s="112"/>
      <c r="BL583" s="112"/>
      <c r="BM583" s="112"/>
      <c r="BN583" s="112"/>
      <c r="BO583" s="112"/>
      <c r="BP583" s="112"/>
      <c r="BQ583" s="112"/>
      <c r="BR583" s="112"/>
      <c r="BS583" s="112"/>
      <c r="BT583" s="112"/>
      <c r="BU583" s="112"/>
      <c r="BV583" s="112"/>
      <c r="BW583" s="112"/>
      <c r="BX583" s="112"/>
      <c r="BY583" s="112"/>
      <c r="BZ583" s="112"/>
    </row>
    <row r="584" spans="30:78" x14ac:dyDescent="0.2">
      <c r="AD584" s="112"/>
      <c r="AE584" s="112"/>
      <c r="AF584" s="112"/>
      <c r="AG584" s="112"/>
      <c r="AH584" s="112"/>
      <c r="AI584" s="112"/>
      <c r="AJ584" s="112"/>
      <c r="AK584" s="112"/>
      <c r="AL584" s="112"/>
      <c r="AM584" s="112"/>
      <c r="AN584" s="112"/>
      <c r="AO584" s="112"/>
      <c r="AP584" s="112"/>
      <c r="AQ584" s="112"/>
      <c r="AR584" s="112"/>
      <c r="AS584" s="112"/>
      <c r="AT584" s="112"/>
      <c r="AU584" s="112"/>
      <c r="AV584" s="112"/>
      <c r="AW584" s="112"/>
      <c r="AX584" s="112"/>
      <c r="AY584" s="112"/>
      <c r="AZ584" s="112"/>
      <c r="BA584" s="112"/>
      <c r="BB584" s="112"/>
      <c r="BC584" s="112"/>
      <c r="BD584" s="112"/>
      <c r="BE584" s="112"/>
      <c r="BF584" s="112"/>
      <c r="BG584" s="112"/>
      <c r="BH584" s="112"/>
      <c r="BI584" s="112"/>
      <c r="BJ584" s="112"/>
      <c r="BK584" s="112"/>
      <c r="BL584" s="112"/>
      <c r="BM584" s="112"/>
      <c r="BN584" s="112"/>
      <c r="BO584" s="112"/>
      <c r="BP584" s="112"/>
      <c r="BQ584" s="112"/>
      <c r="BR584" s="112"/>
      <c r="BS584" s="112"/>
      <c r="BT584" s="112"/>
      <c r="BU584" s="112"/>
      <c r="BV584" s="112"/>
      <c r="BW584" s="112"/>
      <c r="BX584" s="112"/>
      <c r="BY584" s="112"/>
      <c r="BZ584" s="112"/>
    </row>
    <row r="585" spans="30:78" x14ac:dyDescent="0.2">
      <c r="AD585" s="112"/>
      <c r="AE585" s="112"/>
      <c r="AF585" s="112"/>
      <c r="AG585" s="112"/>
      <c r="AH585" s="112"/>
      <c r="AI585" s="112"/>
      <c r="AJ585" s="112"/>
      <c r="AK585" s="112"/>
      <c r="AL585" s="112"/>
      <c r="AM585" s="112"/>
      <c r="AN585" s="112"/>
      <c r="AO585" s="112"/>
      <c r="AP585" s="112"/>
      <c r="AQ585" s="112"/>
      <c r="AR585" s="112"/>
      <c r="AS585" s="112"/>
      <c r="AT585" s="112"/>
      <c r="AU585" s="112"/>
      <c r="AV585" s="112"/>
      <c r="AW585" s="112"/>
      <c r="AX585" s="112"/>
      <c r="AY585" s="112"/>
      <c r="AZ585" s="112"/>
      <c r="BA585" s="112"/>
      <c r="BB585" s="112"/>
      <c r="BC585" s="112"/>
      <c r="BD585" s="112"/>
      <c r="BE585" s="112"/>
      <c r="BF585" s="112"/>
      <c r="BG585" s="112"/>
      <c r="BH585" s="112"/>
      <c r="BI585" s="112"/>
      <c r="BJ585" s="112"/>
      <c r="BK585" s="112"/>
      <c r="BL585" s="112"/>
      <c r="BM585" s="112"/>
      <c r="BN585" s="112"/>
      <c r="BO585" s="112"/>
      <c r="BP585" s="112"/>
      <c r="BQ585" s="112"/>
      <c r="BR585" s="112"/>
      <c r="BS585" s="112"/>
      <c r="BT585" s="112"/>
      <c r="BU585" s="112"/>
      <c r="BV585" s="112"/>
      <c r="BW585" s="112"/>
      <c r="BX585" s="112"/>
      <c r="BY585" s="112"/>
      <c r="BZ585" s="112"/>
    </row>
    <row r="586" spans="30:78" x14ac:dyDescent="0.2">
      <c r="AD586" s="112"/>
      <c r="AE586" s="112"/>
      <c r="AF586" s="112"/>
      <c r="AG586" s="112"/>
      <c r="AH586" s="112"/>
      <c r="AI586" s="112"/>
      <c r="AJ586" s="112"/>
      <c r="AK586" s="112"/>
      <c r="AL586" s="112"/>
      <c r="AM586" s="112"/>
      <c r="AN586" s="112"/>
      <c r="AO586" s="112"/>
      <c r="AP586" s="112"/>
      <c r="AQ586" s="112"/>
      <c r="AR586" s="112"/>
      <c r="AS586" s="112"/>
      <c r="AT586" s="112"/>
      <c r="AU586" s="112"/>
      <c r="AV586" s="112"/>
      <c r="AW586" s="112"/>
      <c r="AX586" s="112"/>
      <c r="AY586" s="112"/>
      <c r="AZ586" s="112"/>
      <c r="BA586" s="112"/>
      <c r="BB586" s="112"/>
      <c r="BC586" s="112"/>
      <c r="BD586" s="112"/>
      <c r="BE586" s="112"/>
      <c r="BF586" s="112"/>
      <c r="BG586" s="112"/>
      <c r="BH586" s="112"/>
      <c r="BI586" s="112"/>
      <c r="BJ586" s="112"/>
      <c r="BK586" s="112"/>
      <c r="BL586" s="112"/>
      <c r="BM586" s="112"/>
      <c r="BN586" s="112"/>
      <c r="BO586" s="112"/>
      <c r="BP586" s="112"/>
      <c r="BQ586" s="112"/>
      <c r="BR586" s="112"/>
      <c r="BS586" s="112"/>
      <c r="BT586" s="112"/>
      <c r="BU586" s="112"/>
      <c r="BV586" s="112"/>
      <c r="BW586" s="112"/>
      <c r="BX586" s="112"/>
      <c r="BY586" s="112"/>
      <c r="BZ586" s="112"/>
    </row>
    <row r="587" spans="30:78" x14ac:dyDescent="0.2">
      <c r="AD587" s="112"/>
      <c r="AE587" s="112"/>
      <c r="AF587" s="112"/>
      <c r="AG587" s="112"/>
      <c r="AH587" s="112"/>
      <c r="AI587" s="112"/>
      <c r="AJ587" s="112"/>
      <c r="AK587" s="112"/>
      <c r="AL587" s="112"/>
      <c r="AM587" s="112"/>
      <c r="AN587" s="112"/>
      <c r="AO587" s="112"/>
      <c r="AP587" s="112"/>
      <c r="AQ587" s="112"/>
      <c r="AR587" s="112"/>
      <c r="AS587" s="112"/>
      <c r="AT587" s="112"/>
      <c r="AU587" s="112"/>
      <c r="AV587" s="112"/>
      <c r="AW587" s="112"/>
      <c r="AX587" s="112"/>
      <c r="AY587" s="112"/>
      <c r="AZ587" s="112"/>
      <c r="BA587" s="112"/>
      <c r="BB587" s="112"/>
      <c r="BC587" s="112"/>
      <c r="BD587" s="112"/>
      <c r="BE587" s="112"/>
      <c r="BF587" s="112"/>
      <c r="BG587" s="112"/>
      <c r="BH587" s="112"/>
      <c r="BI587" s="112"/>
      <c r="BJ587" s="112"/>
      <c r="BK587" s="112"/>
      <c r="BL587" s="112"/>
      <c r="BM587" s="112"/>
      <c r="BN587" s="112"/>
      <c r="BO587" s="112"/>
      <c r="BP587" s="112"/>
      <c r="BQ587" s="112"/>
      <c r="BR587" s="112"/>
      <c r="BS587" s="112"/>
      <c r="BT587" s="112"/>
      <c r="BU587" s="112"/>
      <c r="BV587" s="112"/>
      <c r="BW587" s="112"/>
      <c r="BX587" s="112"/>
      <c r="BY587" s="112"/>
      <c r="BZ587" s="112"/>
    </row>
    <row r="588" spans="30:78" x14ac:dyDescent="0.2">
      <c r="AD588" s="112"/>
      <c r="AE588" s="112"/>
      <c r="AF588" s="112"/>
      <c r="AG588" s="112"/>
      <c r="AH588" s="112"/>
      <c r="AI588" s="112"/>
      <c r="AJ588" s="112"/>
      <c r="AK588" s="112"/>
      <c r="AL588" s="112"/>
      <c r="AM588" s="112"/>
      <c r="AN588" s="112"/>
      <c r="AO588" s="112"/>
      <c r="AP588" s="112"/>
      <c r="AQ588" s="112"/>
      <c r="AR588" s="112"/>
      <c r="AS588" s="112"/>
      <c r="AT588" s="112"/>
      <c r="AU588" s="112"/>
      <c r="AV588" s="112"/>
      <c r="AW588" s="112"/>
      <c r="AX588" s="112"/>
      <c r="AY588" s="112"/>
      <c r="AZ588" s="112"/>
      <c r="BA588" s="112"/>
      <c r="BB588" s="112"/>
      <c r="BC588" s="112"/>
      <c r="BD588" s="112"/>
      <c r="BE588" s="112"/>
      <c r="BF588" s="112"/>
      <c r="BG588" s="112"/>
      <c r="BH588" s="112"/>
      <c r="BI588" s="112"/>
      <c r="BJ588" s="112"/>
      <c r="BK588" s="112"/>
      <c r="BL588" s="112"/>
      <c r="BM588" s="112"/>
      <c r="BN588" s="112"/>
      <c r="BO588" s="112"/>
      <c r="BP588" s="112"/>
      <c r="BQ588" s="112"/>
      <c r="BR588" s="112"/>
      <c r="BS588" s="112"/>
      <c r="BT588" s="112"/>
      <c r="BU588" s="112"/>
      <c r="BV588" s="112"/>
      <c r="BW588" s="112"/>
      <c r="BX588" s="112"/>
      <c r="BY588" s="112"/>
      <c r="BZ588" s="112"/>
    </row>
    <row r="589" spans="30:78" x14ac:dyDescent="0.2">
      <c r="AD589" s="112"/>
      <c r="AE589" s="112"/>
      <c r="AF589" s="112"/>
      <c r="AG589" s="112"/>
      <c r="AH589" s="112"/>
      <c r="AI589" s="112"/>
      <c r="AJ589" s="112"/>
      <c r="AK589" s="112"/>
      <c r="AL589" s="112"/>
      <c r="AM589" s="112"/>
      <c r="AN589" s="112"/>
      <c r="AO589" s="112"/>
      <c r="AP589" s="112"/>
      <c r="AQ589" s="112"/>
      <c r="AR589" s="112"/>
      <c r="AS589" s="112"/>
      <c r="AT589" s="112"/>
      <c r="AU589" s="112"/>
      <c r="AV589" s="112"/>
      <c r="AW589" s="112"/>
      <c r="AX589" s="112"/>
      <c r="AY589" s="112"/>
      <c r="AZ589" s="112"/>
      <c r="BA589" s="112"/>
      <c r="BB589" s="112"/>
      <c r="BC589" s="112"/>
      <c r="BD589" s="112"/>
      <c r="BE589" s="112"/>
      <c r="BF589" s="112"/>
      <c r="BG589" s="112"/>
      <c r="BH589" s="112"/>
      <c r="BI589" s="112"/>
      <c r="BJ589" s="112"/>
      <c r="BK589" s="112"/>
      <c r="BL589" s="112"/>
      <c r="BM589" s="112"/>
      <c r="BN589" s="112"/>
      <c r="BO589" s="112"/>
      <c r="BP589" s="112"/>
      <c r="BQ589" s="112"/>
      <c r="BR589" s="112"/>
      <c r="BS589" s="112"/>
      <c r="BT589" s="112"/>
      <c r="BU589" s="112"/>
      <c r="BV589" s="112"/>
      <c r="BW589" s="112"/>
      <c r="BX589" s="112"/>
      <c r="BY589" s="112"/>
      <c r="BZ589" s="112"/>
    </row>
    <row r="590" spans="30:78" x14ac:dyDescent="0.2">
      <c r="AD590" s="112"/>
      <c r="AE590" s="112"/>
      <c r="AF590" s="112"/>
      <c r="AG590" s="112"/>
      <c r="AH590" s="112"/>
      <c r="AI590" s="112"/>
      <c r="AJ590" s="112"/>
      <c r="AK590" s="112"/>
      <c r="AL590" s="112"/>
      <c r="AM590" s="112"/>
      <c r="AN590" s="112"/>
      <c r="AO590" s="112"/>
      <c r="AP590" s="112"/>
      <c r="AQ590" s="112"/>
      <c r="AR590" s="112"/>
      <c r="AS590" s="112"/>
      <c r="AT590" s="112"/>
      <c r="AU590" s="112"/>
      <c r="AV590" s="112"/>
      <c r="AW590" s="112"/>
      <c r="AX590" s="112"/>
      <c r="AY590" s="112"/>
      <c r="AZ590" s="112"/>
      <c r="BA590" s="112"/>
      <c r="BB590" s="112"/>
      <c r="BC590" s="112"/>
      <c r="BD590" s="112"/>
      <c r="BE590" s="112"/>
      <c r="BF590" s="112"/>
      <c r="BG590" s="112"/>
      <c r="BH590" s="112"/>
      <c r="BI590" s="112"/>
      <c r="BJ590" s="112"/>
      <c r="BK590" s="112"/>
      <c r="BL590" s="112"/>
      <c r="BM590" s="112"/>
      <c r="BN590" s="112"/>
      <c r="BO590" s="112"/>
      <c r="BP590" s="112"/>
      <c r="BQ590" s="112"/>
      <c r="BR590" s="112"/>
      <c r="BS590" s="112"/>
      <c r="BT590" s="112"/>
      <c r="BU590" s="112"/>
      <c r="BV590" s="112"/>
      <c r="BW590" s="112"/>
      <c r="BX590" s="112"/>
      <c r="BY590" s="112"/>
      <c r="BZ590" s="112"/>
    </row>
    <row r="591" spans="30:78" x14ac:dyDescent="0.2">
      <c r="AD591" s="112"/>
      <c r="AE591" s="112"/>
      <c r="AF591" s="112"/>
      <c r="AG591" s="112"/>
      <c r="AH591" s="112"/>
      <c r="AI591" s="112"/>
      <c r="AJ591" s="112"/>
      <c r="AK591" s="112"/>
      <c r="AL591" s="112"/>
      <c r="AM591" s="112"/>
      <c r="AN591" s="112"/>
      <c r="AO591" s="112"/>
      <c r="AP591" s="112"/>
      <c r="AQ591" s="112"/>
      <c r="AR591" s="112"/>
      <c r="AS591" s="112"/>
      <c r="AT591" s="112"/>
      <c r="AU591" s="112"/>
      <c r="AV591" s="112"/>
      <c r="AW591" s="112"/>
      <c r="AX591" s="112"/>
      <c r="AY591" s="112"/>
      <c r="AZ591" s="112"/>
      <c r="BA591" s="112"/>
      <c r="BB591" s="112"/>
      <c r="BC591" s="112"/>
      <c r="BD591" s="112"/>
      <c r="BE591" s="112"/>
      <c r="BF591" s="112"/>
      <c r="BG591" s="112"/>
      <c r="BH591" s="112"/>
      <c r="BI591" s="112"/>
      <c r="BJ591" s="112"/>
      <c r="BK591" s="112"/>
      <c r="BL591" s="112"/>
      <c r="BM591" s="112"/>
      <c r="BN591" s="112"/>
      <c r="BO591" s="112"/>
      <c r="BP591" s="112"/>
      <c r="BQ591" s="112"/>
      <c r="BR591" s="112"/>
      <c r="BS591" s="112"/>
      <c r="BT591" s="112"/>
      <c r="BU591" s="112"/>
      <c r="BV591" s="112"/>
      <c r="BW591" s="112"/>
      <c r="BX591" s="112"/>
      <c r="BY591" s="112"/>
      <c r="BZ591" s="112"/>
    </row>
    <row r="592" spans="30:78" x14ac:dyDescent="0.2">
      <c r="AD592" s="112"/>
      <c r="AE592" s="112"/>
      <c r="AF592" s="112"/>
      <c r="AG592" s="112"/>
      <c r="AH592" s="112"/>
      <c r="AI592" s="112"/>
      <c r="AJ592" s="112"/>
      <c r="AK592" s="112"/>
      <c r="AL592" s="112"/>
      <c r="AM592" s="112"/>
      <c r="AN592" s="112"/>
      <c r="AO592" s="112"/>
      <c r="AP592" s="112"/>
      <c r="AQ592" s="112"/>
      <c r="AR592" s="112"/>
      <c r="AS592" s="112"/>
      <c r="AT592" s="112"/>
      <c r="AU592" s="112"/>
      <c r="AV592" s="112"/>
      <c r="AW592" s="112"/>
      <c r="AX592" s="112"/>
      <c r="AY592" s="112"/>
      <c r="AZ592" s="112"/>
      <c r="BA592" s="112"/>
      <c r="BB592" s="112"/>
      <c r="BC592" s="112"/>
      <c r="BD592" s="112"/>
      <c r="BE592" s="112"/>
      <c r="BF592" s="112"/>
      <c r="BG592" s="112"/>
      <c r="BH592" s="112"/>
      <c r="BI592" s="112"/>
      <c r="BJ592" s="112"/>
      <c r="BK592" s="112"/>
      <c r="BL592" s="112"/>
      <c r="BM592" s="112"/>
      <c r="BN592" s="112"/>
      <c r="BO592" s="112"/>
      <c r="BP592" s="112"/>
      <c r="BQ592" s="112"/>
      <c r="BR592" s="112"/>
      <c r="BS592" s="112"/>
      <c r="BT592" s="112"/>
      <c r="BU592" s="112"/>
      <c r="BV592" s="112"/>
      <c r="BW592" s="112"/>
      <c r="BX592" s="112"/>
      <c r="BY592" s="112"/>
      <c r="BZ592" s="112"/>
    </row>
    <row r="593" spans="30:78" x14ac:dyDescent="0.2">
      <c r="AD593" s="112"/>
      <c r="AE593" s="112"/>
      <c r="AF593" s="112"/>
      <c r="AG593" s="112"/>
      <c r="AH593" s="112"/>
      <c r="AI593" s="112"/>
      <c r="AJ593" s="112"/>
      <c r="AK593" s="112"/>
      <c r="AL593" s="112"/>
      <c r="AM593" s="112"/>
      <c r="AN593" s="112"/>
      <c r="AO593" s="112"/>
      <c r="AP593" s="112"/>
      <c r="AQ593" s="112"/>
      <c r="AR593" s="112"/>
      <c r="AS593" s="112"/>
      <c r="AT593" s="112"/>
      <c r="AU593" s="112"/>
      <c r="AV593" s="112"/>
      <c r="AW593" s="112"/>
      <c r="AX593" s="112"/>
      <c r="AY593" s="112"/>
      <c r="AZ593" s="112"/>
      <c r="BA593" s="112"/>
      <c r="BB593" s="112"/>
      <c r="BC593" s="112"/>
      <c r="BD593" s="112"/>
      <c r="BE593" s="112"/>
      <c r="BF593" s="112"/>
      <c r="BG593" s="112"/>
      <c r="BH593" s="112"/>
      <c r="BI593" s="112"/>
      <c r="BJ593" s="112"/>
      <c r="BK593" s="112"/>
      <c r="BL593" s="112"/>
      <c r="BM593" s="112"/>
      <c r="BN593" s="112"/>
      <c r="BO593" s="112"/>
      <c r="BP593" s="112"/>
      <c r="BQ593" s="112"/>
      <c r="BR593" s="112"/>
      <c r="BS593" s="112"/>
      <c r="BT593" s="112"/>
      <c r="BU593" s="112"/>
      <c r="BV593" s="112"/>
      <c r="BW593" s="112"/>
      <c r="BX593" s="112"/>
      <c r="BY593" s="112"/>
      <c r="BZ593" s="112"/>
    </row>
    <row r="594" spans="30:78" x14ac:dyDescent="0.2">
      <c r="AD594" s="112"/>
      <c r="AE594" s="112"/>
      <c r="AF594" s="112"/>
      <c r="AG594" s="112"/>
      <c r="AH594" s="112"/>
      <c r="AI594" s="112"/>
      <c r="AJ594" s="112"/>
      <c r="AK594" s="112"/>
      <c r="AL594" s="112"/>
      <c r="AM594" s="112"/>
      <c r="AN594" s="112"/>
      <c r="AO594" s="112"/>
      <c r="AP594" s="112"/>
      <c r="AQ594" s="112"/>
      <c r="AR594" s="112"/>
      <c r="AS594" s="112"/>
      <c r="AT594" s="112"/>
      <c r="AU594" s="112"/>
      <c r="AV594" s="112"/>
      <c r="AW594" s="112"/>
      <c r="AX594" s="112"/>
      <c r="AY594" s="112"/>
      <c r="AZ594" s="112"/>
      <c r="BA594" s="112"/>
      <c r="BB594" s="112"/>
      <c r="BC594" s="112"/>
      <c r="BD594" s="112"/>
      <c r="BE594" s="112"/>
      <c r="BF594" s="112"/>
      <c r="BG594" s="112"/>
      <c r="BH594" s="112"/>
      <c r="BI594" s="112"/>
      <c r="BJ594" s="112"/>
      <c r="BK594" s="112"/>
      <c r="BL594" s="112"/>
      <c r="BM594" s="112"/>
      <c r="BN594" s="112"/>
      <c r="BO594" s="112"/>
      <c r="BP594" s="112"/>
      <c r="BQ594" s="112"/>
      <c r="BR594" s="112"/>
      <c r="BS594" s="112"/>
      <c r="BT594" s="112"/>
      <c r="BU594" s="112"/>
      <c r="BV594" s="112"/>
      <c r="BW594" s="112"/>
      <c r="BX594" s="112"/>
      <c r="BY594" s="112"/>
      <c r="BZ594" s="112"/>
    </row>
    <row r="595" spans="30:78" x14ac:dyDescent="0.2">
      <c r="AD595" s="112"/>
      <c r="AE595" s="112"/>
      <c r="AF595" s="112"/>
      <c r="AG595" s="112"/>
      <c r="AH595" s="112"/>
      <c r="AI595" s="112"/>
      <c r="AJ595" s="112"/>
      <c r="AK595" s="112"/>
      <c r="AL595" s="112"/>
      <c r="AM595" s="112"/>
      <c r="AN595" s="112"/>
      <c r="AO595" s="112"/>
      <c r="AP595" s="112"/>
      <c r="AQ595" s="112"/>
      <c r="AR595" s="112"/>
      <c r="AS595" s="112"/>
      <c r="AT595" s="112"/>
      <c r="AU595" s="112"/>
      <c r="AV595" s="112"/>
      <c r="AW595" s="112"/>
      <c r="AX595" s="112"/>
      <c r="AY595" s="112"/>
      <c r="AZ595" s="112"/>
      <c r="BA595" s="112"/>
      <c r="BB595" s="112"/>
      <c r="BC595" s="112"/>
      <c r="BD595" s="112"/>
      <c r="BE595" s="112"/>
      <c r="BF595" s="112"/>
      <c r="BG595" s="112"/>
      <c r="BH595" s="112"/>
      <c r="BI595" s="112"/>
      <c r="BJ595" s="112"/>
      <c r="BK595" s="112"/>
      <c r="BL595" s="112"/>
      <c r="BM595" s="112"/>
      <c r="BN595" s="112"/>
      <c r="BO595" s="112"/>
      <c r="BP595" s="112"/>
      <c r="BQ595" s="112"/>
      <c r="BR595" s="112"/>
      <c r="BS595" s="112"/>
      <c r="BT595" s="112"/>
      <c r="BU595" s="112"/>
      <c r="BV595" s="112"/>
      <c r="BW595" s="112"/>
      <c r="BX595" s="112"/>
      <c r="BY595" s="112"/>
      <c r="BZ595" s="112"/>
    </row>
    <row r="596" spans="30:78" x14ac:dyDescent="0.2">
      <c r="AD596" s="112"/>
      <c r="AE596" s="112"/>
      <c r="AF596" s="112"/>
      <c r="AG596" s="112"/>
      <c r="AH596" s="112"/>
      <c r="AI596" s="112"/>
      <c r="AJ596" s="112"/>
      <c r="AK596" s="112"/>
      <c r="AL596" s="112"/>
      <c r="AM596" s="112"/>
      <c r="AN596" s="112"/>
      <c r="AO596" s="112"/>
      <c r="AP596" s="112"/>
      <c r="AQ596" s="112"/>
      <c r="AR596" s="112"/>
      <c r="AS596" s="112"/>
      <c r="AT596" s="112"/>
      <c r="AU596" s="112"/>
      <c r="AV596" s="112"/>
      <c r="AW596" s="112"/>
      <c r="AX596" s="112"/>
      <c r="AY596" s="112"/>
      <c r="AZ596" s="112"/>
      <c r="BA596" s="112"/>
      <c r="BB596" s="112"/>
      <c r="BC596" s="112"/>
      <c r="BD596" s="112"/>
      <c r="BE596" s="112"/>
      <c r="BF596" s="112"/>
      <c r="BG596" s="112"/>
      <c r="BH596" s="112"/>
      <c r="BI596" s="112"/>
      <c r="BJ596" s="112"/>
      <c r="BK596" s="112"/>
      <c r="BL596" s="112"/>
      <c r="BM596" s="112"/>
      <c r="BN596" s="112"/>
      <c r="BO596" s="112"/>
      <c r="BP596" s="112"/>
      <c r="BQ596" s="112"/>
      <c r="BR596" s="112"/>
      <c r="BS596" s="112"/>
      <c r="BT596" s="112"/>
      <c r="BU596" s="112"/>
      <c r="BV596" s="112"/>
      <c r="BW596" s="112"/>
      <c r="BX596" s="112"/>
      <c r="BY596" s="112"/>
      <c r="BZ596" s="112"/>
    </row>
    <row r="597" spans="30:78" x14ac:dyDescent="0.2">
      <c r="AD597" s="112"/>
      <c r="AE597" s="112"/>
      <c r="AF597" s="112"/>
      <c r="AG597" s="112"/>
      <c r="AH597" s="112"/>
      <c r="AI597" s="112"/>
      <c r="AJ597" s="112"/>
      <c r="AK597" s="112"/>
      <c r="AL597" s="112"/>
      <c r="AM597" s="112"/>
      <c r="AN597" s="112"/>
      <c r="AO597" s="112"/>
      <c r="AP597" s="112"/>
      <c r="AQ597" s="112"/>
      <c r="AR597" s="112"/>
      <c r="AS597" s="112"/>
      <c r="AT597" s="112"/>
      <c r="AU597" s="112"/>
      <c r="AV597" s="112"/>
      <c r="AW597" s="112"/>
      <c r="AX597" s="112"/>
      <c r="AY597" s="112"/>
      <c r="AZ597" s="112"/>
      <c r="BA597" s="112"/>
      <c r="BB597" s="112"/>
      <c r="BC597" s="112"/>
      <c r="BD597" s="112"/>
      <c r="BE597" s="112"/>
      <c r="BF597" s="112"/>
      <c r="BG597" s="112"/>
      <c r="BH597" s="112"/>
      <c r="BI597" s="112"/>
      <c r="BJ597" s="112"/>
      <c r="BK597" s="112"/>
      <c r="BL597" s="112"/>
      <c r="BM597" s="112"/>
      <c r="BN597" s="112"/>
      <c r="BO597" s="112"/>
      <c r="BP597" s="112"/>
      <c r="BQ597" s="112"/>
      <c r="BR597" s="112"/>
      <c r="BS597" s="112"/>
      <c r="BT597" s="112"/>
      <c r="BU597" s="112"/>
      <c r="BV597" s="112"/>
      <c r="BW597" s="112"/>
      <c r="BX597" s="112"/>
      <c r="BY597" s="112"/>
      <c r="BZ597" s="112"/>
    </row>
    <row r="598" spans="30:78" x14ac:dyDescent="0.2">
      <c r="AD598" s="112"/>
      <c r="AE598" s="112"/>
      <c r="AF598" s="112"/>
      <c r="AG598" s="112"/>
      <c r="AH598" s="112"/>
      <c r="AI598" s="112"/>
      <c r="AJ598" s="112"/>
      <c r="AK598" s="112"/>
      <c r="AL598" s="112"/>
      <c r="AM598" s="112"/>
      <c r="AN598" s="112"/>
      <c r="AO598" s="112"/>
      <c r="AP598" s="112"/>
      <c r="AQ598" s="112"/>
      <c r="AR598" s="112"/>
      <c r="AS598" s="112"/>
      <c r="AT598" s="112"/>
      <c r="AU598" s="112"/>
      <c r="AV598" s="112"/>
      <c r="AW598" s="112"/>
      <c r="AX598" s="112"/>
      <c r="AY598" s="112"/>
      <c r="AZ598" s="112"/>
      <c r="BA598" s="112"/>
      <c r="BB598" s="112"/>
      <c r="BC598" s="112"/>
      <c r="BD598" s="112"/>
      <c r="BE598" s="112"/>
      <c r="BF598" s="112"/>
      <c r="BG598" s="112"/>
      <c r="BH598" s="112"/>
      <c r="BI598" s="112"/>
      <c r="BJ598" s="112"/>
      <c r="BK598" s="112"/>
      <c r="BL598" s="112"/>
      <c r="BM598" s="112"/>
      <c r="BN598" s="112"/>
      <c r="BO598" s="112"/>
      <c r="BP598" s="112"/>
      <c r="BQ598" s="112"/>
      <c r="BR598" s="112"/>
      <c r="BS598" s="112"/>
      <c r="BT598" s="112"/>
      <c r="BU598" s="112"/>
      <c r="BV598" s="112"/>
      <c r="BW598" s="112"/>
      <c r="BX598" s="112"/>
      <c r="BY598" s="112"/>
      <c r="BZ598" s="112"/>
    </row>
    <row r="599" spans="30:78" x14ac:dyDescent="0.2">
      <c r="AD599" s="112"/>
      <c r="AE599" s="112"/>
      <c r="AF599" s="112"/>
      <c r="AG599" s="112"/>
      <c r="AH599" s="112"/>
      <c r="AI599" s="112"/>
      <c r="AJ599" s="112"/>
      <c r="AK599" s="112"/>
      <c r="AL599" s="112"/>
      <c r="AM599" s="112"/>
      <c r="AN599" s="112"/>
      <c r="AO599" s="112"/>
      <c r="AP599" s="112"/>
      <c r="AQ599" s="112"/>
      <c r="AR599" s="112"/>
      <c r="AS599" s="112"/>
      <c r="AT599" s="112"/>
      <c r="AU599" s="112"/>
      <c r="AV599" s="112"/>
      <c r="AW599" s="112"/>
      <c r="AX599" s="112"/>
      <c r="AY599" s="112"/>
      <c r="AZ599" s="112"/>
      <c r="BA599" s="112"/>
      <c r="BB599" s="112"/>
      <c r="BC599" s="112"/>
      <c r="BD599" s="112"/>
      <c r="BE599" s="112"/>
      <c r="BF599" s="112"/>
      <c r="BG599" s="112"/>
      <c r="BH599" s="112"/>
      <c r="BI599" s="112"/>
      <c r="BJ599" s="112"/>
      <c r="BK599" s="112"/>
      <c r="BL599" s="112"/>
      <c r="BM599" s="112"/>
      <c r="BN599" s="112"/>
      <c r="BO599" s="112"/>
      <c r="BP599" s="112"/>
      <c r="BQ599" s="112"/>
      <c r="BR599" s="112"/>
      <c r="BS599" s="112"/>
      <c r="BT599" s="112"/>
      <c r="BU599" s="112"/>
      <c r="BV599" s="112"/>
      <c r="BW599" s="112"/>
      <c r="BX599" s="112"/>
      <c r="BY599" s="112"/>
      <c r="BZ599" s="112"/>
    </row>
    <row r="600" spans="30:78" x14ac:dyDescent="0.2">
      <c r="AD600" s="112"/>
      <c r="AE600" s="112"/>
      <c r="AF600" s="112"/>
      <c r="AG600" s="112"/>
      <c r="AH600" s="112"/>
      <c r="AI600" s="112"/>
      <c r="AJ600" s="112"/>
      <c r="AK600" s="112"/>
      <c r="AL600" s="112"/>
      <c r="AM600" s="112"/>
      <c r="AN600" s="112"/>
      <c r="AO600" s="112"/>
      <c r="AP600" s="112"/>
      <c r="AQ600" s="112"/>
      <c r="AR600" s="112"/>
      <c r="AS600" s="112"/>
      <c r="AT600" s="112"/>
      <c r="AU600" s="112"/>
      <c r="AV600" s="112"/>
      <c r="AW600" s="112"/>
      <c r="AX600" s="112"/>
      <c r="AY600" s="112"/>
      <c r="AZ600" s="112"/>
      <c r="BA600" s="112"/>
      <c r="BB600" s="112"/>
      <c r="BC600" s="112"/>
      <c r="BD600" s="112"/>
      <c r="BE600" s="112"/>
      <c r="BF600" s="112"/>
      <c r="BG600" s="112"/>
      <c r="BH600" s="112"/>
      <c r="BI600" s="112"/>
      <c r="BJ600" s="112"/>
      <c r="BK600" s="112"/>
      <c r="BL600" s="112"/>
      <c r="BM600" s="112"/>
      <c r="BN600" s="112"/>
      <c r="BO600" s="112"/>
      <c r="BP600" s="112"/>
      <c r="BQ600" s="112"/>
      <c r="BR600" s="112"/>
      <c r="BS600" s="112"/>
      <c r="BT600" s="112"/>
      <c r="BU600" s="112"/>
      <c r="BV600" s="112"/>
      <c r="BW600" s="112"/>
      <c r="BX600" s="112"/>
      <c r="BY600" s="112"/>
      <c r="BZ600" s="112"/>
    </row>
    <row r="601" spans="30:78" x14ac:dyDescent="0.2">
      <c r="AD601" s="112"/>
      <c r="AE601" s="112"/>
      <c r="AF601" s="112"/>
      <c r="AG601" s="112"/>
      <c r="AH601" s="112"/>
      <c r="AI601" s="112"/>
      <c r="AJ601" s="112"/>
      <c r="AK601" s="112"/>
      <c r="AL601" s="112"/>
      <c r="AM601" s="112"/>
      <c r="AN601" s="112"/>
      <c r="AO601" s="112"/>
      <c r="AP601" s="112"/>
      <c r="AQ601" s="112"/>
      <c r="AR601" s="112"/>
      <c r="AS601" s="112"/>
      <c r="AT601" s="112"/>
      <c r="AU601" s="112"/>
      <c r="AV601" s="112"/>
      <c r="AW601" s="112"/>
      <c r="AX601" s="112"/>
      <c r="AY601" s="112"/>
      <c r="AZ601" s="112"/>
      <c r="BA601" s="112"/>
      <c r="BB601" s="112"/>
      <c r="BC601" s="112"/>
      <c r="BD601" s="112"/>
      <c r="BE601" s="112"/>
      <c r="BF601" s="112"/>
      <c r="BG601" s="112"/>
      <c r="BH601" s="112"/>
      <c r="BI601" s="112"/>
      <c r="BJ601" s="112"/>
      <c r="BK601" s="112"/>
      <c r="BL601" s="112"/>
      <c r="BM601" s="112"/>
      <c r="BN601" s="112"/>
      <c r="BO601" s="112"/>
      <c r="BP601" s="112"/>
      <c r="BQ601" s="112"/>
      <c r="BR601" s="112"/>
      <c r="BS601" s="112"/>
      <c r="BT601" s="112"/>
      <c r="BU601" s="112"/>
      <c r="BV601" s="112"/>
      <c r="BW601" s="112"/>
      <c r="BX601" s="112"/>
      <c r="BY601" s="112"/>
      <c r="BZ601" s="112"/>
    </row>
    <row r="602" spans="30:78" x14ac:dyDescent="0.2">
      <c r="AD602" s="112"/>
      <c r="AE602" s="112"/>
      <c r="AF602" s="112"/>
      <c r="AG602" s="112"/>
      <c r="AH602" s="112"/>
      <c r="AI602" s="112"/>
      <c r="AJ602" s="112"/>
      <c r="AK602" s="112"/>
      <c r="AL602" s="112"/>
      <c r="AM602" s="112"/>
      <c r="AN602" s="112"/>
      <c r="AO602" s="112"/>
      <c r="AP602" s="112"/>
      <c r="AQ602" s="112"/>
      <c r="AR602" s="112"/>
      <c r="AS602" s="112"/>
      <c r="AT602" s="112"/>
      <c r="AU602" s="112"/>
      <c r="AV602" s="112"/>
      <c r="AW602" s="112"/>
      <c r="AX602" s="112"/>
      <c r="AY602" s="112"/>
      <c r="AZ602" s="112"/>
      <c r="BA602" s="112"/>
      <c r="BB602" s="112"/>
      <c r="BC602" s="112"/>
      <c r="BD602" s="112"/>
      <c r="BE602" s="112"/>
      <c r="BF602" s="112"/>
      <c r="BG602" s="112"/>
      <c r="BH602" s="112"/>
      <c r="BI602" s="112"/>
      <c r="BJ602" s="112"/>
      <c r="BK602" s="112"/>
      <c r="BL602" s="112"/>
      <c r="BM602" s="112"/>
      <c r="BN602" s="112"/>
      <c r="BO602" s="112"/>
      <c r="BP602" s="112"/>
      <c r="BQ602" s="112"/>
      <c r="BR602" s="112"/>
      <c r="BS602" s="112"/>
      <c r="BT602" s="112"/>
      <c r="BU602" s="112"/>
      <c r="BV602" s="112"/>
      <c r="BW602" s="112"/>
      <c r="BX602" s="112"/>
      <c r="BY602" s="112"/>
      <c r="BZ602" s="112"/>
    </row>
    <row r="603" spans="30:78" x14ac:dyDescent="0.2">
      <c r="AD603" s="112"/>
      <c r="AE603" s="112"/>
      <c r="AF603" s="112"/>
      <c r="AG603" s="112"/>
      <c r="AH603" s="112"/>
      <c r="AI603" s="112"/>
      <c r="AJ603" s="112"/>
      <c r="AK603" s="112"/>
      <c r="AL603" s="112"/>
      <c r="AM603" s="112"/>
      <c r="AN603" s="112"/>
      <c r="AO603" s="112"/>
      <c r="AP603" s="112"/>
      <c r="AQ603" s="112"/>
      <c r="AR603" s="112"/>
      <c r="AS603" s="112"/>
      <c r="AT603" s="112"/>
      <c r="AU603" s="112"/>
      <c r="AV603" s="112"/>
      <c r="AW603" s="112"/>
      <c r="AX603" s="112"/>
      <c r="AY603" s="112"/>
      <c r="AZ603" s="112"/>
      <c r="BA603" s="112"/>
      <c r="BB603" s="112"/>
      <c r="BC603" s="112"/>
      <c r="BD603" s="112"/>
      <c r="BE603" s="112"/>
      <c r="BF603" s="112"/>
      <c r="BG603" s="112"/>
      <c r="BH603" s="112"/>
      <c r="BI603" s="112"/>
      <c r="BJ603" s="112"/>
      <c r="BK603" s="112"/>
      <c r="BL603" s="112"/>
      <c r="BM603" s="112"/>
      <c r="BN603" s="112"/>
      <c r="BO603" s="112"/>
      <c r="BP603" s="112"/>
      <c r="BQ603" s="112"/>
      <c r="BR603" s="112"/>
      <c r="BS603" s="112"/>
      <c r="BT603" s="112"/>
      <c r="BU603" s="112"/>
      <c r="BV603" s="112"/>
      <c r="BW603" s="112"/>
      <c r="BX603" s="112"/>
      <c r="BY603" s="112"/>
      <c r="BZ603" s="112"/>
    </row>
    <row r="604" spans="30:78" x14ac:dyDescent="0.2">
      <c r="AD604" s="112"/>
      <c r="AE604" s="112"/>
      <c r="AF604" s="112"/>
      <c r="AG604" s="112"/>
      <c r="AH604" s="112"/>
      <c r="AI604" s="112"/>
      <c r="AJ604" s="112"/>
      <c r="AK604" s="112"/>
      <c r="AL604" s="112"/>
      <c r="AM604" s="112"/>
      <c r="AN604" s="112"/>
      <c r="AO604" s="112"/>
      <c r="AP604" s="112"/>
      <c r="AQ604" s="112"/>
      <c r="AR604" s="112"/>
      <c r="AS604" s="112"/>
      <c r="AT604" s="112"/>
      <c r="AU604" s="112"/>
      <c r="AV604" s="112"/>
      <c r="AW604" s="112"/>
      <c r="AX604" s="112"/>
      <c r="AY604" s="112"/>
      <c r="AZ604" s="112"/>
      <c r="BA604" s="112"/>
      <c r="BB604" s="112"/>
      <c r="BC604" s="112"/>
      <c r="BD604" s="112"/>
      <c r="BE604" s="112"/>
      <c r="BF604" s="112"/>
      <c r="BG604" s="112"/>
      <c r="BH604" s="112"/>
      <c r="BI604" s="112"/>
      <c r="BJ604" s="112"/>
      <c r="BK604" s="112"/>
      <c r="BL604" s="112"/>
      <c r="BM604" s="112"/>
      <c r="BN604" s="112"/>
      <c r="BO604" s="112"/>
      <c r="BP604" s="112"/>
      <c r="BQ604" s="112"/>
      <c r="BR604" s="112"/>
      <c r="BS604" s="112"/>
      <c r="BT604" s="112"/>
      <c r="BU604" s="112"/>
      <c r="BV604" s="112"/>
      <c r="BW604" s="112"/>
      <c r="BX604" s="112"/>
      <c r="BY604" s="112"/>
      <c r="BZ604" s="112"/>
    </row>
    <row r="605" spans="30:78" x14ac:dyDescent="0.2">
      <c r="AD605" s="112"/>
      <c r="AE605" s="112"/>
      <c r="AF605" s="112"/>
      <c r="AG605" s="112"/>
      <c r="AH605" s="112"/>
      <c r="AI605" s="112"/>
      <c r="AJ605" s="112"/>
      <c r="AK605" s="112"/>
      <c r="AL605" s="112"/>
      <c r="AM605" s="112"/>
      <c r="AN605" s="112"/>
      <c r="AO605" s="112"/>
      <c r="AP605" s="112"/>
      <c r="AQ605" s="112"/>
      <c r="AR605" s="112"/>
      <c r="AS605" s="112"/>
      <c r="AT605" s="112"/>
      <c r="AU605" s="112"/>
      <c r="AV605" s="112"/>
      <c r="AW605" s="112"/>
      <c r="AX605" s="112"/>
      <c r="AY605" s="112"/>
      <c r="AZ605" s="112"/>
      <c r="BA605" s="112"/>
      <c r="BB605" s="112"/>
      <c r="BC605" s="112"/>
      <c r="BD605" s="112"/>
      <c r="BE605" s="112"/>
      <c r="BF605" s="112"/>
      <c r="BG605" s="112"/>
      <c r="BH605" s="112"/>
      <c r="BI605" s="112"/>
      <c r="BJ605" s="112"/>
      <c r="BK605" s="112"/>
      <c r="BL605" s="112"/>
      <c r="BM605" s="112"/>
      <c r="BN605" s="112"/>
      <c r="BO605" s="112"/>
      <c r="BP605" s="112"/>
      <c r="BQ605" s="112"/>
      <c r="BR605" s="112"/>
      <c r="BS605" s="112"/>
      <c r="BT605" s="112"/>
      <c r="BU605" s="112"/>
      <c r="BV605" s="112"/>
      <c r="BW605" s="112"/>
      <c r="BX605" s="112"/>
      <c r="BY605" s="112"/>
      <c r="BZ605" s="112"/>
    </row>
    <row r="606" spans="30:78" x14ac:dyDescent="0.2">
      <c r="AD606" s="112"/>
      <c r="AE606" s="112"/>
      <c r="AF606" s="112"/>
      <c r="AG606" s="112"/>
      <c r="AH606" s="112"/>
      <c r="AI606" s="112"/>
      <c r="AJ606" s="112"/>
      <c r="AK606" s="112"/>
      <c r="AL606" s="112"/>
      <c r="AM606" s="112"/>
      <c r="AN606" s="112"/>
      <c r="AO606" s="112"/>
      <c r="AP606" s="112"/>
      <c r="AQ606" s="112"/>
      <c r="AR606" s="112"/>
      <c r="AS606" s="112"/>
      <c r="AT606" s="112"/>
      <c r="AU606" s="112"/>
      <c r="AV606" s="112"/>
      <c r="AW606" s="112"/>
      <c r="AX606" s="112"/>
      <c r="AY606" s="112"/>
      <c r="AZ606" s="112"/>
      <c r="BA606" s="112"/>
      <c r="BB606" s="112"/>
      <c r="BC606" s="112"/>
      <c r="BD606" s="112"/>
      <c r="BE606" s="112"/>
      <c r="BF606" s="112"/>
      <c r="BG606" s="112"/>
      <c r="BH606" s="112"/>
      <c r="BI606" s="112"/>
      <c r="BJ606" s="112"/>
      <c r="BK606" s="112"/>
      <c r="BL606" s="112"/>
      <c r="BM606" s="112"/>
      <c r="BN606" s="112"/>
      <c r="BO606" s="112"/>
      <c r="BP606" s="112"/>
      <c r="BQ606" s="112"/>
      <c r="BR606" s="112"/>
      <c r="BS606" s="112"/>
      <c r="BT606" s="112"/>
      <c r="BU606" s="112"/>
      <c r="BV606" s="112"/>
      <c r="BW606" s="112"/>
      <c r="BX606" s="112"/>
      <c r="BY606" s="112"/>
      <c r="BZ606" s="112"/>
    </row>
    <row r="607" spans="30:78" x14ac:dyDescent="0.2">
      <c r="AD607" s="112"/>
      <c r="AE607" s="112"/>
      <c r="AF607" s="112"/>
      <c r="AG607" s="112"/>
      <c r="AH607" s="112"/>
      <c r="AI607" s="112"/>
      <c r="AJ607" s="112"/>
      <c r="AK607" s="112"/>
      <c r="AL607" s="112"/>
      <c r="AM607" s="112"/>
      <c r="AN607" s="112"/>
      <c r="AO607" s="112"/>
      <c r="AP607" s="112"/>
      <c r="AQ607" s="112"/>
      <c r="AR607" s="112"/>
      <c r="AS607" s="112"/>
      <c r="AT607" s="112"/>
      <c r="AU607" s="112"/>
      <c r="AV607" s="112"/>
      <c r="AW607" s="112"/>
      <c r="AX607" s="112"/>
      <c r="AY607" s="112"/>
      <c r="AZ607" s="112"/>
      <c r="BA607" s="112"/>
      <c r="BB607" s="112"/>
      <c r="BC607" s="112"/>
      <c r="BD607" s="112"/>
      <c r="BE607" s="112"/>
      <c r="BF607" s="112"/>
      <c r="BG607" s="112"/>
      <c r="BH607" s="112"/>
      <c r="BI607" s="112"/>
      <c r="BJ607" s="112"/>
      <c r="BK607" s="112"/>
      <c r="BL607" s="112"/>
      <c r="BM607" s="112"/>
      <c r="BN607" s="112"/>
      <c r="BO607" s="112"/>
      <c r="BP607" s="112"/>
      <c r="BQ607" s="112"/>
      <c r="BR607" s="112"/>
      <c r="BS607" s="112"/>
      <c r="BT607" s="112"/>
      <c r="BU607" s="112"/>
      <c r="BV607" s="112"/>
      <c r="BW607" s="112"/>
      <c r="BX607" s="112"/>
      <c r="BY607" s="112"/>
      <c r="BZ607" s="112"/>
    </row>
    <row r="608" spans="30:78" x14ac:dyDescent="0.2">
      <c r="AD608" s="112"/>
      <c r="AE608" s="112"/>
      <c r="AF608" s="112"/>
      <c r="AG608" s="112"/>
      <c r="AH608" s="112"/>
      <c r="AI608" s="112"/>
      <c r="AJ608" s="112"/>
      <c r="AK608" s="112"/>
      <c r="AL608" s="112"/>
      <c r="AM608" s="112"/>
      <c r="AN608" s="112"/>
      <c r="AO608" s="112"/>
      <c r="AP608" s="112"/>
      <c r="AQ608" s="112"/>
      <c r="AR608" s="112"/>
      <c r="AS608" s="112"/>
      <c r="AT608" s="112"/>
      <c r="AU608" s="112"/>
      <c r="AV608" s="112"/>
      <c r="AW608" s="112"/>
      <c r="AX608" s="112"/>
      <c r="AY608" s="112"/>
      <c r="AZ608" s="112"/>
      <c r="BA608" s="112"/>
      <c r="BB608" s="112"/>
      <c r="BC608" s="112"/>
      <c r="BD608" s="112"/>
      <c r="BE608" s="112"/>
      <c r="BF608" s="112"/>
      <c r="BG608" s="112"/>
      <c r="BH608" s="112"/>
      <c r="BI608" s="112"/>
      <c r="BJ608" s="112"/>
      <c r="BK608" s="112"/>
      <c r="BL608" s="112"/>
      <c r="BM608" s="112"/>
      <c r="BN608" s="112"/>
      <c r="BO608" s="112"/>
      <c r="BP608" s="112"/>
      <c r="BQ608" s="112"/>
      <c r="BR608" s="112"/>
      <c r="BS608" s="112"/>
      <c r="BT608" s="112"/>
      <c r="BU608" s="112"/>
      <c r="BV608" s="112"/>
      <c r="BW608" s="112"/>
      <c r="BX608" s="112"/>
      <c r="BY608" s="112"/>
      <c r="BZ608" s="112"/>
    </row>
    <row r="609" spans="30:78" x14ac:dyDescent="0.2">
      <c r="AD609" s="112"/>
      <c r="AE609" s="112"/>
      <c r="AF609" s="112"/>
      <c r="AG609" s="112"/>
      <c r="AH609" s="112"/>
      <c r="AI609" s="112"/>
      <c r="AJ609" s="112"/>
      <c r="AK609" s="112"/>
      <c r="AL609" s="112"/>
      <c r="AM609" s="112"/>
      <c r="AN609" s="112"/>
      <c r="AO609" s="112"/>
      <c r="AP609" s="112"/>
      <c r="AQ609" s="112"/>
      <c r="AR609" s="112"/>
      <c r="AS609" s="112"/>
      <c r="AT609" s="112"/>
      <c r="AU609" s="112"/>
      <c r="AV609" s="112"/>
      <c r="AW609" s="112"/>
      <c r="AX609" s="112"/>
      <c r="AY609" s="112"/>
      <c r="AZ609" s="112"/>
      <c r="BA609" s="112"/>
      <c r="BB609" s="112"/>
      <c r="BC609" s="112"/>
      <c r="BD609" s="112"/>
      <c r="BE609" s="112"/>
      <c r="BF609" s="112"/>
      <c r="BG609" s="112"/>
      <c r="BH609" s="112"/>
      <c r="BI609" s="112"/>
      <c r="BJ609" s="112"/>
      <c r="BK609" s="112"/>
      <c r="BL609" s="112"/>
      <c r="BM609" s="112"/>
      <c r="BN609" s="112"/>
      <c r="BO609" s="112"/>
      <c r="BP609" s="112"/>
      <c r="BQ609" s="112"/>
      <c r="BR609" s="112"/>
      <c r="BS609" s="112"/>
      <c r="BT609" s="112"/>
      <c r="BU609" s="112"/>
      <c r="BV609" s="112"/>
      <c r="BW609" s="112"/>
      <c r="BX609" s="112"/>
      <c r="BY609" s="112"/>
      <c r="BZ609" s="112"/>
    </row>
    <row r="610" spans="30:78" x14ac:dyDescent="0.2">
      <c r="AD610" s="112"/>
      <c r="AE610" s="112"/>
      <c r="AF610" s="112"/>
      <c r="AG610" s="112"/>
      <c r="AH610" s="112"/>
      <c r="AI610" s="112"/>
      <c r="AJ610" s="112"/>
      <c r="AK610" s="112"/>
      <c r="AL610" s="112"/>
      <c r="AM610" s="112"/>
      <c r="AN610" s="112"/>
      <c r="AO610" s="112"/>
      <c r="AP610" s="112"/>
      <c r="AQ610" s="112"/>
      <c r="AR610" s="112"/>
      <c r="AS610" s="112"/>
      <c r="AT610" s="112"/>
      <c r="AU610" s="112"/>
      <c r="AV610" s="112"/>
      <c r="AW610" s="112"/>
      <c r="AX610" s="112"/>
      <c r="AY610" s="112"/>
      <c r="AZ610" s="112"/>
      <c r="BA610" s="112"/>
      <c r="BB610" s="112"/>
      <c r="BC610" s="112"/>
      <c r="BD610" s="112"/>
      <c r="BE610" s="112"/>
      <c r="BF610" s="112"/>
      <c r="BG610" s="112"/>
      <c r="BH610" s="112"/>
      <c r="BI610" s="112"/>
      <c r="BJ610" s="112"/>
      <c r="BK610" s="112"/>
      <c r="BL610" s="112"/>
      <c r="BM610" s="112"/>
      <c r="BN610" s="112"/>
      <c r="BO610" s="112"/>
      <c r="BP610" s="112"/>
      <c r="BQ610" s="112"/>
      <c r="BR610" s="112"/>
      <c r="BS610" s="112"/>
      <c r="BT610" s="112"/>
      <c r="BU610" s="112"/>
      <c r="BV610" s="112"/>
      <c r="BW610" s="112"/>
      <c r="BX610" s="112"/>
      <c r="BY610" s="112"/>
      <c r="BZ610" s="112"/>
    </row>
    <row r="611" spans="30:78" x14ac:dyDescent="0.2">
      <c r="AD611" s="112"/>
      <c r="AE611" s="112"/>
      <c r="AF611" s="112"/>
      <c r="AG611" s="112"/>
      <c r="AH611" s="112"/>
      <c r="AI611" s="112"/>
      <c r="AJ611" s="112"/>
      <c r="AK611" s="112"/>
      <c r="AL611" s="112"/>
      <c r="AM611" s="112"/>
      <c r="AN611" s="112"/>
      <c r="AO611" s="112"/>
      <c r="AP611" s="112"/>
      <c r="AQ611" s="112"/>
      <c r="AR611" s="112"/>
      <c r="AS611" s="112"/>
      <c r="AT611" s="112"/>
      <c r="AU611" s="112"/>
      <c r="AV611" s="112"/>
      <c r="AW611" s="112"/>
      <c r="AX611" s="112"/>
      <c r="AY611" s="112"/>
      <c r="AZ611" s="112"/>
      <c r="BA611" s="112"/>
      <c r="BB611" s="112"/>
      <c r="BC611" s="112"/>
      <c r="BD611" s="112"/>
      <c r="BE611" s="112"/>
      <c r="BF611" s="112"/>
      <c r="BG611" s="112"/>
      <c r="BH611" s="112"/>
      <c r="BI611" s="112"/>
      <c r="BJ611" s="112"/>
      <c r="BK611" s="112"/>
      <c r="BL611" s="112"/>
      <c r="BM611" s="112"/>
      <c r="BN611" s="112"/>
      <c r="BO611" s="112"/>
      <c r="BP611" s="112"/>
      <c r="BQ611" s="112"/>
      <c r="BR611" s="112"/>
      <c r="BS611" s="112"/>
      <c r="BT611" s="112"/>
      <c r="BU611" s="112"/>
      <c r="BV611" s="112"/>
      <c r="BW611" s="112"/>
      <c r="BX611" s="112"/>
      <c r="BY611" s="112"/>
      <c r="BZ611" s="112"/>
    </row>
    <row r="612" spans="30:78" x14ac:dyDescent="0.2">
      <c r="AD612" s="112"/>
      <c r="AE612" s="112"/>
      <c r="AF612" s="112"/>
      <c r="AG612" s="112"/>
      <c r="AH612" s="112"/>
      <c r="AI612" s="112"/>
      <c r="AJ612" s="112"/>
      <c r="AK612" s="112"/>
      <c r="AL612" s="112"/>
      <c r="AM612" s="112"/>
      <c r="AN612" s="112"/>
      <c r="AO612" s="112"/>
      <c r="AP612" s="112"/>
      <c r="AQ612" s="112"/>
      <c r="AR612" s="112"/>
      <c r="AS612" s="112"/>
      <c r="AT612" s="112"/>
      <c r="AU612" s="112"/>
      <c r="AV612" s="112"/>
      <c r="AW612" s="112"/>
      <c r="AX612" s="112"/>
      <c r="AY612" s="112"/>
      <c r="AZ612" s="112"/>
      <c r="BA612" s="112"/>
      <c r="BB612" s="112"/>
      <c r="BC612" s="112"/>
      <c r="BD612" s="112"/>
      <c r="BE612" s="112"/>
      <c r="BF612" s="112"/>
      <c r="BG612" s="112"/>
      <c r="BH612" s="112"/>
      <c r="BI612" s="112"/>
      <c r="BJ612" s="112"/>
      <c r="BK612" s="112"/>
      <c r="BL612" s="112"/>
      <c r="BM612" s="112"/>
      <c r="BN612" s="112"/>
      <c r="BO612" s="112"/>
      <c r="BP612" s="112"/>
      <c r="BQ612" s="112"/>
      <c r="BR612" s="112"/>
      <c r="BS612" s="112"/>
      <c r="BT612" s="112"/>
      <c r="BU612" s="112"/>
      <c r="BV612" s="112"/>
      <c r="BW612" s="112"/>
      <c r="BX612" s="112"/>
      <c r="BY612" s="112"/>
      <c r="BZ612" s="112"/>
    </row>
    <row r="613" spans="30:78" x14ac:dyDescent="0.2">
      <c r="AD613" s="112"/>
      <c r="AE613" s="112"/>
      <c r="AF613" s="112"/>
      <c r="AG613" s="112"/>
      <c r="AH613" s="112"/>
      <c r="AI613" s="112"/>
      <c r="AJ613" s="112"/>
      <c r="AK613" s="112"/>
      <c r="AL613" s="112"/>
      <c r="AM613" s="112"/>
      <c r="AN613" s="112"/>
      <c r="AO613" s="112"/>
      <c r="AP613" s="112"/>
      <c r="AQ613" s="112"/>
      <c r="AR613" s="112"/>
      <c r="AS613" s="112"/>
      <c r="AT613" s="112"/>
      <c r="AU613" s="112"/>
      <c r="AV613" s="112"/>
      <c r="AW613" s="112"/>
      <c r="AX613" s="112"/>
      <c r="AY613" s="112"/>
      <c r="AZ613" s="112"/>
      <c r="BA613" s="112"/>
      <c r="BB613" s="112"/>
      <c r="BC613" s="112"/>
      <c r="BD613" s="112"/>
      <c r="BE613" s="112"/>
      <c r="BF613" s="112"/>
      <c r="BG613" s="112"/>
      <c r="BH613" s="112"/>
      <c r="BI613" s="112"/>
      <c r="BJ613" s="112"/>
      <c r="BK613" s="112"/>
      <c r="BL613" s="112"/>
      <c r="BM613" s="112"/>
      <c r="BN613" s="112"/>
      <c r="BO613" s="112"/>
      <c r="BP613" s="112"/>
      <c r="BQ613" s="112"/>
      <c r="BR613" s="112"/>
      <c r="BS613" s="112"/>
      <c r="BT613" s="112"/>
      <c r="BU613" s="112"/>
      <c r="BV613" s="112"/>
      <c r="BW613" s="112"/>
      <c r="BX613" s="112"/>
      <c r="BY613" s="112"/>
      <c r="BZ613" s="112"/>
    </row>
    <row r="614" spans="30:78" x14ac:dyDescent="0.2">
      <c r="AD614" s="112"/>
      <c r="AE614" s="112"/>
      <c r="AF614" s="112"/>
      <c r="AG614" s="112"/>
      <c r="AH614" s="112"/>
      <c r="AI614" s="112"/>
      <c r="AJ614" s="112"/>
      <c r="AK614" s="112"/>
      <c r="AL614" s="112"/>
      <c r="AM614" s="112"/>
      <c r="AN614" s="112"/>
      <c r="AO614" s="112"/>
      <c r="AP614" s="112"/>
      <c r="AQ614" s="112"/>
      <c r="AR614" s="112"/>
      <c r="AS614" s="112"/>
      <c r="AT614" s="112"/>
      <c r="AU614" s="112"/>
      <c r="AV614" s="112"/>
      <c r="AW614" s="112"/>
      <c r="AX614" s="112"/>
      <c r="AY614" s="112"/>
      <c r="AZ614" s="112"/>
      <c r="BA614" s="112"/>
      <c r="BB614" s="112"/>
      <c r="BC614" s="112"/>
      <c r="BD614" s="112"/>
      <c r="BE614" s="112"/>
      <c r="BF614" s="112"/>
      <c r="BG614" s="112"/>
      <c r="BH614" s="112"/>
      <c r="BI614" s="112"/>
      <c r="BJ614" s="112"/>
      <c r="BK614" s="112"/>
      <c r="BL614" s="112"/>
      <c r="BM614" s="112"/>
      <c r="BN614" s="112"/>
      <c r="BO614" s="112"/>
      <c r="BP614" s="112"/>
      <c r="BQ614" s="112"/>
      <c r="BR614" s="112"/>
      <c r="BS614" s="112"/>
      <c r="BT614" s="112"/>
      <c r="BU614" s="112"/>
      <c r="BV614" s="112"/>
      <c r="BW614" s="112"/>
      <c r="BX614" s="112"/>
      <c r="BY614" s="112"/>
      <c r="BZ614" s="112"/>
    </row>
    <row r="615" spans="30:78" x14ac:dyDescent="0.2">
      <c r="AD615" s="112"/>
      <c r="AE615" s="112"/>
      <c r="AF615" s="112"/>
      <c r="AG615" s="112"/>
      <c r="AH615" s="112"/>
      <c r="AI615" s="112"/>
      <c r="AJ615" s="112"/>
      <c r="AK615" s="112"/>
      <c r="AL615" s="112"/>
      <c r="AM615" s="112"/>
      <c r="AN615" s="112"/>
      <c r="AO615" s="112"/>
      <c r="AP615" s="112"/>
      <c r="AQ615" s="112"/>
      <c r="AR615" s="112"/>
      <c r="AS615" s="112"/>
      <c r="AT615" s="112"/>
      <c r="AU615" s="112"/>
      <c r="AV615" s="112"/>
      <c r="AW615" s="112"/>
      <c r="AX615" s="112"/>
      <c r="AY615" s="112"/>
      <c r="AZ615" s="112"/>
      <c r="BA615" s="112"/>
      <c r="BB615" s="112"/>
      <c r="BC615" s="112"/>
      <c r="BD615" s="112"/>
      <c r="BE615" s="112"/>
      <c r="BF615" s="112"/>
      <c r="BG615" s="112"/>
      <c r="BH615" s="112"/>
      <c r="BI615" s="112"/>
      <c r="BJ615" s="112"/>
      <c r="BK615" s="112"/>
      <c r="BL615" s="112"/>
      <c r="BM615" s="112"/>
      <c r="BN615" s="112"/>
      <c r="BO615" s="112"/>
      <c r="BP615" s="112"/>
      <c r="BQ615" s="112"/>
      <c r="BR615" s="112"/>
      <c r="BS615" s="112"/>
      <c r="BT615" s="112"/>
      <c r="BU615" s="112"/>
      <c r="BV615" s="112"/>
      <c r="BW615" s="112"/>
      <c r="BX615" s="112"/>
      <c r="BY615" s="112"/>
      <c r="BZ615" s="112"/>
    </row>
    <row r="616" spans="30:78" x14ac:dyDescent="0.2">
      <c r="AD616" s="112"/>
      <c r="AE616" s="112"/>
      <c r="AF616" s="112"/>
      <c r="AG616" s="112"/>
      <c r="AH616" s="112"/>
      <c r="AI616" s="112"/>
      <c r="AJ616" s="112"/>
      <c r="AK616" s="112"/>
      <c r="AL616" s="112"/>
      <c r="AM616" s="112"/>
      <c r="AN616" s="112"/>
      <c r="AO616" s="112"/>
      <c r="AP616" s="112"/>
      <c r="AQ616" s="112"/>
      <c r="AR616" s="112"/>
      <c r="AS616" s="112"/>
      <c r="AT616" s="112"/>
      <c r="AU616" s="112"/>
      <c r="AV616" s="112"/>
      <c r="AW616" s="112"/>
      <c r="AX616" s="112"/>
      <c r="AY616" s="112"/>
      <c r="AZ616" s="112"/>
      <c r="BA616" s="112"/>
      <c r="BB616" s="112"/>
      <c r="BC616" s="112"/>
      <c r="BD616" s="112"/>
      <c r="BE616" s="112"/>
      <c r="BF616" s="112"/>
      <c r="BG616" s="112"/>
      <c r="BH616" s="112"/>
      <c r="BI616" s="112"/>
      <c r="BJ616" s="112"/>
      <c r="BK616" s="112"/>
      <c r="BL616" s="112"/>
      <c r="BM616" s="112"/>
      <c r="BN616" s="112"/>
      <c r="BO616" s="112"/>
      <c r="BP616" s="112"/>
      <c r="BQ616" s="112"/>
      <c r="BR616" s="112"/>
      <c r="BS616" s="112"/>
      <c r="BT616" s="112"/>
      <c r="BU616" s="112"/>
      <c r="BV616" s="112"/>
      <c r="BW616" s="112"/>
      <c r="BX616" s="112"/>
      <c r="BY616" s="112"/>
      <c r="BZ616" s="112"/>
    </row>
    <row r="617" spans="30:78" x14ac:dyDescent="0.2">
      <c r="AD617" s="112"/>
      <c r="AE617" s="112"/>
      <c r="AF617" s="112"/>
      <c r="AG617" s="112"/>
      <c r="AH617" s="112"/>
      <c r="AI617" s="112"/>
      <c r="AJ617" s="112"/>
      <c r="AK617" s="112"/>
      <c r="AL617" s="112"/>
      <c r="AM617" s="112"/>
      <c r="AN617" s="112"/>
      <c r="AO617" s="112"/>
      <c r="AP617" s="112"/>
      <c r="AQ617" s="112"/>
      <c r="AR617" s="112"/>
      <c r="AS617" s="112"/>
      <c r="AT617" s="112"/>
      <c r="AU617" s="112"/>
      <c r="AV617" s="112"/>
      <c r="AW617" s="112"/>
      <c r="AX617" s="112"/>
      <c r="AY617" s="112"/>
      <c r="AZ617" s="112"/>
      <c r="BA617" s="112"/>
      <c r="BB617" s="112"/>
      <c r="BC617" s="112"/>
      <c r="BD617" s="112"/>
      <c r="BE617" s="112"/>
      <c r="BF617" s="112"/>
      <c r="BG617" s="112"/>
      <c r="BH617" s="112"/>
      <c r="BI617" s="112"/>
      <c r="BJ617" s="112"/>
      <c r="BK617" s="112"/>
      <c r="BL617" s="112"/>
      <c r="BM617" s="112"/>
      <c r="BN617" s="112"/>
      <c r="BO617" s="112"/>
      <c r="BP617" s="112"/>
      <c r="BQ617" s="112"/>
      <c r="BR617" s="112"/>
      <c r="BS617" s="112"/>
      <c r="BT617" s="112"/>
      <c r="BU617" s="112"/>
      <c r="BV617" s="112"/>
      <c r="BW617" s="112"/>
      <c r="BX617" s="112"/>
      <c r="BY617" s="112"/>
      <c r="BZ617" s="112"/>
    </row>
    <row r="618" spans="30:78" x14ac:dyDescent="0.2">
      <c r="AD618" s="112"/>
      <c r="AE618" s="112"/>
      <c r="AF618" s="112"/>
      <c r="AG618" s="112"/>
      <c r="AH618" s="112"/>
      <c r="AI618" s="112"/>
      <c r="AJ618" s="112"/>
      <c r="AK618" s="112"/>
      <c r="AL618" s="112"/>
      <c r="AM618" s="112"/>
      <c r="AN618" s="112"/>
      <c r="AO618" s="112"/>
      <c r="AP618" s="112"/>
      <c r="AQ618" s="112"/>
      <c r="AR618" s="112"/>
      <c r="AS618" s="112"/>
      <c r="AT618" s="112"/>
      <c r="AU618" s="112"/>
      <c r="AV618" s="112"/>
      <c r="AW618" s="112"/>
      <c r="AX618" s="112"/>
      <c r="AY618" s="112"/>
      <c r="AZ618" s="112"/>
      <c r="BA618" s="112"/>
      <c r="BB618" s="112"/>
      <c r="BC618" s="112"/>
      <c r="BD618" s="112"/>
      <c r="BE618" s="112"/>
      <c r="BF618" s="112"/>
      <c r="BG618" s="112"/>
      <c r="BH618" s="112"/>
      <c r="BI618" s="112"/>
      <c r="BJ618" s="112"/>
      <c r="BK618" s="112"/>
      <c r="BL618" s="112"/>
      <c r="BM618" s="112"/>
      <c r="BN618" s="112"/>
      <c r="BO618" s="112"/>
      <c r="BP618" s="112"/>
      <c r="BQ618" s="112"/>
      <c r="BR618" s="112"/>
      <c r="BS618" s="112"/>
      <c r="BT618" s="112"/>
      <c r="BU618" s="112"/>
      <c r="BV618" s="112"/>
      <c r="BW618" s="112"/>
      <c r="BX618" s="112"/>
      <c r="BY618" s="112"/>
      <c r="BZ618" s="112"/>
    </row>
    <row r="619" spans="30:78" x14ac:dyDescent="0.2">
      <c r="AD619" s="112"/>
      <c r="AE619" s="112"/>
      <c r="AF619" s="112"/>
      <c r="AG619" s="112"/>
      <c r="AH619" s="112"/>
      <c r="AI619" s="112"/>
      <c r="AJ619" s="112"/>
      <c r="AK619" s="112"/>
      <c r="AL619" s="112"/>
      <c r="AM619" s="112"/>
      <c r="AN619" s="112"/>
      <c r="AO619" s="112"/>
      <c r="AP619" s="112"/>
      <c r="AQ619" s="112"/>
      <c r="AR619" s="112"/>
      <c r="AS619" s="112"/>
      <c r="AT619" s="112"/>
      <c r="AU619" s="112"/>
      <c r="AV619" s="112"/>
      <c r="AW619" s="112"/>
      <c r="AX619" s="112"/>
      <c r="AY619" s="112"/>
      <c r="AZ619" s="112"/>
      <c r="BA619" s="112"/>
      <c r="BB619" s="112"/>
      <c r="BC619" s="112"/>
      <c r="BD619" s="112"/>
      <c r="BE619" s="112"/>
      <c r="BF619" s="112"/>
      <c r="BG619" s="112"/>
      <c r="BH619" s="112"/>
      <c r="BI619" s="112"/>
      <c r="BJ619" s="112"/>
      <c r="BK619" s="112"/>
      <c r="BL619" s="112"/>
      <c r="BM619" s="112"/>
      <c r="BN619" s="112"/>
      <c r="BO619" s="112"/>
      <c r="BP619" s="112"/>
      <c r="BQ619" s="112"/>
      <c r="BR619" s="112"/>
      <c r="BS619" s="112"/>
      <c r="BT619" s="112"/>
      <c r="BU619" s="112"/>
      <c r="BV619" s="112"/>
      <c r="BW619" s="112"/>
      <c r="BX619" s="112"/>
      <c r="BY619" s="112"/>
      <c r="BZ619" s="112"/>
    </row>
    <row r="620" spans="30:78" x14ac:dyDescent="0.2">
      <c r="AD620" s="112"/>
      <c r="AE620" s="112"/>
      <c r="AF620" s="112"/>
      <c r="AG620" s="112"/>
      <c r="AH620" s="112"/>
      <c r="AI620" s="112"/>
      <c r="AJ620" s="112"/>
      <c r="AK620" s="112"/>
      <c r="AL620" s="112"/>
      <c r="AM620" s="112"/>
      <c r="AN620" s="112"/>
      <c r="AO620" s="112"/>
      <c r="AP620" s="112"/>
      <c r="AQ620" s="112"/>
      <c r="AR620" s="112"/>
      <c r="AS620" s="112"/>
      <c r="AT620" s="112"/>
      <c r="AU620" s="112"/>
      <c r="AV620" s="112"/>
      <c r="AW620" s="112"/>
      <c r="AX620" s="112"/>
      <c r="AY620" s="112"/>
      <c r="AZ620" s="112"/>
      <c r="BA620" s="112"/>
      <c r="BB620" s="112"/>
      <c r="BC620" s="112"/>
      <c r="BD620" s="112"/>
      <c r="BE620" s="112"/>
      <c r="BF620" s="112"/>
      <c r="BG620" s="112"/>
      <c r="BH620" s="112"/>
      <c r="BI620" s="112"/>
      <c r="BJ620" s="112"/>
      <c r="BK620" s="112"/>
      <c r="BL620" s="112"/>
      <c r="BM620" s="112"/>
      <c r="BN620" s="112"/>
      <c r="BO620" s="112"/>
      <c r="BP620" s="112"/>
      <c r="BQ620" s="112"/>
      <c r="BR620" s="112"/>
      <c r="BS620" s="112"/>
      <c r="BT620" s="112"/>
      <c r="BU620" s="112"/>
      <c r="BV620" s="112"/>
      <c r="BW620" s="112"/>
      <c r="BX620" s="112"/>
      <c r="BY620" s="112"/>
      <c r="BZ620" s="112"/>
    </row>
    <row r="621" spans="30:78" x14ac:dyDescent="0.2">
      <c r="AD621" s="112"/>
      <c r="AE621" s="112"/>
      <c r="AF621" s="112"/>
      <c r="AG621" s="112"/>
      <c r="AH621" s="112"/>
      <c r="AI621" s="112"/>
      <c r="AJ621" s="112"/>
      <c r="AK621" s="112"/>
      <c r="AL621" s="112"/>
      <c r="AM621" s="112"/>
      <c r="AN621" s="112"/>
      <c r="AO621" s="112"/>
      <c r="AP621" s="112"/>
      <c r="AQ621" s="112"/>
      <c r="AR621" s="112"/>
      <c r="AS621" s="112"/>
      <c r="AT621" s="112"/>
      <c r="AU621" s="112"/>
      <c r="AV621" s="112"/>
      <c r="AW621" s="112"/>
      <c r="AX621" s="112"/>
      <c r="AY621" s="112"/>
      <c r="AZ621" s="112"/>
      <c r="BA621" s="112"/>
      <c r="BB621" s="112"/>
      <c r="BC621" s="112"/>
      <c r="BD621" s="112"/>
      <c r="BE621" s="112"/>
      <c r="BF621" s="112"/>
      <c r="BG621" s="112"/>
      <c r="BH621" s="112"/>
      <c r="BI621" s="112"/>
      <c r="BJ621" s="112"/>
      <c r="BK621" s="112"/>
      <c r="BL621" s="112"/>
      <c r="BM621" s="112"/>
      <c r="BN621" s="112"/>
      <c r="BO621" s="112"/>
      <c r="BP621" s="112"/>
      <c r="BQ621" s="112"/>
      <c r="BR621" s="112"/>
      <c r="BS621" s="112"/>
      <c r="BT621" s="112"/>
      <c r="BU621" s="112"/>
      <c r="BV621" s="112"/>
      <c r="BW621" s="112"/>
      <c r="BX621" s="112"/>
      <c r="BY621" s="112"/>
      <c r="BZ621" s="112"/>
    </row>
    <row r="622" spans="30:78" x14ac:dyDescent="0.2">
      <c r="AD622" s="112"/>
      <c r="AE622" s="112"/>
      <c r="AF622" s="112"/>
      <c r="AG622" s="112"/>
      <c r="AH622" s="112"/>
      <c r="AI622" s="112"/>
      <c r="AJ622" s="112"/>
      <c r="AK622" s="112"/>
      <c r="AL622" s="112"/>
      <c r="AM622" s="112"/>
      <c r="AN622" s="112"/>
      <c r="AO622" s="112"/>
      <c r="AP622" s="112"/>
      <c r="AQ622" s="112"/>
      <c r="AR622" s="112"/>
      <c r="AS622" s="112"/>
      <c r="AT622" s="112"/>
      <c r="AU622" s="112"/>
      <c r="AV622" s="112"/>
      <c r="AW622" s="112"/>
      <c r="AX622" s="112"/>
      <c r="AY622" s="112"/>
      <c r="AZ622" s="112"/>
      <c r="BA622" s="112"/>
      <c r="BB622" s="112"/>
      <c r="BC622" s="112"/>
      <c r="BD622" s="112"/>
      <c r="BE622" s="112"/>
      <c r="BF622" s="112"/>
      <c r="BG622" s="112"/>
      <c r="BH622" s="112"/>
      <c r="BI622" s="112"/>
      <c r="BJ622" s="112"/>
      <c r="BK622" s="112"/>
      <c r="BL622" s="112"/>
      <c r="BM622" s="112"/>
      <c r="BN622" s="112"/>
      <c r="BO622" s="112"/>
      <c r="BP622" s="112"/>
      <c r="BQ622" s="112"/>
      <c r="BR622" s="112"/>
      <c r="BS622" s="112"/>
      <c r="BT622" s="112"/>
      <c r="BU622" s="112"/>
      <c r="BV622" s="112"/>
      <c r="BW622" s="112"/>
      <c r="BX622" s="112"/>
      <c r="BY622" s="112"/>
      <c r="BZ622" s="112"/>
    </row>
    <row r="623" spans="30:78" x14ac:dyDescent="0.2">
      <c r="AD623" s="112"/>
      <c r="AE623" s="112"/>
      <c r="AF623" s="112"/>
      <c r="AG623" s="112"/>
      <c r="AH623" s="112"/>
      <c r="AI623" s="112"/>
      <c r="AJ623" s="112"/>
      <c r="AK623" s="112"/>
      <c r="AL623" s="112"/>
      <c r="AM623" s="112"/>
      <c r="AN623" s="112"/>
      <c r="AO623" s="112"/>
      <c r="AP623" s="112"/>
      <c r="AQ623" s="112"/>
      <c r="AR623" s="112"/>
      <c r="AS623" s="112"/>
      <c r="AT623" s="112"/>
      <c r="AU623" s="112"/>
      <c r="AV623" s="112"/>
      <c r="AW623" s="112"/>
      <c r="AX623" s="112"/>
      <c r="AY623" s="112"/>
      <c r="AZ623" s="112"/>
      <c r="BA623" s="112"/>
      <c r="BB623" s="112"/>
      <c r="BC623" s="112"/>
      <c r="BD623" s="112"/>
      <c r="BE623" s="112"/>
      <c r="BF623" s="112"/>
      <c r="BG623" s="112"/>
      <c r="BH623" s="112"/>
      <c r="BI623" s="112"/>
      <c r="BJ623" s="112"/>
      <c r="BK623" s="112"/>
      <c r="BL623" s="112"/>
      <c r="BM623" s="112"/>
      <c r="BN623" s="112"/>
      <c r="BO623" s="112"/>
      <c r="BP623" s="112"/>
      <c r="BQ623" s="112"/>
      <c r="BR623" s="112"/>
      <c r="BS623" s="112"/>
      <c r="BT623" s="112"/>
      <c r="BU623" s="112"/>
      <c r="BV623" s="112"/>
      <c r="BW623" s="112"/>
      <c r="BX623" s="112"/>
      <c r="BY623" s="112"/>
      <c r="BZ623" s="112"/>
    </row>
    <row r="624" spans="30:78" x14ac:dyDescent="0.2">
      <c r="AD624" s="112"/>
      <c r="AE624" s="112"/>
      <c r="AF624" s="112"/>
      <c r="AG624" s="112"/>
      <c r="AH624" s="112"/>
      <c r="AI624" s="112"/>
      <c r="AJ624" s="112"/>
      <c r="AK624" s="112"/>
      <c r="AL624" s="112"/>
      <c r="AM624" s="112"/>
      <c r="AN624" s="112"/>
      <c r="AO624" s="112"/>
      <c r="AP624" s="112"/>
      <c r="AQ624" s="112"/>
      <c r="AR624" s="112"/>
      <c r="AS624" s="112"/>
      <c r="AT624" s="112"/>
      <c r="AU624" s="112"/>
      <c r="AV624" s="112"/>
      <c r="AW624" s="112"/>
      <c r="AX624" s="112"/>
      <c r="AY624" s="112"/>
      <c r="AZ624" s="112"/>
      <c r="BA624" s="112"/>
      <c r="BB624" s="112"/>
      <c r="BC624" s="112"/>
      <c r="BD624" s="112"/>
      <c r="BE624" s="112"/>
      <c r="BF624" s="112"/>
      <c r="BG624" s="112"/>
      <c r="BH624" s="112"/>
      <c r="BI624" s="112"/>
      <c r="BJ624" s="112"/>
      <c r="BK624" s="112"/>
      <c r="BL624" s="112"/>
      <c r="BM624" s="112"/>
      <c r="BN624" s="112"/>
      <c r="BO624" s="112"/>
      <c r="BP624" s="112"/>
      <c r="BQ624" s="112"/>
      <c r="BR624" s="112"/>
      <c r="BS624" s="112"/>
      <c r="BT624" s="112"/>
      <c r="BU624" s="112"/>
      <c r="BV624" s="112"/>
      <c r="BW624" s="112"/>
      <c r="BX624" s="112"/>
      <c r="BY624" s="112"/>
      <c r="BZ624" s="112"/>
    </row>
    <row r="625" spans="30:78" x14ac:dyDescent="0.2">
      <c r="AD625" s="112"/>
      <c r="AE625" s="112"/>
      <c r="AF625" s="112"/>
      <c r="AG625" s="112"/>
      <c r="AH625" s="112"/>
      <c r="AI625" s="112"/>
      <c r="AJ625" s="112"/>
      <c r="AK625" s="112"/>
      <c r="AL625" s="112"/>
      <c r="AM625" s="112"/>
      <c r="AN625" s="112"/>
      <c r="AO625" s="112"/>
      <c r="AP625" s="112"/>
      <c r="AQ625" s="112"/>
      <c r="AR625" s="112"/>
      <c r="AS625" s="112"/>
      <c r="AT625" s="112"/>
      <c r="AU625" s="112"/>
      <c r="AV625" s="112"/>
      <c r="AW625" s="112"/>
      <c r="AX625" s="112"/>
      <c r="AY625" s="112"/>
      <c r="AZ625" s="112"/>
      <c r="BA625" s="112"/>
      <c r="BB625" s="112"/>
      <c r="BC625" s="112"/>
      <c r="BD625" s="112"/>
      <c r="BE625" s="112"/>
      <c r="BF625" s="112"/>
      <c r="BG625" s="112"/>
      <c r="BH625" s="112"/>
      <c r="BI625" s="112"/>
      <c r="BJ625" s="112"/>
      <c r="BK625" s="112"/>
      <c r="BL625" s="112"/>
      <c r="BM625" s="112"/>
      <c r="BN625" s="112"/>
      <c r="BO625" s="112"/>
      <c r="BP625" s="112"/>
      <c r="BQ625" s="112"/>
      <c r="BR625" s="112"/>
      <c r="BS625" s="112"/>
      <c r="BT625" s="112"/>
      <c r="BU625" s="112"/>
      <c r="BV625" s="112"/>
      <c r="BW625" s="112"/>
      <c r="BX625" s="112"/>
      <c r="BY625" s="112"/>
      <c r="BZ625" s="112"/>
    </row>
    <row r="626" spans="30:78" x14ac:dyDescent="0.2">
      <c r="AD626" s="112"/>
      <c r="AE626" s="112"/>
      <c r="AF626" s="112"/>
      <c r="AG626" s="112"/>
      <c r="AH626" s="112"/>
      <c r="AI626" s="112"/>
      <c r="AJ626" s="112"/>
      <c r="AK626" s="112"/>
      <c r="AL626" s="112"/>
      <c r="AM626" s="112"/>
      <c r="AN626" s="112"/>
      <c r="AO626" s="112"/>
      <c r="AP626" s="112"/>
      <c r="AQ626" s="112"/>
      <c r="AR626" s="112"/>
      <c r="AS626" s="112"/>
      <c r="AT626" s="112"/>
      <c r="AU626" s="112"/>
      <c r="AV626" s="112"/>
      <c r="AW626" s="112"/>
      <c r="AX626" s="112"/>
      <c r="AY626" s="112"/>
      <c r="AZ626" s="112"/>
      <c r="BA626" s="112"/>
      <c r="BB626" s="112"/>
      <c r="BC626" s="112"/>
      <c r="BD626" s="112"/>
      <c r="BE626" s="112"/>
      <c r="BF626" s="112"/>
      <c r="BG626" s="112"/>
      <c r="BH626" s="112"/>
      <c r="BI626" s="112"/>
      <c r="BJ626" s="112"/>
      <c r="BK626" s="112"/>
      <c r="BL626" s="112"/>
      <c r="BM626" s="112"/>
      <c r="BN626" s="112"/>
      <c r="BO626" s="112"/>
      <c r="BP626" s="112"/>
      <c r="BQ626" s="112"/>
      <c r="BR626" s="112"/>
      <c r="BS626" s="112"/>
      <c r="BT626" s="112"/>
      <c r="BU626" s="112"/>
      <c r="BV626" s="112"/>
      <c r="BW626" s="112"/>
      <c r="BX626" s="112"/>
      <c r="BY626" s="112"/>
      <c r="BZ626" s="112"/>
    </row>
    <row r="627" spans="30:78" x14ac:dyDescent="0.2">
      <c r="AD627" s="112"/>
      <c r="AE627" s="112"/>
      <c r="AF627" s="112"/>
      <c r="AG627" s="112"/>
      <c r="AH627" s="112"/>
      <c r="AI627" s="112"/>
      <c r="AJ627" s="112"/>
      <c r="AK627" s="112"/>
      <c r="AL627" s="112"/>
      <c r="AM627" s="112"/>
      <c r="AN627" s="112"/>
      <c r="AO627" s="112"/>
      <c r="AP627" s="112"/>
      <c r="AQ627" s="112"/>
      <c r="AR627" s="112"/>
      <c r="AS627" s="112"/>
      <c r="AT627" s="112"/>
      <c r="AU627" s="112"/>
      <c r="AV627" s="112"/>
      <c r="AW627" s="112"/>
      <c r="AX627" s="112"/>
      <c r="AY627" s="112"/>
      <c r="AZ627" s="112"/>
      <c r="BA627" s="112"/>
      <c r="BB627" s="112"/>
      <c r="BC627" s="112"/>
      <c r="BD627" s="112"/>
      <c r="BE627" s="112"/>
      <c r="BF627" s="112"/>
      <c r="BG627" s="112"/>
      <c r="BH627" s="112"/>
      <c r="BI627" s="112"/>
      <c r="BJ627" s="112"/>
      <c r="BK627" s="112"/>
      <c r="BL627" s="112"/>
      <c r="BM627" s="112"/>
      <c r="BN627" s="112"/>
      <c r="BO627" s="112"/>
      <c r="BP627" s="112"/>
      <c r="BQ627" s="112"/>
      <c r="BR627" s="112"/>
      <c r="BS627" s="112"/>
      <c r="BT627" s="112"/>
      <c r="BU627" s="112"/>
      <c r="BV627" s="112"/>
      <c r="BW627" s="112"/>
      <c r="BX627" s="112"/>
      <c r="BY627" s="112"/>
      <c r="BZ627" s="112"/>
    </row>
    <row r="628" spans="30:78" x14ac:dyDescent="0.2">
      <c r="AD628" s="112"/>
      <c r="AE628" s="112"/>
      <c r="AF628" s="112"/>
      <c r="AG628" s="112"/>
      <c r="AH628" s="112"/>
      <c r="AI628" s="112"/>
      <c r="AJ628" s="112"/>
      <c r="AK628" s="112"/>
      <c r="AL628" s="112"/>
      <c r="AM628" s="112"/>
      <c r="AN628" s="112"/>
      <c r="AO628" s="112"/>
      <c r="AP628" s="112"/>
      <c r="AQ628" s="112"/>
      <c r="AR628" s="112"/>
      <c r="AS628" s="112"/>
      <c r="AT628" s="112"/>
      <c r="AU628" s="112"/>
      <c r="AV628" s="112"/>
      <c r="AW628" s="112"/>
      <c r="AX628" s="112"/>
      <c r="AY628" s="112"/>
      <c r="AZ628" s="112"/>
      <c r="BA628" s="112"/>
      <c r="BB628" s="112"/>
      <c r="BC628" s="112"/>
      <c r="BD628" s="112"/>
      <c r="BE628" s="112"/>
      <c r="BF628" s="112"/>
      <c r="BG628" s="112"/>
      <c r="BH628" s="112"/>
      <c r="BI628" s="112"/>
      <c r="BJ628" s="112"/>
      <c r="BK628" s="112"/>
      <c r="BL628" s="112"/>
      <c r="BM628" s="112"/>
      <c r="BN628" s="112"/>
      <c r="BO628" s="112"/>
      <c r="BP628" s="112"/>
      <c r="BQ628" s="112"/>
      <c r="BR628" s="112"/>
      <c r="BS628" s="112"/>
      <c r="BT628" s="112"/>
      <c r="BU628" s="112"/>
      <c r="BV628" s="112"/>
      <c r="BW628" s="112"/>
      <c r="BX628" s="112"/>
      <c r="BY628" s="112"/>
      <c r="BZ628" s="112"/>
    </row>
    <row r="629" spans="30:78" x14ac:dyDescent="0.2">
      <c r="AD629" s="112"/>
      <c r="AE629" s="112"/>
      <c r="AF629" s="112"/>
      <c r="AG629" s="112"/>
      <c r="AH629" s="112"/>
      <c r="AI629" s="112"/>
      <c r="AJ629" s="112"/>
      <c r="AK629" s="112"/>
      <c r="AL629" s="112"/>
      <c r="AM629" s="112"/>
      <c r="AN629" s="112"/>
      <c r="AO629" s="112"/>
      <c r="AP629" s="112"/>
      <c r="AQ629" s="112"/>
      <c r="AR629" s="112"/>
      <c r="AS629" s="112"/>
      <c r="AT629" s="112"/>
      <c r="AU629" s="112"/>
      <c r="AV629" s="112"/>
      <c r="AW629" s="112"/>
      <c r="AX629" s="112"/>
      <c r="AY629" s="112"/>
      <c r="AZ629" s="112"/>
      <c r="BA629" s="112"/>
      <c r="BB629" s="112"/>
      <c r="BC629" s="112"/>
      <c r="BD629" s="112"/>
      <c r="BE629" s="112"/>
      <c r="BF629" s="112"/>
      <c r="BG629" s="112"/>
      <c r="BH629" s="112"/>
      <c r="BI629" s="112"/>
      <c r="BJ629" s="112"/>
      <c r="BK629" s="112"/>
      <c r="BL629" s="112"/>
      <c r="BM629" s="112"/>
      <c r="BN629" s="112"/>
      <c r="BO629" s="112"/>
      <c r="BP629" s="112"/>
      <c r="BQ629" s="112"/>
      <c r="BR629" s="112"/>
      <c r="BS629" s="112"/>
      <c r="BT629" s="112"/>
      <c r="BU629" s="112"/>
      <c r="BV629" s="112"/>
      <c r="BW629" s="112"/>
      <c r="BX629" s="112"/>
      <c r="BY629" s="112"/>
      <c r="BZ629" s="112"/>
    </row>
    <row r="630" spans="30:78" x14ac:dyDescent="0.2">
      <c r="AD630" s="112"/>
      <c r="AE630" s="112"/>
      <c r="AF630" s="112"/>
      <c r="AG630" s="112"/>
      <c r="AH630" s="112"/>
      <c r="AI630" s="112"/>
      <c r="AJ630" s="112"/>
      <c r="AK630" s="112"/>
      <c r="AL630" s="112"/>
      <c r="AM630" s="112"/>
      <c r="AN630" s="112"/>
      <c r="AO630" s="112"/>
      <c r="AP630" s="112"/>
      <c r="AQ630" s="112"/>
      <c r="AR630" s="112"/>
      <c r="AS630" s="112"/>
      <c r="AT630" s="112"/>
      <c r="AU630" s="112"/>
      <c r="AV630" s="112"/>
      <c r="AW630" s="112"/>
      <c r="AX630" s="112"/>
      <c r="AY630" s="112"/>
      <c r="AZ630" s="112"/>
      <c r="BA630" s="112"/>
      <c r="BB630" s="112"/>
      <c r="BC630" s="112"/>
      <c r="BD630" s="112"/>
      <c r="BE630" s="112"/>
      <c r="BF630" s="112"/>
      <c r="BG630" s="112"/>
      <c r="BH630" s="112"/>
      <c r="BI630" s="112"/>
      <c r="BJ630" s="112"/>
      <c r="BK630" s="112"/>
      <c r="BL630" s="112"/>
      <c r="BM630" s="112"/>
      <c r="BN630" s="112"/>
      <c r="BO630" s="112"/>
      <c r="BP630" s="112"/>
      <c r="BQ630" s="112"/>
      <c r="BR630" s="112"/>
      <c r="BS630" s="112"/>
      <c r="BT630" s="112"/>
      <c r="BU630" s="112"/>
      <c r="BV630" s="112"/>
      <c r="BW630" s="112"/>
      <c r="BX630" s="112"/>
      <c r="BY630" s="112"/>
      <c r="BZ630" s="112"/>
    </row>
    <row r="631" spans="30:78" x14ac:dyDescent="0.2">
      <c r="AD631" s="112"/>
      <c r="AE631" s="112"/>
      <c r="AF631" s="112"/>
      <c r="AG631" s="112"/>
      <c r="AH631" s="112"/>
      <c r="AI631" s="112"/>
      <c r="AJ631" s="112"/>
      <c r="AK631" s="112"/>
      <c r="AL631" s="112"/>
      <c r="AM631" s="112"/>
      <c r="AN631" s="112"/>
      <c r="AO631" s="112"/>
      <c r="AP631" s="112"/>
      <c r="AQ631" s="112"/>
      <c r="AR631" s="112"/>
      <c r="AS631" s="112"/>
      <c r="AT631" s="112"/>
      <c r="AU631" s="112"/>
      <c r="AV631" s="112"/>
      <c r="AW631" s="112"/>
      <c r="AX631" s="112"/>
      <c r="AY631" s="112"/>
      <c r="AZ631" s="112"/>
      <c r="BA631" s="112"/>
      <c r="BB631" s="112"/>
      <c r="BC631" s="112"/>
      <c r="BD631" s="112"/>
      <c r="BE631" s="112"/>
      <c r="BF631" s="112"/>
      <c r="BG631" s="112"/>
      <c r="BH631" s="112"/>
      <c r="BI631" s="112"/>
      <c r="BJ631" s="112"/>
      <c r="BK631" s="112"/>
      <c r="BL631" s="112"/>
      <c r="BM631" s="112"/>
      <c r="BN631" s="112"/>
      <c r="BO631" s="112"/>
      <c r="BP631" s="112"/>
      <c r="BQ631" s="112"/>
      <c r="BR631" s="112"/>
      <c r="BS631" s="112"/>
      <c r="BT631" s="112"/>
      <c r="BU631" s="112"/>
      <c r="BV631" s="112"/>
      <c r="BW631" s="112"/>
      <c r="BX631" s="112"/>
      <c r="BY631" s="112"/>
      <c r="BZ631" s="112"/>
    </row>
    <row r="632" spans="30:78" x14ac:dyDescent="0.2">
      <c r="AD632" s="112"/>
      <c r="AE632" s="112"/>
      <c r="AF632" s="112"/>
      <c r="AG632" s="112"/>
      <c r="AH632" s="112"/>
      <c r="AI632" s="112"/>
      <c r="AJ632" s="112"/>
      <c r="AK632" s="112"/>
      <c r="AL632" s="112"/>
      <c r="AM632" s="112"/>
      <c r="AN632" s="112"/>
      <c r="AO632" s="112"/>
      <c r="AP632" s="112"/>
      <c r="AQ632" s="112"/>
      <c r="AR632" s="112"/>
      <c r="AS632" s="112"/>
      <c r="AT632" s="112"/>
      <c r="AU632" s="112"/>
      <c r="AV632" s="112"/>
      <c r="AW632" s="112"/>
      <c r="AX632" s="112"/>
      <c r="AY632" s="112"/>
      <c r="AZ632" s="112"/>
      <c r="BA632" s="112"/>
      <c r="BB632" s="112"/>
      <c r="BC632" s="112"/>
      <c r="BD632" s="112"/>
      <c r="BE632" s="112"/>
      <c r="BF632" s="112"/>
      <c r="BG632" s="112"/>
      <c r="BH632" s="112"/>
      <c r="BI632" s="112"/>
      <c r="BJ632" s="112"/>
      <c r="BK632" s="112"/>
      <c r="BL632" s="112"/>
      <c r="BM632" s="112"/>
      <c r="BN632" s="112"/>
      <c r="BO632" s="112"/>
      <c r="BP632" s="112"/>
      <c r="BQ632" s="112"/>
      <c r="BR632" s="112"/>
      <c r="BS632" s="112"/>
      <c r="BT632" s="112"/>
      <c r="BU632" s="112"/>
      <c r="BV632" s="112"/>
      <c r="BW632" s="112"/>
      <c r="BX632" s="112"/>
      <c r="BY632" s="112"/>
      <c r="BZ632" s="112"/>
    </row>
    <row r="633" spans="30:78" x14ac:dyDescent="0.2">
      <c r="AD633" s="112"/>
      <c r="AE633" s="112"/>
      <c r="AF633" s="112"/>
      <c r="AG633" s="112"/>
      <c r="AH633" s="112"/>
      <c r="AI633" s="112"/>
      <c r="AJ633" s="112"/>
      <c r="AK633" s="112"/>
      <c r="AL633" s="112"/>
      <c r="AM633" s="112"/>
      <c r="AN633" s="112"/>
      <c r="AO633" s="112"/>
      <c r="AP633" s="112"/>
      <c r="AQ633" s="112"/>
      <c r="AR633" s="112"/>
      <c r="AS633" s="112"/>
      <c r="AT633" s="112"/>
      <c r="AU633" s="112"/>
      <c r="AV633" s="112"/>
      <c r="AW633" s="112"/>
      <c r="AX633" s="112"/>
      <c r="AY633" s="112"/>
      <c r="AZ633" s="112"/>
      <c r="BA633" s="112"/>
      <c r="BB633" s="112"/>
      <c r="BC633" s="112"/>
      <c r="BD633" s="112"/>
      <c r="BE633" s="112"/>
      <c r="BF633" s="112"/>
      <c r="BG633" s="112"/>
      <c r="BH633" s="112"/>
      <c r="BI633" s="112"/>
      <c r="BJ633" s="112"/>
      <c r="BK633" s="112"/>
      <c r="BL633" s="112"/>
      <c r="BM633" s="112"/>
      <c r="BN633" s="112"/>
      <c r="BO633" s="112"/>
      <c r="BP633" s="112"/>
      <c r="BQ633" s="112"/>
      <c r="BR633" s="112"/>
      <c r="BS633" s="112"/>
      <c r="BT633" s="112"/>
      <c r="BU633" s="112"/>
      <c r="BV633" s="112"/>
      <c r="BW633" s="112"/>
      <c r="BX633" s="112"/>
      <c r="BY633" s="112"/>
      <c r="BZ633" s="112"/>
    </row>
    <row r="634" spans="30:78" x14ac:dyDescent="0.2">
      <c r="AD634" s="112"/>
      <c r="AE634" s="112"/>
      <c r="AF634" s="112"/>
      <c r="AG634" s="112"/>
      <c r="AH634" s="112"/>
      <c r="AI634" s="112"/>
      <c r="AJ634" s="112"/>
      <c r="AK634" s="112"/>
      <c r="AL634" s="112"/>
      <c r="AM634" s="112"/>
      <c r="AN634" s="112"/>
      <c r="AO634" s="112"/>
      <c r="AP634" s="112"/>
      <c r="AQ634" s="112"/>
      <c r="AR634" s="112"/>
      <c r="AS634" s="112"/>
      <c r="AT634" s="112"/>
      <c r="AU634" s="112"/>
      <c r="AV634" s="112"/>
      <c r="AW634" s="112"/>
      <c r="AX634" s="112"/>
      <c r="AY634" s="112"/>
      <c r="AZ634" s="112"/>
      <c r="BA634" s="112"/>
      <c r="BB634" s="112"/>
      <c r="BC634" s="112"/>
      <c r="BD634" s="112"/>
      <c r="BE634" s="112"/>
      <c r="BF634" s="112"/>
      <c r="BG634" s="112"/>
      <c r="BH634" s="112"/>
      <c r="BI634" s="112"/>
      <c r="BJ634" s="112"/>
      <c r="BK634" s="112"/>
      <c r="BL634" s="112"/>
      <c r="BM634" s="112"/>
      <c r="BN634" s="112"/>
      <c r="BO634" s="112"/>
      <c r="BP634" s="112"/>
      <c r="BQ634" s="112"/>
      <c r="BR634" s="112"/>
      <c r="BS634" s="112"/>
      <c r="BT634" s="112"/>
      <c r="BU634" s="112"/>
      <c r="BV634" s="112"/>
      <c r="BW634" s="112"/>
      <c r="BX634" s="112"/>
      <c r="BY634" s="112"/>
      <c r="BZ634" s="112"/>
    </row>
    <row r="635" spans="30:78" x14ac:dyDescent="0.2">
      <c r="AD635" s="112"/>
      <c r="AE635" s="112"/>
      <c r="AF635" s="112"/>
      <c r="AG635" s="112"/>
      <c r="AH635" s="112"/>
      <c r="AI635" s="112"/>
      <c r="AJ635" s="112"/>
      <c r="AK635" s="112"/>
      <c r="AL635" s="112"/>
      <c r="AM635" s="112"/>
      <c r="AN635" s="112"/>
      <c r="AO635" s="112"/>
      <c r="AP635" s="112"/>
      <c r="AQ635" s="112"/>
      <c r="AR635" s="112"/>
      <c r="AS635" s="112"/>
      <c r="AT635" s="112"/>
      <c r="AU635" s="112"/>
      <c r="AV635" s="112"/>
      <c r="AW635" s="112"/>
      <c r="AX635" s="112"/>
      <c r="AY635" s="112"/>
      <c r="AZ635" s="112"/>
      <c r="BA635" s="112"/>
      <c r="BB635" s="112"/>
      <c r="BC635" s="112"/>
      <c r="BD635" s="112"/>
      <c r="BE635" s="112"/>
      <c r="BF635" s="112"/>
      <c r="BG635" s="112"/>
      <c r="BH635" s="112"/>
      <c r="BI635" s="112"/>
      <c r="BJ635" s="112"/>
      <c r="BK635" s="112"/>
      <c r="BL635" s="112"/>
      <c r="BM635" s="112"/>
      <c r="BN635" s="112"/>
      <c r="BO635" s="112"/>
      <c r="BP635" s="112"/>
      <c r="BQ635" s="112"/>
      <c r="BR635" s="112"/>
      <c r="BS635" s="112"/>
      <c r="BT635" s="112"/>
      <c r="BU635" s="112"/>
      <c r="BV635" s="112"/>
      <c r="BW635" s="112"/>
      <c r="BX635" s="112"/>
      <c r="BY635" s="112"/>
      <c r="BZ635" s="112"/>
    </row>
    <row r="636" spans="30:78" x14ac:dyDescent="0.2">
      <c r="AD636" s="112"/>
      <c r="AE636" s="112"/>
      <c r="AF636" s="112"/>
      <c r="AG636" s="112"/>
      <c r="AH636" s="112"/>
      <c r="AI636" s="112"/>
      <c r="AJ636" s="112"/>
      <c r="AK636" s="112"/>
      <c r="AL636" s="112"/>
      <c r="AM636" s="112"/>
      <c r="AN636" s="112"/>
      <c r="AO636" s="112"/>
      <c r="AP636" s="112"/>
      <c r="AQ636" s="112"/>
      <c r="AR636" s="112"/>
      <c r="AS636" s="112"/>
      <c r="AT636" s="112"/>
      <c r="AU636" s="112"/>
      <c r="AV636" s="112"/>
      <c r="AW636" s="112"/>
      <c r="AX636" s="112"/>
      <c r="AY636" s="112"/>
      <c r="AZ636" s="112"/>
      <c r="BA636" s="112"/>
      <c r="BB636" s="112"/>
      <c r="BC636" s="112"/>
      <c r="BD636" s="112"/>
      <c r="BE636" s="112"/>
      <c r="BF636" s="112"/>
      <c r="BG636" s="112"/>
      <c r="BH636" s="112"/>
      <c r="BI636" s="112"/>
      <c r="BJ636" s="112"/>
      <c r="BK636" s="112"/>
      <c r="BL636" s="112"/>
      <c r="BM636" s="112"/>
      <c r="BN636" s="112"/>
      <c r="BO636" s="112"/>
      <c r="BP636" s="112"/>
      <c r="BQ636" s="112"/>
      <c r="BR636" s="112"/>
      <c r="BS636" s="112"/>
      <c r="BT636" s="112"/>
      <c r="BU636" s="112"/>
      <c r="BV636" s="112"/>
      <c r="BW636" s="112"/>
      <c r="BX636" s="112"/>
      <c r="BY636" s="112"/>
      <c r="BZ636" s="112"/>
    </row>
    <row r="637" spans="30:78" x14ac:dyDescent="0.2">
      <c r="AD637" s="112"/>
      <c r="AE637" s="112"/>
      <c r="AF637" s="112"/>
      <c r="AG637" s="112"/>
      <c r="AH637" s="112"/>
      <c r="AI637" s="112"/>
      <c r="AJ637" s="112"/>
      <c r="AK637" s="112"/>
      <c r="AL637" s="112"/>
      <c r="AM637" s="112"/>
      <c r="AN637" s="112"/>
      <c r="AO637" s="112"/>
      <c r="AP637" s="112"/>
      <c r="AQ637" s="112"/>
      <c r="AR637" s="112"/>
      <c r="AS637" s="112"/>
      <c r="AT637" s="112"/>
      <c r="AU637" s="112"/>
      <c r="AV637" s="112"/>
      <c r="AW637" s="112"/>
      <c r="AX637" s="112"/>
      <c r="AY637" s="112"/>
      <c r="AZ637" s="112"/>
      <c r="BA637" s="112"/>
      <c r="BB637" s="112"/>
      <c r="BC637" s="112"/>
      <c r="BD637" s="112"/>
      <c r="BE637" s="112"/>
      <c r="BF637" s="112"/>
      <c r="BG637" s="112"/>
      <c r="BH637" s="112"/>
      <c r="BI637" s="112"/>
      <c r="BJ637" s="112"/>
      <c r="BK637" s="112"/>
      <c r="BL637" s="112"/>
      <c r="BM637" s="112"/>
      <c r="BN637" s="112"/>
      <c r="BO637" s="112"/>
      <c r="BP637" s="112"/>
      <c r="BQ637" s="112"/>
      <c r="BR637" s="112"/>
      <c r="BS637" s="112"/>
      <c r="BT637" s="112"/>
      <c r="BU637" s="112"/>
      <c r="BV637" s="112"/>
      <c r="BW637" s="112"/>
      <c r="BX637" s="112"/>
      <c r="BY637" s="112"/>
      <c r="BZ637" s="112"/>
    </row>
    <row r="638" spans="30:78" x14ac:dyDescent="0.2">
      <c r="AD638" s="112"/>
      <c r="AE638" s="112"/>
      <c r="AF638" s="112"/>
      <c r="AG638" s="112"/>
      <c r="AH638" s="112"/>
      <c r="AI638" s="112"/>
      <c r="AJ638" s="112"/>
      <c r="AK638" s="112"/>
      <c r="AL638" s="112"/>
      <c r="AM638" s="112"/>
      <c r="AN638" s="112"/>
      <c r="AO638" s="112"/>
      <c r="AP638" s="112"/>
      <c r="AQ638" s="112"/>
      <c r="AR638" s="112"/>
      <c r="AS638" s="112"/>
      <c r="AT638" s="112"/>
      <c r="AU638" s="112"/>
      <c r="AV638" s="112"/>
      <c r="AW638" s="112"/>
      <c r="AX638" s="112"/>
      <c r="AY638" s="112"/>
      <c r="AZ638" s="112"/>
      <c r="BA638" s="112"/>
      <c r="BB638" s="112"/>
      <c r="BC638" s="112"/>
      <c r="BD638" s="112"/>
      <c r="BE638" s="112"/>
      <c r="BF638" s="112"/>
      <c r="BG638" s="112"/>
      <c r="BH638" s="112"/>
      <c r="BI638" s="112"/>
      <c r="BJ638" s="112"/>
      <c r="BK638" s="112"/>
      <c r="BL638" s="112"/>
      <c r="BM638" s="112"/>
      <c r="BN638" s="112"/>
      <c r="BO638" s="112"/>
      <c r="BP638" s="112"/>
      <c r="BQ638" s="112"/>
      <c r="BR638" s="112"/>
      <c r="BS638" s="112"/>
      <c r="BT638" s="112"/>
      <c r="BU638" s="112"/>
      <c r="BV638" s="112"/>
      <c r="BW638" s="112"/>
      <c r="BX638" s="112"/>
      <c r="BY638" s="112"/>
      <c r="BZ638" s="112"/>
    </row>
    <row r="639" spans="30:78" x14ac:dyDescent="0.2">
      <c r="AD639" s="112"/>
      <c r="AE639" s="112"/>
      <c r="AF639" s="112"/>
      <c r="AG639" s="112"/>
      <c r="AH639" s="112"/>
      <c r="AI639" s="112"/>
      <c r="AJ639" s="112"/>
      <c r="AK639" s="112"/>
      <c r="AL639" s="112"/>
      <c r="AM639" s="112"/>
      <c r="AN639" s="112"/>
      <c r="AO639" s="112"/>
      <c r="AP639" s="112"/>
      <c r="AQ639" s="112"/>
      <c r="AR639" s="112"/>
      <c r="AS639" s="112"/>
      <c r="AT639" s="112"/>
      <c r="AU639" s="112"/>
      <c r="AV639" s="112"/>
      <c r="AW639" s="112"/>
      <c r="AX639" s="112"/>
      <c r="AY639" s="112"/>
      <c r="AZ639" s="112"/>
      <c r="BA639" s="112"/>
      <c r="BB639" s="112"/>
      <c r="BC639" s="112"/>
      <c r="BD639" s="112"/>
      <c r="BE639" s="112"/>
      <c r="BF639" s="112"/>
      <c r="BG639" s="112"/>
      <c r="BH639" s="112"/>
      <c r="BI639" s="112"/>
      <c r="BJ639" s="112"/>
      <c r="BK639" s="112"/>
      <c r="BL639" s="112"/>
      <c r="BM639" s="112"/>
      <c r="BN639" s="112"/>
      <c r="BO639" s="112"/>
      <c r="BP639" s="112"/>
      <c r="BQ639" s="112"/>
      <c r="BR639" s="112"/>
      <c r="BS639" s="112"/>
      <c r="BT639" s="112"/>
      <c r="BU639" s="112"/>
      <c r="BV639" s="112"/>
      <c r="BW639" s="112"/>
      <c r="BX639" s="112"/>
      <c r="BY639" s="112"/>
      <c r="BZ639" s="112"/>
    </row>
    <row r="640" spans="30:78" x14ac:dyDescent="0.2">
      <c r="AD640" s="112"/>
      <c r="AE640" s="112"/>
      <c r="AF640" s="112"/>
      <c r="AG640" s="112"/>
      <c r="AH640" s="112"/>
      <c r="AI640" s="112"/>
      <c r="AJ640" s="112"/>
      <c r="AK640" s="112"/>
      <c r="AL640" s="112"/>
      <c r="AM640" s="112"/>
      <c r="AN640" s="112"/>
      <c r="AO640" s="112"/>
      <c r="AP640" s="112"/>
      <c r="AQ640" s="112"/>
      <c r="AR640" s="112"/>
      <c r="AS640" s="112"/>
      <c r="AT640" s="112"/>
      <c r="AU640" s="112"/>
      <c r="AV640" s="112"/>
      <c r="AW640" s="112"/>
      <c r="AX640" s="112"/>
      <c r="AY640" s="112"/>
      <c r="AZ640" s="112"/>
      <c r="BA640" s="112"/>
      <c r="BB640" s="112"/>
      <c r="BC640" s="112"/>
      <c r="BD640" s="112"/>
      <c r="BE640" s="112"/>
      <c r="BF640" s="112"/>
      <c r="BG640" s="112"/>
      <c r="BH640" s="112"/>
      <c r="BI640" s="112"/>
      <c r="BJ640" s="112"/>
      <c r="BK640" s="112"/>
      <c r="BL640" s="112"/>
      <c r="BM640" s="112"/>
      <c r="BN640" s="112"/>
      <c r="BO640" s="112"/>
      <c r="BP640" s="112"/>
      <c r="BQ640" s="112"/>
      <c r="BR640" s="112"/>
      <c r="BS640" s="112"/>
      <c r="BT640" s="112"/>
      <c r="BU640" s="112"/>
      <c r="BV640" s="112"/>
      <c r="BW640" s="112"/>
      <c r="BX640" s="112"/>
      <c r="BY640" s="112"/>
      <c r="BZ640" s="112"/>
    </row>
    <row r="641" spans="30:78" x14ac:dyDescent="0.2">
      <c r="AD641" s="112"/>
      <c r="AE641" s="112"/>
      <c r="AF641" s="112"/>
      <c r="AG641" s="112"/>
      <c r="AH641" s="112"/>
      <c r="AI641" s="112"/>
      <c r="AJ641" s="112"/>
      <c r="AK641" s="112"/>
      <c r="AL641" s="112"/>
      <c r="AM641" s="112"/>
      <c r="AN641" s="112"/>
      <c r="AO641" s="112"/>
      <c r="AP641" s="112"/>
      <c r="AQ641" s="112"/>
      <c r="AR641" s="112"/>
      <c r="AS641" s="112"/>
      <c r="AT641" s="112"/>
      <c r="AU641" s="112"/>
      <c r="AV641" s="112"/>
      <c r="AW641" s="112"/>
      <c r="AX641" s="112"/>
      <c r="AY641" s="112"/>
      <c r="AZ641" s="112"/>
      <c r="BA641" s="112"/>
      <c r="BB641" s="112"/>
      <c r="BC641" s="112"/>
      <c r="BD641" s="112"/>
      <c r="BE641" s="112"/>
      <c r="BF641" s="112"/>
      <c r="BG641" s="112"/>
      <c r="BH641" s="112"/>
      <c r="BI641" s="112"/>
      <c r="BJ641" s="112"/>
      <c r="BK641" s="112"/>
      <c r="BL641" s="112"/>
      <c r="BM641" s="112"/>
      <c r="BN641" s="112"/>
      <c r="BO641" s="112"/>
      <c r="BP641" s="112"/>
      <c r="BQ641" s="112"/>
      <c r="BR641" s="112"/>
      <c r="BS641" s="112"/>
      <c r="BT641" s="112"/>
      <c r="BU641" s="112"/>
      <c r="BV641" s="112"/>
      <c r="BW641" s="112"/>
      <c r="BX641" s="112"/>
      <c r="BY641" s="112"/>
      <c r="BZ641" s="112"/>
    </row>
    <row r="642" spans="30:78" x14ac:dyDescent="0.2">
      <c r="AD642" s="112"/>
      <c r="AE642" s="112"/>
      <c r="AF642" s="112"/>
      <c r="AG642" s="112"/>
      <c r="AH642" s="112"/>
      <c r="AI642" s="112"/>
      <c r="AJ642" s="112"/>
      <c r="AK642" s="112"/>
      <c r="AL642" s="112"/>
      <c r="AM642" s="112"/>
      <c r="AN642" s="112"/>
      <c r="AO642" s="112"/>
      <c r="AP642" s="112"/>
      <c r="AQ642" s="112"/>
      <c r="AR642" s="112"/>
      <c r="AS642" s="112"/>
      <c r="AT642" s="112"/>
      <c r="AU642" s="112"/>
      <c r="AV642" s="112"/>
      <c r="AW642" s="112"/>
      <c r="AX642" s="112"/>
      <c r="AY642" s="112"/>
      <c r="AZ642" s="112"/>
      <c r="BA642" s="112"/>
      <c r="BB642" s="112"/>
      <c r="BC642" s="112"/>
      <c r="BD642" s="112"/>
      <c r="BE642" s="112"/>
      <c r="BF642" s="112"/>
      <c r="BG642" s="112"/>
      <c r="BH642" s="112"/>
      <c r="BI642" s="112"/>
      <c r="BJ642" s="112"/>
      <c r="BK642" s="112"/>
      <c r="BL642" s="112"/>
      <c r="BM642" s="112"/>
      <c r="BN642" s="112"/>
      <c r="BO642" s="112"/>
      <c r="BP642" s="112"/>
      <c r="BQ642" s="112"/>
      <c r="BR642" s="112"/>
      <c r="BS642" s="112"/>
      <c r="BT642" s="112"/>
      <c r="BU642" s="112"/>
      <c r="BV642" s="112"/>
      <c r="BW642" s="112"/>
      <c r="BX642" s="112"/>
      <c r="BY642" s="112"/>
      <c r="BZ642" s="112"/>
    </row>
    <row r="643" spans="30:78" x14ac:dyDescent="0.2">
      <c r="AD643" s="112"/>
      <c r="AE643" s="112"/>
      <c r="AF643" s="112"/>
      <c r="AG643" s="112"/>
      <c r="AH643" s="112"/>
      <c r="AI643" s="112"/>
      <c r="AJ643" s="112"/>
      <c r="AK643" s="112"/>
      <c r="AL643" s="112"/>
      <c r="AM643" s="112"/>
      <c r="AN643" s="112"/>
      <c r="AO643" s="112"/>
      <c r="AP643" s="112"/>
      <c r="AQ643" s="112"/>
      <c r="AR643" s="112"/>
      <c r="AS643" s="112"/>
      <c r="AT643" s="112"/>
      <c r="AU643" s="112"/>
      <c r="AV643" s="112"/>
      <c r="AW643" s="112"/>
      <c r="AX643" s="112"/>
      <c r="AY643" s="112"/>
      <c r="AZ643" s="112"/>
      <c r="BA643" s="112"/>
      <c r="BB643" s="112"/>
      <c r="BC643" s="112"/>
      <c r="BD643" s="112"/>
      <c r="BE643" s="112"/>
      <c r="BF643" s="112"/>
      <c r="BG643" s="112"/>
      <c r="BH643" s="112"/>
      <c r="BI643" s="112"/>
      <c r="BJ643" s="112"/>
      <c r="BK643" s="112"/>
      <c r="BL643" s="112"/>
      <c r="BM643" s="112"/>
      <c r="BN643" s="112"/>
      <c r="BO643" s="112"/>
      <c r="BP643" s="112"/>
      <c r="BQ643" s="112"/>
      <c r="BR643" s="112"/>
      <c r="BS643" s="112"/>
      <c r="BT643" s="112"/>
      <c r="BU643" s="112"/>
      <c r="BV643" s="112"/>
      <c r="BW643" s="112"/>
      <c r="BX643" s="112"/>
      <c r="BY643" s="112"/>
      <c r="BZ643" s="112"/>
    </row>
    <row r="644" spans="30:78" x14ac:dyDescent="0.2">
      <c r="AD644" s="112"/>
      <c r="AE644" s="112"/>
      <c r="AF644" s="112"/>
      <c r="AG644" s="112"/>
      <c r="AH644" s="112"/>
      <c r="AI644" s="112"/>
      <c r="AJ644" s="112"/>
      <c r="AK644" s="112"/>
      <c r="AL644" s="112"/>
      <c r="AM644" s="112"/>
      <c r="AN644" s="112"/>
      <c r="AO644" s="112"/>
      <c r="AP644" s="112"/>
      <c r="AQ644" s="112"/>
      <c r="AR644" s="112"/>
      <c r="AS644" s="112"/>
      <c r="AT644" s="112"/>
      <c r="AU644" s="112"/>
      <c r="AV644" s="112"/>
      <c r="AW644" s="112"/>
      <c r="AX644" s="112"/>
      <c r="AY644" s="112"/>
      <c r="AZ644" s="112"/>
      <c r="BA644" s="112"/>
      <c r="BB644" s="112"/>
      <c r="BC644" s="112"/>
      <c r="BD644" s="112"/>
      <c r="BE644" s="112"/>
      <c r="BF644" s="112"/>
      <c r="BG644" s="112"/>
      <c r="BH644" s="112"/>
      <c r="BI644" s="112"/>
      <c r="BJ644" s="112"/>
      <c r="BK644" s="112"/>
      <c r="BL644" s="112"/>
      <c r="BM644" s="112"/>
      <c r="BN644" s="112"/>
      <c r="BO644" s="112"/>
      <c r="BP644" s="112"/>
      <c r="BQ644" s="112"/>
      <c r="BR644" s="112"/>
      <c r="BS644" s="112"/>
      <c r="BT644" s="112"/>
      <c r="BU644" s="112"/>
      <c r="BV644" s="112"/>
      <c r="BW644" s="112"/>
      <c r="BX644" s="112"/>
      <c r="BY644" s="112"/>
      <c r="BZ644" s="112"/>
    </row>
    <row r="645" spans="30:78" x14ac:dyDescent="0.2">
      <c r="AD645" s="112"/>
      <c r="AE645" s="112"/>
      <c r="AF645" s="112"/>
      <c r="AG645" s="112"/>
      <c r="AH645" s="112"/>
      <c r="AI645" s="112"/>
      <c r="AJ645" s="112"/>
      <c r="AK645" s="112"/>
      <c r="AL645" s="112"/>
      <c r="AM645" s="112"/>
      <c r="AN645" s="112"/>
      <c r="AO645" s="112"/>
      <c r="AP645" s="112"/>
      <c r="AQ645" s="112"/>
      <c r="AR645" s="112"/>
      <c r="AS645" s="112"/>
      <c r="AT645" s="112"/>
      <c r="AU645" s="112"/>
      <c r="AV645" s="112"/>
      <c r="AW645" s="112"/>
      <c r="AX645" s="112"/>
      <c r="AY645" s="112"/>
      <c r="AZ645" s="112"/>
      <c r="BA645" s="112"/>
      <c r="BB645" s="112"/>
      <c r="BC645" s="112"/>
      <c r="BD645" s="112"/>
      <c r="BE645" s="112"/>
      <c r="BF645" s="112"/>
      <c r="BG645" s="112"/>
      <c r="BH645" s="112"/>
      <c r="BI645" s="112"/>
      <c r="BJ645" s="112"/>
      <c r="BK645" s="112"/>
      <c r="BL645" s="112"/>
      <c r="BM645" s="112"/>
      <c r="BN645" s="112"/>
      <c r="BO645" s="112"/>
      <c r="BP645" s="112"/>
      <c r="BQ645" s="112"/>
      <c r="BR645" s="112"/>
      <c r="BS645" s="112"/>
      <c r="BT645" s="112"/>
      <c r="BU645" s="112"/>
      <c r="BV645" s="112"/>
      <c r="BW645" s="112"/>
      <c r="BX645" s="112"/>
      <c r="BY645" s="112"/>
      <c r="BZ645" s="112"/>
    </row>
    <row r="646" spans="30:78" x14ac:dyDescent="0.2">
      <c r="AD646" s="112"/>
      <c r="AE646" s="112"/>
      <c r="AF646" s="112"/>
      <c r="AG646" s="112"/>
      <c r="AH646" s="112"/>
      <c r="AI646" s="112"/>
      <c r="AJ646" s="112"/>
      <c r="AK646" s="112"/>
      <c r="AL646" s="112"/>
      <c r="AM646" s="112"/>
      <c r="AN646" s="112"/>
      <c r="AO646" s="112"/>
      <c r="AP646" s="112"/>
      <c r="AQ646" s="112"/>
      <c r="AR646" s="112"/>
      <c r="AS646" s="112"/>
      <c r="AT646" s="112"/>
      <c r="AU646" s="112"/>
      <c r="AV646" s="112"/>
      <c r="AW646" s="112"/>
      <c r="AX646" s="112"/>
      <c r="AY646" s="112"/>
      <c r="AZ646" s="112"/>
      <c r="BA646" s="112"/>
      <c r="BB646" s="112"/>
      <c r="BC646" s="112"/>
      <c r="BD646" s="112"/>
      <c r="BE646" s="112"/>
      <c r="BF646" s="112"/>
      <c r="BG646" s="112"/>
      <c r="BH646" s="112"/>
      <c r="BI646" s="112"/>
      <c r="BJ646" s="112"/>
      <c r="BK646" s="112"/>
      <c r="BL646" s="112"/>
      <c r="BM646" s="112"/>
      <c r="BN646" s="112"/>
      <c r="BO646" s="112"/>
      <c r="BP646" s="112"/>
      <c r="BQ646" s="112"/>
      <c r="BR646" s="112"/>
      <c r="BS646" s="112"/>
      <c r="BT646" s="112"/>
      <c r="BU646" s="112"/>
      <c r="BV646" s="112"/>
      <c r="BW646" s="112"/>
      <c r="BX646" s="112"/>
      <c r="BY646" s="112"/>
      <c r="BZ646" s="112"/>
    </row>
    <row r="647" spans="30:78" x14ac:dyDescent="0.2">
      <c r="AD647" s="112"/>
      <c r="AE647" s="112"/>
      <c r="AF647" s="112"/>
      <c r="AG647" s="112"/>
      <c r="AH647" s="112"/>
      <c r="AI647" s="112"/>
      <c r="AJ647" s="112"/>
      <c r="AK647" s="112"/>
      <c r="AL647" s="112"/>
      <c r="AM647" s="112"/>
      <c r="AN647" s="112"/>
      <c r="AO647" s="112"/>
      <c r="AP647" s="112"/>
      <c r="AQ647" s="112"/>
      <c r="AR647" s="112"/>
      <c r="AS647" s="112"/>
      <c r="AT647" s="112"/>
      <c r="AU647" s="112"/>
      <c r="AV647" s="112"/>
      <c r="AW647" s="112"/>
      <c r="AX647" s="112"/>
      <c r="AY647" s="112"/>
      <c r="AZ647" s="112"/>
      <c r="BA647" s="112"/>
      <c r="BB647" s="112"/>
      <c r="BC647" s="112"/>
      <c r="BD647" s="112"/>
      <c r="BE647" s="112"/>
      <c r="BF647" s="112"/>
      <c r="BG647" s="112"/>
      <c r="BH647" s="112"/>
      <c r="BI647" s="112"/>
      <c r="BJ647" s="112"/>
      <c r="BK647" s="112"/>
      <c r="BL647" s="112"/>
      <c r="BM647" s="112"/>
      <c r="BN647" s="112"/>
      <c r="BO647" s="112"/>
      <c r="BP647" s="112"/>
      <c r="BQ647" s="112"/>
      <c r="BR647" s="112"/>
      <c r="BS647" s="112"/>
      <c r="BT647" s="112"/>
      <c r="BU647" s="112"/>
      <c r="BV647" s="112"/>
      <c r="BW647" s="112"/>
      <c r="BX647" s="112"/>
      <c r="BY647" s="112"/>
      <c r="BZ647" s="112"/>
    </row>
    <row r="648" spans="30:78" x14ac:dyDescent="0.2">
      <c r="AD648" s="112"/>
      <c r="AE648" s="112"/>
      <c r="AF648" s="112"/>
      <c r="AG648" s="112"/>
      <c r="AH648" s="112"/>
      <c r="AI648" s="112"/>
      <c r="AJ648" s="112"/>
      <c r="AK648" s="112"/>
      <c r="AL648" s="112"/>
      <c r="AM648" s="112"/>
      <c r="AN648" s="112"/>
      <c r="AO648" s="112"/>
      <c r="AP648" s="112"/>
      <c r="AQ648" s="112"/>
      <c r="AR648" s="112"/>
      <c r="AS648" s="112"/>
      <c r="AT648" s="112"/>
      <c r="AU648" s="112"/>
      <c r="AV648" s="112"/>
      <c r="AW648" s="112"/>
      <c r="AX648" s="112"/>
      <c r="AY648" s="112"/>
      <c r="AZ648" s="112"/>
      <c r="BA648" s="112"/>
      <c r="BB648" s="112"/>
      <c r="BC648" s="112"/>
      <c r="BD648" s="112"/>
      <c r="BE648" s="112"/>
      <c r="BF648" s="112"/>
      <c r="BG648" s="112"/>
      <c r="BH648" s="112"/>
      <c r="BI648" s="112"/>
      <c r="BJ648" s="112"/>
      <c r="BK648" s="112"/>
      <c r="BL648" s="112"/>
      <c r="BM648" s="112"/>
      <c r="BN648" s="112"/>
      <c r="BO648" s="112"/>
      <c r="BP648" s="112"/>
      <c r="BQ648" s="112"/>
      <c r="BR648" s="112"/>
      <c r="BS648" s="112"/>
      <c r="BT648" s="112"/>
      <c r="BU648" s="112"/>
      <c r="BV648" s="112"/>
      <c r="BW648" s="112"/>
      <c r="BX648" s="112"/>
      <c r="BY648" s="112"/>
      <c r="BZ648" s="112"/>
    </row>
    <row r="649" spans="30:78" x14ac:dyDescent="0.2">
      <c r="AD649" s="112"/>
      <c r="AE649" s="112"/>
      <c r="AF649" s="112"/>
      <c r="AG649" s="112"/>
      <c r="AH649" s="112"/>
      <c r="AI649" s="112"/>
      <c r="AJ649" s="112"/>
      <c r="AK649" s="112"/>
      <c r="AL649" s="112"/>
      <c r="AM649" s="112"/>
      <c r="AN649" s="112"/>
      <c r="AO649" s="112"/>
      <c r="AP649" s="112"/>
      <c r="AQ649" s="112"/>
      <c r="AR649" s="112"/>
      <c r="AS649" s="112"/>
      <c r="AT649" s="112"/>
      <c r="AU649" s="112"/>
      <c r="AV649" s="112"/>
      <c r="AW649" s="112"/>
      <c r="AX649" s="112"/>
      <c r="AY649" s="112"/>
      <c r="AZ649" s="112"/>
      <c r="BA649" s="112"/>
      <c r="BB649" s="112"/>
      <c r="BC649" s="112"/>
      <c r="BD649" s="112"/>
      <c r="BE649" s="112"/>
      <c r="BF649" s="112"/>
      <c r="BG649" s="112"/>
      <c r="BH649" s="112"/>
      <c r="BI649" s="112"/>
      <c r="BJ649" s="112"/>
      <c r="BK649" s="112"/>
      <c r="BL649" s="112"/>
      <c r="BM649" s="112"/>
      <c r="BN649" s="112"/>
      <c r="BO649" s="112"/>
      <c r="BP649" s="112"/>
      <c r="BQ649" s="112"/>
      <c r="BR649" s="112"/>
      <c r="BS649" s="112"/>
      <c r="BT649" s="112"/>
      <c r="BU649" s="112"/>
      <c r="BV649" s="112"/>
      <c r="BW649" s="112"/>
      <c r="BX649" s="112"/>
      <c r="BY649" s="112"/>
      <c r="BZ649" s="112"/>
    </row>
    <row r="650" spans="30:78" x14ac:dyDescent="0.2">
      <c r="AD650" s="112"/>
      <c r="AE650" s="112"/>
      <c r="AF650" s="112"/>
      <c r="AG650" s="112"/>
      <c r="AH650" s="112"/>
      <c r="AI650" s="112"/>
      <c r="AJ650" s="112"/>
      <c r="AK650" s="112"/>
      <c r="AL650" s="112"/>
      <c r="AM650" s="112"/>
      <c r="AN650" s="112"/>
      <c r="AO650" s="112"/>
      <c r="AP650" s="112"/>
      <c r="AQ650" s="112"/>
      <c r="AR650" s="112"/>
      <c r="AS650" s="112"/>
      <c r="AT650" s="112"/>
      <c r="AU650" s="112"/>
      <c r="AV650" s="112"/>
      <c r="AW650" s="112"/>
      <c r="AX650" s="112"/>
      <c r="AY650" s="112"/>
      <c r="AZ650" s="112"/>
      <c r="BA650" s="112"/>
      <c r="BB650" s="112"/>
      <c r="BC650" s="112"/>
      <c r="BD650" s="112"/>
      <c r="BE650" s="112"/>
      <c r="BF650" s="112"/>
      <c r="BG650" s="112"/>
      <c r="BH650" s="112"/>
      <c r="BI650" s="112"/>
      <c r="BJ650" s="112"/>
      <c r="BK650" s="112"/>
      <c r="BL650" s="112"/>
      <c r="BM650" s="112"/>
      <c r="BN650" s="112"/>
      <c r="BO650" s="112"/>
      <c r="BP650" s="112"/>
      <c r="BQ650" s="112"/>
      <c r="BR650" s="112"/>
      <c r="BS650" s="112"/>
      <c r="BT650" s="112"/>
      <c r="BU650" s="112"/>
      <c r="BV650" s="112"/>
      <c r="BW650" s="112"/>
      <c r="BX650" s="112"/>
      <c r="BY650" s="112"/>
      <c r="BZ650" s="112"/>
    </row>
    <row r="651" spans="30:78" x14ac:dyDescent="0.2">
      <c r="AD651" s="112"/>
      <c r="AE651" s="112"/>
      <c r="AF651" s="112"/>
      <c r="AG651" s="112"/>
      <c r="AH651" s="112"/>
      <c r="AI651" s="112"/>
      <c r="AJ651" s="112"/>
      <c r="AK651" s="112"/>
      <c r="AL651" s="112"/>
      <c r="AM651" s="112"/>
      <c r="AN651" s="112"/>
      <c r="AO651" s="112"/>
      <c r="AP651" s="112"/>
      <c r="AQ651" s="112"/>
      <c r="AR651" s="112"/>
      <c r="AS651" s="112"/>
      <c r="AT651" s="112"/>
      <c r="AU651" s="112"/>
      <c r="AV651" s="112"/>
      <c r="AW651" s="112"/>
      <c r="AX651" s="112"/>
      <c r="AY651" s="112"/>
      <c r="AZ651" s="112"/>
      <c r="BA651" s="112"/>
      <c r="BB651" s="112"/>
      <c r="BC651" s="112"/>
      <c r="BD651" s="112"/>
      <c r="BE651" s="112"/>
      <c r="BF651" s="112"/>
      <c r="BG651" s="112"/>
      <c r="BH651" s="112"/>
      <c r="BI651" s="112"/>
      <c r="BJ651" s="112"/>
      <c r="BK651" s="112"/>
      <c r="BL651" s="112"/>
      <c r="BM651" s="112"/>
      <c r="BN651" s="112"/>
      <c r="BO651" s="112"/>
      <c r="BP651" s="112"/>
      <c r="BQ651" s="112"/>
      <c r="BR651" s="112"/>
      <c r="BS651" s="112"/>
      <c r="BT651" s="112"/>
      <c r="BU651" s="112"/>
      <c r="BV651" s="112"/>
      <c r="BW651" s="112"/>
      <c r="BX651" s="112"/>
      <c r="BY651" s="112"/>
      <c r="BZ651" s="112"/>
    </row>
    <row r="652" spans="30:78" x14ac:dyDescent="0.2">
      <c r="AD652" s="112"/>
      <c r="AE652" s="112"/>
      <c r="AF652" s="112"/>
      <c r="AG652" s="112"/>
      <c r="AH652" s="112"/>
      <c r="AI652" s="112"/>
      <c r="AJ652" s="112"/>
      <c r="AK652" s="112"/>
      <c r="AL652" s="112"/>
      <c r="AM652" s="112"/>
      <c r="AN652" s="112"/>
      <c r="AO652" s="112"/>
      <c r="AP652" s="112"/>
      <c r="AQ652" s="112"/>
      <c r="AR652" s="112"/>
      <c r="AS652" s="112"/>
      <c r="AT652" s="112"/>
      <c r="AU652" s="112"/>
      <c r="AV652" s="112"/>
      <c r="AW652" s="112"/>
      <c r="AX652" s="112"/>
      <c r="AY652" s="112"/>
      <c r="AZ652" s="112"/>
      <c r="BA652" s="112"/>
      <c r="BB652" s="112"/>
      <c r="BC652" s="112"/>
      <c r="BD652" s="112"/>
      <c r="BE652" s="112"/>
      <c r="BF652" s="112"/>
      <c r="BG652" s="112"/>
      <c r="BH652" s="112"/>
      <c r="BI652" s="112"/>
      <c r="BJ652" s="112"/>
      <c r="BK652" s="112"/>
      <c r="BL652" s="112"/>
      <c r="BM652" s="112"/>
      <c r="BN652" s="112"/>
      <c r="BO652" s="112"/>
      <c r="BP652" s="112"/>
      <c r="BQ652" s="112"/>
      <c r="BR652" s="112"/>
      <c r="BS652" s="112"/>
      <c r="BT652" s="112"/>
      <c r="BU652" s="112"/>
      <c r="BV652" s="112"/>
      <c r="BW652" s="112"/>
      <c r="BX652" s="112"/>
      <c r="BY652" s="112"/>
      <c r="BZ652" s="112"/>
    </row>
    <row r="653" spans="30:78" x14ac:dyDescent="0.2">
      <c r="AD653" s="112"/>
      <c r="AE653" s="112"/>
      <c r="AF653" s="112"/>
      <c r="AG653" s="112"/>
      <c r="AH653" s="112"/>
      <c r="AI653" s="112"/>
      <c r="AJ653" s="112"/>
      <c r="AK653" s="112"/>
      <c r="AL653" s="112"/>
      <c r="AM653" s="112"/>
      <c r="AN653" s="112"/>
      <c r="AO653" s="112"/>
      <c r="AP653" s="112"/>
      <c r="AQ653" s="112"/>
      <c r="AR653" s="112"/>
      <c r="AS653" s="112"/>
      <c r="AT653" s="112"/>
      <c r="AU653" s="112"/>
      <c r="AV653" s="112"/>
      <c r="AW653" s="112"/>
      <c r="AX653" s="112"/>
      <c r="AY653" s="112"/>
      <c r="AZ653" s="112"/>
      <c r="BA653" s="112"/>
      <c r="BB653" s="112"/>
      <c r="BC653" s="112"/>
      <c r="BD653" s="112"/>
      <c r="BE653" s="112"/>
      <c r="BF653" s="112"/>
      <c r="BG653" s="112"/>
      <c r="BH653" s="112"/>
      <c r="BI653" s="112"/>
      <c r="BJ653" s="112"/>
      <c r="BK653" s="112"/>
      <c r="BL653" s="112"/>
      <c r="BM653" s="112"/>
      <c r="BN653" s="112"/>
      <c r="BO653" s="112"/>
      <c r="BP653" s="112"/>
      <c r="BQ653" s="112"/>
      <c r="BR653" s="112"/>
      <c r="BS653" s="112"/>
      <c r="BT653" s="112"/>
      <c r="BU653" s="112"/>
      <c r="BV653" s="112"/>
      <c r="BW653" s="112"/>
      <c r="BX653" s="112"/>
      <c r="BY653" s="112"/>
      <c r="BZ653" s="112"/>
    </row>
    <row r="654" spans="30:78" x14ac:dyDescent="0.2">
      <c r="AD654" s="112"/>
      <c r="AE654" s="112"/>
      <c r="AF654" s="112"/>
      <c r="AG654" s="112"/>
      <c r="AH654" s="112"/>
      <c r="AI654" s="112"/>
      <c r="AJ654" s="112"/>
      <c r="AK654" s="112"/>
      <c r="AL654" s="112"/>
      <c r="AM654" s="112"/>
      <c r="AN654" s="112"/>
      <c r="AO654" s="112"/>
      <c r="AP654" s="112"/>
      <c r="AQ654" s="112"/>
      <c r="AR654" s="112"/>
      <c r="AS654" s="112"/>
      <c r="AT654" s="112"/>
      <c r="AU654" s="112"/>
      <c r="AV654" s="112"/>
      <c r="AW654" s="112"/>
      <c r="AX654" s="112"/>
      <c r="AY654" s="112"/>
      <c r="AZ654" s="112"/>
      <c r="BA654" s="112"/>
      <c r="BB654" s="112"/>
      <c r="BC654" s="112"/>
      <c r="BD654" s="112"/>
      <c r="BE654" s="112"/>
      <c r="BF654" s="112"/>
      <c r="BG654" s="112"/>
      <c r="BH654" s="112"/>
      <c r="BI654" s="112"/>
      <c r="BJ654" s="112"/>
      <c r="BK654" s="112"/>
      <c r="BL654" s="112"/>
      <c r="BM654" s="112"/>
      <c r="BN654" s="112"/>
      <c r="BO654" s="112"/>
      <c r="BP654" s="112"/>
      <c r="BQ654" s="112"/>
      <c r="BR654" s="112"/>
      <c r="BS654" s="112"/>
      <c r="BT654" s="112"/>
      <c r="BU654" s="112"/>
      <c r="BV654" s="112"/>
      <c r="BW654" s="112"/>
      <c r="BX654" s="112"/>
      <c r="BY654" s="112"/>
      <c r="BZ654" s="112"/>
    </row>
    <row r="655" spans="30:78" x14ac:dyDescent="0.2">
      <c r="AD655" s="112"/>
      <c r="AE655" s="112"/>
      <c r="AF655" s="112"/>
      <c r="AG655" s="112"/>
      <c r="AH655" s="112"/>
      <c r="AI655" s="112"/>
      <c r="AJ655" s="112"/>
      <c r="AK655" s="112"/>
      <c r="AL655" s="112"/>
      <c r="AM655" s="112"/>
      <c r="AN655" s="112"/>
      <c r="AO655" s="112"/>
      <c r="AP655" s="112"/>
      <c r="AQ655" s="112"/>
      <c r="AR655" s="112"/>
      <c r="AS655" s="112"/>
      <c r="AT655" s="112"/>
      <c r="AU655" s="112"/>
      <c r="AV655" s="112"/>
      <c r="AW655" s="112"/>
      <c r="AX655" s="112"/>
      <c r="AY655" s="112"/>
      <c r="AZ655" s="112"/>
      <c r="BA655" s="112"/>
      <c r="BB655" s="112"/>
      <c r="BC655" s="112"/>
      <c r="BD655" s="112"/>
      <c r="BE655" s="112"/>
      <c r="BF655" s="112"/>
      <c r="BG655" s="112"/>
      <c r="BH655" s="112"/>
      <c r="BI655" s="112"/>
      <c r="BJ655" s="112"/>
      <c r="BK655" s="112"/>
      <c r="BL655" s="112"/>
      <c r="BM655" s="112"/>
      <c r="BN655" s="112"/>
      <c r="BO655" s="112"/>
      <c r="BP655" s="112"/>
      <c r="BQ655" s="112"/>
      <c r="BR655" s="112"/>
      <c r="BS655" s="112"/>
      <c r="BT655" s="112"/>
      <c r="BU655" s="112"/>
      <c r="BV655" s="112"/>
      <c r="BW655" s="112"/>
      <c r="BX655" s="112"/>
      <c r="BY655" s="112"/>
      <c r="BZ655" s="112"/>
    </row>
    <row r="656" spans="30:78" x14ac:dyDescent="0.2">
      <c r="AD656" s="112"/>
      <c r="AE656" s="112"/>
      <c r="AF656" s="112"/>
      <c r="AG656" s="112"/>
      <c r="AH656" s="112"/>
      <c r="AI656" s="112"/>
      <c r="AJ656" s="112"/>
      <c r="AK656" s="112"/>
      <c r="AL656" s="112"/>
      <c r="AM656" s="112"/>
      <c r="AN656" s="112"/>
      <c r="AO656" s="112"/>
      <c r="AP656" s="112"/>
      <c r="AQ656" s="112"/>
      <c r="AR656" s="112"/>
      <c r="AS656" s="112"/>
      <c r="AT656" s="112"/>
      <c r="AU656" s="112"/>
      <c r="AV656" s="112"/>
      <c r="AW656" s="112"/>
      <c r="AX656" s="112"/>
      <c r="AY656" s="112"/>
      <c r="AZ656" s="112"/>
      <c r="BA656" s="112"/>
      <c r="BB656" s="112"/>
      <c r="BC656" s="112"/>
      <c r="BD656" s="112"/>
      <c r="BE656" s="112"/>
      <c r="BF656" s="112"/>
      <c r="BG656" s="112"/>
      <c r="BH656" s="112"/>
      <c r="BI656" s="112"/>
      <c r="BJ656" s="112"/>
      <c r="BK656" s="112"/>
      <c r="BL656" s="112"/>
      <c r="BM656" s="112"/>
      <c r="BN656" s="112"/>
      <c r="BO656" s="112"/>
      <c r="BP656" s="112"/>
      <c r="BQ656" s="112"/>
      <c r="BR656" s="112"/>
      <c r="BS656" s="112"/>
      <c r="BT656" s="112"/>
      <c r="BU656" s="112"/>
      <c r="BV656" s="112"/>
      <c r="BW656" s="112"/>
      <c r="BX656" s="112"/>
      <c r="BY656" s="112"/>
      <c r="BZ656" s="112"/>
    </row>
    <row r="657" spans="30:78" x14ac:dyDescent="0.2">
      <c r="AD657" s="112"/>
      <c r="AE657" s="112"/>
      <c r="AF657" s="112"/>
      <c r="AG657" s="112"/>
      <c r="AH657" s="112"/>
      <c r="AI657" s="112"/>
      <c r="AJ657" s="112"/>
      <c r="AK657" s="112"/>
      <c r="AL657" s="112"/>
      <c r="AM657" s="112"/>
      <c r="AN657" s="112"/>
      <c r="AO657" s="112"/>
      <c r="AP657" s="112"/>
      <c r="AQ657" s="112"/>
      <c r="AR657" s="112"/>
      <c r="AS657" s="112"/>
      <c r="AT657" s="112"/>
      <c r="AU657" s="112"/>
      <c r="AV657" s="112"/>
      <c r="AW657" s="112"/>
      <c r="AX657" s="112"/>
      <c r="AY657" s="112"/>
      <c r="AZ657" s="112"/>
      <c r="BA657" s="112"/>
      <c r="BB657" s="112"/>
      <c r="BC657" s="112"/>
      <c r="BD657" s="112"/>
      <c r="BE657" s="112"/>
      <c r="BF657" s="112"/>
      <c r="BG657" s="112"/>
      <c r="BH657" s="112"/>
      <c r="BI657" s="112"/>
      <c r="BJ657" s="112"/>
      <c r="BK657" s="112"/>
      <c r="BL657" s="112"/>
      <c r="BM657" s="112"/>
      <c r="BN657" s="112"/>
      <c r="BO657" s="112"/>
      <c r="BP657" s="112"/>
      <c r="BQ657" s="112"/>
      <c r="BR657" s="112"/>
      <c r="BS657" s="112"/>
      <c r="BT657" s="112"/>
      <c r="BU657" s="112"/>
      <c r="BV657" s="112"/>
      <c r="BW657" s="112"/>
      <c r="BX657" s="112"/>
      <c r="BY657" s="112"/>
      <c r="BZ657" s="112"/>
    </row>
    <row r="658" spans="30:78" x14ac:dyDescent="0.2">
      <c r="AD658" s="112"/>
      <c r="AE658" s="112"/>
      <c r="AF658" s="112"/>
      <c r="AG658" s="112"/>
      <c r="AH658" s="112"/>
      <c r="AI658" s="112"/>
      <c r="AJ658" s="112"/>
      <c r="AK658" s="112"/>
      <c r="AL658" s="112"/>
      <c r="AM658" s="112"/>
      <c r="AN658" s="112"/>
      <c r="AO658" s="112"/>
      <c r="AP658" s="112"/>
      <c r="AQ658" s="112"/>
      <c r="AR658" s="112"/>
      <c r="AS658" s="112"/>
      <c r="AT658" s="112"/>
      <c r="AU658" s="112"/>
      <c r="AV658" s="112"/>
      <c r="AW658" s="112"/>
      <c r="AX658" s="112"/>
      <c r="AY658" s="112"/>
      <c r="AZ658" s="112"/>
      <c r="BA658" s="112"/>
      <c r="BB658" s="112"/>
      <c r="BC658" s="112"/>
      <c r="BD658" s="112"/>
      <c r="BE658" s="112"/>
      <c r="BF658" s="112"/>
      <c r="BG658" s="112"/>
      <c r="BH658" s="112"/>
      <c r="BI658" s="112"/>
      <c r="BJ658" s="112"/>
      <c r="BK658" s="112"/>
      <c r="BL658" s="112"/>
      <c r="BM658" s="112"/>
      <c r="BN658" s="112"/>
      <c r="BO658" s="112"/>
      <c r="BP658" s="112"/>
      <c r="BQ658" s="112"/>
      <c r="BR658" s="112"/>
      <c r="BS658" s="112"/>
      <c r="BT658" s="112"/>
      <c r="BU658" s="112"/>
      <c r="BV658" s="112"/>
      <c r="BW658" s="112"/>
      <c r="BX658" s="112"/>
      <c r="BY658" s="112"/>
      <c r="BZ658" s="112"/>
    </row>
    <row r="659" spans="30:78" x14ac:dyDescent="0.2">
      <c r="AD659" s="112"/>
      <c r="AE659" s="112"/>
      <c r="AF659" s="112"/>
      <c r="AG659" s="112"/>
      <c r="AH659" s="112"/>
      <c r="AI659" s="112"/>
      <c r="AJ659" s="112"/>
      <c r="AK659" s="112"/>
      <c r="AL659" s="112"/>
      <c r="AM659" s="112"/>
      <c r="AN659" s="112"/>
      <c r="AO659" s="112"/>
      <c r="AP659" s="112"/>
      <c r="AQ659" s="112"/>
      <c r="AR659" s="112"/>
      <c r="AS659" s="112"/>
      <c r="AT659" s="112"/>
      <c r="AU659" s="112"/>
      <c r="AV659" s="112"/>
      <c r="AW659" s="112"/>
      <c r="AX659" s="112"/>
      <c r="AY659" s="112"/>
      <c r="AZ659" s="112"/>
      <c r="BA659" s="112"/>
      <c r="BB659" s="112"/>
      <c r="BC659" s="112"/>
      <c r="BD659" s="112"/>
      <c r="BE659" s="112"/>
      <c r="BF659" s="112"/>
      <c r="BG659" s="112"/>
      <c r="BH659" s="112"/>
      <c r="BI659" s="112"/>
      <c r="BJ659" s="112"/>
      <c r="BK659" s="112"/>
      <c r="BL659" s="112"/>
      <c r="BM659" s="112"/>
      <c r="BN659" s="112"/>
      <c r="BO659" s="112"/>
      <c r="BP659" s="112"/>
      <c r="BQ659" s="112"/>
      <c r="BR659" s="112"/>
      <c r="BS659" s="112"/>
      <c r="BT659" s="112"/>
      <c r="BU659" s="112"/>
      <c r="BV659" s="112"/>
      <c r="BW659" s="112"/>
      <c r="BX659" s="112"/>
      <c r="BY659" s="112"/>
      <c r="BZ659" s="112"/>
    </row>
    <row r="660" spans="30:78" x14ac:dyDescent="0.2">
      <c r="AD660" s="112"/>
      <c r="AE660" s="112"/>
      <c r="AF660" s="112"/>
      <c r="AG660" s="112"/>
      <c r="AH660" s="112"/>
      <c r="AI660" s="112"/>
      <c r="AJ660" s="112"/>
      <c r="AK660" s="112"/>
      <c r="AL660" s="112"/>
      <c r="AM660" s="112"/>
      <c r="AN660" s="112"/>
      <c r="AO660" s="112"/>
      <c r="AP660" s="112"/>
      <c r="AQ660" s="112"/>
      <c r="AR660" s="112"/>
      <c r="AS660" s="112"/>
      <c r="AT660" s="112"/>
      <c r="AU660" s="112"/>
      <c r="AV660" s="112"/>
      <c r="AW660" s="112"/>
      <c r="AX660" s="112"/>
      <c r="AY660" s="112"/>
      <c r="AZ660" s="112"/>
      <c r="BA660" s="112"/>
      <c r="BB660" s="112"/>
      <c r="BC660" s="112"/>
      <c r="BD660" s="112"/>
      <c r="BE660" s="112"/>
      <c r="BF660" s="112"/>
      <c r="BG660" s="112"/>
      <c r="BH660" s="112"/>
      <c r="BI660" s="112"/>
      <c r="BJ660" s="112"/>
      <c r="BK660" s="112"/>
      <c r="BL660" s="112"/>
      <c r="BM660" s="112"/>
      <c r="BN660" s="112"/>
      <c r="BO660" s="112"/>
      <c r="BP660" s="112"/>
      <c r="BQ660" s="112"/>
      <c r="BR660" s="112"/>
      <c r="BS660" s="112"/>
      <c r="BT660" s="112"/>
      <c r="BU660" s="112"/>
      <c r="BV660" s="112"/>
      <c r="BW660" s="112"/>
      <c r="BX660" s="112"/>
      <c r="BY660" s="112"/>
      <c r="BZ660" s="112"/>
    </row>
    <row r="661" spans="30:78" x14ac:dyDescent="0.2">
      <c r="AD661" s="112"/>
      <c r="AE661" s="112"/>
      <c r="AF661" s="112"/>
      <c r="AG661" s="112"/>
      <c r="AH661" s="112"/>
      <c r="AI661" s="112"/>
      <c r="AJ661" s="112"/>
      <c r="AK661" s="112"/>
      <c r="AL661" s="112"/>
      <c r="AM661" s="112"/>
      <c r="AN661" s="112"/>
      <c r="AO661" s="112"/>
      <c r="AP661" s="112"/>
      <c r="AQ661" s="112"/>
      <c r="AR661" s="112"/>
      <c r="AS661" s="112"/>
      <c r="AT661" s="112"/>
      <c r="AU661" s="112"/>
      <c r="AV661" s="112"/>
      <c r="AW661" s="112"/>
      <c r="AX661" s="112"/>
      <c r="AY661" s="112"/>
      <c r="AZ661" s="112"/>
      <c r="BA661" s="112"/>
      <c r="BB661" s="112"/>
      <c r="BC661" s="112"/>
      <c r="BD661" s="112"/>
      <c r="BE661" s="112"/>
      <c r="BF661" s="112"/>
      <c r="BG661" s="112"/>
      <c r="BH661" s="112"/>
      <c r="BI661" s="112"/>
      <c r="BJ661" s="112"/>
      <c r="BK661" s="112"/>
      <c r="BL661" s="112"/>
      <c r="BM661" s="112"/>
      <c r="BN661" s="112"/>
      <c r="BO661" s="112"/>
      <c r="BP661" s="112"/>
      <c r="BQ661" s="112"/>
      <c r="BR661" s="112"/>
      <c r="BS661" s="112"/>
      <c r="BT661" s="112"/>
      <c r="BU661" s="112"/>
      <c r="BV661" s="112"/>
      <c r="BW661" s="112"/>
      <c r="BX661" s="112"/>
      <c r="BY661" s="112"/>
      <c r="BZ661" s="112"/>
    </row>
    <row r="662" spans="30:78" x14ac:dyDescent="0.2">
      <c r="AD662" s="112"/>
      <c r="AE662" s="112"/>
      <c r="AF662" s="112"/>
      <c r="AG662" s="112"/>
      <c r="AH662" s="112"/>
      <c r="AI662" s="112"/>
      <c r="AJ662" s="112"/>
      <c r="AK662" s="112"/>
      <c r="AL662" s="112"/>
      <c r="AM662" s="112"/>
      <c r="AN662" s="112"/>
      <c r="AO662" s="112"/>
      <c r="AP662" s="112"/>
      <c r="AQ662" s="112"/>
      <c r="AR662" s="112"/>
      <c r="AS662" s="112"/>
      <c r="AT662" s="112"/>
      <c r="AU662" s="112"/>
      <c r="AV662" s="112"/>
      <c r="AW662" s="112"/>
      <c r="AX662" s="112"/>
      <c r="AY662" s="112"/>
      <c r="AZ662" s="112"/>
      <c r="BA662" s="112"/>
      <c r="BB662" s="112"/>
      <c r="BC662" s="112"/>
      <c r="BD662" s="112"/>
      <c r="BE662" s="112"/>
      <c r="BF662" s="112"/>
      <c r="BG662" s="112"/>
      <c r="BH662" s="112"/>
      <c r="BI662" s="112"/>
      <c r="BJ662" s="112"/>
      <c r="BK662" s="112"/>
      <c r="BL662" s="112"/>
      <c r="BM662" s="112"/>
      <c r="BN662" s="112"/>
      <c r="BO662" s="112"/>
      <c r="BP662" s="112"/>
      <c r="BQ662" s="112"/>
      <c r="BR662" s="112"/>
      <c r="BS662" s="112"/>
      <c r="BT662" s="112"/>
      <c r="BU662" s="112"/>
      <c r="BV662" s="112"/>
      <c r="BW662" s="112"/>
      <c r="BX662" s="112"/>
      <c r="BY662" s="112"/>
      <c r="BZ662" s="112"/>
    </row>
    <row r="663" spans="30:78" x14ac:dyDescent="0.2">
      <c r="AD663" s="112"/>
      <c r="AE663" s="112"/>
      <c r="AF663" s="112"/>
      <c r="AG663" s="112"/>
      <c r="AH663" s="112"/>
      <c r="AI663" s="112"/>
      <c r="AJ663" s="112"/>
      <c r="AK663" s="112"/>
      <c r="AL663" s="112"/>
      <c r="AM663" s="112"/>
      <c r="AN663" s="112"/>
      <c r="AO663" s="112"/>
      <c r="AP663" s="112"/>
      <c r="AQ663" s="112"/>
      <c r="AR663" s="112"/>
      <c r="AS663" s="112"/>
      <c r="AT663" s="112"/>
      <c r="AU663" s="112"/>
      <c r="AV663" s="112"/>
      <c r="AW663" s="112"/>
      <c r="AX663" s="112"/>
      <c r="AY663" s="112"/>
      <c r="AZ663" s="112"/>
      <c r="BA663" s="112"/>
      <c r="BB663" s="112"/>
      <c r="BC663" s="112"/>
      <c r="BD663" s="112"/>
      <c r="BE663" s="112"/>
      <c r="BF663" s="112"/>
      <c r="BG663" s="112"/>
      <c r="BH663" s="112"/>
      <c r="BI663" s="112"/>
      <c r="BJ663" s="112"/>
      <c r="BK663" s="112"/>
      <c r="BL663" s="112"/>
      <c r="BM663" s="112"/>
      <c r="BN663" s="112"/>
      <c r="BO663" s="112"/>
      <c r="BP663" s="112"/>
      <c r="BQ663" s="112"/>
      <c r="BR663" s="112"/>
      <c r="BS663" s="112"/>
      <c r="BT663" s="112"/>
      <c r="BU663" s="112"/>
      <c r="BV663" s="112"/>
      <c r="BW663" s="112"/>
      <c r="BX663" s="112"/>
      <c r="BY663" s="112"/>
      <c r="BZ663" s="112"/>
    </row>
    <row r="664" spans="30:78" x14ac:dyDescent="0.2">
      <c r="AD664" s="112"/>
      <c r="AE664" s="112"/>
      <c r="AF664" s="112"/>
      <c r="AG664" s="112"/>
      <c r="AH664" s="112"/>
      <c r="AI664" s="112"/>
      <c r="AJ664" s="112"/>
      <c r="AK664" s="112"/>
      <c r="AL664" s="112"/>
      <c r="AM664" s="112"/>
      <c r="AN664" s="112"/>
      <c r="AO664" s="112"/>
      <c r="AP664" s="112"/>
      <c r="AQ664" s="112"/>
      <c r="AR664" s="112"/>
      <c r="AS664" s="112"/>
      <c r="AT664" s="112"/>
      <c r="AU664" s="112"/>
      <c r="AV664" s="112"/>
      <c r="AW664" s="112"/>
      <c r="AX664" s="112"/>
      <c r="AY664" s="112"/>
      <c r="AZ664" s="112"/>
      <c r="BA664" s="112"/>
      <c r="BB664" s="112"/>
      <c r="BC664" s="112"/>
      <c r="BD664" s="112"/>
      <c r="BE664" s="112"/>
      <c r="BF664" s="112"/>
      <c r="BG664" s="112"/>
      <c r="BH664" s="112"/>
      <c r="BI664" s="112"/>
      <c r="BJ664" s="112"/>
      <c r="BK664" s="112"/>
      <c r="BL664" s="112"/>
      <c r="BM664" s="112"/>
      <c r="BN664" s="112"/>
      <c r="BO664" s="112"/>
      <c r="BP664" s="112"/>
      <c r="BQ664" s="112"/>
      <c r="BR664" s="112"/>
      <c r="BS664" s="112"/>
      <c r="BT664" s="112"/>
      <c r="BU664" s="112"/>
      <c r="BV664" s="112"/>
      <c r="BW664" s="112"/>
      <c r="BX664" s="112"/>
      <c r="BY664" s="112"/>
      <c r="BZ664" s="112"/>
    </row>
    <row r="665" spans="30:78" x14ac:dyDescent="0.2">
      <c r="AD665" s="112"/>
      <c r="AE665" s="112"/>
      <c r="AF665" s="112"/>
      <c r="AG665" s="112"/>
      <c r="AH665" s="112"/>
      <c r="AI665" s="112"/>
      <c r="AJ665" s="112"/>
      <c r="AK665" s="112"/>
      <c r="AL665" s="112"/>
      <c r="AM665" s="112"/>
      <c r="AN665" s="112"/>
      <c r="AO665" s="112"/>
      <c r="AP665" s="112"/>
      <c r="AQ665" s="112"/>
      <c r="AR665" s="112"/>
      <c r="AS665" s="112"/>
      <c r="AT665" s="112"/>
      <c r="AU665" s="112"/>
      <c r="AV665" s="112"/>
      <c r="AW665" s="112"/>
      <c r="AX665" s="112"/>
      <c r="AY665" s="112"/>
      <c r="AZ665" s="112"/>
      <c r="BA665" s="112"/>
      <c r="BB665" s="112"/>
      <c r="BC665" s="112"/>
      <c r="BD665" s="112"/>
      <c r="BE665" s="112"/>
      <c r="BF665" s="112"/>
      <c r="BG665" s="112"/>
      <c r="BH665" s="112"/>
      <c r="BI665" s="112"/>
      <c r="BJ665" s="112"/>
      <c r="BK665" s="112"/>
      <c r="BL665" s="112"/>
      <c r="BM665" s="112"/>
      <c r="BN665" s="112"/>
      <c r="BO665" s="112"/>
      <c r="BP665" s="112"/>
      <c r="BQ665" s="112"/>
      <c r="BR665" s="112"/>
      <c r="BS665" s="112"/>
      <c r="BT665" s="112"/>
      <c r="BU665" s="112"/>
      <c r="BV665" s="112"/>
      <c r="BW665" s="112"/>
      <c r="BX665" s="112"/>
      <c r="BY665" s="112"/>
      <c r="BZ665" s="112"/>
    </row>
    <row r="666" spans="30:78" x14ac:dyDescent="0.2">
      <c r="AD666" s="112"/>
      <c r="AE666" s="112"/>
      <c r="AF666" s="112"/>
      <c r="AG666" s="112"/>
      <c r="AH666" s="112"/>
      <c r="AI666" s="112"/>
      <c r="AJ666" s="112"/>
      <c r="AK666" s="112"/>
      <c r="AL666" s="112"/>
      <c r="AM666" s="112"/>
      <c r="AN666" s="112"/>
      <c r="AO666" s="112"/>
      <c r="AP666" s="112"/>
      <c r="AQ666" s="112"/>
      <c r="AR666" s="112"/>
      <c r="AS666" s="112"/>
      <c r="AT666" s="112"/>
      <c r="AU666" s="112"/>
      <c r="AV666" s="112"/>
      <c r="AW666" s="112"/>
      <c r="AX666" s="112"/>
      <c r="AY666" s="112"/>
      <c r="AZ666" s="112"/>
      <c r="BA666" s="112"/>
      <c r="BB666" s="112"/>
      <c r="BC666" s="112"/>
      <c r="BD666" s="112"/>
      <c r="BE666" s="112"/>
      <c r="BF666" s="112"/>
      <c r="BG666" s="112"/>
      <c r="BH666" s="112"/>
      <c r="BI666" s="112"/>
      <c r="BJ666" s="112"/>
      <c r="BK666" s="112"/>
      <c r="BL666" s="112"/>
      <c r="BM666" s="112"/>
      <c r="BN666" s="112"/>
      <c r="BO666" s="112"/>
      <c r="BP666" s="112"/>
      <c r="BQ666" s="112"/>
      <c r="BR666" s="112"/>
      <c r="BS666" s="112"/>
      <c r="BT666" s="112"/>
      <c r="BU666" s="112"/>
      <c r="BV666" s="112"/>
      <c r="BW666" s="112"/>
      <c r="BX666" s="112"/>
      <c r="BY666" s="112"/>
      <c r="BZ666" s="112"/>
    </row>
    <row r="667" spans="30:78" x14ac:dyDescent="0.2">
      <c r="AD667" s="112"/>
      <c r="AE667" s="112"/>
      <c r="AF667" s="112"/>
      <c r="AG667" s="112"/>
      <c r="AH667" s="112"/>
      <c r="AI667" s="112"/>
      <c r="AJ667" s="112"/>
      <c r="AK667" s="112"/>
      <c r="AL667" s="112"/>
      <c r="AM667" s="112"/>
      <c r="AN667" s="112"/>
      <c r="AO667" s="112"/>
      <c r="AP667" s="112"/>
      <c r="AQ667" s="112"/>
      <c r="AR667" s="112"/>
      <c r="AS667" s="112"/>
      <c r="AT667" s="112"/>
      <c r="AU667" s="112"/>
      <c r="AV667" s="112"/>
      <c r="AW667" s="112"/>
      <c r="AX667" s="112"/>
      <c r="AY667" s="112"/>
      <c r="AZ667" s="112"/>
      <c r="BA667" s="112"/>
      <c r="BB667" s="112"/>
      <c r="BC667" s="112"/>
      <c r="BD667" s="112"/>
      <c r="BE667" s="112"/>
      <c r="BF667" s="112"/>
      <c r="BG667" s="112"/>
      <c r="BH667" s="112"/>
      <c r="BI667" s="112"/>
      <c r="BJ667" s="112"/>
      <c r="BK667" s="112"/>
      <c r="BL667" s="112"/>
      <c r="BM667" s="112"/>
      <c r="BN667" s="112"/>
      <c r="BO667" s="112"/>
      <c r="BP667" s="112"/>
      <c r="BQ667" s="112"/>
      <c r="BR667" s="112"/>
      <c r="BS667" s="112"/>
      <c r="BT667" s="112"/>
      <c r="BU667" s="112"/>
      <c r="BV667" s="112"/>
      <c r="BW667" s="112"/>
      <c r="BX667" s="112"/>
      <c r="BY667" s="112"/>
      <c r="BZ667" s="112"/>
    </row>
    <row r="668" spans="30:78" x14ac:dyDescent="0.2">
      <c r="AD668" s="112"/>
      <c r="AE668" s="112"/>
      <c r="AF668" s="112"/>
      <c r="AG668" s="112"/>
      <c r="AH668" s="112"/>
      <c r="AI668" s="112"/>
      <c r="AJ668" s="112"/>
      <c r="AK668" s="112"/>
      <c r="AL668" s="112"/>
      <c r="AM668" s="112"/>
      <c r="AN668" s="112"/>
      <c r="AO668" s="112"/>
      <c r="AP668" s="112"/>
      <c r="AQ668" s="112"/>
      <c r="AR668" s="112"/>
      <c r="AS668" s="112"/>
      <c r="AT668" s="112"/>
      <c r="AU668" s="112"/>
      <c r="AV668" s="112"/>
      <c r="AW668" s="112"/>
      <c r="AX668" s="112"/>
      <c r="AY668" s="112"/>
      <c r="AZ668" s="112"/>
      <c r="BA668" s="112"/>
      <c r="BB668" s="112"/>
      <c r="BC668" s="112"/>
      <c r="BD668" s="112"/>
      <c r="BE668" s="112"/>
      <c r="BF668" s="112"/>
      <c r="BG668" s="112"/>
      <c r="BH668" s="112"/>
      <c r="BI668" s="112"/>
      <c r="BJ668" s="112"/>
      <c r="BK668" s="112"/>
      <c r="BL668" s="112"/>
      <c r="BM668" s="112"/>
      <c r="BN668" s="112"/>
      <c r="BO668" s="112"/>
      <c r="BP668" s="112"/>
      <c r="BQ668" s="112"/>
      <c r="BR668" s="112"/>
      <c r="BS668" s="112"/>
      <c r="BT668" s="112"/>
      <c r="BU668" s="112"/>
      <c r="BV668" s="112"/>
      <c r="BW668" s="112"/>
      <c r="BX668" s="112"/>
      <c r="BY668" s="112"/>
      <c r="BZ668" s="112"/>
    </row>
    <row r="669" spans="30:78" x14ac:dyDescent="0.2">
      <c r="AD669" s="112"/>
      <c r="AE669" s="112"/>
      <c r="AF669" s="112"/>
      <c r="AG669" s="112"/>
      <c r="AH669" s="112"/>
      <c r="AI669" s="112"/>
      <c r="AJ669" s="112"/>
      <c r="AK669" s="112"/>
      <c r="AL669" s="112"/>
      <c r="AM669" s="112"/>
      <c r="AN669" s="112"/>
      <c r="AO669" s="112"/>
      <c r="AP669" s="112"/>
      <c r="AQ669" s="112"/>
      <c r="AR669" s="112"/>
      <c r="AS669" s="112"/>
      <c r="AT669" s="112"/>
      <c r="AU669" s="112"/>
      <c r="AV669" s="112"/>
      <c r="AW669" s="112"/>
      <c r="AX669" s="112"/>
      <c r="AY669" s="112"/>
      <c r="AZ669" s="112"/>
      <c r="BA669" s="112"/>
      <c r="BB669" s="112"/>
      <c r="BC669" s="112"/>
      <c r="BD669" s="112"/>
      <c r="BE669" s="112"/>
      <c r="BF669" s="112"/>
      <c r="BG669" s="112"/>
      <c r="BH669" s="112"/>
      <c r="BI669" s="112"/>
      <c r="BJ669" s="112"/>
      <c r="BK669" s="112"/>
      <c r="BL669" s="112"/>
      <c r="BM669" s="112"/>
      <c r="BN669" s="112"/>
      <c r="BO669" s="112"/>
      <c r="BP669" s="112"/>
      <c r="BQ669" s="112"/>
      <c r="BR669" s="112"/>
      <c r="BS669" s="112"/>
      <c r="BT669" s="112"/>
      <c r="BU669" s="112"/>
      <c r="BV669" s="112"/>
      <c r="BW669" s="112"/>
      <c r="BX669" s="112"/>
      <c r="BY669" s="112"/>
      <c r="BZ669" s="112"/>
    </row>
    <row r="670" spans="30:78" x14ac:dyDescent="0.2">
      <c r="AD670" s="112"/>
      <c r="AE670" s="112"/>
      <c r="AF670" s="112"/>
      <c r="AG670" s="112"/>
      <c r="AH670" s="112"/>
      <c r="AI670" s="112"/>
      <c r="AJ670" s="112"/>
      <c r="AK670" s="112"/>
      <c r="AL670" s="112"/>
      <c r="AM670" s="112"/>
      <c r="AN670" s="112"/>
      <c r="AO670" s="112"/>
      <c r="AP670" s="112"/>
      <c r="AQ670" s="112"/>
      <c r="AR670" s="112"/>
      <c r="AS670" s="112"/>
      <c r="AT670" s="112"/>
      <c r="AU670" s="112"/>
      <c r="AV670" s="112"/>
      <c r="AW670" s="112"/>
      <c r="AX670" s="112"/>
      <c r="AY670" s="112"/>
      <c r="AZ670" s="112"/>
      <c r="BA670" s="112"/>
      <c r="BB670" s="112"/>
      <c r="BC670" s="112"/>
      <c r="BD670" s="112"/>
      <c r="BE670" s="112"/>
      <c r="BF670" s="112"/>
      <c r="BG670" s="112"/>
      <c r="BH670" s="112"/>
      <c r="BI670" s="112"/>
      <c r="BJ670" s="112"/>
      <c r="BK670" s="112"/>
      <c r="BL670" s="112"/>
      <c r="BM670" s="112"/>
      <c r="BN670" s="112"/>
      <c r="BO670" s="112"/>
      <c r="BP670" s="112"/>
      <c r="BQ670" s="112"/>
      <c r="BR670" s="112"/>
      <c r="BS670" s="112"/>
      <c r="BT670" s="112"/>
      <c r="BU670" s="112"/>
      <c r="BV670" s="112"/>
      <c r="BW670" s="112"/>
      <c r="BX670" s="112"/>
      <c r="BY670" s="112"/>
      <c r="BZ670" s="112"/>
    </row>
    <row r="671" spans="30:78" x14ac:dyDescent="0.2">
      <c r="AD671" s="112"/>
      <c r="AE671" s="112"/>
      <c r="AF671" s="112"/>
      <c r="AG671" s="112"/>
      <c r="AH671" s="112"/>
      <c r="AI671" s="112"/>
      <c r="AJ671" s="112"/>
      <c r="AK671" s="112"/>
      <c r="AL671" s="112"/>
      <c r="AM671" s="112"/>
      <c r="AN671" s="112"/>
      <c r="AO671" s="112"/>
      <c r="AP671" s="112"/>
      <c r="AQ671" s="112"/>
      <c r="AR671" s="112"/>
      <c r="AS671" s="112"/>
      <c r="AT671" s="112"/>
      <c r="AU671" s="112"/>
      <c r="AV671" s="112"/>
      <c r="AW671" s="112"/>
      <c r="AX671" s="112"/>
      <c r="AY671" s="112"/>
      <c r="AZ671" s="112"/>
      <c r="BA671" s="112"/>
      <c r="BB671" s="112"/>
      <c r="BC671" s="112"/>
      <c r="BD671" s="112"/>
      <c r="BE671" s="112"/>
      <c r="BF671" s="112"/>
      <c r="BG671" s="112"/>
      <c r="BH671" s="112"/>
      <c r="BI671" s="112"/>
      <c r="BJ671" s="112"/>
      <c r="BK671" s="112"/>
      <c r="BL671" s="112"/>
      <c r="BM671" s="112"/>
      <c r="BN671" s="112"/>
      <c r="BO671" s="112"/>
      <c r="BP671" s="112"/>
      <c r="BQ671" s="112"/>
      <c r="BR671" s="112"/>
      <c r="BS671" s="112"/>
      <c r="BT671" s="112"/>
      <c r="BU671" s="112"/>
      <c r="BV671" s="112"/>
      <c r="BW671" s="112"/>
      <c r="BX671" s="112"/>
      <c r="BY671" s="112"/>
      <c r="BZ671" s="112"/>
    </row>
    <row r="672" spans="30:78" x14ac:dyDescent="0.2">
      <c r="AD672" s="112"/>
      <c r="AE672" s="112"/>
      <c r="AF672" s="112"/>
      <c r="AG672" s="112"/>
      <c r="AH672" s="112"/>
      <c r="AI672" s="112"/>
      <c r="AJ672" s="112"/>
      <c r="AK672" s="112"/>
      <c r="AL672" s="112"/>
      <c r="AM672" s="112"/>
      <c r="AN672" s="112"/>
      <c r="AO672" s="112"/>
      <c r="AP672" s="112"/>
      <c r="AQ672" s="112"/>
      <c r="AR672" s="112"/>
      <c r="AS672" s="112"/>
      <c r="AT672" s="112"/>
      <c r="AU672" s="112"/>
      <c r="AV672" s="112"/>
      <c r="AW672" s="112"/>
      <c r="AX672" s="112"/>
      <c r="AY672" s="112"/>
      <c r="AZ672" s="112"/>
      <c r="BA672" s="112"/>
      <c r="BB672" s="112"/>
      <c r="BC672" s="112"/>
      <c r="BD672" s="112"/>
      <c r="BE672" s="112"/>
      <c r="BF672" s="112"/>
      <c r="BG672" s="112"/>
      <c r="BH672" s="112"/>
      <c r="BI672" s="112"/>
      <c r="BJ672" s="112"/>
      <c r="BK672" s="112"/>
      <c r="BL672" s="112"/>
      <c r="BM672" s="112"/>
      <c r="BN672" s="112"/>
      <c r="BO672" s="112"/>
      <c r="BP672" s="112"/>
      <c r="BQ672" s="112"/>
      <c r="BR672" s="112"/>
      <c r="BS672" s="112"/>
      <c r="BT672" s="112"/>
      <c r="BU672" s="112"/>
      <c r="BV672" s="112"/>
      <c r="BW672" s="112"/>
      <c r="BX672" s="112"/>
      <c r="BY672" s="112"/>
      <c r="BZ672" s="112"/>
    </row>
    <row r="673" spans="30:78" x14ac:dyDescent="0.2">
      <c r="AD673" s="112"/>
      <c r="AE673" s="112"/>
      <c r="AF673" s="112"/>
      <c r="AG673" s="112"/>
      <c r="AH673" s="112"/>
      <c r="AI673" s="112"/>
      <c r="AJ673" s="112"/>
      <c r="AK673" s="112"/>
      <c r="AL673" s="112"/>
      <c r="AM673" s="112"/>
      <c r="AN673" s="112"/>
      <c r="AO673" s="112"/>
      <c r="AP673" s="112"/>
      <c r="AQ673" s="112"/>
      <c r="AR673" s="112"/>
      <c r="AS673" s="112"/>
      <c r="AT673" s="112"/>
      <c r="AU673" s="112"/>
      <c r="AV673" s="112"/>
      <c r="AW673" s="112"/>
      <c r="AX673" s="112"/>
      <c r="AY673" s="112"/>
      <c r="AZ673" s="112"/>
      <c r="BA673" s="112"/>
      <c r="BB673" s="112"/>
      <c r="BC673" s="112"/>
      <c r="BD673" s="112"/>
      <c r="BE673" s="112"/>
      <c r="BF673" s="112"/>
      <c r="BG673" s="112"/>
      <c r="BH673" s="112"/>
      <c r="BI673" s="112"/>
      <c r="BJ673" s="112"/>
      <c r="BK673" s="112"/>
      <c r="BL673" s="112"/>
      <c r="BM673" s="112"/>
      <c r="BN673" s="112"/>
      <c r="BO673" s="112"/>
      <c r="BP673" s="112"/>
      <c r="BQ673" s="112"/>
      <c r="BR673" s="112"/>
      <c r="BS673" s="112"/>
      <c r="BT673" s="112"/>
      <c r="BU673" s="112"/>
      <c r="BV673" s="112"/>
      <c r="BW673" s="112"/>
      <c r="BX673" s="112"/>
      <c r="BY673" s="112"/>
      <c r="BZ673" s="112"/>
    </row>
    <row r="674" spans="30:78" x14ac:dyDescent="0.2">
      <c r="AD674" s="112"/>
      <c r="AE674" s="112"/>
      <c r="AF674" s="112"/>
      <c r="AG674" s="112"/>
      <c r="AH674" s="112"/>
      <c r="AI674" s="112"/>
      <c r="AJ674" s="112"/>
      <c r="AK674" s="112"/>
      <c r="AL674" s="112"/>
      <c r="AM674" s="112"/>
      <c r="AN674" s="112"/>
      <c r="AO674" s="112"/>
      <c r="AP674" s="112"/>
      <c r="AQ674" s="112"/>
      <c r="AR674" s="112"/>
      <c r="AS674" s="112"/>
      <c r="AT674" s="112"/>
      <c r="AU674" s="112"/>
      <c r="AV674" s="112"/>
      <c r="AW674" s="112"/>
      <c r="AX674" s="112"/>
      <c r="AY674" s="112"/>
      <c r="AZ674" s="112"/>
      <c r="BA674" s="112"/>
      <c r="BB674" s="112"/>
      <c r="BC674" s="112"/>
      <c r="BD674" s="112"/>
      <c r="BE674" s="112"/>
      <c r="BF674" s="112"/>
      <c r="BG674" s="112"/>
      <c r="BH674" s="112"/>
      <c r="BI674" s="112"/>
      <c r="BJ674" s="112"/>
      <c r="BK674" s="112"/>
      <c r="BL674" s="112"/>
      <c r="BM674" s="112"/>
      <c r="BN674" s="112"/>
      <c r="BO674" s="112"/>
      <c r="BP674" s="112"/>
      <c r="BQ674" s="112"/>
      <c r="BR674" s="112"/>
      <c r="BS674" s="112"/>
      <c r="BT674" s="112"/>
      <c r="BU674" s="112"/>
      <c r="BV674" s="112"/>
      <c r="BW674" s="112"/>
      <c r="BX674" s="112"/>
      <c r="BY674" s="112"/>
      <c r="BZ674" s="112"/>
    </row>
    <row r="675" spans="30:78" x14ac:dyDescent="0.2">
      <c r="AD675" s="112"/>
      <c r="AE675" s="112"/>
      <c r="AF675" s="112"/>
      <c r="AG675" s="112"/>
      <c r="AH675" s="112"/>
      <c r="AI675" s="112"/>
      <c r="AJ675" s="112"/>
      <c r="AK675" s="112"/>
      <c r="AL675" s="112"/>
      <c r="AM675" s="112"/>
      <c r="AN675" s="112"/>
      <c r="AO675" s="112"/>
      <c r="AP675" s="112"/>
      <c r="AQ675" s="112"/>
      <c r="AR675" s="112"/>
      <c r="AS675" s="112"/>
      <c r="AT675" s="112"/>
      <c r="AU675" s="112"/>
      <c r="AV675" s="112"/>
      <c r="AW675" s="112"/>
      <c r="AX675" s="112"/>
      <c r="AY675" s="112"/>
      <c r="AZ675" s="112"/>
      <c r="BA675" s="112"/>
      <c r="BB675" s="112"/>
      <c r="BC675" s="112"/>
      <c r="BD675" s="112"/>
      <c r="BE675" s="112"/>
      <c r="BF675" s="112"/>
      <c r="BG675" s="112"/>
      <c r="BH675" s="112"/>
      <c r="BI675" s="112"/>
      <c r="BJ675" s="112"/>
      <c r="BK675" s="112"/>
      <c r="BL675" s="112"/>
      <c r="BM675" s="112"/>
      <c r="BN675" s="112"/>
      <c r="BO675" s="112"/>
      <c r="BP675" s="112"/>
      <c r="BQ675" s="112"/>
      <c r="BR675" s="112"/>
      <c r="BS675" s="112"/>
      <c r="BT675" s="112"/>
      <c r="BU675" s="112"/>
      <c r="BV675" s="112"/>
      <c r="BW675" s="112"/>
      <c r="BX675" s="112"/>
      <c r="BY675" s="112"/>
      <c r="BZ675" s="112"/>
    </row>
    <row r="676" spans="30:78" x14ac:dyDescent="0.2">
      <c r="AD676" s="112"/>
      <c r="AE676" s="112"/>
      <c r="AF676" s="112"/>
      <c r="AG676" s="112"/>
      <c r="AH676" s="112"/>
      <c r="AI676" s="112"/>
      <c r="AJ676" s="112"/>
      <c r="AK676" s="112"/>
      <c r="AL676" s="112"/>
      <c r="AM676" s="112"/>
      <c r="AN676" s="112"/>
      <c r="AO676" s="112"/>
      <c r="AP676" s="112"/>
      <c r="AQ676" s="112"/>
      <c r="AR676" s="112"/>
      <c r="AS676" s="112"/>
      <c r="AT676" s="112"/>
      <c r="AU676" s="112"/>
      <c r="AV676" s="112"/>
      <c r="AW676" s="112"/>
      <c r="AX676" s="112"/>
      <c r="AY676" s="112"/>
      <c r="AZ676" s="112"/>
      <c r="BA676" s="112"/>
      <c r="BB676" s="112"/>
      <c r="BC676" s="112"/>
      <c r="BD676" s="112"/>
      <c r="BE676" s="112"/>
      <c r="BF676" s="112"/>
      <c r="BG676" s="112"/>
      <c r="BH676" s="112"/>
      <c r="BI676" s="112"/>
      <c r="BJ676" s="112"/>
      <c r="BK676" s="112"/>
      <c r="BL676" s="112"/>
      <c r="BM676" s="112"/>
      <c r="BN676" s="112"/>
      <c r="BO676" s="112"/>
      <c r="BP676" s="112"/>
      <c r="BQ676" s="112"/>
      <c r="BR676" s="112"/>
      <c r="BS676" s="112"/>
      <c r="BT676" s="112"/>
      <c r="BU676" s="112"/>
      <c r="BV676" s="112"/>
      <c r="BW676" s="112"/>
      <c r="BX676" s="112"/>
      <c r="BY676" s="112"/>
      <c r="BZ676" s="112"/>
    </row>
    <row r="677" spans="30:78" x14ac:dyDescent="0.2">
      <c r="AD677" s="112"/>
      <c r="AE677" s="112"/>
      <c r="AF677" s="112"/>
      <c r="AG677" s="112"/>
      <c r="AH677" s="112"/>
      <c r="AI677" s="112"/>
      <c r="AJ677" s="112"/>
      <c r="AK677" s="112"/>
      <c r="AL677" s="112"/>
      <c r="AM677" s="112"/>
      <c r="AN677" s="112"/>
      <c r="AO677" s="112"/>
      <c r="AP677" s="112"/>
      <c r="AQ677" s="112"/>
      <c r="AR677" s="112"/>
      <c r="AS677" s="112"/>
      <c r="AT677" s="112"/>
      <c r="AU677" s="112"/>
      <c r="AV677" s="112"/>
      <c r="AW677" s="112"/>
      <c r="AX677" s="112"/>
      <c r="AY677" s="112"/>
      <c r="AZ677" s="112"/>
      <c r="BA677" s="112"/>
      <c r="BB677" s="112"/>
      <c r="BC677" s="112"/>
      <c r="BD677" s="112"/>
      <c r="BE677" s="112"/>
      <c r="BF677" s="112"/>
      <c r="BG677" s="112"/>
      <c r="BH677" s="112"/>
      <c r="BI677" s="112"/>
      <c r="BJ677" s="112"/>
      <c r="BK677" s="112"/>
      <c r="BL677" s="112"/>
      <c r="BM677" s="112"/>
      <c r="BN677" s="112"/>
      <c r="BO677" s="112"/>
      <c r="BP677" s="112"/>
      <c r="BQ677" s="112"/>
      <c r="BR677" s="112"/>
      <c r="BS677" s="112"/>
      <c r="BT677" s="112"/>
      <c r="BU677" s="112"/>
      <c r="BV677" s="112"/>
      <c r="BW677" s="112"/>
      <c r="BX677" s="112"/>
      <c r="BY677" s="112"/>
      <c r="BZ677" s="112"/>
    </row>
    <row r="678" spans="30:78" x14ac:dyDescent="0.2">
      <c r="AD678" s="112"/>
      <c r="AE678" s="112"/>
      <c r="AF678" s="112"/>
      <c r="AG678" s="112"/>
      <c r="AH678" s="112"/>
      <c r="AI678" s="112"/>
      <c r="AJ678" s="112"/>
      <c r="AK678" s="112"/>
      <c r="AL678" s="112"/>
      <c r="AM678" s="112"/>
      <c r="AN678" s="112"/>
      <c r="AO678" s="112"/>
      <c r="AP678" s="112"/>
      <c r="AQ678" s="112"/>
      <c r="AR678" s="112"/>
      <c r="AS678" s="112"/>
      <c r="AT678" s="112"/>
      <c r="AU678" s="112"/>
      <c r="AV678" s="112"/>
      <c r="AW678" s="112"/>
      <c r="AX678" s="112"/>
      <c r="AY678" s="112"/>
      <c r="AZ678" s="112"/>
      <c r="BA678" s="112"/>
      <c r="BB678" s="112"/>
      <c r="BC678" s="112"/>
      <c r="BD678" s="112"/>
      <c r="BE678" s="112"/>
      <c r="BF678" s="112"/>
      <c r="BG678" s="112"/>
      <c r="BH678" s="112"/>
      <c r="BI678" s="112"/>
      <c r="BJ678" s="112"/>
      <c r="BK678" s="112"/>
      <c r="BL678" s="112"/>
      <c r="BM678" s="112"/>
      <c r="BN678" s="112"/>
      <c r="BO678" s="112"/>
      <c r="BP678" s="112"/>
      <c r="BQ678" s="112"/>
      <c r="BR678" s="112"/>
      <c r="BS678" s="112"/>
      <c r="BT678" s="112"/>
      <c r="BU678" s="112"/>
      <c r="BV678" s="112"/>
      <c r="BW678" s="112"/>
      <c r="BX678" s="112"/>
      <c r="BY678" s="112"/>
      <c r="BZ678" s="112"/>
    </row>
    <row r="679" spans="30:78" x14ac:dyDescent="0.2">
      <c r="AD679" s="112"/>
      <c r="AE679" s="112"/>
      <c r="AF679" s="112"/>
      <c r="AG679" s="112"/>
      <c r="AH679" s="112"/>
      <c r="AI679" s="112"/>
      <c r="AJ679" s="112"/>
      <c r="AK679" s="112"/>
      <c r="AL679" s="112"/>
      <c r="AM679" s="112"/>
      <c r="AN679" s="112"/>
      <c r="AO679" s="112"/>
      <c r="AP679" s="112"/>
      <c r="AQ679" s="112"/>
      <c r="AR679" s="112"/>
      <c r="AS679" s="112"/>
      <c r="AT679" s="112"/>
      <c r="AU679" s="112"/>
      <c r="AV679" s="112"/>
      <c r="AW679" s="112"/>
      <c r="AX679" s="112"/>
      <c r="AY679" s="112"/>
      <c r="AZ679" s="112"/>
      <c r="BA679" s="112"/>
      <c r="BB679" s="112"/>
      <c r="BC679" s="112"/>
      <c r="BD679" s="112"/>
      <c r="BE679" s="112"/>
      <c r="BF679" s="112"/>
      <c r="BG679" s="112"/>
      <c r="BH679" s="112"/>
      <c r="BI679" s="112"/>
      <c r="BJ679" s="112"/>
      <c r="BK679" s="112"/>
      <c r="BL679" s="112"/>
      <c r="BM679" s="112"/>
      <c r="BN679" s="112"/>
      <c r="BO679" s="112"/>
      <c r="BP679" s="112"/>
      <c r="BQ679" s="112"/>
      <c r="BR679" s="112"/>
      <c r="BS679" s="112"/>
      <c r="BT679" s="112"/>
      <c r="BU679" s="112"/>
      <c r="BV679" s="112"/>
      <c r="BW679" s="112"/>
      <c r="BX679" s="112"/>
      <c r="BY679" s="112"/>
      <c r="BZ679" s="112"/>
    </row>
    <row r="680" spans="30:78" x14ac:dyDescent="0.2">
      <c r="AD680" s="112"/>
      <c r="AE680" s="112"/>
      <c r="AF680" s="112"/>
      <c r="AG680" s="112"/>
      <c r="AH680" s="112"/>
      <c r="AI680" s="112"/>
      <c r="AJ680" s="112"/>
      <c r="AK680" s="112"/>
      <c r="AL680" s="112"/>
      <c r="AM680" s="112"/>
      <c r="AN680" s="112"/>
      <c r="AO680" s="112"/>
      <c r="AP680" s="112"/>
      <c r="AQ680" s="112"/>
      <c r="AR680" s="112"/>
      <c r="AS680" s="112"/>
      <c r="AT680" s="112"/>
      <c r="AU680" s="112"/>
      <c r="AV680" s="112"/>
      <c r="AW680" s="112"/>
      <c r="AX680" s="112"/>
      <c r="AY680" s="112"/>
      <c r="AZ680" s="112"/>
      <c r="BA680" s="112"/>
      <c r="BB680" s="112"/>
      <c r="BC680" s="112"/>
      <c r="BD680" s="112"/>
      <c r="BE680" s="112"/>
      <c r="BF680" s="112"/>
      <c r="BG680" s="112"/>
      <c r="BH680" s="112"/>
      <c r="BI680" s="112"/>
      <c r="BJ680" s="112"/>
      <c r="BK680" s="112"/>
      <c r="BL680" s="112"/>
      <c r="BM680" s="112"/>
      <c r="BN680" s="112"/>
      <c r="BO680" s="112"/>
      <c r="BP680" s="112"/>
      <c r="BQ680" s="112"/>
      <c r="BR680" s="112"/>
      <c r="BS680" s="112"/>
      <c r="BT680" s="112"/>
      <c r="BU680" s="112"/>
      <c r="BV680" s="112"/>
      <c r="BW680" s="112"/>
      <c r="BX680" s="112"/>
      <c r="BY680" s="112"/>
      <c r="BZ680" s="112"/>
    </row>
    <row r="681" spans="30:78" x14ac:dyDescent="0.2">
      <c r="AD681" s="112"/>
      <c r="AE681" s="112"/>
      <c r="AF681" s="112"/>
      <c r="AG681" s="112"/>
      <c r="AH681" s="112"/>
      <c r="AI681" s="112"/>
      <c r="AJ681" s="112"/>
      <c r="AK681" s="112"/>
      <c r="AL681" s="112"/>
      <c r="AM681" s="112"/>
      <c r="AN681" s="112"/>
      <c r="AO681" s="112"/>
      <c r="AP681" s="112"/>
      <c r="AQ681" s="112"/>
      <c r="AR681" s="112"/>
      <c r="AS681" s="112"/>
      <c r="AT681" s="112"/>
      <c r="AU681" s="112"/>
      <c r="AV681" s="112"/>
      <c r="AW681" s="112"/>
      <c r="AX681" s="112"/>
      <c r="AY681" s="112"/>
      <c r="AZ681" s="112"/>
      <c r="BA681" s="112"/>
      <c r="BB681" s="112"/>
      <c r="BC681" s="112"/>
      <c r="BD681" s="112"/>
      <c r="BE681" s="112"/>
      <c r="BF681" s="112"/>
      <c r="BG681" s="112"/>
      <c r="BH681" s="112"/>
      <c r="BI681" s="112"/>
      <c r="BJ681" s="112"/>
      <c r="BK681" s="112"/>
      <c r="BL681" s="112"/>
      <c r="BM681" s="112"/>
      <c r="BN681" s="112"/>
      <c r="BO681" s="112"/>
      <c r="BP681" s="112"/>
      <c r="BQ681" s="112"/>
      <c r="BR681" s="112"/>
      <c r="BS681" s="112"/>
      <c r="BT681" s="112"/>
      <c r="BU681" s="112"/>
      <c r="BV681" s="112"/>
      <c r="BW681" s="112"/>
      <c r="BX681" s="112"/>
      <c r="BY681" s="112"/>
      <c r="BZ681" s="112"/>
    </row>
    <row r="682" spans="30:78" x14ac:dyDescent="0.2">
      <c r="AD682" s="112"/>
      <c r="AE682" s="112"/>
      <c r="AF682" s="112"/>
      <c r="AG682" s="112"/>
      <c r="AH682" s="112"/>
      <c r="AI682" s="112"/>
      <c r="AJ682" s="112"/>
      <c r="AK682" s="112"/>
      <c r="AL682" s="112"/>
      <c r="AM682" s="112"/>
      <c r="AN682" s="112"/>
      <c r="AO682" s="112"/>
      <c r="AP682" s="112"/>
      <c r="AQ682" s="112"/>
      <c r="AR682" s="112"/>
      <c r="AS682" s="112"/>
      <c r="AT682" s="112"/>
      <c r="AU682" s="112"/>
      <c r="AV682" s="112"/>
      <c r="AW682" s="112"/>
      <c r="AX682" s="112"/>
      <c r="AY682" s="112"/>
      <c r="AZ682" s="112"/>
      <c r="BA682" s="112"/>
      <c r="BB682" s="112"/>
      <c r="BC682" s="112"/>
      <c r="BD682" s="112"/>
      <c r="BE682" s="112"/>
      <c r="BF682" s="112"/>
      <c r="BG682" s="112"/>
      <c r="BH682" s="112"/>
      <c r="BI682" s="112"/>
      <c r="BJ682" s="112"/>
      <c r="BK682" s="112"/>
      <c r="BL682" s="112"/>
      <c r="BM682" s="112"/>
      <c r="BN682" s="112"/>
      <c r="BO682" s="112"/>
      <c r="BP682" s="112"/>
      <c r="BQ682" s="112"/>
      <c r="BR682" s="112"/>
      <c r="BS682" s="112"/>
      <c r="BT682" s="112"/>
      <c r="BU682" s="112"/>
      <c r="BV682" s="112"/>
      <c r="BW682" s="112"/>
      <c r="BX682" s="112"/>
      <c r="BY682" s="112"/>
      <c r="BZ682" s="112"/>
    </row>
    <row r="683" spans="30:78" x14ac:dyDescent="0.2">
      <c r="AD683" s="112"/>
      <c r="AE683" s="112"/>
      <c r="AF683" s="112"/>
      <c r="AG683" s="112"/>
      <c r="AH683" s="112"/>
      <c r="AI683" s="112"/>
      <c r="AJ683" s="112"/>
      <c r="AK683" s="112"/>
      <c r="AL683" s="112"/>
      <c r="AM683" s="112"/>
      <c r="AN683" s="112"/>
      <c r="AO683" s="112"/>
      <c r="AP683" s="112"/>
      <c r="AQ683" s="112"/>
      <c r="AR683" s="112"/>
      <c r="AS683" s="112"/>
      <c r="AT683" s="112"/>
      <c r="AU683" s="112"/>
      <c r="AV683" s="112"/>
      <c r="AW683" s="112"/>
      <c r="AX683" s="112"/>
      <c r="AY683" s="112"/>
      <c r="AZ683" s="112"/>
      <c r="BA683" s="112"/>
      <c r="BB683" s="112"/>
      <c r="BC683" s="112"/>
      <c r="BD683" s="112"/>
      <c r="BE683" s="112"/>
      <c r="BF683" s="112"/>
      <c r="BG683" s="112"/>
      <c r="BH683" s="112"/>
      <c r="BI683" s="112"/>
      <c r="BJ683" s="112"/>
      <c r="BK683" s="112"/>
      <c r="BL683" s="112"/>
      <c r="BM683" s="112"/>
      <c r="BN683" s="112"/>
      <c r="BO683" s="112"/>
      <c r="BP683" s="112"/>
      <c r="BQ683" s="112"/>
      <c r="BR683" s="112"/>
      <c r="BS683" s="112"/>
      <c r="BT683" s="112"/>
      <c r="BU683" s="112"/>
      <c r="BV683" s="112"/>
      <c r="BW683" s="112"/>
      <c r="BX683" s="112"/>
      <c r="BY683" s="112"/>
      <c r="BZ683" s="112"/>
    </row>
    <row r="684" spans="30:78" x14ac:dyDescent="0.2">
      <c r="AD684" s="112"/>
      <c r="AE684" s="112"/>
      <c r="AF684" s="112"/>
      <c r="AG684" s="112"/>
      <c r="AH684" s="112"/>
      <c r="AI684" s="112"/>
      <c r="AJ684" s="112"/>
      <c r="AK684" s="112"/>
      <c r="AL684" s="112"/>
      <c r="AM684" s="112"/>
      <c r="AN684" s="112"/>
      <c r="AO684" s="112"/>
      <c r="AP684" s="112"/>
      <c r="AQ684" s="112"/>
      <c r="AR684" s="112"/>
      <c r="AS684" s="112"/>
      <c r="AT684" s="112"/>
      <c r="AU684" s="112"/>
      <c r="AV684" s="112"/>
      <c r="AW684" s="112"/>
      <c r="AX684" s="112"/>
      <c r="AY684" s="112"/>
      <c r="AZ684" s="112"/>
      <c r="BA684" s="112"/>
      <c r="BB684" s="112"/>
      <c r="BC684" s="112"/>
      <c r="BD684" s="112"/>
      <c r="BE684" s="112"/>
      <c r="BF684" s="112"/>
      <c r="BG684" s="112"/>
      <c r="BH684" s="112"/>
      <c r="BI684" s="112"/>
      <c r="BJ684" s="112"/>
      <c r="BK684" s="112"/>
      <c r="BL684" s="112"/>
      <c r="BM684" s="112"/>
      <c r="BN684" s="112"/>
      <c r="BO684" s="112"/>
      <c r="BP684" s="112"/>
      <c r="BQ684" s="112"/>
      <c r="BR684" s="112"/>
      <c r="BS684" s="112"/>
      <c r="BT684" s="112"/>
      <c r="BU684" s="112"/>
      <c r="BV684" s="112"/>
      <c r="BW684" s="112"/>
      <c r="BX684" s="112"/>
      <c r="BY684" s="112"/>
      <c r="BZ684" s="112"/>
    </row>
    <row r="685" spans="30:78" x14ac:dyDescent="0.2">
      <c r="AD685" s="112"/>
      <c r="AE685" s="112"/>
      <c r="AF685" s="112"/>
      <c r="AG685" s="112"/>
      <c r="AH685" s="112"/>
      <c r="AI685" s="112"/>
      <c r="AJ685" s="112"/>
      <c r="AK685" s="112"/>
      <c r="AL685" s="112"/>
      <c r="AM685" s="112"/>
      <c r="AN685" s="112"/>
      <c r="AO685" s="112"/>
      <c r="AP685" s="112"/>
      <c r="AQ685" s="112"/>
      <c r="AR685" s="112"/>
      <c r="AS685" s="112"/>
      <c r="AT685" s="112"/>
      <c r="AU685" s="112"/>
      <c r="AV685" s="112"/>
      <c r="AW685" s="112"/>
      <c r="AX685" s="112"/>
      <c r="AY685" s="112"/>
      <c r="AZ685" s="112"/>
      <c r="BA685" s="112"/>
      <c r="BB685" s="112"/>
      <c r="BC685" s="112"/>
      <c r="BD685" s="112"/>
      <c r="BE685" s="112"/>
      <c r="BF685" s="112"/>
      <c r="BG685" s="112"/>
      <c r="BH685" s="112"/>
      <c r="BI685" s="112"/>
      <c r="BJ685" s="112"/>
      <c r="BK685" s="112"/>
      <c r="BL685" s="112"/>
      <c r="BM685" s="112"/>
      <c r="BN685" s="112"/>
      <c r="BO685" s="112"/>
      <c r="BP685" s="112"/>
      <c r="BQ685" s="112"/>
      <c r="BR685" s="112"/>
      <c r="BS685" s="112"/>
      <c r="BT685" s="112"/>
      <c r="BU685" s="112"/>
      <c r="BV685" s="112"/>
      <c r="BW685" s="112"/>
      <c r="BX685" s="112"/>
      <c r="BY685" s="112"/>
      <c r="BZ685" s="112"/>
    </row>
    <row r="686" spans="30:78" x14ac:dyDescent="0.2">
      <c r="AD686" s="112"/>
      <c r="AE686" s="112"/>
      <c r="AF686" s="112"/>
      <c r="AG686" s="112"/>
      <c r="AH686" s="112"/>
      <c r="AI686" s="112"/>
      <c r="AJ686" s="112"/>
      <c r="AK686" s="112"/>
      <c r="AL686" s="112"/>
      <c r="AM686" s="112"/>
      <c r="AN686" s="112"/>
      <c r="AO686" s="112"/>
      <c r="AP686" s="112"/>
      <c r="AQ686" s="112"/>
      <c r="AR686" s="112"/>
      <c r="AS686" s="112"/>
      <c r="AT686" s="112"/>
      <c r="AU686" s="112"/>
      <c r="AV686" s="112"/>
      <c r="AW686" s="112"/>
      <c r="AX686" s="112"/>
      <c r="AY686" s="112"/>
      <c r="AZ686" s="112"/>
      <c r="BA686" s="112"/>
      <c r="BB686" s="112"/>
      <c r="BC686" s="112"/>
      <c r="BD686" s="112"/>
      <c r="BE686" s="112"/>
      <c r="BF686" s="112"/>
      <c r="BG686" s="112"/>
      <c r="BH686" s="112"/>
      <c r="BI686" s="112"/>
      <c r="BJ686" s="112"/>
      <c r="BK686" s="112"/>
      <c r="BL686" s="112"/>
      <c r="BM686" s="112"/>
      <c r="BN686" s="112"/>
      <c r="BO686" s="112"/>
      <c r="BP686" s="112"/>
      <c r="BQ686" s="112"/>
      <c r="BR686" s="112"/>
      <c r="BS686" s="112"/>
      <c r="BT686" s="112"/>
      <c r="BU686" s="112"/>
      <c r="BV686" s="112"/>
      <c r="BW686" s="112"/>
      <c r="BX686" s="112"/>
      <c r="BY686" s="112"/>
      <c r="BZ686" s="112"/>
    </row>
    <row r="687" spans="30:78" x14ac:dyDescent="0.2">
      <c r="AD687" s="112"/>
      <c r="AE687" s="112"/>
      <c r="AF687" s="112"/>
      <c r="AG687" s="112"/>
      <c r="AH687" s="112"/>
      <c r="AI687" s="112"/>
      <c r="AJ687" s="112"/>
      <c r="AK687" s="112"/>
      <c r="AL687" s="112"/>
      <c r="AM687" s="112"/>
      <c r="AN687" s="112"/>
      <c r="AO687" s="112"/>
      <c r="AP687" s="112"/>
      <c r="AQ687" s="112"/>
      <c r="AR687" s="112"/>
      <c r="AS687" s="112"/>
      <c r="AT687" s="112"/>
      <c r="AU687" s="112"/>
      <c r="AV687" s="112"/>
      <c r="AW687" s="112"/>
      <c r="AX687" s="112"/>
      <c r="AY687" s="112"/>
      <c r="AZ687" s="112"/>
      <c r="BA687" s="112"/>
      <c r="BB687" s="112"/>
      <c r="BC687" s="112"/>
      <c r="BD687" s="112"/>
      <c r="BE687" s="112"/>
      <c r="BF687" s="112"/>
      <c r="BG687" s="112"/>
      <c r="BH687" s="112"/>
      <c r="BI687" s="112"/>
      <c r="BJ687" s="112"/>
      <c r="BK687" s="112"/>
      <c r="BL687" s="112"/>
      <c r="BM687" s="112"/>
      <c r="BN687" s="112"/>
      <c r="BO687" s="112"/>
      <c r="BP687" s="112"/>
      <c r="BQ687" s="112"/>
      <c r="BR687" s="112"/>
      <c r="BS687" s="112"/>
      <c r="BT687" s="112"/>
      <c r="BU687" s="112"/>
      <c r="BV687" s="112"/>
      <c r="BW687" s="112"/>
      <c r="BX687" s="112"/>
      <c r="BY687" s="112"/>
      <c r="BZ687" s="112"/>
    </row>
    <row r="688" spans="30:78" x14ac:dyDescent="0.2">
      <c r="AD688" s="112"/>
      <c r="AE688" s="112"/>
      <c r="AF688" s="112"/>
      <c r="AG688" s="112"/>
      <c r="AH688" s="112"/>
      <c r="AI688" s="112"/>
      <c r="AJ688" s="112"/>
      <c r="AK688" s="112"/>
      <c r="AL688" s="112"/>
      <c r="AM688" s="112"/>
      <c r="AN688" s="112"/>
      <c r="AO688" s="112"/>
      <c r="AP688" s="112"/>
      <c r="AQ688" s="112"/>
      <c r="AR688" s="112"/>
      <c r="AS688" s="112"/>
      <c r="AT688" s="112"/>
      <c r="AU688" s="112"/>
      <c r="AV688" s="112"/>
      <c r="AW688" s="112"/>
      <c r="AX688" s="112"/>
      <c r="AY688" s="112"/>
      <c r="AZ688" s="112"/>
      <c r="BA688" s="112"/>
      <c r="BB688" s="112"/>
      <c r="BC688" s="112"/>
      <c r="BD688" s="112"/>
      <c r="BE688" s="112"/>
      <c r="BF688" s="112"/>
      <c r="BG688" s="112"/>
      <c r="BH688" s="112"/>
      <c r="BI688" s="112"/>
      <c r="BJ688" s="112"/>
      <c r="BK688" s="112"/>
      <c r="BL688" s="112"/>
      <c r="BM688" s="112"/>
      <c r="BN688" s="112"/>
      <c r="BO688" s="112"/>
      <c r="BP688" s="112"/>
      <c r="BQ688" s="112"/>
      <c r="BR688" s="112"/>
      <c r="BS688" s="112"/>
      <c r="BT688" s="112"/>
      <c r="BU688" s="112"/>
      <c r="BV688" s="112"/>
      <c r="BW688" s="112"/>
      <c r="BX688" s="112"/>
      <c r="BY688" s="112"/>
      <c r="BZ688" s="112"/>
    </row>
    <row r="689" spans="30:78" x14ac:dyDescent="0.2">
      <c r="AD689" s="112"/>
      <c r="AE689" s="112"/>
      <c r="AF689" s="112"/>
      <c r="AG689" s="112"/>
      <c r="AH689" s="112"/>
      <c r="AI689" s="112"/>
      <c r="AJ689" s="112"/>
      <c r="AK689" s="112"/>
      <c r="AL689" s="112"/>
      <c r="AM689" s="112"/>
      <c r="AN689" s="112"/>
      <c r="AO689" s="112"/>
      <c r="AP689" s="112"/>
      <c r="AQ689" s="112"/>
      <c r="AR689" s="112"/>
      <c r="AS689" s="112"/>
      <c r="AT689" s="112"/>
      <c r="AU689" s="112"/>
      <c r="AV689" s="112"/>
      <c r="AW689" s="112"/>
      <c r="AX689" s="112"/>
      <c r="AY689" s="112"/>
      <c r="AZ689" s="112"/>
      <c r="BA689" s="112"/>
      <c r="BB689" s="112"/>
      <c r="BC689" s="112"/>
      <c r="BD689" s="112"/>
      <c r="BE689" s="112"/>
      <c r="BF689" s="112"/>
      <c r="BG689" s="112"/>
      <c r="BH689" s="112"/>
      <c r="BI689" s="112"/>
      <c r="BJ689" s="112"/>
      <c r="BK689" s="112"/>
      <c r="BL689" s="112"/>
      <c r="BM689" s="112"/>
      <c r="BN689" s="112"/>
      <c r="BO689" s="112"/>
      <c r="BP689" s="112"/>
      <c r="BQ689" s="112"/>
      <c r="BR689" s="112"/>
      <c r="BS689" s="112"/>
      <c r="BT689" s="112"/>
      <c r="BU689" s="112"/>
      <c r="BV689" s="112"/>
      <c r="BW689" s="112"/>
      <c r="BX689" s="112"/>
      <c r="BY689" s="112"/>
      <c r="BZ689" s="112"/>
    </row>
    <row r="690" spans="30:78" x14ac:dyDescent="0.2">
      <c r="AD690" s="112"/>
      <c r="AE690" s="112"/>
      <c r="AF690" s="112"/>
      <c r="AG690" s="112"/>
      <c r="AH690" s="112"/>
      <c r="AI690" s="112"/>
      <c r="AJ690" s="112"/>
      <c r="AK690" s="112"/>
      <c r="AL690" s="112"/>
      <c r="AM690" s="112"/>
      <c r="AN690" s="112"/>
      <c r="AO690" s="112"/>
      <c r="AP690" s="112"/>
      <c r="AQ690" s="112"/>
      <c r="AR690" s="112"/>
      <c r="AS690" s="112"/>
      <c r="AT690" s="112"/>
      <c r="AU690" s="112"/>
      <c r="AV690" s="112"/>
      <c r="AW690" s="112"/>
      <c r="AX690" s="112"/>
      <c r="AY690" s="112"/>
      <c r="AZ690" s="112"/>
      <c r="BA690" s="112"/>
      <c r="BB690" s="112"/>
      <c r="BC690" s="112"/>
      <c r="BD690" s="112"/>
      <c r="BE690" s="112"/>
      <c r="BF690" s="112"/>
      <c r="BG690" s="112"/>
      <c r="BH690" s="112"/>
      <c r="BI690" s="112"/>
      <c r="BJ690" s="112"/>
      <c r="BK690" s="112"/>
      <c r="BL690" s="112"/>
      <c r="BM690" s="112"/>
      <c r="BN690" s="112"/>
      <c r="BO690" s="112"/>
      <c r="BP690" s="112"/>
      <c r="BQ690" s="112"/>
      <c r="BR690" s="112"/>
      <c r="BS690" s="112"/>
      <c r="BT690" s="112"/>
      <c r="BU690" s="112"/>
      <c r="BV690" s="112"/>
      <c r="BW690" s="112"/>
      <c r="BX690" s="112"/>
      <c r="BY690" s="112"/>
      <c r="BZ690" s="112"/>
    </row>
    <row r="691" spans="30:78" x14ac:dyDescent="0.2">
      <c r="AD691" s="112"/>
      <c r="AE691" s="112"/>
      <c r="AF691" s="112"/>
      <c r="AG691" s="112"/>
      <c r="AH691" s="112"/>
      <c r="AI691" s="112"/>
      <c r="AJ691" s="112"/>
      <c r="AK691" s="112"/>
      <c r="AL691" s="112"/>
      <c r="AM691" s="112"/>
      <c r="AN691" s="112"/>
      <c r="AO691" s="112"/>
      <c r="AP691" s="112"/>
      <c r="AQ691" s="112"/>
      <c r="AR691" s="112"/>
      <c r="AS691" s="112"/>
      <c r="AT691" s="112"/>
      <c r="AU691" s="112"/>
      <c r="AV691" s="112"/>
      <c r="AW691" s="112"/>
      <c r="AX691" s="112"/>
      <c r="AY691" s="112"/>
      <c r="AZ691" s="112"/>
      <c r="BA691" s="112"/>
      <c r="BB691" s="112"/>
      <c r="BC691" s="112"/>
      <c r="BD691" s="112"/>
      <c r="BE691" s="112"/>
      <c r="BF691" s="112"/>
      <c r="BG691" s="112"/>
      <c r="BH691" s="112"/>
      <c r="BI691" s="112"/>
      <c r="BJ691" s="112"/>
      <c r="BK691" s="112"/>
      <c r="BL691" s="112"/>
      <c r="BM691" s="112"/>
      <c r="BN691" s="112"/>
      <c r="BO691" s="112"/>
      <c r="BP691" s="112"/>
      <c r="BQ691" s="112"/>
      <c r="BR691" s="112"/>
      <c r="BS691" s="112"/>
      <c r="BT691" s="112"/>
      <c r="BU691" s="112"/>
      <c r="BV691" s="112"/>
      <c r="BW691" s="112"/>
      <c r="BX691" s="112"/>
      <c r="BY691" s="112"/>
      <c r="BZ691" s="112"/>
    </row>
    <row r="692" spans="30:78" x14ac:dyDescent="0.2">
      <c r="AD692" s="112"/>
      <c r="AE692" s="112"/>
      <c r="AF692" s="112"/>
      <c r="AG692" s="112"/>
      <c r="AH692" s="112"/>
      <c r="AI692" s="112"/>
      <c r="AJ692" s="112"/>
      <c r="AK692" s="112"/>
      <c r="AL692" s="112"/>
      <c r="AM692" s="112"/>
      <c r="AN692" s="112"/>
      <c r="AO692" s="112"/>
      <c r="AP692" s="112"/>
      <c r="AQ692" s="112"/>
      <c r="AR692" s="112"/>
      <c r="AS692" s="112"/>
      <c r="AT692" s="112"/>
      <c r="AU692" s="112"/>
      <c r="AV692" s="112"/>
      <c r="AW692" s="112"/>
      <c r="AX692" s="112"/>
      <c r="AY692" s="112"/>
      <c r="AZ692" s="112"/>
      <c r="BA692" s="112"/>
      <c r="BB692" s="112"/>
      <c r="BC692" s="112"/>
      <c r="BD692" s="112"/>
      <c r="BE692" s="112"/>
      <c r="BF692" s="112"/>
      <c r="BG692" s="112"/>
      <c r="BH692" s="112"/>
      <c r="BI692" s="112"/>
      <c r="BJ692" s="112"/>
      <c r="BK692" s="112"/>
      <c r="BL692" s="112"/>
      <c r="BM692" s="112"/>
      <c r="BN692" s="112"/>
      <c r="BO692" s="112"/>
      <c r="BP692" s="112"/>
      <c r="BQ692" s="112"/>
      <c r="BR692" s="112"/>
      <c r="BS692" s="112"/>
      <c r="BT692" s="112"/>
      <c r="BU692" s="112"/>
      <c r="BV692" s="112"/>
      <c r="BW692" s="112"/>
      <c r="BX692" s="112"/>
      <c r="BY692" s="112"/>
      <c r="BZ692" s="112"/>
    </row>
    <row r="693" spans="30:78" x14ac:dyDescent="0.2">
      <c r="AD693" s="112"/>
      <c r="AE693" s="112"/>
      <c r="AF693" s="112"/>
      <c r="AG693" s="112"/>
      <c r="AH693" s="112"/>
      <c r="AI693" s="112"/>
      <c r="AJ693" s="112"/>
      <c r="AK693" s="112"/>
      <c r="AL693" s="112"/>
      <c r="AM693" s="112"/>
      <c r="AN693" s="112"/>
      <c r="AO693" s="112"/>
      <c r="AP693" s="112"/>
      <c r="AQ693" s="112"/>
      <c r="AR693" s="112"/>
      <c r="AS693" s="112"/>
      <c r="AT693" s="112"/>
      <c r="AU693" s="112"/>
      <c r="AV693" s="112"/>
      <c r="AW693" s="112"/>
      <c r="AX693" s="112"/>
      <c r="AY693" s="112"/>
      <c r="AZ693" s="112"/>
      <c r="BA693" s="112"/>
      <c r="BB693" s="112"/>
      <c r="BC693" s="112"/>
      <c r="BD693" s="112"/>
      <c r="BE693" s="112"/>
      <c r="BF693" s="112"/>
      <c r="BG693" s="112"/>
      <c r="BH693" s="112"/>
      <c r="BI693" s="112"/>
      <c r="BJ693" s="112"/>
      <c r="BK693" s="112"/>
      <c r="BL693" s="112"/>
      <c r="BM693" s="112"/>
      <c r="BN693" s="112"/>
      <c r="BO693" s="112"/>
      <c r="BP693" s="112"/>
      <c r="BQ693" s="112"/>
      <c r="BR693" s="112"/>
      <c r="BS693" s="112"/>
      <c r="BT693" s="112"/>
      <c r="BU693" s="112"/>
      <c r="BV693" s="112"/>
      <c r="BW693" s="112"/>
      <c r="BX693" s="112"/>
      <c r="BY693" s="112"/>
      <c r="BZ693" s="112"/>
    </row>
    <row r="694" spans="30:78" x14ac:dyDescent="0.2">
      <c r="AD694" s="112"/>
      <c r="AE694" s="112"/>
      <c r="AF694" s="112"/>
      <c r="AG694" s="112"/>
      <c r="AH694" s="112"/>
      <c r="AI694" s="112"/>
      <c r="AJ694" s="112"/>
      <c r="AK694" s="112"/>
      <c r="AL694" s="112"/>
      <c r="AM694" s="112"/>
      <c r="AN694" s="112"/>
      <c r="AO694" s="112"/>
      <c r="AP694" s="112"/>
      <c r="AQ694" s="112"/>
      <c r="AR694" s="112"/>
      <c r="AS694" s="112"/>
      <c r="AT694" s="112"/>
      <c r="AU694" s="112"/>
      <c r="AV694" s="112"/>
      <c r="AW694" s="112"/>
      <c r="AX694" s="112"/>
      <c r="AY694" s="112"/>
      <c r="AZ694" s="112"/>
      <c r="BA694" s="112"/>
      <c r="BB694" s="112"/>
      <c r="BC694" s="112"/>
      <c r="BD694" s="112"/>
      <c r="BE694" s="112"/>
      <c r="BF694" s="112"/>
      <c r="BG694" s="112"/>
      <c r="BH694" s="112"/>
      <c r="BI694" s="112"/>
      <c r="BJ694" s="112"/>
      <c r="BK694" s="112"/>
      <c r="BL694" s="112"/>
      <c r="BM694" s="112"/>
      <c r="BN694" s="112"/>
      <c r="BO694" s="112"/>
      <c r="BP694" s="112"/>
      <c r="BQ694" s="112"/>
      <c r="BR694" s="112"/>
      <c r="BS694" s="112"/>
      <c r="BT694" s="112"/>
      <c r="BU694" s="112"/>
      <c r="BV694" s="112"/>
      <c r="BW694" s="112"/>
      <c r="BX694" s="112"/>
      <c r="BY694" s="112"/>
      <c r="BZ694" s="112"/>
    </row>
    <row r="695" spans="30:78" x14ac:dyDescent="0.2">
      <c r="AD695" s="112"/>
      <c r="AE695" s="112"/>
      <c r="AF695" s="112"/>
      <c r="AG695" s="112"/>
      <c r="AH695" s="112"/>
      <c r="AI695" s="112"/>
      <c r="AJ695" s="112"/>
      <c r="AK695" s="112"/>
      <c r="AL695" s="112"/>
      <c r="AM695" s="112"/>
      <c r="AN695" s="112"/>
      <c r="AO695" s="112"/>
      <c r="AP695" s="112"/>
      <c r="AQ695" s="112"/>
      <c r="AR695" s="112"/>
      <c r="AS695" s="112"/>
      <c r="AT695" s="112"/>
      <c r="AU695" s="112"/>
      <c r="AV695" s="112"/>
      <c r="AW695" s="112"/>
      <c r="AX695" s="112"/>
      <c r="AY695" s="112"/>
      <c r="AZ695" s="112"/>
      <c r="BA695" s="112"/>
      <c r="BB695" s="112"/>
      <c r="BC695" s="112"/>
      <c r="BD695" s="112"/>
      <c r="BE695" s="112"/>
      <c r="BF695" s="112"/>
      <c r="BG695" s="112"/>
      <c r="BH695" s="112"/>
      <c r="BI695" s="112"/>
      <c r="BJ695" s="112"/>
      <c r="BK695" s="112"/>
      <c r="BL695" s="112"/>
      <c r="BM695" s="112"/>
      <c r="BN695" s="112"/>
      <c r="BO695" s="112"/>
      <c r="BP695" s="112"/>
      <c r="BQ695" s="112"/>
      <c r="BR695" s="112"/>
      <c r="BS695" s="112"/>
      <c r="BT695" s="112"/>
      <c r="BU695" s="112"/>
      <c r="BV695" s="112"/>
      <c r="BW695" s="112"/>
      <c r="BX695" s="112"/>
      <c r="BY695" s="112"/>
      <c r="BZ695" s="112"/>
    </row>
    <row r="696" spans="30:78" x14ac:dyDescent="0.2">
      <c r="AD696" s="112"/>
      <c r="AE696" s="112"/>
      <c r="AF696" s="112"/>
      <c r="AG696" s="112"/>
      <c r="AH696" s="112"/>
      <c r="AI696" s="112"/>
      <c r="AJ696" s="112"/>
      <c r="AK696" s="112"/>
      <c r="AL696" s="112"/>
      <c r="AM696" s="112"/>
      <c r="AN696" s="112"/>
      <c r="AO696" s="112"/>
      <c r="AP696" s="112"/>
      <c r="AQ696" s="112"/>
      <c r="AR696" s="112"/>
      <c r="AS696" s="112"/>
      <c r="AT696" s="112"/>
      <c r="AU696" s="112"/>
      <c r="AV696" s="112"/>
      <c r="AW696" s="112"/>
      <c r="AX696" s="112"/>
      <c r="AY696" s="112"/>
      <c r="AZ696" s="112"/>
      <c r="BA696" s="112"/>
      <c r="BB696" s="112"/>
      <c r="BC696" s="112"/>
      <c r="BD696" s="112"/>
      <c r="BE696" s="112"/>
      <c r="BF696" s="112"/>
      <c r="BG696" s="112"/>
      <c r="BH696" s="112"/>
      <c r="BI696" s="112"/>
      <c r="BJ696" s="112"/>
      <c r="BK696" s="112"/>
      <c r="BL696" s="112"/>
      <c r="BM696" s="112"/>
      <c r="BN696" s="112"/>
      <c r="BO696" s="112"/>
      <c r="BP696" s="112"/>
      <c r="BQ696" s="112"/>
      <c r="BR696" s="112"/>
      <c r="BS696" s="112"/>
      <c r="BT696" s="112"/>
      <c r="BU696" s="112"/>
      <c r="BV696" s="112"/>
      <c r="BW696" s="112"/>
      <c r="BX696" s="112"/>
      <c r="BY696" s="112"/>
      <c r="BZ696" s="112"/>
    </row>
    <row r="697" spans="30:78" x14ac:dyDescent="0.2">
      <c r="AD697" s="112"/>
      <c r="AE697" s="112"/>
      <c r="AF697" s="112"/>
      <c r="AG697" s="112"/>
      <c r="AH697" s="112"/>
      <c r="AI697" s="112"/>
      <c r="AJ697" s="112"/>
      <c r="AK697" s="112"/>
      <c r="AL697" s="112"/>
      <c r="AM697" s="112"/>
      <c r="AN697" s="112"/>
      <c r="AO697" s="112"/>
      <c r="AP697" s="112"/>
      <c r="AQ697" s="112"/>
      <c r="AR697" s="112"/>
      <c r="AS697" s="112"/>
      <c r="AT697" s="112"/>
      <c r="AU697" s="112"/>
      <c r="AV697" s="112"/>
      <c r="AW697" s="112"/>
      <c r="AX697" s="112"/>
      <c r="AY697" s="112"/>
      <c r="AZ697" s="112"/>
      <c r="BA697" s="112"/>
      <c r="BB697" s="112"/>
      <c r="BC697" s="112"/>
      <c r="BD697" s="112"/>
      <c r="BE697" s="112"/>
      <c r="BF697" s="112"/>
      <c r="BG697" s="112"/>
      <c r="BH697" s="112"/>
      <c r="BI697" s="112"/>
      <c r="BJ697" s="112"/>
      <c r="BK697" s="112"/>
      <c r="BL697" s="112"/>
      <c r="BM697" s="112"/>
      <c r="BN697" s="112"/>
      <c r="BO697" s="112"/>
      <c r="BP697" s="112"/>
      <c r="BQ697" s="112"/>
      <c r="BR697" s="112"/>
      <c r="BS697" s="112"/>
      <c r="BT697" s="112"/>
      <c r="BU697" s="112"/>
      <c r="BV697" s="112"/>
      <c r="BW697" s="112"/>
      <c r="BX697" s="112"/>
      <c r="BY697" s="112"/>
      <c r="BZ697" s="112"/>
    </row>
    <row r="698" spans="30:78" x14ac:dyDescent="0.2">
      <c r="AD698" s="112"/>
      <c r="AE698" s="112"/>
      <c r="AF698" s="112"/>
      <c r="AG698" s="112"/>
      <c r="AH698" s="112"/>
      <c r="AI698" s="112"/>
      <c r="AJ698" s="112"/>
      <c r="AK698" s="112"/>
      <c r="AL698" s="112"/>
      <c r="AM698" s="112"/>
      <c r="AN698" s="112"/>
      <c r="AO698" s="112"/>
      <c r="AP698" s="112"/>
      <c r="AQ698" s="112"/>
      <c r="AR698" s="112"/>
      <c r="AS698" s="112"/>
      <c r="AT698" s="112"/>
      <c r="AU698" s="112"/>
      <c r="AV698" s="112"/>
      <c r="AW698" s="112"/>
      <c r="AX698" s="112"/>
      <c r="AY698" s="112"/>
      <c r="AZ698" s="112"/>
      <c r="BA698" s="112"/>
      <c r="BB698" s="112"/>
      <c r="BC698" s="112"/>
      <c r="BD698" s="112"/>
      <c r="BE698" s="112"/>
      <c r="BF698" s="112"/>
      <c r="BG698" s="112"/>
      <c r="BH698" s="112"/>
      <c r="BI698" s="112"/>
      <c r="BJ698" s="112"/>
      <c r="BK698" s="112"/>
      <c r="BL698" s="112"/>
      <c r="BM698" s="112"/>
      <c r="BN698" s="112"/>
      <c r="BO698" s="112"/>
      <c r="BP698" s="112"/>
      <c r="BQ698" s="112"/>
      <c r="BR698" s="112"/>
      <c r="BS698" s="112"/>
      <c r="BT698" s="112"/>
      <c r="BU698" s="112"/>
      <c r="BV698" s="112"/>
      <c r="BW698" s="112"/>
      <c r="BX698" s="112"/>
      <c r="BY698" s="112"/>
      <c r="BZ698" s="112"/>
    </row>
    <row r="699" spans="30:78" x14ac:dyDescent="0.2">
      <c r="AD699" s="112"/>
      <c r="AE699" s="112"/>
      <c r="AF699" s="112"/>
      <c r="AG699" s="112"/>
      <c r="AH699" s="112"/>
      <c r="AI699" s="112"/>
      <c r="AJ699" s="112"/>
      <c r="AK699" s="112"/>
      <c r="AL699" s="112"/>
      <c r="AM699" s="112"/>
      <c r="AN699" s="112"/>
      <c r="AO699" s="112"/>
      <c r="AP699" s="112"/>
      <c r="AQ699" s="112"/>
      <c r="AR699" s="112"/>
      <c r="AS699" s="112"/>
      <c r="AT699" s="112"/>
      <c r="AU699" s="112"/>
      <c r="AV699" s="112"/>
      <c r="AW699" s="112"/>
      <c r="AX699" s="112"/>
      <c r="AY699" s="112"/>
      <c r="AZ699" s="112"/>
      <c r="BA699" s="112"/>
      <c r="BB699" s="112"/>
      <c r="BC699" s="112"/>
      <c r="BD699" s="112"/>
      <c r="BE699" s="112"/>
      <c r="BF699" s="112"/>
      <c r="BG699" s="112"/>
      <c r="BH699" s="112"/>
      <c r="BI699" s="112"/>
      <c r="BJ699" s="112"/>
      <c r="BK699" s="112"/>
      <c r="BL699" s="112"/>
      <c r="BM699" s="112"/>
      <c r="BN699" s="112"/>
      <c r="BO699" s="112"/>
      <c r="BP699" s="112"/>
      <c r="BQ699" s="112"/>
      <c r="BR699" s="112"/>
      <c r="BS699" s="112"/>
      <c r="BT699" s="112"/>
      <c r="BU699" s="112"/>
      <c r="BV699" s="112"/>
      <c r="BW699" s="112"/>
      <c r="BX699" s="112"/>
      <c r="BY699" s="112"/>
      <c r="BZ699" s="112"/>
    </row>
    <row r="700" spans="30:78" x14ac:dyDescent="0.2">
      <c r="AD700" s="112"/>
      <c r="AE700" s="112"/>
      <c r="AF700" s="112"/>
      <c r="AG700" s="112"/>
      <c r="AH700" s="112"/>
      <c r="AI700" s="112"/>
      <c r="AJ700" s="112"/>
      <c r="AK700" s="112"/>
      <c r="AL700" s="112"/>
      <c r="AM700" s="112"/>
      <c r="AN700" s="112"/>
      <c r="AO700" s="112"/>
      <c r="AP700" s="112"/>
      <c r="AQ700" s="112"/>
      <c r="AR700" s="112"/>
      <c r="AS700" s="112"/>
      <c r="AT700" s="112"/>
      <c r="AU700" s="112"/>
      <c r="AV700" s="112"/>
      <c r="AW700" s="112"/>
      <c r="AX700" s="112"/>
      <c r="AY700" s="112"/>
      <c r="AZ700" s="112"/>
      <c r="BA700" s="112"/>
      <c r="BB700" s="112"/>
      <c r="BC700" s="112"/>
      <c r="BD700" s="112"/>
      <c r="BE700" s="112"/>
      <c r="BF700" s="112"/>
      <c r="BG700" s="112"/>
      <c r="BH700" s="112"/>
      <c r="BI700" s="112"/>
      <c r="BJ700" s="112"/>
      <c r="BK700" s="112"/>
      <c r="BL700" s="112"/>
      <c r="BM700" s="112"/>
      <c r="BN700" s="112"/>
      <c r="BO700" s="112"/>
      <c r="BP700" s="112"/>
      <c r="BQ700" s="112"/>
      <c r="BR700" s="112"/>
      <c r="BS700" s="112"/>
      <c r="BT700" s="112"/>
      <c r="BU700" s="112"/>
      <c r="BV700" s="112"/>
      <c r="BW700" s="112"/>
      <c r="BX700" s="112"/>
      <c r="BY700" s="112"/>
      <c r="BZ700" s="112"/>
    </row>
    <row r="701" spans="30:78" x14ac:dyDescent="0.2">
      <c r="AD701" s="112"/>
      <c r="AE701" s="112"/>
      <c r="AF701" s="112"/>
      <c r="AG701" s="112"/>
      <c r="AH701" s="112"/>
      <c r="AI701" s="112"/>
      <c r="AJ701" s="112"/>
      <c r="AK701" s="112"/>
      <c r="AL701" s="112"/>
      <c r="AM701" s="112"/>
      <c r="AN701" s="112"/>
      <c r="AO701" s="112"/>
      <c r="AP701" s="112"/>
      <c r="AQ701" s="112"/>
      <c r="AR701" s="112"/>
      <c r="AS701" s="112"/>
      <c r="AT701" s="112"/>
      <c r="AU701" s="112"/>
      <c r="AV701" s="112"/>
      <c r="AW701" s="112"/>
      <c r="AX701" s="112"/>
      <c r="AY701" s="112"/>
      <c r="AZ701" s="112"/>
      <c r="BA701" s="112"/>
      <c r="BB701" s="112"/>
      <c r="BC701" s="112"/>
      <c r="BD701" s="112"/>
      <c r="BE701" s="112"/>
      <c r="BF701" s="112"/>
      <c r="BG701" s="112"/>
      <c r="BH701" s="112"/>
      <c r="BI701" s="112"/>
      <c r="BJ701" s="112"/>
      <c r="BK701" s="112"/>
      <c r="BL701" s="112"/>
      <c r="BM701" s="112"/>
      <c r="BN701" s="112"/>
      <c r="BO701" s="112"/>
      <c r="BP701" s="112"/>
      <c r="BQ701" s="112"/>
      <c r="BR701" s="112"/>
      <c r="BS701" s="112"/>
      <c r="BT701" s="112"/>
      <c r="BU701" s="112"/>
      <c r="BV701" s="112"/>
      <c r="BW701" s="112"/>
      <c r="BX701" s="112"/>
      <c r="BY701" s="112"/>
      <c r="BZ701" s="112"/>
    </row>
    <row r="702" spans="30:78" x14ac:dyDescent="0.2">
      <c r="AD702" s="112"/>
      <c r="AE702" s="112"/>
      <c r="AF702" s="112"/>
      <c r="AG702" s="112"/>
      <c r="AH702" s="112"/>
      <c r="AI702" s="112"/>
      <c r="AJ702" s="112"/>
      <c r="AK702" s="112"/>
      <c r="AL702" s="112"/>
      <c r="AM702" s="112"/>
      <c r="AN702" s="112"/>
      <c r="AO702" s="112"/>
      <c r="AP702" s="112"/>
      <c r="AQ702" s="112"/>
      <c r="AR702" s="112"/>
      <c r="AS702" s="112"/>
      <c r="AT702" s="112"/>
      <c r="AU702" s="112"/>
      <c r="AV702" s="112"/>
      <c r="AW702" s="112"/>
      <c r="AX702" s="112"/>
      <c r="AY702" s="112"/>
      <c r="AZ702" s="112"/>
      <c r="BA702" s="112"/>
      <c r="BB702" s="112"/>
      <c r="BC702" s="112"/>
      <c r="BD702" s="112"/>
      <c r="BE702" s="112"/>
      <c r="BF702" s="112"/>
      <c r="BG702" s="112"/>
      <c r="BH702" s="112"/>
      <c r="BI702" s="112"/>
      <c r="BJ702" s="112"/>
      <c r="BK702" s="112"/>
      <c r="BL702" s="112"/>
      <c r="BM702" s="112"/>
      <c r="BN702" s="112"/>
      <c r="BO702" s="112"/>
      <c r="BP702" s="112"/>
      <c r="BQ702" s="112"/>
      <c r="BR702" s="112"/>
      <c r="BS702" s="112"/>
      <c r="BT702" s="112"/>
      <c r="BU702" s="112"/>
      <c r="BV702" s="112"/>
      <c r="BW702" s="112"/>
      <c r="BX702" s="112"/>
      <c r="BY702" s="112"/>
      <c r="BZ702" s="112"/>
    </row>
    <row r="703" spans="30:78" x14ac:dyDescent="0.2">
      <c r="AD703" s="112"/>
      <c r="AE703" s="112"/>
      <c r="AF703" s="112"/>
      <c r="AG703" s="112"/>
      <c r="AH703" s="112"/>
      <c r="AI703" s="112"/>
      <c r="AJ703" s="112"/>
      <c r="AK703" s="112"/>
      <c r="AL703" s="112"/>
      <c r="AM703" s="112"/>
      <c r="AN703" s="112"/>
      <c r="AO703" s="112"/>
      <c r="AP703" s="112"/>
      <c r="AQ703" s="112"/>
      <c r="AR703" s="112"/>
      <c r="AS703" s="112"/>
      <c r="AT703" s="112"/>
      <c r="AU703" s="112"/>
      <c r="AV703" s="112"/>
      <c r="AW703" s="112"/>
      <c r="AX703" s="112"/>
      <c r="AY703" s="112"/>
      <c r="AZ703" s="112"/>
      <c r="BA703" s="112"/>
      <c r="BB703" s="112"/>
      <c r="BC703" s="112"/>
      <c r="BD703" s="112"/>
      <c r="BE703" s="112"/>
      <c r="BF703" s="112"/>
      <c r="BG703" s="112"/>
      <c r="BH703" s="112"/>
      <c r="BI703" s="112"/>
      <c r="BJ703" s="112"/>
      <c r="BK703" s="112"/>
      <c r="BL703" s="112"/>
      <c r="BM703" s="112"/>
      <c r="BN703" s="112"/>
      <c r="BO703" s="112"/>
      <c r="BP703" s="112"/>
      <c r="BQ703" s="112"/>
      <c r="BR703" s="112"/>
      <c r="BS703" s="112"/>
      <c r="BT703" s="112"/>
      <c r="BU703" s="112"/>
      <c r="BV703" s="112"/>
      <c r="BW703" s="112"/>
      <c r="BX703" s="112"/>
      <c r="BY703" s="112"/>
      <c r="BZ703" s="112"/>
    </row>
    <row r="704" spans="30:78" x14ac:dyDescent="0.2">
      <c r="AD704" s="112"/>
      <c r="AE704" s="112"/>
      <c r="AF704" s="112"/>
      <c r="AG704" s="112"/>
      <c r="AH704" s="112"/>
      <c r="AI704" s="112"/>
      <c r="AJ704" s="112"/>
      <c r="AK704" s="112"/>
      <c r="AL704" s="112"/>
      <c r="AM704" s="112"/>
      <c r="AN704" s="112"/>
      <c r="AO704" s="112"/>
      <c r="AP704" s="112"/>
      <c r="AQ704" s="112"/>
      <c r="AR704" s="112"/>
      <c r="AS704" s="112"/>
      <c r="AT704" s="112"/>
      <c r="AU704" s="112"/>
      <c r="AV704" s="112"/>
      <c r="AW704" s="112"/>
      <c r="AX704" s="112"/>
      <c r="AY704" s="112"/>
      <c r="AZ704" s="112"/>
      <c r="BA704" s="112"/>
      <c r="BB704" s="112"/>
      <c r="BC704" s="112"/>
      <c r="BD704" s="112"/>
      <c r="BE704" s="112"/>
      <c r="BF704" s="112"/>
      <c r="BG704" s="112"/>
      <c r="BH704" s="112"/>
      <c r="BI704" s="112"/>
      <c r="BJ704" s="112"/>
      <c r="BK704" s="112"/>
      <c r="BL704" s="112"/>
      <c r="BM704" s="112"/>
      <c r="BN704" s="112"/>
      <c r="BO704" s="112"/>
      <c r="BP704" s="112"/>
      <c r="BQ704" s="112"/>
      <c r="BR704" s="112"/>
      <c r="BS704" s="112"/>
      <c r="BT704" s="112"/>
      <c r="BU704" s="112"/>
      <c r="BV704" s="112"/>
      <c r="BW704" s="112"/>
      <c r="BX704" s="112"/>
      <c r="BY704" s="112"/>
      <c r="BZ704" s="112"/>
    </row>
    <row r="705" spans="30:78" x14ac:dyDescent="0.2">
      <c r="AD705" s="112"/>
      <c r="AE705" s="112"/>
      <c r="AF705" s="112"/>
      <c r="AG705" s="112"/>
      <c r="AH705" s="112"/>
      <c r="AI705" s="112"/>
      <c r="AJ705" s="112"/>
      <c r="AK705" s="112"/>
      <c r="AL705" s="112"/>
      <c r="AM705" s="112"/>
      <c r="AN705" s="112"/>
      <c r="AO705" s="112"/>
      <c r="AP705" s="112"/>
      <c r="AQ705" s="112"/>
      <c r="AR705" s="112"/>
      <c r="AS705" s="112"/>
      <c r="AT705" s="112"/>
      <c r="AU705" s="112"/>
      <c r="AV705" s="112"/>
      <c r="AW705" s="112"/>
      <c r="AX705" s="112"/>
      <c r="AY705" s="112"/>
      <c r="AZ705" s="112"/>
      <c r="BA705" s="112"/>
      <c r="BB705" s="112"/>
      <c r="BC705" s="112"/>
      <c r="BD705" s="112"/>
      <c r="BE705" s="112"/>
      <c r="BF705" s="112"/>
      <c r="BG705" s="112"/>
      <c r="BH705" s="112"/>
      <c r="BI705" s="112"/>
      <c r="BJ705" s="112"/>
      <c r="BK705" s="112"/>
      <c r="BL705" s="112"/>
      <c r="BM705" s="112"/>
      <c r="BN705" s="112"/>
      <c r="BO705" s="112"/>
      <c r="BP705" s="112"/>
      <c r="BQ705" s="112"/>
      <c r="BR705" s="112"/>
      <c r="BS705" s="112"/>
      <c r="BT705" s="112"/>
      <c r="BU705" s="112"/>
      <c r="BV705" s="112"/>
      <c r="BW705" s="112"/>
      <c r="BX705" s="112"/>
      <c r="BY705" s="112"/>
      <c r="BZ705" s="112"/>
    </row>
    <row r="706" spans="30:78" x14ac:dyDescent="0.2">
      <c r="AD706" s="112"/>
      <c r="AE706" s="112"/>
      <c r="AF706" s="112"/>
      <c r="AG706" s="112"/>
      <c r="AH706" s="112"/>
      <c r="AI706" s="112"/>
      <c r="AJ706" s="112"/>
      <c r="AK706" s="112"/>
      <c r="AL706" s="112"/>
      <c r="AM706" s="112"/>
      <c r="AN706" s="112"/>
      <c r="AO706" s="112"/>
      <c r="AP706" s="112"/>
      <c r="AQ706" s="112"/>
      <c r="AR706" s="112"/>
      <c r="AS706" s="112"/>
      <c r="AT706" s="112"/>
      <c r="AU706" s="112"/>
      <c r="AV706" s="112"/>
      <c r="AW706" s="112"/>
      <c r="AX706" s="112"/>
      <c r="AY706" s="112"/>
      <c r="AZ706" s="112"/>
      <c r="BA706" s="112"/>
      <c r="BB706" s="112"/>
      <c r="BC706" s="112"/>
      <c r="BD706" s="112"/>
      <c r="BE706" s="112"/>
      <c r="BF706" s="112"/>
      <c r="BG706" s="112"/>
      <c r="BH706" s="112"/>
      <c r="BI706" s="112"/>
      <c r="BJ706" s="112"/>
      <c r="BK706" s="112"/>
      <c r="BL706" s="112"/>
      <c r="BM706" s="112"/>
      <c r="BN706" s="112"/>
      <c r="BO706" s="112"/>
      <c r="BP706" s="112"/>
      <c r="BQ706" s="112"/>
      <c r="BR706" s="112"/>
      <c r="BS706" s="112"/>
      <c r="BT706" s="112"/>
      <c r="BU706" s="112"/>
      <c r="BV706" s="112"/>
      <c r="BW706" s="112"/>
      <c r="BX706" s="112"/>
      <c r="BY706" s="112"/>
      <c r="BZ706" s="112"/>
    </row>
    <row r="707" spans="30:78" x14ac:dyDescent="0.2">
      <c r="AD707" s="112"/>
      <c r="AE707" s="112"/>
      <c r="AF707" s="112"/>
      <c r="AG707" s="112"/>
      <c r="AH707" s="112"/>
      <c r="AI707" s="112"/>
      <c r="AJ707" s="112"/>
      <c r="AK707" s="112"/>
      <c r="AL707" s="112"/>
      <c r="AM707" s="112"/>
      <c r="AN707" s="112"/>
      <c r="AO707" s="112"/>
      <c r="AP707" s="112"/>
      <c r="AQ707" s="112"/>
      <c r="AR707" s="112"/>
      <c r="AS707" s="112"/>
      <c r="AT707" s="112"/>
      <c r="AU707" s="112"/>
      <c r="AV707" s="112"/>
      <c r="AW707" s="112"/>
      <c r="AX707" s="112"/>
      <c r="AY707" s="112"/>
      <c r="AZ707" s="112"/>
      <c r="BA707" s="112"/>
      <c r="BB707" s="112"/>
      <c r="BC707" s="112"/>
      <c r="BD707" s="112"/>
      <c r="BE707" s="112"/>
      <c r="BF707" s="112"/>
      <c r="BG707" s="112"/>
      <c r="BH707" s="112"/>
      <c r="BI707" s="112"/>
      <c r="BJ707" s="112"/>
      <c r="BK707" s="112"/>
      <c r="BL707" s="112"/>
      <c r="BM707" s="112"/>
      <c r="BN707" s="112"/>
      <c r="BO707" s="112"/>
      <c r="BP707" s="112"/>
      <c r="BQ707" s="112"/>
      <c r="BR707" s="112"/>
      <c r="BS707" s="112"/>
      <c r="BT707" s="112"/>
      <c r="BU707" s="112"/>
      <c r="BV707" s="112"/>
      <c r="BW707" s="112"/>
      <c r="BX707" s="112"/>
      <c r="BY707" s="112"/>
      <c r="BZ707" s="112"/>
    </row>
    <row r="708" spans="30:78" x14ac:dyDescent="0.2">
      <c r="AD708" s="112"/>
      <c r="AE708" s="112"/>
      <c r="AF708" s="112"/>
      <c r="AG708" s="112"/>
      <c r="AH708" s="112"/>
      <c r="AI708" s="112"/>
      <c r="AJ708" s="112"/>
      <c r="AK708" s="112"/>
      <c r="AL708" s="112"/>
      <c r="AM708" s="112"/>
      <c r="AN708" s="112"/>
      <c r="AO708" s="112"/>
      <c r="AP708" s="112"/>
      <c r="AQ708" s="112"/>
      <c r="AR708" s="112"/>
      <c r="AS708" s="112"/>
      <c r="AT708" s="112"/>
      <c r="AU708" s="112"/>
      <c r="AV708" s="112"/>
      <c r="AW708" s="112"/>
      <c r="AX708" s="112"/>
      <c r="AY708" s="112"/>
      <c r="AZ708" s="112"/>
      <c r="BA708" s="112"/>
      <c r="BB708" s="112"/>
      <c r="BC708" s="112"/>
      <c r="BD708" s="112"/>
      <c r="BE708" s="112"/>
      <c r="BF708" s="112"/>
      <c r="BG708" s="112"/>
      <c r="BH708" s="112"/>
      <c r="BI708" s="112"/>
      <c r="BJ708" s="112"/>
      <c r="BK708" s="112"/>
      <c r="BL708" s="112"/>
      <c r="BM708" s="112"/>
      <c r="BN708" s="112"/>
      <c r="BO708" s="112"/>
      <c r="BP708" s="112"/>
      <c r="BQ708" s="112"/>
      <c r="BR708" s="112"/>
      <c r="BS708" s="112"/>
      <c r="BT708" s="112"/>
      <c r="BU708" s="112"/>
      <c r="BV708" s="112"/>
      <c r="BW708" s="112"/>
      <c r="BX708" s="112"/>
      <c r="BY708" s="112"/>
      <c r="BZ708" s="112"/>
    </row>
    <row r="709" spans="30:78" x14ac:dyDescent="0.2">
      <c r="AD709" s="112"/>
      <c r="AE709" s="112"/>
      <c r="AF709" s="112"/>
      <c r="AG709" s="112"/>
      <c r="AH709" s="112"/>
      <c r="AI709" s="112"/>
      <c r="AJ709" s="112"/>
      <c r="AK709" s="112"/>
      <c r="AL709" s="112"/>
      <c r="AM709" s="112"/>
      <c r="AN709" s="112"/>
      <c r="AO709" s="112"/>
      <c r="AP709" s="112"/>
      <c r="AQ709" s="112"/>
      <c r="AR709" s="112"/>
      <c r="AS709" s="112"/>
      <c r="AT709" s="112"/>
      <c r="AU709" s="112"/>
      <c r="AV709" s="112"/>
      <c r="AW709" s="112"/>
      <c r="AX709" s="112"/>
      <c r="AY709" s="112"/>
      <c r="AZ709" s="112"/>
      <c r="BA709" s="112"/>
      <c r="BB709" s="112"/>
      <c r="BC709" s="112"/>
      <c r="BD709" s="112"/>
      <c r="BE709" s="112"/>
      <c r="BF709" s="112"/>
      <c r="BG709" s="112"/>
      <c r="BH709" s="112"/>
      <c r="BI709" s="112"/>
      <c r="BJ709" s="112"/>
      <c r="BK709" s="112"/>
      <c r="BL709" s="112"/>
      <c r="BM709" s="112"/>
      <c r="BN709" s="112"/>
      <c r="BO709" s="112"/>
      <c r="BP709" s="112"/>
      <c r="BQ709" s="112"/>
      <c r="BR709" s="112"/>
      <c r="BS709" s="112"/>
      <c r="BT709" s="112"/>
      <c r="BU709" s="112"/>
      <c r="BV709" s="112"/>
      <c r="BW709" s="112"/>
      <c r="BX709" s="112"/>
      <c r="BY709" s="112"/>
      <c r="BZ709" s="112"/>
    </row>
    <row r="710" spans="30:78" x14ac:dyDescent="0.2">
      <c r="AD710" s="112"/>
      <c r="AE710" s="112"/>
      <c r="AF710" s="112"/>
      <c r="AG710" s="112"/>
      <c r="AH710" s="112"/>
      <c r="AI710" s="112"/>
      <c r="AJ710" s="112"/>
      <c r="AK710" s="112"/>
      <c r="AL710" s="112"/>
      <c r="AM710" s="112"/>
      <c r="AN710" s="112"/>
      <c r="AO710" s="112"/>
      <c r="AP710" s="112"/>
      <c r="AQ710" s="112"/>
      <c r="AR710" s="112"/>
      <c r="AS710" s="112"/>
      <c r="AT710" s="112"/>
      <c r="AU710" s="112"/>
      <c r="AV710" s="112"/>
      <c r="AW710" s="112"/>
      <c r="AX710" s="112"/>
      <c r="AY710" s="112"/>
      <c r="AZ710" s="112"/>
      <c r="BA710" s="112"/>
      <c r="BB710" s="112"/>
      <c r="BC710" s="112"/>
      <c r="BD710" s="112"/>
      <c r="BE710" s="112"/>
      <c r="BF710" s="112"/>
      <c r="BG710" s="112"/>
      <c r="BH710" s="112"/>
      <c r="BI710" s="112"/>
      <c r="BJ710" s="112"/>
      <c r="BK710" s="112"/>
      <c r="BL710" s="112"/>
      <c r="BM710" s="112"/>
      <c r="BN710" s="112"/>
      <c r="BO710" s="112"/>
      <c r="BP710" s="112"/>
      <c r="BQ710" s="112"/>
      <c r="BR710" s="112"/>
      <c r="BS710" s="112"/>
      <c r="BT710" s="112"/>
      <c r="BU710" s="112"/>
      <c r="BV710" s="112"/>
      <c r="BW710" s="112"/>
      <c r="BX710" s="112"/>
      <c r="BY710" s="112"/>
      <c r="BZ710" s="112"/>
    </row>
    <row r="711" spans="30:78" x14ac:dyDescent="0.2">
      <c r="AD711" s="112"/>
      <c r="AE711" s="112"/>
      <c r="AF711" s="112"/>
      <c r="AG711" s="112"/>
      <c r="AH711" s="112"/>
      <c r="AI711" s="112"/>
      <c r="AJ711" s="112"/>
      <c r="AK711" s="112"/>
      <c r="AL711" s="112"/>
      <c r="AM711" s="112"/>
      <c r="AN711" s="112"/>
      <c r="AO711" s="112"/>
      <c r="AP711" s="112"/>
      <c r="AQ711" s="112"/>
      <c r="AR711" s="112"/>
      <c r="AS711" s="112"/>
      <c r="AT711" s="112"/>
      <c r="AU711" s="112"/>
      <c r="AV711" s="112"/>
      <c r="AW711" s="112"/>
      <c r="AX711" s="112"/>
      <c r="AY711" s="112"/>
      <c r="AZ711" s="112"/>
      <c r="BA711" s="112"/>
      <c r="BB711" s="112"/>
      <c r="BC711" s="112"/>
      <c r="BD711" s="112"/>
      <c r="BE711" s="112"/>
      <c r="BF711" s="112"/>
      <c r="BG711" s="112"/>
      <c r="BH711" s="112"/>
      <c r="BI711" s="112"/>
      <c r="BJ711" s="112"/>
      <c r="BK711" s="112"/>
      <c r="BL711" s="112"/>
      <c r="BM711" s="112"/>
      <c r="BN711" s="112"/>
      <c r="BO711" s="112"/>
      <c r="BP711" s="112"/>
      <c r="BQ711" s="112"/>
      <c r="BR711" s="112"/>
      <c r="BS711" s="112"/>
      <c r="BT711" s="112"/>
      <c r="BU711" s="112"/>
      <c r="BV711" s="112"/>
      <c r="BW711" s="112"/>
      <c r="BX711" s="112"/>
      <c r="BY711" s="112"/>
      <c r="BZ711" s="112"/>
    </row>
    <row r="712" spans="30:78" x14ac:dyDescent="0.2">
      <c r="AD712" s="112"/>
      <c r="AE712" s="112"/>
      <c r="AF712" s="112"/>
      <c r="AG712" s="112"/>
      <c r="AH712" s="112"/>
      <c r="AI712" s="112"/>
      <c r="AJ712" s="112"/>
      <c r="AK712" s="112"/>
      <c r="AL712" s="112"/>
      <c r="AM712" s="112"/>
      <c r="AN712" s="112"/>
      <c r="AO712" s="112"/>
      <c r="AP712" s="112"/>
      <c r="AQ712" s="112"/>
      <c r="AR712" s="112"/>
      <c r="AS712" s="112"/>
      <c r="AT712" s="112"/>
      <c r="AU712" s="112"/>
      <c r="AV712" s="112"/>
      <c r="AW712" s="112"/>
      <c r="AX712" s="112"/>
      <c r="AY712" s="112"/>
      <c r="AZ712" s="112"/>
      <c r="BA712" s="112"/>
      <c r="BB712" s="112"/>
      <c r="BC712" s="112"/>
      <c r="BD712" s="112"/>
      <c r="BE712" s="112"/>
      <c r="BF712" s="112"/>
      <c r="BG712" s="112"/>
      <c r="BH712" s="112"/>
      <c r="BI712" s="112"/>
      <c r="BJ712" s="112"/>
      <c r="BK712" s="112"/>
      <c r="BL712" s="112"/>
      <c r="BM712" s="112"/>
      <c r="BN712" s="112"/>
      <c r="BO712" s="112"/>
      <c r="BP712" s="112"/>
      <c r="BQ712" s="112"/>
      <c r="BR712" s="112"/>
      <c r="BS712" s="112"/>
      <c r="BT712" s="112"/>
      <c r="BU712" s="112"/>
      <c r="BV712" s="112"/>
      <c r="BW712" s="112"/>
      <c r="BX712" s="112"/>
      <c r="BY712" s="112"/>
      <c r="BZ712" s="112"/>
    </row>
    <row r="713" spans="30:78" x14ac:dyDescent="0.2">
      <c r="AD713" s="112"/>
      <c r="AE713" s="112"/>
      <c r="AF713" s="112"/>
      <c r="AG713" s="112"/>
      <c r="AH713" s="112"/>
      <c r="AI713" s="112"/>
      <c r="AJ713" s="112"/>
      <c r="AK713" s="112"/>
      <c r="AL713" s="112"/>
      <c r="AM713" s="112"/>
      <c r="AN713" s="112"/>
      <c r="AO713" s="112"/>
      <c r="AP713" s="112"/>
      <c r="AQ713" s="112"/>
      <c r="AR713" s="112"/>
      <c r="AS713" s="112"/>
      <c r="AT713" s="112"/>
      <c r="AU713" s="112"/>
      <c r="AV713" s="112"/>
      <c r="AW713" s="112"/>
      <c r="AX713" s="112"/>
      <c r="AY713" s="112"/>
      <c r="AZ713" s="112"/>
      <c r="BA713" s="112"/>
      <c r="BB713" s="112"/>
      <c r="BC713" s="112"/>
      <c r="BD713" s="112"/>
      <c r="BE713" s="112"/>
      <c r="BF713" s="112"/>
      <c r="BG713" s="112"/>
      <c r="BH713" s="112"/>
      <c r="BI713" s="112"/>
      <c r="BJ713" s="112"/>
      <c r="BK713" s="112"/>
      <c r="BL713" s="112"/>
      <c r="BM713" s="112"/>
      <c r="BN713" s="112"/>
      <c r="BO713" s="112"/>
      <c r="BP713" s="112"/>
      <c r="BQ713" s="112"/>
      <c r="BR713" s="112"/>
      <c r="BS713" s="112"/>
      <c r="BT713" s="112"/>
      <c r="BU713" s="112"/>
      <c r="BV713" s="112"/>
      <c r="BW713" s="112"/>
      <c r="BX713" s="112"/>
      <c r="BY713" s="112"/>
      <c r="BZ713" s="112"/>
    </row>
    <row r="714" spans="30:78" x14ac:dyDescent="0.2">
      <c r="AD714" s="112"/>
      <c r="AE714" s="112"/>
      <c r="AF714" s="112"/>
      <c r="AG714" s="112"/>
      <c r="AH714" s="112"/>
      <c r="AI714" s="112"/>
      <c r="AJ714" s="112"/>
      <c r="AK714" s="112"/>
      <c r="AL714" s="112"/>
      <c r="AM714" s="112"/>
      <c r="AN714" s="112"/>
      <c r="AO714" s="112"/>
      <c r="AP714" s="112"/>
      <c r="AQ714" s="112"/>
      <c r="AR714" s="112"/>
      <c r="AS714" s="112"/>
      <c r="AT714" s="112"/>
      <c r="AU714" s="112"/>
      <c r="AV714" s="112"/>
      <c r="AW714" s="112"/>
      <c r="AX714" s="112"/>
      <c r="AY714" s="112"/>
      <c r="AZ714" s="112"/>
      <c r="BA714" s="112"/>
      <c r="BB714" s="112"/>
      <c r="BC714" s="112"/>
      <c r="BD714" s="112"/>
      <c r="BE714" s="112"/>
      <c r="BF714" s="112"/>
      <c r="BG714" s="112"/>
      <c r="BH714" s="112"/>
      <c r="BI714" s="112"/>
      <c r="BJ714" s="112"/>
      <c r="BK714" s="112"/>
      <c r="BL714" s="112"/>
      <c r="BM714" s="112"/>
      <c r="BN714" s="112"/>
      <c r="BO714" s="112"/>
      <c r="BP714" s="112"/>
      <c r="BQ714" s="112"/>
      <c r="BR714" s="112"/>
      <c r="BS714" s="112"/>
      <c r="BT714" s="112"/>
      <c r="BU714" s="112"/>
      <c r="BV714" s="112"/>
      <c r="BW714" s="112"/>
      <c r="BX714" s="112"/>
      <c r="BY714" s="112"/>
      <c r="BZ714" s="112"/>
    </row>
    <row r="715" spans="30:78" x14ac:dyDescent="0.2">
      <c r="AD715" s="112"/>
      <c r="AE715" s="112"/>
      <c r="AF715" s="112"/>
      <c r="AG715" s="112"/>
      <c r="AH715" s="112"/>
      <c r="AI715" s="112"/>
      <c r="AJ715" s="112"/>
      <c r="AK715" s="112"/>
      <c r="AL715" s="112"/>
      <c r="AM715" s="112"/>
      <c r="AN715" s="112"/>
      <c r="AO715" s="112"/>
      <c r="AP715" s="112"/>
      <c r="AQ715" s="112"/>
      <c r="AR715" s="112"/>
      <c r="AS715" s="112"/>
      <c r="AT715" s="112"/>
      <c r="AU715" s="112"/>
      <c r="AV715" s="112"/>
      <c r="AW715" s="112"/>
      <c r="AX715" s="112"/>
      <c r="AY715" s="112"/>
      <c r="AZ715" s="112"/>
      <c r="BA715" s="112"/>
      <c r="BB715" s="112"/>
      <c r="BC715" s="112"/>
      <c r="BD715" s="112"/>
      <c r="BE715" s="112"/>
      <c r="BF715" s="112"/>
      <c r="BG715" s="112"/>
      <c r="BH715" s="112"/>
      <c r="BI715" s="112"/>
      <c r="BJ715" s="112"/>
      <c r="BK715" s="112"/>
      <c r="BL715" s="112"/>
      <c r="BM715" s="112"/>
      <c r="BN715" s="112"/>
      <c r="BO715" s="112"/>
      <c r="BP715" s="112"/>
      <c r="BQ715" s="112"/>
      <c r="BR715" s="112"/>
      <c r="BS715" s="112"/>
      <c r="BT715" s="112"/>
      <c r="BU715" s="112"/>
      <c r="BV715" s="112"/>
      <c r="BW715" s="112"/>
      <c r="BX715" s="112"/>
      <c r="BY715" s="112"/>
      <c r="BZ715" s="112"/>
    </row>
    <row r="716" spans="30:78" x14ac:dyDescent="0.2">
      <c r="AD716" s="112"/>
      <c r="AE716" s="112"/>
      <c r="AF716" s="112"/>
      <c r="AG716" s="112"/>
      <c r="AH716" s="112"/>
      <c r="AI716" s="112"/>
      <c r="AJ716" s="112"/>
      <c r="AK716" s="112"/>
      <c r="AL716" s="112"/>
      <c r="AM716" s="112"/>
      <c r="AN716" s="112"/>
      <c r="AO716" s="112"/>
      <c r="AP716" s="112"/>
      <c r="AQ716" s="112"/>
      <c r="AR716" s="112"/>
      <c r="AS716" s="112"/>
      <c r="AT716" s="112"/>
      <c r="AU716" s="112"/>
      <c r="AV716" s="112"/>
      <c r="AW716" s="112"/>
      <c r="AX716" s="112"/>
      <c r="AY716" s="112"/>
      <c r="AZ716" s="112"/>
      <c r="BA716" s="112"/>
      <c r="BB716" s="112"/>
      <c r="BC716" s="112"/>
      <c r="BD716" s="112"/>
      <c r="BE716" s="112"/>
      <c r="BF716" s="112"/>
      <c r="BG716" s="112"/>
      <c r="BH716" s="112"/>
      <c r="BI716" s="112"/>
      <c r="BJ716" s="112"/>
      <c r="BK716" s="112"/>
      <c r="BL716" s="112"/>
      <c r="BM716" s="112"/>
      <c r="BN716" s="112"/>
      <c r="BO716" s="112"/>
      <c r="BP716" s="112"/>
      <c r="BQ716" s="112"/>
      <c r="BR716" s="112"/>
      <c r="BS716" s="112"/>
      <c r="BT716" s="112"/>
      <c r="BU716" s="112"/>
      <c r="BV716" s="112"/>
      <c r="BW716" s="112"/>
      <c r="BX716" s="112"/>
      <c r="BY716" s="112"/>
      <c r="BZ716" s="112"/>
    </row>
    <row r="717" spans="30:78" x14ac:dyDescent="0.2">
      <c r="AD717" s="112"/>
      <c r="AE717" s="112"/>
      <c r="AF717" s="112"/>
      <c r="AG717" s="112"/>
      <c r="AH717" s="112"/>
      <c r="AI717" s="112"/>
      <c r="AJ717" s="112"/>
      <c r="AK717" s="112"/>
      <c r="AL717" s="112"/>
      <c r="AM717" s="112"/>
      <c r="AN717" s="112"/>
      <c r="AO717" s="112"/>
      <c r="AP717" s="112"/>
      <c r="AQ717" s="112"/>
      <c r="AR717" s="112"/>
      <c r="AS717" s="112"/>
      <c r="AT717" s="112"/>
      <c r="AU717" s="112"/>
      <c r="AV717" s="112"/>
      <c r="AW717" s="112"/>
      <c r="AX717" s="112"/>
      <c r="AY717" s="112"/>
      <c r="AZ717" s="112"/>
      <c r="BA717" s="112"/>
      <c r="BB717" s="112"/>
      <c r="BC717" s="112"/>
      <c r="BD717" s="112"/>
      <c r="BE717" s="112"/>
      <c r="BF717" s="112"/>
      <c r="BG717" s="112"/>
      <c r="BH717" s="112"/>
      <c r="BI717" s="112"/>
      <c r="BJ717" s="112"/>
      <c r="BK717" s="112"/>
      <c r="BL717" s="112"/>
      <c r="BM717" s="112"/>
      <c r="BN717" s="112"/>
      <c r="BO717" s="112"/>
      <c r="BP717" s="112"/>
      <c r="BQ717" s="112"/>
      <c r="BR717" s="112"/>
      <c r="BS717" s="112"/>
      <c r="BT717" s="112"/>
      <c r="BU717" s="112"/>
      <c r="BV717" s="112"/>
      <c r="BW717" s="112"/>
      <c r="BX717" s="112"/>
      <c r="BY717" s="112"/>
      <c r="BZ717" s="112"/>
    </row>
    <row r="718" spans="30:78" x14ac:dyDescent="0.2">
      <c r="AD718" s="112"/>
      <c r="AE718" s="112"/>
      <c r="AF718" s="112"/>
      <c r="AG718" s="112"/>
      <c r="AH718" s="112"/>
      <c r="AI718" s="112"/>
      <c r="AJ718" s="112"/>
      <c r="AK718" s="112"/>
      <c r="AL718" s="112"/>
      <c r="AM718" s="112"/>
      <c r="AN718" s="112"/>
      <c r="AO718" s="112"/>
      <c r="AP718" s="112"/>
      <c r="AQ718" s="112"/>
      <c r="AR718" s="112"/>
      <c r="AS718" s="112"/>
      <c r="AT718" s="112"/>
      <c r="AU718" s="112"/>
      <c r="AV718" s="112"/>
      <c r="AW718" s="112"/>
      <c r="AX718" s="112"/>
      <c r="AY718" s="112"/>
      <c r="AZ718" s="112"/>
      <c r="BA718" s="112"/>
      <c r="BB718" s="112"/>
      <c r="BC718" s="112"/>
      <c r="BD718" s="112"/>
      <c r="BE718" s="112"/>
      <c r="BF718" s="112"/>
      <c r="BG718" s="112"/>
      <c r="BH718" s="112"/>
      <c r="BI718" s="112"/>
      <c r="BJ718" s="112"/>
      <c r="BK718" s="112"/>
      <c r="BL718" s="112"/>
      <c r="BM718" s="112"/>
      <c r="BN718" s="112"/>
      <c r="BO718" s="112"/>
      <c r="BP718" s="112"/>
      <c r="BQ718" s="112"/>
      <c r="BR718" s="112"/>
      <c r="BS718" s="112"/>
      <c r="BT718" s="112"/>
      <c r="BU718" s="112"/>
      <c r="BV718" s="112"/>
      <c r="BW718" s="112"/>
      <c r="BX718" s="112"/>
      <c r="BY718" s="112"/>
      <c r="BZ718" s="112"/>
    </row>
    <row r="719" spans="30:78" x14ac:dyDescent="0.2">
      <c r="AD719" s="112"/>
      <c r="AE719" s="112"/>
      <c r="AF719" s="112"/>
      <c r="AG719" s="112"/>
      <c r="AH719" s="112"/>
      <c r="AI719" s="112"/>
      <c r="AJ719" s="112"/>
      <c r="AK719" s="112"/>
      <c r="AL719" s="112"/>
      <c r="AM719" s="112"/>
      <c r="AN719" s="112"/>
      <c r="AO719" s="112"/>
      <c r="AP719" s="112"/>
      <c r="AQ719" s="112"/>
      <c r="AR719" s="112"/>
      <c r="AS719" s="112"/>
      <c r="AT719" s="112"/>
      <c r="AU719" s="112"/>
      <c r="AV719" s="112"/>
      <c r="AW719" s="112"/>
      <c r="AX719" s="112"/>
      <c r="AY719" s="112"/>
      <c r="AZ719" s="112"/>
      <c r="BA719" s="112"/>
      <c r="BB719" s="112"/>
      <c r="BC719" s="112"/>
      <c r="BD719" s="112"/>
      <c r="BE719" s="112"/>
      <c r="BF719" s="112"/>
      <c r="BG719" s="112"/>
      <c r="BH719" s="112"/>
      <c r="BI719" s="112"/>
      <c r="BJ719" s="112"/>
      <c r="BK719" s="112"/>
      <c r="BL719" s="112"/>
      <c r="BM719" s="112"/>
      <c r="BN719" s="112"/>
      <c r="BO719" s="112"/>
      <c r="BP719" s="112"/>
      <c r="BQ719" s="112"/>
      <c r="BR719" s="112"/>
      <c r="BS719" s="112"/>
      <c r="BT719" s="112"/>
      <c r="BU719" s="112"/>
      <c r="BV719" s="112"/>
      <c r="BW719" s="112"/>
      <c r="BX719" s="112"/>
      <c r="BY719" s="112"/>
      <c r="BZ719" s="112"/>
    </row>
    <row r="720" spans="30:78" x14ac:dyDescent="0.2">
      <c r="AD720" s="112"/>
      <c r="AE720" s="112"/>
      <c r="AF720" s="112"/>
      <c r="AG720" s="112"/>
      <c r="AH720" s="112"/>
      <c r="AI720" s="112"/>
      <c r="AJ720" s="112"/>
      <c r="AK720" s="112"/>
      <c r="AL720" s="112"/>
      <c r="AM720" s="112"/>
      <c r="AN720" s="112"/>
      <c r="AO720" s="112"/>
      <c r="AP720" s="112"/>
      <c r="AQ720" s="112"/>
      <c r="AR720" s="112"/>
      <c r="AS720" s="112"/>
      <c r="AT720" s="112"/>
      <c r="AU720" s="112"/>
      <c r="AV720" s="112"/>
      <c r="AW720" s="112"/>
      <c r="AX720" s="112"/>
      <c r="AY720" s="112"/>
      <c r="AZ720" s="112"/>
      <c r="BA720" s="112"/>
      <c r="BB720" s="112"/>
      <c r="BC720" s="112"/>
      <c r="BD720" s="112"/>
      <c r="BE720" s="112"/>
      <c r="BF720" s="112"/>
      <c r="BG720" s="112"/>
      <c r="BH720" s="112"/>
      <c r="BI720" s="112"/>
      <c r="BJ720" s="112"/>
      <c r="BK720" s="112"/>
      <c r="BL720" s="112"/>
      <c r="BM720" s="112"/>
      <c r="BN720" s="112"/>
      <c r="BO720" s="112"/>
      <c r="BP720" s="112"/>
      <c r="BQ720" s="112"/>
      <c r="BR720" s="112"/>
      <c r="BS720" s="112"/>
      <c r="BT720" s="112"/>
      <c r="BU720" s="112"/>
      <c r="BV720" s="112"/>
      <c r="BW720" s="112"/>
      <c r="BX720" s="112"/>
      <c r="BY720" s="112"/>
      <c r="BZ720" s="112"/>
    </row>
    <row r="721" spans="30:78" x14ac:dyDescent="0.2">
      <c r="AD721" s="112"/>
      <c r="AE721" s="112"/>
      <c r="AF721" s="112"/>
      <c r="AG721" s="112"/>
      <c r="AH721" s="112"/>
      <c r="AI721" s="112"/>
      <c r="AJ721" s="112"/>
      <c r="AK721" s="112"/>
      <c r="AL721" s="112"/>
      <c r="AM721" s="112"/>
      <c r="AN721" s="112"/>
      <c r="AO721" s="112"/>
      <c r="AP721" s="112"/>
      <c r="AQ721" s="112"/>
      <c r="AR721" s="112"/>
      <c r="AS721" s="112"/>
      <c r="AT721" s="112"/>
      <c r="AU721" s="112"/>
      <c r="AV721" s="112"/>
      <c r="AW721" s="112"/>
      <c r="AX721" s="112"/>
      <c r="AY721" s="112"/>
      <c r="AZ721" s="112"/>
      <c r="BA721" s="112"/>
      <c r="BB721" s="112"/>
      <c r="BC721" s="112"/>
      <c r="BD721" s="112"/>
      <c r="BE721" s="112"/>
      <c r="BF721" s="112"/>
      <c r="BG721" s="112"/>
      <c r="BH721" s="112"/>
      <c r="BI721" s="112"/>
      <c r="BJ721" s="112"/>
      <c r="BK721" s="112"/>
      <c r="BL721" s="112"/>
      <c r="BM721" s="112"/>
      <c r="BN721" s="112"/>
      <c r="BO721" s="112"/>
      <c r="BP721" s="112"/>
      <c r="BQ721" s="112"/>
      <c r="BR721" s="112"/>
      <c r="BS721" s="112"/>
      <c r="BT721" s="112"/>
      <c r="BU721" s="112"/>
      <c r="BV721" s="112"/>
      <c r="BW721" s="112"/>
      <c r="BX721" s="112"/>
      <c r="BY721" s="112"/>
      <c r="BZ721" s="112"/>
    </row>
    <row r="722" spans="30:78" x14ac:dyDescent="0.2">
      <c r="AD722" s="112"/>
      <c r="AE722" s="112"/>
      <c r="AF722" s="112"/>
      <c r="AG722" s="112"/>
      <c r="AH722" s="112"/>
      <c r="AI722" s="112"/>
      <c r="AJ722" s="112"/>
      <c r="AK722" s="112"/>
      <c r="AL722" s="112"/>
      <c r="AM722" s="112"/>
      <c r="AN722" s="112"/>
      <c r="AO722" s="112"/>
      <c r="AP722" s="112"/>
      <c r="AQ722" s="112"/>
      <c r="AR722" s="112"/>
      <c r="AS722" s="112"/>
      <c r="AT722" s="112"/>
      <c r="AU722" s="112"/>
      <c r="AV722" s="112"/>
      <c r="AW722" s="112"/>
      <c r="AX722" s="112"/>
      <c r="AY722" s="112"/>
      <c r="AZ722" s="112"/>
      <c r="BA722" s="112"/>
      <c r="BB722" s="112"/>
      <c r="BC722" s="112"/>
      <c r="BD722" s="112"/>
      <c r="BE722" s="112"/>
      <c r="BF722" s="112"/>
      <c r="BG722" s="112"/>
      <c r="BH722" s="112"/>
      <c r="BI722" s="112"/>
      <c r="BJ722" s="112"/>
      <c r="BK722" s="112"/>
      <c r="BL722" s="112"/>
      <c r="BM722" s="112"/>
      <c r="BN722" s="112"/>
      <c r="BO722" s="112"/>
      <c r="BP722" s="112"/>
      <c r="BQ722" s="112"/>
      <c r="BR722" s="112"/>
      <c r="BS722" s="112"/>
      <c r="BT722" s="112"/>
      <c r="BU722" s="112"/>
      <c r="BV722" s="112"/>
      <c r="BW722" s="112"/>
      <c r="BX722" s="112"/>
      <c r="BY722" s="112"/>
      <c r="BZ722" s="112"/>
    </row>
    <row r="723" spans="30:78" x14ac:dyDescent="0.2">
      <c r="AD723" s="112"/>
      <c r="AE723" s="112"/>
      <c r="AF723" s="112"/>
      <c r="AG723" s="112"/>
      <c r="AH723" s="112"/>
      <c r="AI723" s="112"/>
      <c r="AJ723" s="112"/>
      <c r="AK723" s="112"/>
      <c r="AL723" s="112"/>
      <c r="AM723" s="112"/>
      <c r="AN723" s="112"/>
      <c r="AO723" s="112"/>
      <c r="AP723" s="112"/>
      <c r="AQ723" s="112"/>
      <c r="AR723" s="112"/>
      <c r="AS723" s="112"/>
      <c r="AT723" s="112"/>
      <c r="AU723" s="112"/>
      <c r="AV723" s="112"/>
      <c r="AW723" s="112"/>
      <c r="AX723" s="112"/>
      <c r="AY723" s="112"/>
      <c r="AZ723" s="112"/>
      <c r="BA723" s="112"/>
      <c r="BB723" s="112"/>
      <c r="BC723" s="112"/>
      <c r="BD723" s="112"/>
      <c r="BE723" s="112"/>
      <c r="BF723" s="112"/>
      <c r="BG723" s="112"/>
      <c r="BH723" s="112"/>
      <c r="BI723" s="112"/>
      <c r="BJ723" s="112"/>
      <c r="BK723" s="112"/>
      <c r="BL723" s="112"/>
      <c r="BM723" s="112"/>
      <c r="BN723" s="112"/>
      <c r="BO723" s="112"/>
      <c r="BP723" s="112"/>
      <c r="BQ723" s="112"/>
      <c r="BR723" s="112"/>
      <c r="BS723" s="112"/>
      <c r="BT723" s="112"/>
      <c r="BU723" s="112"/>
      <c r="BV723" s="112"/>
      <c r="BW723" s="112"/>
      <c r="BX723" s="112"/>
      <c r="BY723" s="112"/>
      <c r="BZ723" s="112"/>
    </row>
    <row r="724" spans="30:78" x14ac:dyDescent="0.2">
      <c r="AD724" s="112"/>
      <c r="AE724" s="112"/>
      <c r="AF724" s="112"/>
      <c r="AG724" s="112"/>
      <c r="AH724" s="112"/>
      <c r="AI724" s="112"/>
      <c r="AJ724" s="112"/>
      <c r="AK724" s="112"/>
      <c r="AL724" s="112"/>
      <c r="AM724" s="112"/>
      <c r="AN724" s="112"/>
      <c r="AO724" s="112"/>
      <c r="AP724" s="112"/>
      <c r="AQ724" s="112"/>
      <c r="AR724" s="112"/>
      <c r="AS724" s="112"/>
      <c r="AT724" s="112"/>
      <c r="AU724" s="112"/>
      <c r="AV724" s="112"/>
      <c r="AW724" s="112"/>
      <c r="AX724" s="112"/>
      <c r="AY724" s="112"/>
      <c r="AZ724" s="112"/>
      <c r="BA724" s="112"/>
      <c r="BB724" s="112"/>
      <c r="BC724" s="112"/>
      <c r="BD724" s="112"/>
      <c r="BE724" s="112"/>
      <c r="BF724" s="112"/>
      <c r="BG724" s="112"/>
      <c r="BH724" s="112"/>
      <c r="BI724" s="112"/>
      <c r="BJ724" s="112"/>
      <c r="BK724" s="112"/>
      <c r="BL724" s="112"/>
      <c r="BM724" s="112"/>
      <c r="BN724" s="112"/>
      <c r="BO724" s="112"/>
      <c r="BP724" s="112"/>
      <c r="BQ724" s="112"/>
      <c r="BR724" s="112"/>
      <c r="BS724" s="112"/>
      <c r="BT724" s="112"/>
      <c r="BU724" s="112"/>
      <c r="BV724" s="112"/>
      <c r="BW724" s="112"/>
      <c r="BX724" s="112"/>
      <c r="BY724" s="112"/>
      <c r="BZ724" s="112"/>
    </row>
    <row r="725" spans="30:78" x14ac:dyDescent="0.2">
      <c r="AD725" s="112"/>
      <c r="AE725" s="112"/>
      <c r="AF725" s="112"/>
      <c r="AG725" s="112"/>
      <c r="AH725" s="112"/>
      <c r="AI725" s="112"/>
      <c r="AJ725" s="112"/>
      <c r="AK725" s="112"/>
      <c r="AL725" s="112"/>
      <c r="AM725" s="112"/>
      <c r="AN725" s="112"/>
      <c r="AO725" s="112"/>
      <c r="AP725" s="112"/>
      <c r="AQ725" s="112"/>
      <c r="AR725" s="112"/>
      <c r="AS725" s="112"/>
      <c r="AT725" s="112"/>
      <c r="AU725" s="112"/>
      <c r="AV725" s="112"/>
      <c r="AW725" s="112"/>
      <c r="AX725" s="112"/>
      <c r="AY725" s="112"/>
      <c r="AZ725" s="112"/>
      <c r="BA725" s="112"/>
      <c r="BB725" s="112"/>
      <c r="BC725" s="112"/>
      <c r="BD725" s="112"/>
      <c r="BE725" s="112"/>
      <c r="BF725" s="112"/>
      <c r="BG725" s="112"/>
      <c r="BH725" s="112"/>
      <c r="BI725" s="112"/>
      <c r="BJ725" s="112"/>
      <c r="BK725" s="112"/>
      <c r="BL725" s="112"/>
      <c r="BM725" s="112"/>
      <c r="BN725" s="112"/>
      <c r="BO725" s="112"/>
      <c r="BP725" s="112"/>
      <c r="BQ725" s="112"/>
      <c r="BR725" s="112"/>
      <c r="BS725" s="112"/>
      <c r="BT725" s="112"/>
      <c r="BU725" s="112"/>
      <c r="BV725" s="112"/>
      <c r="BW725" s="112"/>
      <c r="BX725" s="112"/>
      <c r="BY725" s="112"/>
      <c r="BZ725" s="112"/>
    </row>
    <row r="726" spans="30:78" x14ac:dyDescent="0.2">
      <c r="AD726" s="112"/>
      <c r="AE726" s="112"/>
      <c r="AF726" s="112"/>
      <c r="AG726" s="112"/>
      <c r="AH726" s="112"/>
      <c r="AI726" s="112"/>
      <c r="AJ726" s="112"/>
      <c r="AK726" s="112"/>
      <c r="AL726" s="112"/>
      <c r="AM726" s="112"/>
      <c r="AN726" s="112"/>
      <c r="AO726" s="112"/>
      <c r="AP726" s="112"/>
      <c r="AQ726" s="112"/>
      <c r="AR726" s="112"/>
      <c r="AS726" s="112"/>
      <c r="AT726" s="112"/>
      <c r="AU726" s="112"/>
      <c r="AV726" s="112"/>
      <c r="AW726" s="112"/>
      <c r="AX726" s="112"/>
      <c r="AY726" s="112"/>
      <c r="AZ726" s="112"/>
      <c r="BA726" s="112"/>
      <c r="BB726" s="112"/>
      <c r="BC726" s="112"/>
      <c r="BD726" s="112"/>
      <c r="BE726" s="112"/>
      <c r="BF726" s="112"/>
      <c r="BG726" s="112"/>
      <c r="BH726" s="112"/>
      <c r="BI726" s="112"/>
      <c r="BJ726" s="112"/>
      <c r="BK726" s="112"/>
      <c r="BL726" s="112"/>
      <c r="BM726" s="112"/>
      <c r="BN726" s="112"/>
      <c r="BO726" s="112"/>
      <c r="BP726" s="112"/>
      <c r="BQ726" s="112"/>
      <c r="BR726" s="112"/>
      <c r="BS726" s="112"/>
      <c r="BT726" s="112"/>
      <c r="BU726" s="112"/>
      <c r="BV726" s="112"/>
      <c r="BW726" s="112"/>
      <c r="BX726" s="112"/>
      <c r="BY726" s="112"/>
      <c r="BZ726" s="112"/>
    </row>
    <row r="727" spans="30:78" x14ac:dyDescent="0.2">
      <c r="AD727" s="112"/>
      <c r="AE727" s="112"/>
      <c r="AF727" s="112"/>
      <c r="AG727" s="112"/>
      <c r="AH727" s="112"/>
      <c r="AI727" s="112"/>
      <c r="AJ727" s="112"/>
      <c r="AK727" s="112"/>
      <c r="AL727" s="112"/>
      <c r="AM727" s="112"/>
      <c r="AN727" s="112"/>
      <c r="AO727" s="112"/>
      <c r="AP727" s="112"/>
      <c r="AQ727" s="112"/>
      <c r="AR727" s="112"/>
      <c r="AS727" s="112"/>
      <c r="AT727" s="112"/>
      <c r="AU727" s="112"/>
      <c r="AV727" s="112"/>
      <c r="AW727" s="112"/>
      <c r="AX727" s="112"/>
      <c r="AY727" s="112"/>
      <c r="AZ727" s="112"/>
      <c r="BA727" s="112"/>
      <c r="BB727" s="112"/>
      <c r="BC727" s="112"/>
      <c r="BD727" s="112"/>
      <c r="BE727" s="112"/>
      <c r="BF727" s="112"/>
      <c r="BG727" s="112"/>
      <c r="BH727" s="112"/>
      <c r="BI727" s="112"/>
      <c r="BJ727" s="112"/>
      <c r="BK727" s="112"/>
      <c r="BL727" s="112"/>
      <c r="BM727" s="112"/>
      <c r="BN727" s="112"/>
      <c r="BO727" s="112"/>
      <c r="BP727" s="112"/>
      <c r="BQ727" s="112"/>
      <c r="BR727" s="112"/>
      <c r="BS727" s="112"/>
      <c r="BT727" s="112"/>
      <c r="BU727" s="112"/>
      <c r="BV727" s="112"/>
      <c r="BW727" s="112"/>
      <c r="BX727" s="112"/>
      <c r="BY727" s="112"/>
      <c r="BZ727" s="112"/>
    </row>
    <row r="728" spans="30:78" x14ac:dyDescent="0.2">
      <c r="AD728" s="112"/>
      <c r="AE728" s="112"/>
      <c r="AF728" s="112"/>
      <c r="AG728" s="112"/>
      <c r="AH728" s="112"/>
      <c r="AI728" s="112"/>
      <c r="AJ728" s="112"/>
      <c r="AK728" s="112"/>
      <c r="AL728" s="112"/>
      <c r="AM728" s="112"/>
      <c r="AN728" s="112"/>
      <c r="AO728" s="112"/>
      <c r="AP728" s="112"/>
      <c r="AQ728" s="112"/>
      <c r="AR728" s="112"/>
      <c r="AS728" s="112"/>
      <c r="AT728" s="112"/>
      <c r="AU728" s="112"/>
      <c r="AV728" s="112"/>
      <c r="AW728" s="112"/>
      <c r="AX728" s="112"/>
      <c r="AY728" s="112"/>
      <c r="AZ728" s="112"/>
      <c r="BA728" s="112"/>
      <c r="BB728" s="112"/>
      <c r="BC728" s="112"/>
      <c r="BD728" s="112"/>
      <c r="BE728" s="112"/>
      <c r="BF728" s="112"/>
      <c r="BG728" s="112"/>
      <c r="BH728" s="112"/>
      <c r="BI728" s="112"/>
      <c r="BJ728" s="112"/>
      <c r="BK728" s="112"/>
      <c r="BL728" s="112"/>
      <c r="BM728" s="112"/>
      <c r="BN728" s="112"/>
      <c r="BO728" s="112"/>
      <c r="BP728" s="112"/>
      <c r="BQ728" s="112"/>
      <c r="BR728" s="112"/>
      <c r="BS728" s="112"/>
      <c r="BT728" s="112"/>
      <c r="BU728" s="112"/>
      <c r="BV728" s="112"/>
      <c r="BW728" s="112"/>
      <c r="BX728" s="112"/>
      <c r="BY728" s="112"/>
      <c r="BZ728" s="112"/>
    </row>
    <row r="729" spans="30:78" x14ac:dyDescent="0.2">
      <c r="AD729" s="112"/>
      <c r="AE729" s="112"/>
      <c r="AF729" s="112"/>
      <c r="AG729" s="112"/>
      <c r="AH729" s="112"/>
      <c r="AI729" s="112"/>
      <c r="AJ729" s="112"/>
      <c r="AK729" s="112"/>
      <c r="AL729" s="112"/>
      <c r="AM729" s="112"/>
      <c r="AN729" s="112"/>
      <c r="AO729" s="112"/>
      <c r="AP729" s="112"/>
      <c r="AQ729" s="112"/>
      <c r="AR729" s="112"/>
      <c r="AS729" s="112"/>
      <c r="AT729" s="112"/>
      <c r="AU729" s="112"/>
      <c r="AV729" s="112"/>
      <c r="AW729" s="112"/>
      <c r="AX729" s="112"/>
      <c r="AY729" s="112"/>
      <c r="AZ729" s="112"/>
      <c r="BA729" s="112"/>
      <c r="BB729" s="112"/>
      <c r="BC729" s="112"/>
      <c r="BD729" s="112"/>
      <c r="BE729" s="112"/>
      <c r="BF729" s="112"/>
      <c r="BG729" s="112"/>
      <c r="BH729" s="112"/>
      <c r="BI729" s="112"/>
      <c r="BJ729" s="112"/>
      <c r="BK729" s="112"/>
      <c r="BL729" s="112"/>
      <c r="BM729" s="112"/>
      <c r="BN729" s="112"/>
      <c r="BO729" s="112"/>
      <c r="BP729" s="112"/>
      <c r="BQ729" s="112"/>
      <c r="BR729" s="112"/>
      <c r="BS729" s="112"/>
      <c r="BT729" s="112"/>
      <c r="BU729" s="112"/>
      <c r="BV729" s="112"/>
      <c r="BW729" s="112"/>
      <c r="BX729" s="112"/>
      <c r="BY729" s="112"/>
      <c r="BZ729" s="112"/>
    </row>
    <row r="730" spans="30:78" x14ac:dyDescent="0.2">
      <c r="AD730" s="112"/>
      <c r="AE730" s="112"/>
      <c r="AF730" s="112"/>
      <c r="AG730" s="112"/>
      <c r="AH730" s="112"/>
      <c r="AI730" s="112"/>
      <c r="AJ730" s="112"/>
      <c r="AK730" s="112"/>
      <c r="AL730" s="112"/>
      <c r="AM730" s="112"/>
      <c r="AN730" s="112"/>
      <c r="AO730" s="112"/>
      <c r="AP730" s="112"/>
      <c r="AQ730" s="112"/>
      <c r="AR730" s="112"/>
      <c r="AS730" s="112"/>
      <c r="AT730" s="112"/>
      <c r="AU730" s="112"/>
      <c r="AV730" s="112"/>
      <c r="AW730" s="112"/>
      <c r="AX730" s="112"/>
      <c r="AY730" s="112"/>
      <c r="AZ730" s="112"/>
      <c r="BA730" s="112"/>
      <c r="BB730" s="112"/>
      <c r="BC730" s="112"/>
      <c r="BD730" s="112"/>
      <c r="BE730" s="112"/>
      <c r="BF730" s="112"/>
      <c r="BG730" s="112"/>
      <c r="BH730" s="112"/>
      <c r="BI730" s="112"/>
      <c r="BJ730" s="112"/>
      <c r="BK730" s="112"/>
      <c r="BL730" s="112"/>
      <c r="BM730" s="112"/>
      <c r="BN730" s="112"/>
      <c r="BO730" s="112"/>
      <c r="BP730" s="112"/>
      <c r="BQ730" s="112"/>
      <c r="BR730" s="112"/>
      <c r="BS730" s="112"/>
      <c r="BT730" s="112"/>
      <c r="BU730" s="112"/>
      <c r="BV730" s="112"/>
      <c r="BW730" s="112"/>
      <c r="BX730" s="112"/>
      <c r="BY730" s="112"/>
      <c r="BZ730" s="112"/>
    </row>
    <row r="731" spans="30:78" x14ac:dyDescent="0.2">
      <c r="AD731" s="112"/>
      <c r="AE731" s="112"/>
      <c r="AF731" s="112"/>
      <c r="AG731" s="112"/>
      <c r="AH731" s="112"/>
      <c r="AI731" s="112"/>
      <c r="AJ731" s="112"/>
      <c r="AK731" s="112"/>
      <c r="AL731" s="112"/>
      <c r="AM731" s="112"/>
      <c r="AN731" s="112"/>
      <c r="AO731" s="112"/>
      <c r="AP731" s="112"/>
      <c r="AQ731" s="112"/>
      <c r="AR731" s="112"/>
      <c r="AS731" s="112"/>
      <c r="AT731" s="112"/>
      <c r="AU731" s="112"/>
      <c r="AV731" s="112"/>
      <c r="AW731" s="112"/>
      <c r="AX731" s="112"/>
      <c r="AY731" s="112"/>
      <c r="AZ731" s="112"/>
      <c r="BA731" s="112"/>
      <c r="BB731" s="112"/>
      <c r="BC731" s="112"/>
      <c r="BD731" s="112"/>
      <c r="BE731" s="112"/>
      <c r="BF731" s="112"/>
      <c r="BG731" s="112"/>
      <c r="BH731" s="112"/>
      <c r="BI731" s="112"/>
      <c r="BJ731" s="112"/>
      <c r="BK731" s="112"/>
      <c r="BL731" s="112"/>
      <c r="BM731" s="112"/>
      <c r="BN731" s="112"/>
      <c r="BO731" s="112"/>
      <c r="BP731" s="112"/>
      <c r="BQ731" s="112"/>
      <c r="BR731" s="112"/>
      <c r="BS731" s="112"/>
      <c r="BT731" s="112"/>
      <c r="BU731" s="112"/>
      <c r="BV731" s="112"/>
      <c r="BW731" s="112"/>
      <c r="BX731" s="112"/>
      <c r="BY731" s="112"/>
      <c r="BZ731" s="112"/>
    </row>
    <row r="732" spans="30:78" x14ac:dyDescent="0.2">
      <c r="AD732" s="112"/>
      <c r="AE732" s="112"/>
      <c r="AF732" s="112"/>
      <c r="AG732" s="112"/>
      <c r="AH732" s="112"/>
      <c r="AI732" s="112"/>
      <c r="AJ732" s="112"/>
      <c r="AK732" s="112"/>
      <c r="AL732" s="112"/>
      <c r="AM732" s="112"/>
      <c r="AN732" s="112"/>
      <c r="AO732" s="112"/>
      <c r="AP732" s="112"/>
      <c r="AQ732" s="112"/>
      <c r="AR732" s="112"/>
      <c r="AS732" s="112"/>
      <c r="AT732" s="112"/>
      <c r="AU732" s="112"/>
      <c r="AV732" s="112"/>
      <c r="AW732" s="112"/>
      <c r="AX732" s="112"/>
      <c r="AY732" s="112"/>
      <c r="AZ732" s="112"/>
      <c r="BA732" s="112"/>
      <c r="BB732" s="112"/>
      <c r="BC732" s="112"/>
      <c r="BD732" s="112"/>
      <c r="BE732" s="112"/>
      <c r="BF732" s="112"/>
      <c r="BG732" s="112"/>
      <c r="BH732" s="112"/>
      <c r="BI732" s="112"/>
      <c r="BJ732" s="112"/>
      <c r="BK732" s="112"/>
      <c r="BL732" s="112"/>
      <c r="BM732" s="112"/>
      <c r="BN732" s="112"/>
      <c r="BO732" s="112"/>
      <c r="BP732" s="112"/>
      <c r="BQ732" s="112"/>
      <c r="BR732" s="112"/>
      <c r="BS732" s="112"/>
      <c r="BT732" s="112"/>
      <c r="BU732" s="112"/>
      <c r="BV732" s="112"/>
      <c r="BW732" s="112"/>
      <c r="BX732" s="112"/>
      <c r="BY732" s="112"/>
      <c r="BZ732" s="112"/>
    </row>
    <row r="733" spans="30:78" x14ac:dyDescent="0.2">
      <c r="AD733" s="112"/>
      <c r="AE733" s="112"/>
      <c r="AF733" s="112"/>
      <c r="AG733" s="112"/>
      <c r="AH733" s="112"/>
      <c r="AI733" s="112"/>
      <c r="AJ733" s="112"/>
      <c r="AK733" s="112"/>
      <c r="AL733" s="112"/>
      <c r="AM733" s="112"/>
      <c r="AN733" s="112"/>
      <c r="AO733" s="112"/>
      <c r="AP733" s="112"/>
      <c r="AQ733" s="112"/>
      <c r="AR733" s="112"/>
      <c r="AS733" s="112"/>
      <c r="AT733" s="112"/>
      <c r="AU733" s="112"/>
      <c r="AV733" s="112"/>
      <c r="AW733" s="112"/>
      <c r="AX733" s="112"/>
      <c r="AY733" s="112"/>
      <c r="AZ733" s="112"/>
      <c r="BA733" s="112"/>
      <c r="BB733" s="112"/>
      <c r="BC733" s="112"/>
      <c r="BD733" s="112"/>
      <c r="BE733" s="112"/>
      <c r="BF733" s="112"/>
      <c r="BG733" s="112"/>
      <c r="BH733" s="112"/>
      <c r="BI733" s="112"/>
      <c r="BJ733" s="112"/>
      <c r="BK733" s="112"/>
      <c r="BL733" s="112"/>
      <c r="BM733" s="112"/>
      <c r="BN733" s="112"/>
      <c r="BO733" s="112"/>
      <c r="BP733" s="112"/>
      <c r="BQ733" s="112"/>
      <c r="BR733" s="112"/>
      <c r="BS733" s="112"/>
      <c r="BT733" s="112"/>
      <c r="BU733" s="112"/>
      <c r="BV733" s="112"/>
      <c r="BW733" s="112"/>
      <c r="BX733" s="112"/>
      <c r="BY733" s="112"/>
      <c r="BZ733" s="112"/>
    </row>
    <row r="734" spans="30:78" x14ac:dyDescent="0.2">
      <c r="AD734" s="112"/>
      <c r="AE734" s="112"/>
      <c r="AF734" s="112"/>
      <c r="AG734" s="112"/>
      <c r="AH734" s="112"/>
      <c r="AI734" s="112"/>
      <c r="AJ734" s="112"/>
      <c r="AK734" s="112"/>
      <c r="AL734" s="112"/>
      <c r="AM734" s="112"/>
      <c r="AN734" s="112"/>
      <c r="AO734" s="112"/>
      <c r="AP734" s="112"/>
      <c r="AQ734" s="112"/>
      <c r="AR734" s="112"/>
      <c r="AS734" s="112"/>
      <c r="AT734" s="112"/>
      <c r="AU734" s="112"/>
      <c r="AV734" s="112"/>
      <c r="AW734" s="112"/>
      <c r="AX734" s="112"/>
      <c r="AY734" s="112"/>
      <c r="AZ734" s="112"/>
      <c r="BA734" s="112"/>
      <c r="BB734" s="112"/>
      <c r="BC734" s="112"/>
      <c r="BD734" s="112"/>
      <c r="BE734" s="112"/>
      <c r="BF734" s="112"/>
      <c r="BG734" s="112"/>
      <c r="BH734" s="112"/>
      <c r="BI734" s="112"/>
      <c r="BJ734" s="112"/>
      <c r="BK734" s="112"/>
      <c r="BL734" s="112"/>
      <c r="BM734" s="112"/>
      <c r="BN734" s="112"/>
      <c r="BO734" s="112"/>
      <c r="BP734" s="112"/>
      <c r="BQ734" s="112"/>
      <c r="BR734" s="112"/>
      <c r="BS734" s="112"/>
      <c r="BT734" s="112"/>
      <c r="BU734" s="112"/>
      <c r="BV734" s="112"/>
      <c r="BW734" s="112"/>
      <c r="BX734" s="112"/>
      <c r="BY734" s="112"/>
      <c r="BZ734" s="112"/>
    </row>
    <row r="735" spans="30:78" x14ac:dyDescent="0.2">
      <c r="AD735" s="112"/>
      <c r="AE735" s="112"/>
      <c r="AF735" s="112"/>
      <c r="AG735" s="112"/>
      <c r="AH735" s="112"/>
      <c r="AI735" s="112"/>
      <c r="AJ735" s="112"/>
      <c r="AK735" s="112"/>
      <c r="AL735" s="112"/>
      <c r="AM735" s="112"/>
      <c r="AN735" s="112"/>
      <c r="AO735" s="112"/>
      <c r="AP735" s="112"/>
      <c r="AQ735" s="112"/>
      <c r="AR735" s="112"/>
      <c r="AS735" s="112"/>
      <c r="AT735" s="112"/>
      <c r="AU735" s="112"/>
      <c r="AV735" s="112"/>
      <c r="AW735" s="112"/>
      <c r="AX735" s="112"/>
      <c r="AY735" s="112"/>
      <c r="AZ735" s="112"/>
      <c r="BA735" s="112"/>
      <c r="BB735" s="112"/>
      <c r="BC735" s="112"/>
      <c r="BD735" s="112"/>
      <c r="BE735" s="112"/>
      <c r="BF735" s="112"/>
      <c r="BG735" s="112"/>
      <c r="BH735" s="112"/>
      <c r="BI735" s="112"/>
      <c r="BJ735" s="112"/>
      <c r="BK735" s="112"/>
      <c r="BL735" s="112"/>
      <c r="BM735" s="112"/>
      <c r="BN735" s="112"/>
      <c r="BO735" s="112"/>
      <c r="BP735" s="112"/>
      <c r="BQ735" s="112"/>
      <c r="BR735" s="112"/>
      <c r="BS735" s="112"/>
      <c r="BT735" s="112"/>
      <c r="BU735" s="112"/>
      <c r="BV735" s="112"/>
      <c r="BW735" s="112"/>
      <c r="BX735" s="112"/>
      <c r="BY735" s="112"/>
      <c r="BZ735" s="112"/>
    </row>
    <row r="736" spans="30:78" x14ac:dyDescent="0.2">
      <c r="AD736" s="112"/>
      <c r="AE736" s="112"/>
      <c r="AF736" s="112"/>
      <c r="AG736" s="112"/>
      <c r="AH736" s="112"/>
      <c r="AI736" s="112"/>
      <c r="AJ736" s="112"/>
      <c r="AK736" s="112"/>
      <c r="AL736" s="112"/>
      <c r="AM736" s="112"/>
      <c r="AN736" s="112"/>
      <c r="AO736" s="112"/>
      <c r="AP736" s="112"/>
      <c r="AQ736" s="112"/>
      <c r="AR736" s="112"/>
      <c r="AS736" s="112"/>
      <c r="AT736" s="112"/>
      <c r="AU736" s="112"/>
      <c r="AV736" s="112"/>
      <c r="AW736" s="112"/>
      <c r="AX736" s="112"/>
      <c r="AY736" s="112"/>
      <c r="AZ736" s="112"/>
      <c r="BA736" s="112"/>
      <c r="BB736" s="112"/>
      <c r="BC736" s="112"/>
      <c r="BD736" s="112"/>
      <c r="BE736" s="112"/>
      <c r="BF736" s="112"/>
      <c r="BG736" s="112"/>
      <c r="BH736" s="112"/>
      <c r="BI736" s="112"/>
      <c r="BJ736" s="112"/>
      <c r="BK736" s="112"/>
      <c r="BL736" s="112"/>
      <c r="BM736" s="112"/>
      <c r="BN736" s="112"/>
      <c r="BO736" s="112"/>
      <c r="BP736" s="112"/>
      <c r="BQ736" s="112"/>
      <c r="BR736" s="112"/>
      <c r="BS736" s="112"/>
      <c r="BT736" s="112"/>
      <c r="BU736" s="112"/>
      <c r="BV736" s="112"/>
      <c r="BW736" s="112"/>
      <c r="BX736" s="112"/>
      <c r="BY736" s="112"/>
      <c r="BZ736" s="112"/>
    </row>
    <row r="737" spans="30:78" x14ac:dyDescent="0.2">
      <c r="AD737" s="112"/>
      <c r="AE737" s="112"/>
      <c r="AF737" s="112"/>
      <c r="AG737" s="112"/>
      <c r="AH737" s="112"/>
      <c r="AI737" s="112"/>
      <c r="AJ737" s="112"/>
      <c r="AK737" s="112"/>
      <c r="AL737" s="112"/>
      <c r="AM737" s="112"/>
      <c r="AN737" s="112"/>
      <c r="AO737" s="112"/>
      <c r="AP737" s="112"/>
      <c r="AQ737" s="112"/>
      <c r="AR737" s="112"/>
      <c r="AS737" s="112"/>
      <c r="AT737" s="112"/>
      <c r="AU737" s="112"/>
      <c r="AV737" s="112"/>
      <c r="AW737" s="112"/>
      <c r="AX737" s="112"/>
      <c r="AY737" s="112"/>
      <c r="AZ737" s="112"/>
      <c r="BA737" s="112"/>
      <c r="BB737" s="112"/>
      <c r="BC737" s="112"/>
      <c r="BD737" s="112"/>
      <c r="BE737" s="112"/>
      <c r="BF737" s="112"/>
      <c r="BG737" s="112"/>
      <c r="BH737" s="112"/>
      <c r="BI737" s="112"/>
      <c r="BJ737" s="112"/>
      <c r="BK737" s="112"/>
      <c r="BL737" s="112"/>
      <c r="BM737" s="112"/>
      <c r="BN737" s="112"/>
      <c r="BO737" s="112"/>
      <c r="BP737" s="112"/>
      <c r="BQ737" s="112"/>
      <c r="BR737" s="112"/>
      <c r="BS737" s="112"/>
      <c r="BT737" s="112"/>
      <c r="BU737" s="112"/>
      <c r="BV737" s="112"/>
      <c r="BW737" s="112"/>
      <c r="BX737" s="112"/>
      <c r="BY737" s="112"/>
      <c r="BZ737" s="112"/>
    </row>
    <row r="738" spans="30:78" x14ac:dyDescent="0.2">
      <c r="AD738" s="112"/>
      <c r="AE738" s="112"/>
      <c r="AF738" s="112"/>
      <c r="AG738" s="112"/>
      <c r="AH738" s="112"/>
      <c r="AI738" s="112"/>
      <c r="AJ738" s="112"/>
      <c r="AK738" s="112"/>
      <c r="AL738" s="112"/>
      <c r="AM738" s="112"/>
      <c r="AN738" s="112"/>
      <c r="AO738" s="112"/>
      <c r="AP738" s="112"/>
      <c r="AQ738" s="112"/>
      <c r="AR738" s="112"/>
      <c r="AS738" s="112"/>
      <c r="AT738" s="112"/>
      <c r="AU738" s="112"/>
      <c r="AV738" s="112"/>
      <c r="AW738" s="112"/>
      <c r="AX738" s="112"/>
      <c r="AY738" s="112"/>
      <c r="AZ738" s="112"/>
      <c r="BA738" s="112"/>
      <c r="BB738" s="112"/>
      <c r="BC738" s="112"/>
      <c r="BD738" s="112"/>
      <c r="BE738" s="112"/>
      <c r="BF738" s="112"/>
      <c r="BG738" s="112"/>
      <c r="BH738" s="112"/>
      <c r="BI738" s="112"/>
      <c r="BJ738" s="112"/>
      <c r="BK738" s="112"/>
      <c r="BL738" s="112"/>
      <c r="BM738" s="112"/>
      <c r="BN738" s="112"/>
      <c r="BO738" s="112"/>
      <c r="BP738" s="112"/>
      <c r="BQ738" s="112"/>
      <c r="BR738" s="112"/>
      <c r="BS738" s="112"/>
      <c r="BT738" s="112"/>
      <c r="BU738" s="112"/>
      <c r="BV738" s="112"/>
      <c r="BW738" s="112"/>
      <c r="BX738" s="112"/>
      <c r="BY738" s="112"/>
      <c r="BZ738" s="112"/>
    </row>
    <row r="739" spans="30:78" x14ac:dyDescent="0.2">
      <c r="AD739" s="112"/>
      <c r="AE739" s="112"/>
      <c r="AF739" s="112"/>
      <c r="AG739" s="112"/>
      <c r="AH739" s="112"/>
      <c r="AI739" s="112"/>
      <c r="AJ739" s="112"/>
      <c r="AK739" s="112"/>
      <c r="AL739" s="112"/>
      <c r="AM739" s="112"/>
      <c r="AN739" s="112"/>
      <c r="AO739" s="112"/>
      <c r="AP739" s="112"/>
      <c r="AQ739" s="112"/>
      <c r="AR739" s="112"/>
      <c r="AS739" s="112"/>
      <c r="AT739" s="112"/>
      <c r="AU739" s="112"/>
      <c r="AV739" s="112"/>
      <c r="AW739" s="112"/>
      <c r="AX739" s="112"/>
      <c r="AY739" s="112"/>
      <c r="AZ739" s="112"/>
      <c r="BA739" s="112"/>
      <c r="BB739" s="112"/>
      <c r="BC739" s="112"/>
      <c r="BD739" s="112"/>
      <c r="BE739" s="112"/>
      <c r="BF739" s="112"/>
      <c r="BG739" s="112"/>
      <c r="BH739" s="112"/>
      <c r="BI739" s="112"/>
      <c r="BJ739" s="112"/>
      <c r="BK739" s="112"/>
      <c r="BL739" s="112"/>
      <c r="BM739" s="112"/>
      <c r="BN739" s="112"/>
      <c r="BO739" s="112"/>
      <c r="BP739" s="112"/>
      <c r="BQ739" s="112"/>
      <c r="BR739" s="112"/>
      <c r="BS739" s="112"/>
      <c r="BT739" s="112"/>
      <c r="BU739" s="112"/>
      <c r="BV739" s="112"/>
      <c r="BW739" s="112"/>
      <c r="BX739" s="112"/>
      <c r="BY739" s="112"/>
      <c r="BZ739" s="112"/>
    </row>
    <row r="740" spans="30:78" x14ac:dyDescent="0.2">
      <c r="AD740" s="112"/>
      <c r="AE740" s="112"/>
      <c r="AF740" s="112"/>
      <c r="AG740" s="112"/>
      <c r="AH740" s="112"/>
      <c r="AI740" s="112"/>
      <c r="AJ740" s="112"/>
      <c r="AK740" s="112"/>
      <c r="AL740" s="112"/>
      <c r="AM740" s="112"/>
      <c r="AN740" s="112"/>
      <c r="AO740" s="112"/>
      <c r="AP740" s="112"/>
      <c r="AQ740" s="112"/>
      <c r="AR740" s="112"/>
      <c r="AS740" s="112"/>
      <c r="AT740" s="112"/>
      <c r="AU740" s="112"/>
      <c r="AV740" s="112"/>
      <c r="AW740" s="112"/>
      <c r="AX740" s="112"/>
      <c r="AY740" s="112"/>
      <c r="AZ740" s="112"/>
      <c r="BA740" s="112"/>
      <c r="BB740" s="112"/>
      <c r="BC740" s="112"/>
      <c r="BD740" s="112"/>
      <c r="BE740" s="112"/>
      <c r="BF740" s="112"/>
      <c r="BG740" s="112"/>
      <c r="BH740" s="112"/>
      <c r="BI740" s="112"/>
      <c r="BJ740" s="112"/>
      <c r="BK740" s="112"/>
      <c r="BL740" s="112"/>
      <c r="BM740" s="112"/>
      <c r="BN740" s="112"/>
      <c r="BO740" s="112"/>
      <c r="BP740" s="112"/>
      <c r="BQ740" s="112"/>
      <c r="BR740" s="112"/>
      <c r="BS740" s="112"/>
      <c r="BT740" s="112"/>
      <c r="BU740" s="112"/>
      <c r="BV740" s="112"/>
      <c r="BW740" s="112"/>
      <c r="BX740" s="112"/>
      <c r="BY740" s="112"/>
      <c r="BZ740" s="112"/>
    </row>
    <row r="741" spans="30:78" x14ac:dyDescent="0.2">
      <c r="AD741" s="112"/>
      <c r="AE741" s="112"/>
      <c r="AF741" s="112"/>
      <c r="AG741" s="112"/>
      <c r="AH741" s="112"/>
      <c r="AI741" s="112"/>
      <c r="AJ741" s="112"/>
      <c r="AK741" s="112"/>
      <c r="AL741" s="112"/>
      <c r="AM741" s="112"/>
      <c r="AN741" s="112"/>
      <c r="AO741" s="112"/>
      <c r="AP741" s="112"/>
      <c r="AQ741" s="112"/>
      <c r="AR741" s="112"/>
      <c r="AS741" s="112"/>
      <c r="AT741" s="112"/>
      <c r="AU741" s="112"/>
      <c r="AV741" s="112"/>
      <c r="AW741" s="112"/>
      <c r="AX741" s="112"/>
      <c r="AY741" s="112"/>
      <c r="AZ741" s="112"/>
      <c r="BA741" s="112"/>
      <c r="BB741" s="112"/>
      <c r="BC741" s="112"/>
      <c r="BD741" s="112"/>
      <c r="BE741" s="112"/>
      <c r="BF741" s="112"/>
      <c r="BG741" s="112"/>
      <c r="BH741" s="112"/>
      <c r="BI741" s="112"/>
      <c r="BJ741" s="112"/>
      <c r="BK741" s="112"/>
      <c r="BL741" s="112"/>
      <c r="BM741" s="112"/>
      <c r="BN741" s="112"/>
      <c r="BO741" s="112"/>
      <c r="BP741" s="112"/>
      <c r="BQ741" s="112"/>
      <c r="BR741" s="112"/>
      <c r="BS741" s="112"/>
      <c r="BT741" s="112"/>
      <c r="BU741" s="112"/>
      <c r="BV741" s="112"/>
      <c r="BW741" s="112"/>
      <c r="BX741" s="112"/>
      <c r="BY741" s="112"/>
      <c r="BZ741" s="112"/>
    </row>
    <row r="742" spans="30:78" x14ac:dyDescent="0.2">
      <c r="AD742" s="112"/>
      <c r="AE742" s="112"/>
      <c r="AF742" s="112"/>
      <c r="AG742" s="112"/>
      <c r="AH742" s="112"/>
      <c r="AI742" s="112"/>
      <c r="AJ742" s="112"/>
      <c r="AK742" s="112"/>
      <c r="AL742" s="112"/>
      <c r="AM742" s="112"/>
      <c r="AN742" s="112"/>
      <c r="AO742" s="112"/>
      <c r="AP742" s="112"/>
      <c r="AQ742" s="112"/>
      <c r="AR742" s="112"/>
      <c r="AS742" s="112"/>
      <c r="AT742" s="112"/>
      <c r="AU742" s="112"/>
      <c r="AV742" s="112"/>
      <c r="AW742" s="112"/>
      <c r="AX742" s="112"/>
      <c r="AY742" s="112"/>
      <c r="AZ742" s="112"/>
      <c r="BA742" s="112"/>
      <c r="BB742" s="112"/>
      <c r="BC742" s="112"/>
      <c r="BD742" s="112"/>
      <c r="BE742" s="112"/>
      <c r="BF742" s="112"/>
      <c r="BG742" s="112"/>
      <c r="BH742" s="112"/>
      <c r="BI742" s="112"/>
      <c r="BJ742" s="112"/>
      <c r="BK742" s="112"/>
      <c r="BL742" s="112"/>
      <c r="BM742" s="112"/>
      <c r="BN742" s="112"/>
      <c r="BO742" s="112"/>
      <c r="BP742" s="112"/>
      <c r="BQ742" s="112"/>
      <c r="BR742" s="112"/>
      <c r="BS742" s="112"/>
      <c r="BT742" s="112"/>
      <c r="BU742" s="112"/>
      <c r="BV742" s="112"/>
      <c r="BW742" s="112"/>
      <c r="BX742" s="112"/>
      <c r="BY742" s="112"/>
      <c r="BZ742" s="112"/>
    </row>
    <row r="743" spans="30:78" x14ac:dyDescent="0.2">
      <c r="AD743" s="112"/>
      <c r="AE743" s="112"/>
      <c r="AF743" s="112"/>
      <c r="AG743" s="112"/>
      <c r="AH743" s="112"/>
      <c r="AI743" s="112"/>
      <c r="AJ743" s="112"/>
      <c r="AK743" s="112"/>
      <c r="AL743" s="112"/>
      <c r="AM743" s="112"/>
      <c r="AN743" s="112"/>
      <c r="AO743" s="112"/>
      <c r="AP743" s="112"/>
      <c r="AQ743" s="112"/>
      <c r="AR743" s="112"/>
      <c r="AS743" s="112"/>
      <c r="AT743" s="112"/>
      <c r="AU743" s="112"/>
      <c r="AV743" s="112"/>
      <c r="AW743" s="112"/>
      <c r="AX743" s="112"/>
      <c r="AY743" s="112"/>
      <c r="AZ743" s="112"/>
      <c r="BA743" s="112"/>
      <c r="BB743" s="112"/>
      <c r="BC743" s="112"/>
      <c r="BD743" s="112"/>
      <c r="BE743" s="112"/>
      <c r="BF743" s="112"/>
      <c r="BG743" s="112"/>
      <c r="BH743" s="112"/>
      <c r="BI743" s="112"/>
      <c r="BJ743" s="112"/>
      <c r="BK743" s="112"/>
      <c r="BL743" s="112"/>
      <c r="BM743" s="112"/>
      <c r="BN743" s="112"/>
      <c r="BO743" s="112"/>
      <c r="BP743" s="112"/>
      <c r="BQ743" s="112"/>
      <c r="BR743" s="112"/>
      <c r="BS743" s="112"/>
      <c r="BT743" s="112"/>
      <c r="BU743" s="112"/>
      <c r="BV743" s="112"/>
      <c r="BW743" s="112"/>
      <c r="BX743" s="112"/>
      <c r="BY743" s="112"/>
      <c r="BZ743" s="112"/>
    </row>
    <row r="744" spans="30:78" x14ac:dyDescent="0.2">
      <c r="AD744" s="112"/>
      <c r="AE744" s="112"/>
      <c r="AF744" s="112"/>
      <c r="AG744" s="112"/>
      <c r="AH744" s="112"/>
      <c r="AI744" s="112"/>
      <c r="AJ744" s="112"/>
      <c r="AK744" s="112"/>
      <c r="AL744" s="112"/>
      <c r="AM744" s="112"/>
      <c r="AN744" s="112"/>
      <c r="AO744" s="112"/>
      <c r="AP744" s="112"/>
      <c r="AQ744" s="112"/>
      <c r="AR744" s="112"/>
      <c r="AS744" s="112"/>
      <c r="AT744" s="112"/>
      <c r="AU744" s="112"/>
      <c r="AV744" s="112"/>
      <c r="AW744" s="112"/>
      <c r="AX744" s="112"/>
      <c r="AY744" s="112"/>
      <c r="AZ744" s="112"/>
      <c r="BA744" s="112"/>
      <c r="BB744" s="112"/>
      <c r="BC744" s="112"/>
      <c r="BD744" s="112"/>
      <c r="BE744" s="112"/>
      <c r="BF744" s="112"/>
      <c r="BG744" s="112"/>
      <c r="BH744" s="112"/>
      <c r="BI744" s="112"/>
      <c r="BJ744" s="112"/>
      <c r="BK744" s="112"/>
      <c r="BL744" s="112"/>
      <c r="BM744" s="112"/>
      <c r="BN744" s="112"/>
      <c r="BO744" s="112"/>
      <c r="BP744" s="112"/>
      <c r="BQ744" s="112"/>
      <c r="BR744" s="112"/>
      <c r="BS744" s="112"/>
      <c r="BT744" s="112"/>
      <c r="BU744" s="112"/>
      <c r="BV744" s="112"/>
      <c r="BW744" s="112"/>
      <c r="BX744" s="112"/>
      <c r="BY744" s="112"/>
      <c r="BZ744" s="112"/>
    </row>
    <row r="745" spans="30:78" x14ac:dyDescent="0.2">
      <c r="AD745" s="112"/>
      <c r="AE745" s="112"/>
      <c r="AF745" s="112"/>
      <c r="AG745" s="112"/>
      <c r="AH745" s="112"/>
      <c r="AI745" s="112"/>
      <c r="AJ745" s="112"/>
      <c r="AK745" s="112"/>
      <c r="AL745" s="112"/>
      <c r="AM745" s="112"/>
      <c r="AN745" s="112"/>
      <c r="AO745" s="112"/>
      <c r="AP745" s="112"/>
      <c r="AQ745" s="112"/>
      <c r="AR745" s="112"/>
      <c r="AS745" s="112"/>
      <c r="AT745" s="112"/>
      <c r="AU745" s="112"/>
      <c r="AV745" s="112"/>
      <c r="AW745" s="112"/>
      <c r="AX745" s="112"/>
      <c r="AY745" s="112"/>
      <c r="AZ745" s="112"/>
      <c r="BA745" s="112"/>
      <c r="BB745" s="112"/>
      <c r="BC745" s="112"/>
      <c r="BD745" s="112"/>
      <c r="BE745" s="112"/>
      <c r="BF745" s="112"/>
      <c r="BG745" s="112"/>
      <c r="BH745" s="112"/>
      <c r="BI745" s="112"/>
      <c r="BJ745" s="112"/>
      <c r="BK745" s="112"/>
      <c r="BL745" s="112"/>
      <c r="BM745" s="112"/>
      <c r="BN745" s="112"/>
      <c r="BO745" s="112"/>
      <c r="BP745" s="112"/>
      <c r="BQ745" s="112"/>
      <c r="BR745" s="112"/>
      <c r="BS745" s="112"/>
      <c r="BT745" s="112"/>
      <c r="BU745" s="112"/>
      <c r="BV745" s="112"/>
      <c r="BW745" s="112"/>
      <c r="BX745" s="112"/>
      <c r="BY745" s="112"/>
      <c r="BZ745" s="112"/>
    </row>
    <row r="746" spans="30:78" x14ac:dyDescent="0.2">
      <c r="AD746" s="112"/>
      <c r="AE746" s="112"/>
      <c r="AF746" s="112"/>
      <c r="AG746" s="112"/>
      <c r="AH746" s="112"/>
      <c r="AI746" s="112"/>
      <c r="AJ746" s="112"/>
      <c r="AK746" s="112"/>
      <c r="AL746" s="112"/>
      <c r="AM746" s="112"/>
      <c r="AN746" s="112"/>
      <c r="AO746" s="112"/>
      <c r="AP746" s="112"/>
      <c r="AQ746" s="112"/>
      <c r="AR746" s="112"/>
      <c r="AS746" s="112"/>
      <c r="AT746" s="112"/>
      <c r="AU746" s="112"/>
      <c r="AV746" s="112"/>
      <c r="AW746" s="112"/>
      <c r="AX746" s="112"/>
      <c r="AY746" s="112"/>
      <c r="AZ746" s="112"/>
      <c r="BA746" s="112"/>
      <c r="BB746" s="112"/>
      <c r="BC746" s="112"/>
      <c r="BD746" s="112"/>
      <c r="BE746" s="112"/>
      <c r="BF746" s="112"/>
      <c r="BG746" s="112"/>
      <c r="BH746" s="112"/>
      <c r="BI746" s="112"/>
      <c r="BJ746" s="112"/>
      <c r="BK746" s="112"/>
      <c r="BL746" s="112"/>
      <c r="BM746" s="112"/>
      <c r="BN746" s="112"/>
      <c r="BO746" s="112"/>
      <c r="BP746" s="112"/>
      <c r="BQ746" s="112"/>
      <c r="BR746" s="112"/>
      <c r="BS746" s="112"/>
      <c r="BT746" s="112"/>
      <c r="BU746" s="112"/>
      <c r="BV746" s="112"/>
      <c r="BW746" s="112"/>
      <c r="BX746" s="112"/>
      <c r="BY746" s="112"/>
      <c r="BZ746" s="112"/>
    </row>
    <row r="747" spans="30:78" x14ac:dyDescent="0.2">
      <c r="AD747" s="112"/>
      <c r="AE747" s="112"/>
      <c r="AF747" s="112"/>
      <c r="AG747" s="112"/>
      <c r="AH747" s="112"/>
      <c r="AI747" s="112"/>
      <c r="AJ747" s="112"/>
      <c r="AK747" s="112"/>
      <c r="AL747" s="112"/>
      <c r="AM747" s="112"/>
      <c r="AN747" s="112"/>
      <c r="AO747" s="112"/>
      <c r="AP747" s="112"/>
      <c r="AQ747" s="112"/>
      <c r="AR747" s="112"/>
      <c r="AS747" s="112"/>
      <c r="AT747" s="112"/>
      <c r="AU747" s="112"/>
      <c r="AV747" s="112"/>
      <c r="AW747" s="112"/>
      <c r="AX747" s="112"/>
      <c r="AY747" s="112"/>
      <c r="AZ747" s="112"/>
      <c r="BA747" s="112"/>
      <c r="BB747" s="112"/>
      <c r="BC747" s="112"/>
      <c r="BD747" s="112"/>
      <c r="BE747" s="112"/>
      <c r="BF747" s="112"/>
      <c r="BG747" s="112"/>
      <c r="BH747" s="112"/>
      <c r="BI747" s="112"/>
      <c r="BJ747" s="112"/>
      <c r="BK747" s="112"/>
      <c r="BL747" s="112"/>
      <c r="BM747" s="112"/>
      <c r="BN747" s="112"/>
      <c r="BO747" s="112"/>
      <c r="BP747" s="112"/>
      <c r="BQ747" s="112"/>
      <c r="BR747" s="112"/>
      <c r="BS747" s="112"/>
      <c r="BT747" s="112"/>
      <c r="BU747" s="112"/>
      <c r="BV747" s="112"/>
      <c r="BW747" s="112"/>
      <c r="BX747" s="112"/>
      <c r="BY747" s="112"/>
      <c r="BZ747" s="112"/>
    </row>
    <row r="748" spans="30:78" x14ac:dyDescent="0.2">
      <c r="AD748" s="112"/>
      <c r="AE748" s="112"/>
      <c r="AF748" s="112"/>
      <c r="AG748" s="112"/>
      <c r="AH748" s="112"/>
      <c r="AI748" s="112"/>
      <c r="AJ748" s="112"/>
      <c r="AK748" s="112"/>
      <c r="AL748" s="112"/>
      <c r="AM748" s="112"/>
      <c r="AN748" s="112"/>
      <c r="AO748" s="112"/>
      <c r="AP748" s="112"/>
      <c r="AQ748" s="112"/>
      <c r="AR748" s="112"/>
      <c r="AS748" s="112"/>
      <c r="AT748" s="112"/>
      <c r="AU748" s="112"/>
      <c r="AV748" s="112"/>
      <c r="AW748" s="112"/>
      <c r="AX748" s="112"/>
      <c r="AY748" s="112"/>
      <c r="AZ748" s="112"/>
      <c r="BA748" s="112"/>
      <c r="BB748" s="112"/>
      <c r="BC748" s="112"/>
      <c r="BD748" s="112"/>
      <c r="BE748" s="112"/>
      <c r="BF748" s="112"/>
      <c r="BG748" s="112"/>
      <c r="BH748" s="112"/>
      <c r="BI748" s="112"/>
      <c r="BJ748" s="112"/>
      <c r="BK748" s="112"/>
      <c r="BL748" s="112"/>
      <c r="BM748" s="112"/>
      <c r="BN748" s="112"/>
      <c r="BO748" s="112"/>
      <c r="BP748" s="112"/>
      <c r="BQ748" s="112"/>
      <c r="BR748" s="112"/>
      <c r="BS748" s="112"/>
      <c r="BT748" s="112"/>
      <c r="BU748" s="112"/>
      <c r="BV748" s="112"/>
      <c r="BW748" s="112"/>
      <c r="BX748" s="112"/>
      <c r="BY748" s="112"/>
      <c r="BZ748" s="112"/>
    </row>
    <row r="749" spans="30:78" x14ac:dyDescent="0.2">
      <c r="AD749" s="112"/>
      <c r="AE749" s="112"/>
      <c r="AF749" s="112"/>
      <c r="AG749" s="112"/>
      <c r="AH749" s="112"/>
      <c r="AI749" s="112"/>
      <c r="AJ749" s="112"/>
      <c r="AK749" s="112"/>
      <c r="AL749" s="112"/>
      <c r="AM749" s="112"/>
      <c r="AN749" s="112"/>
      <c r="AO749" s="112"/>
      <c r="AP749" s="112"/>
      <c r="AQ749" s="112"/>
      <c r="AR749" s="112"/>
      <c r="AS749" s="112"/>
      <c r="AT749" s="112"/>
      <c r="AU749" s="112"/>
      <c r="AV749" s="112"/>
      <c r="AW749" s="112"/>
      <c r="AX749" s="112"/>
      <c r="AY749" s="112"/>
      <c r="AZ749" s="112"/>
      <c r="BA749" s="112"/>
      <c r="BB749" s="112"/>
      <c r="BC749" s="112"/>
      <c r="BD749" s="112"/>
      <c r="BE749" s="112"/>
      <c r="BF749" s="112"/>
      <c r="BG749" s="112"/>
      <c r="BH749" s="112"/>
      <c r="BI749" s="112"/>
      <c r="BJ749" s="112"/>
      <c r="BK749" s="112"/>
      <c r="BL749" s="112"/>
      <c r="BM749" s="112"/>
      <c r="BN749" s="112"/>
      <c r="BO749" s="112"/>
      <c r="BP749" s="112"/>
      <c r="BQ749" s="112"/>
      <c r="BR749" s="112"/>
      <c r="BS749" s="112"/>
      <c r="BT749" s="112"/>
      <c r="BU749" s="112"/>
      <c r="BV749" s="112"/>
      <c r="BW749" s="112"/>
      <c r="BX749" s="112"/>
      <c r="BY749" s="112"/>
      <c r="BZ749" s="112"/>
    </row>
    <row r="750" spans="30:78" x14ac:dyDescent="0.2">
      <c r="AD750" s="112"/>
      <c r="AE750" s="112"/>
      <c r="AF750" s="112"/>
      <c r="AG750" s="112"/>
      <c r="AH750" s="112"/>
      <c r="AI750" s="112"/>
      <c r="AJ750" s="112"/>
      <c r="AK750" s="112"/>
      <c r="AL750" s="112"/>
      <c r="AM750" s="112"/>
      <c r="AN750" s="112"/>
      <c r="AO750" s="112"/>
      <c r="AP750" s="112"/>
      <c r="AQ750" s="112"/>
      <c r="AR750" s="112"/>
      <c r="AS750" s="112"/>
      <c r="AT750" s="112"/>
      <c r="AU750" s="112"/>
      <c r="AV750" s="112"/>
      <c r="AW750" s="112"/>
      <c r="AX750" s="112"/>
      <c r="AY750" s="112"/>
      <c r="AZ750" s="112"/>
      <c r="BA750" s="112"/>
      <c r="BB750" s="112"/>
      <c r="BC750" s="112"/>
      <c r="BD750" s="112"/>
      <c r="BE750" s="112"/>
      <c r="BF750" s="112"/>
      <c r="BG750" s="112"/>
      <c r="BH750" s="112"/>
      <c r="BI750" s="112"/>
      <c r="BJ750" s="112"/>
      <c r="BK750" s="112"/>
      <c r="BL750" s="112"/>
      <c r="BM750" s="112"/>
      <c r="BN750" s="112"/>
      <c r="BO750" s="112"/>
      <c r="BP750" s="112"/>
      <c r="BQ750" s="112"/>
      <c r="BR750" s="112"/>
      <c r="BS750" s="112"/>
      <c r="BT750" s="112"/>
      <c r="BU750" s="112"/>
      <c r="BV750" s="112"/>
      <c r="BW750" s="112"/>
      <c r="BX750" s="112"/>
      <c r="BY750" s="112"/>
      <c r="BZ750" s="112"/>
    </row>
    <row r="751" spans="30:78" x14ac:dyDescent="0.2">
      <c r="AD751" s="112"/>
      <c r="AE751" s="112"/>
      <c r="AF751" s="112"/>
      <c r="AG751" s="112"/>
      <c r="AH751" s="112"/>
      <c r="AI751" s="112"/>
      <c r="AJ751" s="112"/>
      <c r="AK751" s="112"/>
      <c r="AL751" s="112"/>
      <c r="AM751" s="112"/>
      <c r="AN751" s="112"/>
      <c r="AO751" s="112"/>
      <c r="AP751" s="112"/>
      <c r="AQ751" s="112"/>
      <c r="AR751" s="112"/>
      <c r="AS751" s="112"/>
      <c r="AT751" s="112"/>
      <c r="AU751" s="112"/>
      <c r="AV751" s="112"/>
      <c r="AW751" s="112"/>
      <c r="AX751" s="112"/>
      <c r="AY751" s="112"/>
      <c r="AZ751" s="112"/>
      <c r="BA751" s="112"/>
      <c r="BB751" s="112"/>
      <c r="BC751" s="112"/>
      <c r="BD751" s="112"/>
      <c r="BE751" s="112"/>
      <c r="BF751" s="112"/>
      <c r="BG751" s="112"/>
      <c r="BH751" s="112"/>
      <c r="BI751" s="112"/>
      <c r="BJ751" s="112"/>
      <c r="BK751" s="112"/>
      <c r="BL751" s="112"/>
      <c r="BM751" s="112"/>
      <c r="BN751" s="112"/>
      <c r="BO751" s="112"/>
      <c r="BP751" s="112"/>
      <c r="BQ751" s="112"/>
      <c r="BR751" s="112"/>
      <c r="BS751" s="112"/>
      <c r="BT751" s="112"/>
      <c r="BU751" s="112"/>
      <c r="BV751" s="112"/>
      <c r="BW751" s="112"/>
      <c r="BX751" s="112"/>
      <c r="BY751" s="112"/>
      <c r="BZ751" s="112"/>
    </row>
    <row r="752" spans="30:78" x14ac:dyDescent="0.2">
      <c r="AD752" s="112"/>
      <c r="AE752" s="112"/>
      <c r="AF752" s="112"/>
      <c r="AG752" s="112"/>
      <c r="AH752" s="112"/>
      <c r="AI752" s="112"/>
      <c r="AJ752" s="112"/>
      <c r="AK752" s="112"/>
      <c r="AL752" s="112"/>
      <c r="AM752" s="112"/>
      <c r="AN752" s="112"/>
      <c r="AO752" s="112"/>
      <c r="AP752" s="112"/>
      <c r="AQ752" s="112"/>
      <c r="AR752" s="112"/>
      <c r="AS752" s="112"/>
      <c r="AT752" s="112"/>
      <c r="AU752" s="112"/>
      <c r="AV752" s="112"/>
      <c r="AW752" s="112"/>
      <c r="AX752" s="112"/>
      <c r="AY752" s="112"/>
      <c r="AZ752" s="112"/>
      <c r="BA752" s="112"/>
      <c r="BB752" s="112"/>
      <c r="BC752" s="112"/>
      <c r="BD752" s="112"/>
      <c r="BE752" s="112"/>
      <c r="BF752" s="112"/>
      <c r="BG752" s="112"/>
      <c r="BH752" s="112"/>
      <c r="BI752" s="112"/>
      <c r="BJ752" s="112"/>
      <c r="BK752" s="112"/>
      <c r="BL752" s="112"/>
      <c r="BM752" s="112"/>
      <c r="BN752" s="112"/>
      <c r="BO752" s="112"/>
      <c r="BP752" s="112"/>
      <c r="BQ752" s="112"/>
      <c r="BR752" s="112"/>
      <c r="BS752" s="112"/>
      <c r="BT752" s="112"/>
      <c r="BU752" s="112"/>
      <c r="BV752" s="112"/>
      <c r="BW752" s="112"/>
      <c r="BX752" s="112"/>
      <c r="BY752" s="112"/>
      <c r="BZ752" s="112"/>
    </row>
    <row r="753" spans="30:78" x14ac:dyDescent="0.2">
      <c r="AD753" s="112"/>
      <c r="AE753" s="112"/>
      <c r="AF753" s="112"/>
      <c r="AG753" s="112"/>
      <c r="AH753" s="112"/>
      <c r="AI753" s="112"/>
      <c r="AJ753" s="112"/>
      <c r="AK753" s="112"/>
      <c r="AL753" s="112"/>
      <c r="AM753" s="112"/>
      <c r="AN753" s="112"/>
      <c r="AO753" s="112"/>
      <c r="AP753" s="112"/>
      <c r="AQ753" s="112"/>
      <c r="AR753" s="112"/>
      <c r="AS753" s="112"/>
      <c r="AT753" s="112"/>
      <c r="AU753" s="112"/>
      <c r="AV753" s="112"/>
      <c r="AW753" s="112"/>
      <c r="AX753" s="112"/>
      <c r="AY753" s="112"/>
      <c r="AZ753" s="112"/>
      <c r="BA753" s="112"/>
      <c r="BB753" s="112"/>
      <c r="BC753" s="112"/>
      <c r="BD753" s="112"/>
      <c r="BE753" s="112"/>
      <c r="BF753" s="112"/>
      <c r="BG753" s="112"/>
      <c r="BH753" s="112"/>
      <c r="BI753" s="112"/>
      <c r="BJ753" s="112"/>
      <c r="BK753" s="112"/>
      <c r="BL753" s="112"/>
      <c r="BM753" s="112"/>
      <c r="BN753" s="112"/>
      <c r="BO753" s="112"/>
      <c r="BP753" s="112"/>
      <c r="BQ753" s="112"/>
      <c r="BR753" s="112"/>
      <c r="BS753" s="112"/>
      <c r="BT753" s="112"/>
      <c r="BU753" s="112"/>
      <c r="BV753" s="112"/>
      <c r="BW753" s="112"/>
      <c r="BX753" s="112"/>
      <c r="BY753" s="112"/>
      <c r="BZ753" s="112"/>
    </row>
    <row r="754" spans="30:78" x14ac:dyDescent="0.2">
      <c r="AD754" s="112"/>
      <c r="AE754" s="112"/>
      <c r="AF754" s="112"/>
      <c r="AG754" s="112"/>
      <c r="AH754" s="112"/>
      <c r="AI754" s="112"/>
      <c r="AJ754" s="112"/>
      <c r="AK754" s="112"/>
      <c r="AL754" s="112"/>
      <c r="AM754" s="112"/>
      <c r="AN754" s="112"/>
      <c r="AO754" s="112"/>
      <c r="AP754" s="112"/>
      <c r="AQ754" s="112"/>
      <c r="AR754" s="112"/>
      <c r="AS754" s="112"/>
      <c r="AT754" s="112"/>
      <c r="AU754" s="112"/>
      <c r="AV754" s="112"/>
      <c r="AW754" s="112"/>
      <c r="AX754" s="112"/>
      <c r="AY754" s="112"/>
      <c r="AZ754" s="112"/>
      <c r="BA754" s="112"/>
      <c r="BB754" s="112"/>
      <c r="BC754" s="112"/>
      <c r="BD754" s="112"/>
      <c r="BE754" s="112"/>
      <c r="BF754" s="112"/>
      <c r="BG754" s="112"/>
      <c r="BH754" s="112"/>
      <c r="BI754" s="112"/>
      <c r="BJ754" s="112"/>
      <c r="BK754" s="112"/>
      <c r="BL754" s="112"/>
      <c r="BM754" s="112"/>
      <c r="BN754" s="112"/>
      <c r="BO754" s="112"/>
      <c r="BP754" s="112"/>
      <c r="BQ754" s="112"/>
      <c r="BR754" s="112"/>
      <c r="BS754" s="112"/>
      <c r="BT754" s="112"/>
      <c r="BU754" s="112"/>
      <c r="BV754" s="112"/>
      <c r="BW754" s="112"/>
      <c r="BX754" s="112"/>
      <c r="BY754" s="112"/>
      <c r="BZ754" s="112"/>
    </row>
    <row r="755" spans="30:78" x14ac:dyDescent="0.2">
      <c r="AD755" s="112"/>
      <c r="AE755" s="112"/>
      <c r="AF755" s="112"/>
      <c r="AG755" s="112"/>
      <c r="AH755" s="112"/>
      <c r="AI755" s="112"/>
      <c r="AJ755" s="112"/>
      <c r="AK755" s="112"/>
      <c r="AL755" s="112"/>
      <c r="AM755" s="112"/>
      <c r="AN755" s="112"/>
      <c r="AO755" s="112"/>
      <c r="AP755" s="112"/>
      <c r="AQ755" s="112"/>
      <c r="AR755" s="112"/>
      <c r="AS755" s="112"/>
      <c r="AT755" s="112"/>
      <c r="AU755" s="112"/>
      <c r="AV755" s="112"/>
      <c r="AW755" s="112"/>
      <c r="AX755" s="112"/>
      <c r="AY755" s="112"/>
      <c r="AZ755" s="112"/>
      <c r="BA755" s="112"/>
      <c r="BB755" s="112"/>
      <c r="BC755" s="112"/>
      <c r="BD755" s="112"/>
      <c r="BE755" s="112"/>
      <c r="BF755" s="112"/>
      <c r="BG755" s="112"/>
      <c r="BH755" s="112"/>
      <c r="BI755" s="112"/>
      <c r="BJ755" s="112"/>
      <c r="BK755" s="112"/>
      <c r="BL755" s="112"/>
      <c r="BM755" s="112"/>
      <c r="BN755" s="112"/>
      <c r="BO755" s="112"/>
      <c r="BP755" s="112"/>
      <c r="BQ755" s="112"/>
      <c r="BR755" s="112"/>
      <c r="BS755" s="112"/>
      <c r="BT755" s="112"/>
      <c r="BU755" s="112"/>
      <c r="BV755" s="112"/>
      <c r="BW755" s="112"/>
      <c r="BX755" s="112"/>
      <c r="BY755" s="112"/>
      <c r="BZ755" s="112"/>
    </row>
    <row r="756" spans="30:78" x14ac:dyDescent="0.2">
      <c r="AD756" s="112"/>
      <c r="AE756" s="112"/>
      <c r="AF756" s="112"/>
      <c r="AG756" s="112"/>
      <c r="AH756" s="112"/>
      <c r="AI756" s="112"/>
      <c r="AJ756" s="112"/>
      <c r="AK756" s="112"/>
      <c r="AL756" s="112"/>
      <c r="AM756" s="112"/>
      <c r="AN756" s="112"/>
      <c r="AO756" s="112"/>
      <c r="AP756" s="112"/>
      <c r="AQ756" s="112"/>
      <c r="AR756" s="112"/>
      <c r="AS756" s="112"/>
      <c r="AT756" s="112"/>
      <c r="AU756" s="112"/>
      <c r="AV756" s="112"/>
      <c r="AW756" s="112"/>
      <c r="AX756" s="112"/>
      <c r="AY756" s="112"/>
      <c r="AZ756" s="112"/>
      <c r="BA756" s="112"/>
      <c r="BB756" s="112"/>
      <c r="BC756" s="112"/>
      <c r="BD756" s="112"/>
      <c r="BE756" s="112"/>
      <c r="BF756" s="112"/>
      <c r="BG756" s="112"/>
      <c r="BH756" s="112"/>
      <c r="BI756" s="112"/>
      <c r="BJ756" s="112"/>
      <c r="BK756" s="112"/>
      <c r="BL756" s="112"/>
      <c r="BM756" s="112"/>
      <c r="BN756" s="112"/>
      <c r="BO756" s="112"/>
      <c r="BP756" s="112"/>
      <c r="BQ756" s="112"/>
      <c r="BR756" s="112"/>
      <c r="BS756" s="112"/>
      <c r="BT756" s="112"/>
      <c r="BU756" s="112"/>
      <c r="BV756" s="112"/>
      <c r="BW756" s="112"/>
      <c r="BX756" s="112"/>
      <c r="BY756" s="112"/>
      <c r="BZ756" s="112"/>
    </row>
    <row r="757" spans="30:78" x14ac:dyDescent="0.2">
      <c r="AD757" s="112"/>
      <c r="AE757" s="112"/>
      <c r="AF757" s="112"/>
      <c r="AG757" s="112"/>
      <c r="AH757" s="112"/>
      <c r="AI757" s="112"/>
      <c r="AJ757" s="112"/>
      <c r="AK757" s="112"/>
      <c r="AL757" s="112"/>
      <c r="AM757" s="112"/>
      <c r="AN757" s="112"/>
      <c r="AO757" s="112"/>
      <c r="AP757" s="112"/>
      <c r="AQ757" s="112"/>
      <c r="AR757" s="112"/>
      <c r="AS757" s="112"/>
      <c r="AT757" s="112"/>
      <c r="AU757" s="112"/>
      <c r="AV757" s="112"/>
      <c r="AW757" s="112"/>
      <c r="AX757" s="112"/>
      <c r="AY757" s="112"/>
      <c r="AZ757" s="112"/>
      <c r="BA757" s="112"/>
      <c r="BB757" s="112"/>
      <c r="BC757" s="112"/>
      <c r="BD757" s="112"/>
      <c r="BE757" s="112"/>
      <c r="BF757" s="112"/>
      <c r="BG757" s="112"/>
      <c r="BH757" s="112"/>
      <c r="BI757" s="112"/>
      <c r="BJ757" s="112"/>
      <c r="BK757" s="112"/>
      <c r="BL757" s="112"/>
      <c r="BM757" s="112"/>
      <c r="BN757" s="112"/>
      <c r="BO757" s="112"/>
      <c r="BP757" s="112"/>
      <c r="BQ757" s="112"/>
      <c r="BR757" s="112"/>
      <c r="BS757" s="112"/>
      <c r="BT757" s="112"/>
      <c r="BU757" s="112"/>
      <c r="BV757" s="112"/>
      <c r="BW757" s="112"/>
      <c r="BX757" s="112"/>
      <c r="BY757" s="112"/>
      <c r="BZ757" s="112"/>
    </row>
    <row r="758" spans="30:78" x14ac:dyDescent="0.2">
      <c r="AD758" s="112"/>
      <c r="AE758" s="112"/>
      <c r="AF758" s="112"/>
      <c r="AG758" s="112"/>
      <c r="AH758" s="112"/>
      <c r="AI758" s="112"/>
      <c r="AJ758" s="112"/>
      <c r="AK758" s="112"/>
      <c r="AL758" s="112"/>
      <c r="AM758" s="112"/>
      <c r="AN758" s="112"/>
      <c r="AO758" s="112"/>
      <c r="AP758" s="112"/>
      <c r="AQ758" s="112"/>
      <c r="AR758" s="112"/>
      <c r="AS758" s="112"/>
      <c r="AT758" s="112"/>
      <c r="AU758" s="112"/>
      <c r="AV758" s="112"/>
      <c r="AW758" s="112"/>
      <c r="AX758" s="112"/>
      <c r="AY758" s="112"/>
      <c r="AZ758" s="112"/>
      <c r="BA758" s="112"/>
      <c r="BB758" s="112"/>
      <c r="BC758" s="112"/>
      <c r="BD758" s="112"/>
      <c r="BE758" s="112"/>
      <c r="BF758" s="112"/>
      <c r="BG758" s="112"/>
      <c r="BH758" s="112"/>
      <c r="BI758" s="112"/>
      <c r="BJ758" s="112"/>
      <c r="BK758" s="112"/>
      <c r="BL758" s="112"/>
      <c r="BM758" s="112"/>
      <c r="BN758" s="112"/>
      <c r="BO758" s="112"/>
      <c r="BP758" s="112"/>
      <c r="BQ758" s="112"/>
      <c r="BR758" s="112"/>
      <c r="BS758" s="112"/>
      <c r="BT758" s="112"/>
      <c r="BU758" s="112"/>
      <c r="BV758" s="112"/>
      <c r="BW758" s="112"/>
      <c r="BX758" s="112"/>
      <c r="BY758" s="112"/>
      <c r="BZ758" s="112"/>
    </row>
    <row r="759" spans="30:78" x14ac:dyDescent="0.2">
      <c r="AD759" s="112"/>
      <c r="AE759" s="112"/>
      <c r="AF759" s="112"/>
      <c r="AG759" s="112"/>
      <c r="AH759" s="112"/>
      <c r="AI759" s="112"/>
      <c r="AJ759" s="112"/>
      <c r="AK759" s="112"/>
      <c r="AL759" s="112"/>
      <c r="AM759" s="112"/>
      <c r="AN759" s="112"/>
      <c r="AO759" s="112"/>
      <c r="AP759" s="112"/>
      <c r="AQ759" s="112"/>
      <c r="AR759" s="112"/>
      <c r="AS759" s="112"/>
      <c r="AT759" s="112"/>
      <c r="AU759" s="112"/>
      <c r="AV759" s="112"/>
      <c r="AW759" s="112"/>
      <c r="AX759" s="112"/>
      <c r="AY759" s="112"/>
      <c r="AZ759" s="112"/>
      <c r="BA759" s="112"/>
      <c r="BB759" s="112"/>
      <c r="BC759" s="112"/>
      <c r="BD759" s="112"/>
      <c r="BE759" s="112"/>
      <c r="BF759" s="112"/>
      <c r="BG759" s="112"/>
      <c r="BH759" s="112"/>
      <c r="BI759" s="112"/>
      <c r="BJ759" s="112"/>
      <c r="BK759" s="112"/>
      <c r="BL759" s="112"/>
      <c r="BM759" s="112"/>
      <c r="BN759" s="112"/>
      <c r="BO759" s="112"/>
      <c r="BP759" s="112"/>
      <c r="BQ759" s="112"/>
      <c r="BR759" s="112"/>
      <c r="BS759" s="112"/>
      <c r="BT759" s="112"/>
      <c r="BU759" s="112"/>
      <c r="BV759" s="112"/>
      <c r="BW759" s="112"/>
      <c r="BX759" s="112"/>
      <c r="BY759" s="112"/>
      <c r="BZ759" s="112"/>
    </row>
    <row r="760" spans="30:78" x14ac:dyDescent="0.2">
      <c r="AD760" s="112"/>
      <c r="AE760" s="112"/>
      <c r="AF760" s="112"/>
      <c r="AG760" s="112"/>
      <c r="AH760" s="112"/>
      <c r="AI760" s="112"/>
      <c r="AJ760" s="112"/>
      <c r="AK760" s="112"/>
      <c r="AL760" s="112"/>
      <c r="AM760" s="112"/>
      <c r="AN760" s="112"/>
      <c r="AO760" s="112"/>
      <c r="AP760" s="112"/>
      <c r="AQ760" s="112"/>
      <c r="AR760" s="112"/>
      <c r="AS760" s="112"/>
      <c r="AT760" s="112"/>
      <c r="AU760" s="112"/>
      <c r="AV760" s="112"/>
      <c r="AW760" s="112"/>
      <c r="AX760" s="112"/>
      <c r="AY760" s="112"/>
      <c r="AZ760" s="112"/>
      <c r="BA760" s="112"/>
      <c r="BB760" s="112"/>
      <c r="BC760" s="112"/>
      <c r="BD760" s="112"/>
      <c r="BE760" s="112"/>
      <c r="BF760" s="112"/>
      <c r="BG760" s="112"/>
      <c r="BH760" s="112"/>
      <c r="BI760" s="112"/>
      <c r="BJ760" s="112"/>
      <c r="BK760" s="112"/>
      <c r="BL760" s="112"/>
      <c r="BM760" s="112"/>
      <c r="BN760" s="112"/>
      <c r="BO760" s="112"/>
      <c r="BP760" s="112"/>
      <c r="BQ760" s="112"/>
      <c r="BR760" s="112"/>
      <c r="BS760" s="112"/>
      <c r="BT760" s="112"/>
      <c r="BU760" s="112"/>
      <c r="BV760" s="112"/>
      <c r="BW760" s="112"/>
      <c r="BX760" s="112"/>
      <c r="BY760" s="112"/>
      <c r="BZ760" s="112"/>
    </row>
    <row r="761" spans="30:78" x14ac:dyDescent="0.2">
      <c r="AD761" s="112"/>
      <c r="AE761" s="112"/>
      <c r="AF761" s="112"/>
      <c r="AG761" s="112"/>
      <c r="AH761" s="112"/>
      <c r="AI761" s="112"/>
      <c r="AJ761" s="112"/>
      <c r="AK761" s="112"/>
      <c r="AL761" s="112"/>
      <c r="AM761" s="112"/>
      <c r="AN761" s="112"/>
      <c r="AO761" s="112"/>
      <c r="AP761" s="112"/>
      <c r="AQ761" s="112"/>
      <c r="AR761" s="112"/>
      <c r="AS761" s="112"/>
      <c r="AT761" s="112"/>
      <c r="AU761" s="112"/>
      <c r="AV761" s="112"/>
      <c r="AW761" s="112"/>
      <c r="AX761" s="112"/>
      <c r="AY761" s="112"/>
      <c r="AZ761" s="112"/>
      <c r="BA761" s="112"/>
      <c r="BB761" s="112"/>
      <c r="BC761" s="112"/>
      <c r="BD761" s="112"/>
      <c r="BE761" s="112"/>
      <c r="BF761" s="112"/>
      <c r="BG761" s="112"/>
      <c r="BH761" s="112"/>
      <c r="BI761" s="112"/>
      <c r="BJ761" s="112"/>
      <c r="BK761" s="112"/>
      <c r="BL761" s="112"/>
      <c r="BM761" s="112"/>
      <c r="BN761" s="112"/>
      <c r="BO761" s="112"/>
      <c r="BP761" s="112"/>
      <c r="BQ761" s="112"/>
      <c r="BR761" s="112"/>
      <c r="BS761" s="112"/>
      <c r="BT761" s="112"/>
      <c r="BU761" s="112"/>
      <c r="BV761" s="112"/>
      <c r="BW761" s="112"/>
      <c r="BX761" s="112"/>
      <c r="BY761" s="112"/>
      <c r="BZ761" s="112"/>
    </row>
    <row r="762" spans="30:78" x14ac:dyDescent="0.2">
      <c r="AD762" s="112"/>
      <c r="AE762" s="112"/>
      <c r="AF762" s="112"/>
      <c r="AG762" s="112"/>
      <c r="AH762" s="112"/>
      <c r="AI762" s="112"/>
      <c r="AJ762" s="112"/>
      <c r="AK762" s="112"/>
      <c r="AL762" s="112"/>
      <c r="AM762" s="112"/>
      <c r="AN762" s="112"/>
      <c r="AO762" s="112"/>
      <c r="AP762" s="112"/>
      <c r="AQ762" s="112"/>
      <c r="AR762" s="112"/>
      <c r="AS762" s="112"/>
      <c r="AT762" s="112"/>
      <c r="AU762" s="112"/>
      <c r="AV762" s="112"/>
      <c r="AW762" s="112"/>
      <c r="AX762" s="112"/>
      <c r="AY762" s="112"/>
      <c r="AZ762" s="112"/>
      <c r="BA762" s="112"/>
      <c r="BB762" s="112"/>
      <c r="BC762" s="112"/>
      <c r="BD762" s="112"/>
      <c r="BE762" s="112"/>
      <c r="BF762" s="112"/>
      <c r="BG762" s="112"/>
      <c r="BH762" s="112"/>
      <c r="BI762" s="112"/>
      <c r="BJ762" s="112"/>
      <c r="BK762" s="112"/>
      <c r="BL762" s="112"/>
      <c r="BM762" s="112"/>
      <c r="BN762" s="112"/>
      <c r="BO762" s="112"/>
      <c r="BP762" s="112"/>
      <c r="BQ762" s="112"/>
      <c r="BR762" s="112"/>
      <c r="BS762" s="112"/>
      <c r="BT762" s="112"/>
      <c r="BU762" s="112"/>
      <c r="BV762" s="112"/>
      <c r="BW762" s="112"/>
      <c r="BX762" s="112"/>
      <c r="BY762" s="112"/>
      <c r="BZ762" s="112"/>
    </row>
    <row r="763" spans="30:78" x14ac:dyDescent="0.2">
      <c r="AD763" s="112"/>
      <c r="AE763" s="112"/>
      <c r="AF763" s="112"/>
      <c r="AG763" s="112"/>
      <c r="AH763" s="112"/>
      <c r="AI763" s="112"/>
      <c r="AJ763" s="112"/>
      <c r="AK763" s="112"/>
      <c r="AL763" s="112"/>
      <c r="AM763" s="112"/>
      <c r="AN763" s="112"/>
      <c r="AO763" s="112"/>
      <c r="AP763" s="112"/>
      <c r="AQ763" s="112"/>
      <c r="AR763" s="112"/>
      <c r="AS763" s="112"/>
      <c r="AT763" s="112"/>
      <c r="AU763" s="112"/>
      <c r="AV763" s="112"/>
      <c r="AW763" s="112"/>
      <c r="AX763" s="112"/>
      <c r="AY763" s="112"/>
      <c r="AZ763" s="112"/>
      <c r="BA763" s="112"/>
      <c r="BB763" s="112"/>
      <c r="BC763" s="112"/>
      <c r="BD763" s="112"/>
      <c r="BE763" s="112"/>
      <c r="BF763" s="112"/>
      <c r="BG763" s="112"/>
      <c r="BH763" s="112"/>
      <c r="BI763" s="112"/>
      <c r="BJ763" s="112"/>
      <c r="BK763" s="112"/>
      <c r="BL763" s="112"/>
      <c r="BM763" s="112"/>
      <c r="BN763" s="112"/>
      <c r="BO763" s="112"/>
      <c r="BP763" s="112"/>
      <c r="BQ763" s="112"/>
      <c r="BR763" s="112"/>
      <c r="BS763" s="112"/>
      <c r="BT763" s="112"/>
      <c r="BU763" s="112"/>
      <c r="BV763" s="112"/>
      <c r="BW763" s="112"/>
      <c r="BX763" s="112"/>
      <c r="BY763" s="112"/>
      <c r="BZ763" s="112"/>
    </row>
    <row r="764" spans="30:78" x14ac:dyDescent="0.2">
      <c r="AD764" s="112"/>
      <c r="AE764" s="112"/>
      <c r="AF764" s="112"/>
      <c r="AG764" s="112"/>
      <c r="AH764" s="112"/>
      <c r="AI764" s="112"/>
      <c r="AJ764" s="112"/>
      <c r="AK764" s="112"/>
      <c r="AL764" s="112"/>
      <c r="AM764" s="112"/>
      <c r="AN764" s="112"/>
      <c r="AO764" s="112"/>
      <c r="AP764" s="112"/>
      <c r="AQ764" s="112"/>
      <c r="AR764" s="112"/>
      <c r="AS764" s="112"/>
      <c r="AT764" s="112"/>
      <c r="AU764" s="112"/>
      <c r="AV764" s="112"/>
      <c r="AW764" s="112"/>
      <c r="AX764" s="112"/>
      <c r="AY764" s="112"/>
      <c r="AZ764" s="112"/>
      <c r="BA764" s="112"/>
      <c r="BB764" s="112"/>
      <c r="BC764" s="112"/>
      <c r="BD764" s="112"/>
      <c r="BE764" s="112"/>
      <c r="BF764" s="112"/>
      <c r="BG764" s="112"/>
      <c r="BH764" s="112"/>
      <c r="BI764" s="112"/>
      <c r="BJ764" s="112"/>
      <c r="BK764" s="112"/>
      <c r="BL764" s="112"/>
      <c r="BM764" s="112"/>
      <c r="BN764" s="112"/>
      <c r="BO764" s="112"/>
      <c r="BP764" s="112"/>
      <c r="BQ764" s="112"/>
      <c r="BR764" s="112"/>
      <c r="BS764" s="112"/>
      <c r="BT764" s="112"/>
      <c r="BU764" s="112"/>
      <c r="BV764" s="112"/>
      <c r="BW764" s="112"/>
      <c r="BX764" s="112"/>
      <c r="BY764" s="112"/>
      <c r="BZ764" s="112"/>
    </row>
    <row r="765" spans="30:78" x14ac:dyDescent="0.2">
      <c r="AD765" s="112"/>
      <c r="AE765" s="112"/>
      <c r="AF765" s="112"/>
      <c r="AG765" s="112"/>
      <c r="AH765" s="112"/>
      <c r="AI765" s="112"/>
      <c r="AJ765" s="112"/>
      <c r="AK765" s="112"/>
      <c r="AL765" s="112"/>
      <c r="AM765" s="112"/>
      <c r="AN765" s="112"/>
      <c r="AO765" s="112"/>
      <c r="AP765" s="112"/>
      <c r="AQ765" s="112"/>
      <c r="AR765" s="112"/>
      <c r="AS765" s="112"/>
      <c r="AT765" s="112"/>
      <c r="AU765" s="112"/>
      <c r="AV765" s="112"/>
      <c r="AW765" s="112"/>
      <c r="AX765" s="112"/>
      <c r="AY765" s="112"/>
      <c r="AZ765" s="112"/>
      <c r="BA765" s="112"/>
      <c r="BB765" s="112"/>
      <c r="BC765" s="112"/>
      <c r="BD765" s="112"/>
      <c r="BE765" s="112"/>
      <c r="BF765" s="112"/>
      <c r="BG765" s="112"/>
      <c r="BH765" s="112"/>
      <c r="BI765" s="112"/>
      <c r="BJ765" s="112"/>
      <c r="BK765" s="112"/>
      <c r="BL765" s="112"/>
      <c r="BM765" s="112"/>
      <c r="BN765" s="112"/>
      <c r="BO765" s="112"/>
      <c r="BP765" s="112"/>
      <c r="BQ765" s="112"/>
      <c r="BR765" s="112"/>
      <c r="BS765" s="112"/>
      <c r="BT765" s="112"/>
      <c r="BU765" s="112"/>
      <c r="BV765" s="112"/>
      <c r="BW765" s="112"/>
      <c r="BX765" s="112"/>
      <c r="BY765" s="112"/>
      <c r="BZ765" s="112"/>
    </row>
    <row r="766" spans="30:78" x14ac:dyDescent="0.2">
      <c r="AD766" s="112"/>
      <c r="AE766" s="112"/>
      <c r="AF766" s="112"/>
      <c r="AG766" s="112"/>
      <c r="AH766" s="112"/>
      <c r="AI766" s="112"/>
      <c r="AJ766" s="112"/>
      <c r="AK766" s="112"/>
      <c r="AL766" s="112"/>
      <c r="AM766" s="112"/>
      <c r="AN766" s="112"/>
      <c r="AO766" s="112"/>
      <c r="AP766" s="112"/>
      <c r="AQ766" s="112"/>
      <c r="AR766" s="112"/>
      <c r="AS766" s="112"/>
      <c r="AT766" s="112"/>
      <c r="AU766" s="112"/>
      <c r="AV766" s="112"/>
      <c r="AW766" s="112"/>
      <c r="AX766" s="112"/>
      <c r="AY766" s="112"/>
      <c r="AZ766" s="112"/>
      <c r="BA766" s="112"/>
      <c r="BB766" s="112"/>
      <c r="BC766" s="112"/>
      <c r="BD766" s="112"/>
      <c r="BE766" s="112"/>
      <c r="BF766" s="112"/>
      <c r="BG766" s="112"/>
      <c r="BH766" s="112"/>
      <c r="BI766" s="112"/>
      <c r="BJ766" s="112"/>
      <c r="BK766" s="112"/>
      <c r="BL766" s="112"/>
      <c r="BM766" s="112"/>
      <c r="BN766" s="112"/>
      <c r="BO766" s="112"/>
      <c r="BP766" s="112"/>
      <c r="BQ766" s="112"/>
      <c r="BR766" s="112"/>
      <c r="BS766" s="112"/>
      <c r="BT766" s="112"/>
      <c r="BU766" s="112"/>
      <c r="BV766" s="112"/>
      <c r="BW766" s="112"/>
      <c r="BX766" s="112"/>
      <c r="BY766" s="112"/>
      <c r="BZ766" s="112"/>
    </row>
    <row r="767" spans="30:78" x14ac:dyDescent="0.2">
      <c r="AD767" s="112"/>
      <c r="AE767" s="112"/>
      <c r="AF767" s="112"/>
      <c r="AG767" s="112"/>
      <c r="AH767" s="112"/>
      <c r="AI767" s="112"/>
      <c r="AJ767" s="112"/>
      <c r="AK767" s="112"/>
      <c r="AL767" s="112"/>
      <c r="AM767" s="112"/>
      <c r="AN767" s="112"/>
      <c r="AO767" s="112"/>
      <c r="AP767" s="112"/>
      <c r="AQ767" s="112"/>
      <c r="AR767" s="112"/>
      <c r="AS767" s="112"/>
      <c r="AT767" s="112"/>
      <c r="AU767" s="112"/>
      <c r="AV767" s="112"/>
      <c r="AW767" s="112"/>
      <c r="AX767" s="112"/>
      <c r="AY767" s="112"/>
      <c r="AZ767" s="112"/>
      <c r="BA767" s="112"/>
      <c r="BB767" s="112"/>
      <c r="BC767" s="112"/>
      <c r="BD767" s="112"/>
      <c r="BE767" s="112"/>
      <c r="BF767" s="112"/>
      <c r="BG767" s="112"/>
      <c r="BH767" s="112"/>
      <c r="BI767" s="112"/>
      <c r="BJ767" s="112"/>
      <c r="BK767" s="112"/>
      <c r="BL767" s="112"/>
      <c r="BM767" s="112"/>
      <c r="BN767" s="112"/>
      <c r="BO767" s="112"/>
      <c r="BP767" s="112"/>
      <c r="BQ767" s="112"/>
      <c r="BR767" s="112"/>
      <c r="BS767" s="112"/>
      <c r="BT767" s="112"/>
      <c r="BU767" s="112"/>
      <c r="BV767" s="112"/>
      <c r="BW767" s="112"/>
      <c r="BX767" s="112"/>
      <c r="BY767" s="112"/>
      <c r="BZ767" s="112"/>
    </row>
    <row r="768" spans="30:78" x14ac:dyDescent="0.2">
      <c r="AD768" s="112"/>
      <c r="AE768" s="112"/>
      <c r="AF768" s="112"/>
      <c r="AG768" s="112"/>
      <c r="AH768" s="112"/>
      <c r="AI768" s="112"/>
      <c r="AJ768" s="112"/>
      <c r="AK768" s="112"/>
      <c r="AL768" s="112"/>
      <c r="AM768" s="112"/>
      <c r="AN768" s="112"/>
      <c r="AO768" s="112"/>
      <c r="AP768" s="112"/>
      <c r="AQ768" s="112"/>
      <c r="AR768" s="112"/>
      <c r="AS768" s="112"/>
      <c r="AT768" s="112"/>
      <c r="AU768" s="112"/>
      <c r="AV768" s="112"/>
      <c r="AW768" s="112"/>
      <c r="AX768" s="112"/>
      <c r="AY768" s="112"/>
      <c r="AZ768" s="112"/>
      <c r="BA768" s="112"/>
      <c r="BB768" s="112"/>
      <c r="BC768" s="112"/>
      <c r="BD768" s="112"/>
      <c r="BE768" s="112"/>
      <c r="BF768" s="112"/>
      <c r="BG768" s="112"/>
      <c r="BH768" s="112"/>
      <c r="BI768" s="112"/>
      <c r="BJ768" s="112"/>
      <c r="BK768" s="112"/>
      <c r="BL768" s="112"/>
      <c r="BM768" s="112"/>
      <c r="BN768" s="112"/>
      <c r="BO768" s="112"/>
      <c r="BP768" s="112"/>
      <c r="BQ768" s="112"/>
      <c r="BR768" s="112"/>
      <c r="BS768" s="112"/>
      <c r="BT768" s="112"/>
      <c r="BU768" s="112"/>
      <c r="BV768" s="112"/>
      <c r="BW768" s="112"/>
      <c r="BX768" s="112"/>
      <c r="BY768" s="112"/>
      <c r="BZ768" s="112"/>
    </row>
    <row r="769" spans="30:78" x14ac:dyDescent="0.2">
      <c r="AD769" s="112"/>
      <c r="AE769" s="112"/>
      <c r="AF769" s="112"/>
      <c r="AG769" s="112"/>
      <c r="AH769" s="112"/>
      <c r="AI769" s="112"/>
      <c r="AJ769" s="112"/>
      <c r="AK769" s="112"/>
      <c r="AL769" s="112"/>
      <c r="AM769" s="112"/>
      <c r="AN769" s="112"/>
      <c r="AO769" s="112"/>
      <c r="AP769" s="112"/>
      <c r="AQ769" s="112"/>
      <c r="AR769" s="112"/>
      <c r="AS769" s="112"/>
      <c r="AT769" s="112"/>
      <c r="AU769" s="112"/>
      <c r="AV769" s="112"/>
      <c r="AW769" s="112"/>
      <c r="AX769" s="112"/>
      <c r="AY769" s="112"/>
      <c r="AZ769" s="112"/>
      <c r="BA769" s="112"/>
      <c r="BB769" s="112"/>
      <c r="BC769" s="112"/>
      <c r="BD769" s="112"/>
      <c r="BE769" s="112"/>
      <c r="BF769" s="112"/>
      <c r="BG769" s="112"/>
      <c r="BH769" s="112"/>
      <c r="BI769" s="112"/>
      <c r="BJ769" s="112"/>
      <c r="BK769" s="112"/>
      <c r="BL769" s="112"/>
      <c r="BM769" s="112"/>
      <c r="BN769" s="112"/>
      <c r="BO769" s="112"/>
      <c r="BP769" s="112"/>
      <c r="BQ769" s="112"/>
      <c r="BR769" s="112"/>
      <c r="BS769" s="112"/>
      <c r="BT769" s="112"/>
      <c r="BU769" s="112"/>
      <c r="BV769" s="112"/>
      <c r="BW769" s="112"/>
      <c r="BX769" s="112"/>
      <c r="BY769" s="112"/>
      <c r="BZ769" s="112"/>
    </row>
    <row r="770" spans="30:78" x14ac:dyDescent="0.2">
      <c r="AD770" s="112"/>
      <c r="AE770" s="112"/>
      <c r="AF770" s="112"/>
      <c r="AG770" s="112"/>
      <c r="AH770" s="112"/>
      <c r="AI770" s="112"/>
      <c r="AJ770" s="112"/>
      <c r="AK770" s="112"/>
      <c r="AL770" s="112"/>
      <c r="AM770" s="112"/>
      <c r="AN770" s="112"/>
      <c r="AO770" s="112"/>
      <c r="AP770" s="112"/>
      <c r="AQ770" s="112"/>
      <c r="AR770" s="112"/>
      <c r="AS770" s="112"/>
      <c r="AT770" s="112"/>
      <c r="AU770" s="112"/>
      <c r="AV770" s="112"/>
      <c r="AW770" s="112"/>
      <c r="AX770" s="112"/>
      <c r="AY770" s="112"/>
      <c r="AZ770" s="112"/>
      <c r="BA770" s="112"/>
      <c r="BB770" s="112"/>
      <c r="BC770" s="112"/>
      <c r="BD770" s="112"/>
      <c r="BE770" s="112"/>
      <c r="BF770" s="112"/>
      <c r="BG770" s="112"/>
      <c r="BH770" s="112"/>
      <c r="BI770" s="112"/>
      <c r="BJ770" s="112"/>
      <c r="BK770" s="112"/>
      <c r="BL770" s="112"/>
      <c r="BM770" s="112"/>
      <c r="BN770" s="112"/>
      <c r="BO770" s="112"/>
      <c r="BP770" s="112"/>
      <c r="BQ770" s="112"/>
      <c r="BR770" s="112"/>
      <c r="BS770" s="112"/>
      <c r="BT770" s="112"/>
      <c r="BU770" s="112"/>
      <c r="BV770" s="112"/>
      <c r="BW770" s="112"/>
      <c r="BX770" s="112"/>
      <c r="BY770" s="112"/>
      <c r="BZ770" s="112"/>
    </row>
    <row r="771" spans="30:78" x14ac:dyDescent="0.2">
      <c r="AD771" s="112"/>
      <c r="AE771" s="112"/>
      <c r="AF771" s="112"/>
      <c r="AG771" s="112"/>
      <c r="AH771" s="112"/>
      <c r="AI771" s="112"/>
      <c r="AJ771" s="112"/>
      <c r="AK771" s="112"/>
      <c r="AL771" s="112"/>
      <c r="AM771" s="112"/>
      <c r="AN771" s="112"/>
      <c r="AO771" s="112"/>
      <c r="AP771" s="112"/>
      <c r="AQ771" s="112"/>
      <c r="AR771" s="112"/>
      <c r="AS771" s="112"/>
      <c r="AT771" s="112"/>
      <c r="AU771" s="112"/>
      <c r="AV771" s="112"/>
      <c r="AW771" s="112"/>
      <c r="AX771" s="112"/>
      <c r="AY771" s="112"/>
      <c r="AZ771" s="112"/>
      <c r="BA771" s="112"/>
      <c r="BB771" s="112"/>
      <c r="BC771" s="112"/>
      <c r="BD771" s="112"/>
      <c r="BE771" s="112"/>
      <c r="BF771" s="112"/>
      <c r="BG771" s="112"/>
      <c r="BH771" s="112"/>
      <c r="BI771" s="112"/>
      <c r="BJ771" s="112"/>
      <c r="BK771" s="112"/>
      <c r="BL771" s="112"/>
      <c r="BM771" s="112"/>
      <c r="BN771" s="112"/>
      <c r="BO771" s="112"/>
      <c r="BP771" s="112"/>
      <c r="BQ771" s="112"/>
      <c r="BR771" s="112"/>
      <c r="BS771" s="112"/>
      <c r="BT771" s="112"/>
      <c r="BU771" s="112"/>
      <c r="BV771" s="112"/>
      <c r="BW771" s="112"/>
      <c r="BX771" s="112"/>
      <c r="BY771" s="112"/>
      <c r="BZ771" s="112"/>
    </row>
    <row r="772" spans="30:78" x14ac:dyDescent="0.2">
      <c r="AD772" s="112"/>
      <c r="AE772" s="112"/>
      <c r="AF772" s="112"/>
      <c r="AG772" s="112"/>
      <c r="AH772" s="112"/>
      <c r="AI772" s="112"/>
      <c r="AJ772" s="112"/>
      <c r="AK772" s="112"/>
      <c r="AL772" s="112"/>
      <c r="AM772" s="112"/>
      <c r="AN772" s="112"/>
      <c r="AO772" s="112"/>
      <c r="AP772" s="112"/>
      <c r="AQ772" s="112"/>
      <c r="AR772" s="112"/>
      <c r="AS772" s="112"/>
      <c r="AT772" s="112"/>
      <c r="AU772" s="112"/>
      <c r="AV772" s="112"/>
      <c r="AW772" s="112"/>
      <c r="AX772" s="112"/>
      <c r="AY772" s="112"/>
      <c r="AZ772" s="112"/>
      <c r="BA772" s="112"/>
      <c r="BB772" s="112"/>
      <c r="BC772" s="112"/>
      <c r="BD772" s="112"/>
      <c r="BE772" s="112"/>
      <c r="BF772" s="112"/>
      <c r="BG772" s="112"/>
      <c r="BH772" s="112"/>
      <c r="BI772" s="112"/>
      <c r="BJ772" s="112"/>
      <c r="BK772" s="112"/>
      <c r="BL772" s="112"/>
      <c r="BM772" s="112"/>
      <c r="BN772" s="112"/>
      <c r="BO772" s="112"/>
      <c r="BP772" s="112"/>
      <c r="BQ772" s="112"/>
      <c r="BR772" s="112"/>
      <c r="BS772" s="112"/>
      <c r="BT772" s="112"/>
      <c r="BU772" s="112"/>
      <c r="BV772" s="112"/>
      <c r="BW772" s="112"/>
      <c r="BX772" s="112"/>
      <c r="BY772" s="112"/>
      <c r="BZ772" s="112"/>
    </row>
    <row r="773" spans="30:78" x14ac:dyDescent="0.2">
      <c r="AD773" s="112"/>
      <c r="AE773" s="112"/>
      <c r="AF773" s="112"/>
      <c r="AG773" s="112"/>
      <c r="AH773" s="112"/>
      <c r="AI773" s="112"/>
      <c r="AJ773" s="112"/>
      <c r="AK773" s="112"/>
      <c r="AL773" s="112"/>
      <c r="AM773" s="112"/>
      <c r="AN773" s="112"/>
      <c r="AO773" s="112"/>
      <c r="AP773" s="112"/>
      <c r="AQ773" s="112"/>
      <c r="AR773" s="112"/>
      <c r="AS773" s="112"/>
      <c r="AT773" s="112"/>
      <c r="AU773" s="112"/>
      <c r="AV773" s="112"/>
      <c r="AW773" s="112"/>
      <c r="AX773" s="112"/>
      <c r="AY773" s="112"/>
      <c r="AZ773" s="112"/>
      <c r="BA773" s="112"/>
      <c r="BB773" s="112"/>
      <c r="BC773" s="112"/>
      <c r="BD773" s="112"/>
      <c r="BE773" s="112"/>
      <c r="BF773" s="112"/>
      <c r="BG773" s="112"/>
      <c r="BH773" s="112"/>
      <c r="BI773" s="112"/>
      <c r="BJ773" s="112"/>
      <c r="BK773" s="112"/>
      <c r="BL773" s="112"/>
      <c r="BM773" s="112"/>
      <c r="BN773" s="112"/>
      <c r="BO773" s="112"/>
      <c r="BP773" s="112"/>
      <c r="BQ773" s="112"/>
      <c r="BR773" s="112"/>
      <c r="BS773" s="112"/>
      <c r="BT773" s="112"/>
      <c r="BU773" s="112"/>
      <c r="BV773" s="112"/>
      <c r="BW773" s="112"/>
      <c r="BX773" s="112"/>
      <c r="BY773" s="112"/>
      <c r="BZ773" s="112"/>
    </row>
    <row r="774" spans="30:78" x14ac:dyDescent="0.2">
      <c r="AD774" s="112"/>
      <c r="AE774" s="112"/>
      <c r="AF774" s="112"/>
      <c r="AG774" s="112"/>
      <c r="AH774" s="112"/>
      <c r="AI774" s="112"/>
      <c r="AJ774" s="112"/>
      <c r="AK774" s="112"/>
      <c r="AL774" s="112"/>
      <c r="AM774" s="112"/>
      <c r="AN774" s="112"/>
      <c r="AO774" s="112"/>
      <c r="AP774" s="112"/>
      <c r="AQ774" s="112"/>
      <c r="AR774" s="112"/>
      <c r="AS774" s="112"/>
      <c r="AT774" s="112"/>
      <c r="AU774" s="112"/>
      <c r="AV774" s="112"/>
      <c r="AW774" s="112"/>
      <c r="AX774" s="112"/>
      <c r="AY774" s="112"/>
      <c r="AZ774" s="112"/>
      <c r="BA774" s="112"/>
      <c r="BB774" s="112"/>
      <c r="BC774" s="112"/>
      <c r="BD774" s="112"/>
      <c r="BE774" s="112"/>
      <c r="BF774" s="112"/>
      <c r="BG774" s="112"/>
      <c r="BH774" s="112"/>
      <c r="BI774" s="112"/>
      <c r="BJ774" s="112"/>
      <c r="BK774" s="112"/>
      <c r="BL774" s="112"/>
      <c r="BM774" s="112"/>
      <c r="BN774" s="112"/>
      <c r="BO774" s="112"/>
      <c r="BP774" s="112"/>
      <c r="BQ774" s="112"/>
      <c r="BR774" s="112"/>
      <c r="BS774" s="112"/>
      <c r="BT774" s="112"/>
      <c r="BU774" s="112"/>
      <c r="BV774" s="112"/>
      <c r="BW774" s="112"/>
      <c r="BX774" s="112"/>
      <c r="BY774" s="112"/>
      <c r="BZ774" s="112"/>
    </row>
    <row r="775" spans="30:78" x14ac:dyDescent="0.2">
      <c r="AD775" s="112"/>
      <c r="AE775" s="112"/>
      <c r="AF775" s="112"/>
      <c r="AG775" s="112"/>
      <c r="AH775" s="112"/>
      <c r="AI775" s="112"/>
      <c r="AJ775" s="112"/>
      <c r="AK775" s="112"/>
      <c r="AL775" s="112"/>
      <c r="AM775" s="112"/>
      <c r="AN775" s="112"/>
      <c r="AO775" s="112"/>
      <c r="AP775" s="112"/>
      <c r="AQ775" s="112"/>
      <c r="AR775" s="112"/>
      <c r="AS775" s="112"/>
      <c r="AT775" s="112"/>
      <c r="AU775" s="112"/>
      <c r="AV775" s="112"/>
      <c r="AW775" s="112"/>
      <c r="AX775" s="112"/>
      <c r="AY775" s="112"/>
      <c r="AZ775" s="112"/>
      <c r="BA775" s="112"/>
      <c r="BB775" s="112"/>
      <c r="BC775" s="112"/>
      <c r="BD775" s="112"/>
      <c r="BE775" s="112"/>
      <c r="BF775" s="112"/>
      <c r="BG775" s="112"/>
      <c r="BH775" s="112"/>
      <c r="BI775" s="112"/>
      <c r="BJ775" s="112"/>
      <c r="BK775" s="112"/>
      <c r="BL775" s="112"/>
      <c r="BM775" s="112"/>
      <c r="BN775" s="112"/>
      <c r="BO775" s="112"/>
      <c r="BP775" s="112"/>
      <c r="BQ775" s="112"/>
      <c r="BR775" s="112"/>
      <c r="BS775" s="112"/>
      <c r="BT775" s="112"/>
      <c r="BU775" s="112"/>
      <c r="BV775" s="112"/>
      <c r="BW775" s="112"/>
      <c r="BX775" s="112"/>
      <c r="BY775" s="112"/>
      <c r="BZ775" s="112"/>
    </row>
    <row r="776" spans="30:78" x14ac:dyDescent="0.2">
      <c r="AD776" s="112"/>
      <c r="AE776" s="112"/>
      <c r="AF776" s="112"/>
      <c r="AG776" s="112"/>
      <c r="AH776" s="112"/>
      <c r="AI776" s="112"/>
      <c r="AJ776" s="112"/>
      <c r="AK776" s="112"/>
      <c r="AL776" s="112"/>
      <c r="AM776" s="112"/>
      <c r="AN776" s="112"/>
      <c r="AO776" s="112"/>
      <c r="AP776" s="112"/>
      <c r="AQ776" s="112"/>
      <c r="AR776" s="112"/>
      <c r="AS776" s="112"/>
      <c r="AT776" s="112"/>
      <c r="AU776" s="112"/>
      <c r="AV776" s="112"/>
      <c r="AW776" s="112"/>
      <c r="AX776" s="112"/>
      <c r="AY776" s="112"/>
      <c r="AZ776" s="112"/>
      <c r="BA776" s="112"/>
      <c r="BB776" s="112"/>
      <c r="BC776" s="112"/>
      <c r="BD776" s="112"/>
      <c r="BE776" s="112"/>
      <c r="BF776" s="112"/>
      <c r="BG776" s="112"/>
      <c r="BH776" s="112"/>
      <c r="BI776" s="112"/>
      <c r="BJ776" s="112"/>
      <c r="BK776" s="112"/>
      <c r="BL776" s="112"/>
      <c r="BM776" s="112"/>
      <c r="BN776" s="112"/>
      <c r="BO776" s="112"/>
      <c r="BP776" s="112"/>
      <c r="BQ776" s="112"/>
      <c r="BR776" s="112"/>
      <c r="BS776" s="112"/>
      <c r="BT776" s="112"/>
      <c r="BU776" s="112"/>
      <c r="BV776" s="112"/>
      <c r="BW776" s="112"/>
      <c r="BX776" s="112"/>
      <c r="BY776" s="112"/>
      <c r="BZ776" s="112"/>
    </row>
    <row r="777" spans="30:78" x14ac:dyDescent="0.2">
      <c r="AD777" s="112"/>
      <c r="AE777" s="112"/>
      <c r="AF777" s="112"/>
      <c r="AG777" s="112"/>
      <c r="AH777" s="112"/>
      <c r="AI777" s="112"/>
      <c r="AJ777" s="112"/>
      <c r="AK777" s="112"/>
      <c r="AL777" s="112"/>
      <c r="AM777" s="112"/>
      <c r="AN777" s="112"/>
      <c r="AO777" s="112"/>
      <c r="AP777" s="112"/>
      <c r="AQ777" s="112"/>
      <c r="AR777" s="112"/>
      <c r="AS777" s="112"/>
      <c r="AT777" s="112"/>
      <c r="AU777" s="112"/>
      <c r="AV777" s="112"/>
      <c r="AW777" s="112"/>
      <c r="AX777" s="112"/>
      <c r="AY777" s="112"/>
      <c r="AZ777" s="112"/>
      <c r="BA777" s="112"/>
      <c r="BB777" s="112"/>
      <c r="BC777" s="112"/>
      <c r="BD777" s="112"/>
      <c r="BE777" s="112"/>
      <c r="BF777" s="112"/>
      <c r="BG777" s="112"/>
      <c r="BH777" s="112"/>
      <c r="BI777" s="112"/>
      <c r="BJ777" s="112"/>
      <c r="BK777" s="112"/>
      <c r="BL777" s="112"/>
      <c r="BM777" s="112"/>
      <c r="BN777" s="112"/>
      <c r="BO777" s="112"/>
      <c r="BP777" s="112"/>
      <c r="BQ777" s="112"/>
      <c r="BR777" s="112"/>
      <c r="BS777" s="112"/>
      <c r="BT777" s="112"/>
      <c r="BU777" s="112"/>
      <c r="BV777" s="112"/>
      <c r="BW777" s="112"/>
      <c r="BX777" s="112"/>
      <c r="BY777" s="112"/>
      <c r="BZ777" s="112"/>
    </row>
    <row r="778" spans="30:78" x14ac:dyDescent="0.2">
      <c r="AD778" s="112"/>
      <c r="AE778" s="112"/>
      <c r="AF778" s="112"/>
      <c r="AG778" s="112"/>
      <c r="AH778" s="112"/>
      <c r="AI778" s="112"/>
      <c r="AJ778" s="112"/>
      <c r="AK778" s="112"/>
      <c r="AL778" s="112"/>
      <c r="AM778" s="112"/>
      <c r="AN778" s="112"/>
      <c r="AO778" s="112"/>
      <c r="AP778" s="112"/>
      <c r="AQ778" s="112"/>
      <c r="AR778" s="112"/>
      <c r="AS778" s="112"/>
      <c r="AT778" s="112"/>
      <c r="AU778" s="112"/>
      <c r="AV778" s="112"/>
      <c r="AW778" s="112"/>
      <c r="AX778" s="112"/>
      <c r="AY778" s="112"/>
      <c r="AZ778" s="112"/>
      <c r="BA778" s="112"/>
      <c r="BB778" s="112"/>
      <c r="BC778" s="112"/>
      <c r="BD778" s="112"/>
      <c r="BE778" s="112"/>
      <c r="BF778" s="112"/>
      <c r="BG778" s="112"/>
      <c r="BH778" s="112"/>
      <c r="BI778" s="112"/>
      <c r="BJ778" s="112"/>
      <c r="BK778" s="112"/>
      <c r="BL778" s="112"/>
      <c r="BM778" s="112"/>
      <c r="BN778" s="112"/>
      <c r="BO778" s="112"/>
      <c r="BP778" s="112"/>
      <c r="BQ778" s="112"/>
      <c r="BR778" s="112"/>
      <c r="BS778" s="112"/>
      <c r="BT778" s="112"/>
      <c r="BU778" s="112"/>
      <c r="BV778" s="112"/>
      <c r="BW778" s="112"/>
      <c r="BX778" s="112"/>
      <c r="BY778" s="112"/>
      <c r="BZ778" s="112"/>
    </row>
    <row r="779" spans="30:78" x14ac:dyDescent="0.2">
      <c r="AD779" s="112"/>
      <c r="AE779" s="112"/>
      <c r="AF779" s="112"/>
      <c r="AG779" s="112"/>
      <c r="AH779" s="112"/>
      <c r="AI779" s="112"/>
      <c r="AJ779" s="112"/>
      <c r="AK779" s="112"/>
      <c r="AL779" s="112"/>
      <c r="AM779" s="112"/>
      <c r="AN779" s="112"/>
      <c r="AO779" s="112"/>
      <c r="AP779" s="112"/>
      <c r="AQ779" s="112"/>
      <c r="AR779" s="112"/>
      <c r="AS779" s="112"/>
      <c r="AT779" s="112"/>
      <c r="AU779" s="112"/>
      <c r="AV779" s="112"/>
      <c r="AW779" s="112"/>
      <c r="AX779" s="112"/>
      <c r="AY779" s="112"/>
      <c r="AZ779" s="112"/>
      <c r="BA779" s="112"/>
      <c r="BB779" s="112"/>
      <c r="BC779" s="112"/>
      <c r="BD779" s="112"/>
      <c r="BE779" s="112"/>
      <c r="BF779" s="112"/>
      <c r="BG779" s="112"/>
      <c r="BH779" s="112"/>
      <c r="BI779" s="112"/>
      <c r="BJ779" s="112"/>
      <c r="BK779" s="112"/>
      <c r="BL779" s="112"/>
      <c r="BM779" s="112"/>
      <c r="BN779" s="112"/>
      <c r="BO779" s="112"/>
      <c r="BP779" s="112"/>
      <c r="BQ779" s="112"/>
      <c r="BR779" s="112"/>
      <c r="BS779" s="112"/>
      <c r="BT779" s="112"/>
      <c r="BU779" s="112"/>
      <c r="BV779" s="112"/>
      <c r="BW779" s="112"/>
      <c r="BX779" s="112"/>
      <c r="BY779" s="112"/>
      <c r="BZ779" s="112"/>
    </row>
    <row r="780" spans="30:78" x14ac:dyDescent="0.2">
      <c r="AD780" s="112"/>
      <c r="AE780" s="112"/>
      <c r="AF780" s="112"/>
      <c r="AG780" s="112"/>
      <c r="AH780" s="112"/>
      <c r="AI780" s="112"/>
      <c r="AJ780" s="112"/>
      <c r="AK780" s="112"/>
      <c r="AL780" s="112"/>
      <c r="AM780" s="112"/>
      <c r="AN780" s="112"/>
      <c r="AO780" s="112"/>
      <c r="AP780" s="112"/>
      <c r="AQ780" s="112"/>
      <c r="AR780" s="112"/>
      <c r="AS780" s="112"/>
      <c r="AT780" s="112"/>
      <c r="AU780" s="112"/>
      <c r="AV780" s="112"/>
      <c r="AW780" s="112"/>
      <c r="AX780" s="112"/>
      <c r="AY780" s="112"/>
      <c r="AZ780" s="112"/>
      <c r="BA780" s="112"/>
      <c r="BB780" s="112"/>
      <c r="BC780" s="112"/>
      <c r="BD780" s="112"/>
      <c r="BE780" s="112"/>
      <c r="BF780" s="112"/>
      <c r="BG780" s="112"/>
      <c r="BH780" s="112"/>
      <c r="BI780" s="112"/>
      <c r="BJ780" s="112"/>
      <c r="BK780" s="112"/>
      <c r="BL780" s="112"/>
      <c r="BM780" s="112"/>
      <c r="BN780" s="112"/>
      <c r="BO780" s="112"/>
      <c r="BP780" s="112"/>
      <c r="BQ780" s="112"/>
      <c r="BR780" s="112"/>
      <c r="BS780" s="112"/>
      <c r="BT780" s="112"/>
      <c r="BU780" s="112"/>
      <c r="BV780" s="112"/>
      <c r="BW780" s="112"/>
      <c r="BX780" s="112"/>
      <c r="BY780" s="112"/>
      <c r="BZ780" s="112"/>
    </row>
    <row r="781" spans="30:78" x14ac:dyDescent="0.2">
      <c r="AD781" s="112"/>
      <c r="AE781" s="112"/>
      <c r="AF781" s="112"/>
      <c r="AG781" s="112"/>
      <c r="AH781" s="112"/>
      <c r="AI781" s="112"/>
      <c r="AJ781" s="112"/>
      <c r="AK781" s="112"/>
      <c r="AL781" s="112"/>
      <c r="AM781" s="112"/>
      <c r="AN781" s="112"/>
      <c r="AO781" s="112"/>
      <c r="AP781" s="112"/>
      <c r="AQ781" s="112"/>
      <c r="AR781" s="112"/>
      <c r="AS781" s="112"/>
      <c r="AT781" s="112"/>
      <c r="AU781" s="112"/>
      <c r="AV781" s="112"/>
      <c r="AW781" s="112"/>
      <c r="AX781" s="112"/>
      <c r="AY781" s="112"/>
      <c r="AZ781" s="112"/>
      <c r="BA781" s="112"/>
      <c r="BB781" s="112"/>
      <c r="BC781" s="112"/>
      <c r="BD781" s="112"/>
      <c r="BE781" s="112"/>
      <c r="BF781" s="112"/>
      <c r="BG781" s="112"/>
      <c r="BH781" s="112"/>
      <c r="BI781" s="112"/>
      <c r="BJ781" s="112"/>
      <c r="BK781" s="112"/>
      <c r="BL781" s="112"/>
      <c r="BM781" s="112"/>
      <c r="BN781" s="112"/>
      <c r="BO781" s="112"/>
      <c r="BP781" s="112"/>
      <c r="BQ781" s="112"/>
      <c r="BR781" s="112"/>
      <c r="BS781" s="112"/>
      <c r="BT781" s="112"/>
      <c r="BU781" s="112"/>
      <c r="BV781" s="112"/>
      <c r="BW781" s="112"/>
      <c r="BX781" s="112"/>
      <c r="BY781" s="112"/>
      <c r="BZ781" s="112"/>
    </row>
    <row r="782" spans="30:78" x14ac:dyDescent="0.2">
      <c r="AD782" s="112"/>
      <c r="AE782" s="112"/>
      <c r="AF782" s="112"/>
      <c r="AG782" s="112"/>
      <c r="AH782" s="112"/>
      <c r="AI782" s="112"/>
      <c r="AJ782" s="112"/>
      <c r="AK782" s="112"/>
      <c r="AL782" s="112"/>
      <c r="AM782" s="112"/>
      <c r="AN782" s="112"/>
      <c r="AO782" s="112"/>
      <c r="AP782" s="112"/>
      <c r="AQ782" s="112"/>
      <c r="AR782" s="112"/>
      <c r="AS782" s="112"/>
      <c r="AT782" s="112"/>
      <c r="AU782" s="112"/>
      <c r="AV782" s="112"/>
      <c r="AW782" s="112"/>
      <c r="AX782" s="112"/>
      <c r="AY782" s="112"/>
      <c r="AZ782" s="112"/>
      <c r="BA782" s="112"/>
      <c r="BB782" s="112"/>
      <c r="BC782" s="112"/>
      <c r="BD782" s="112"/>
      <c r="BE782" s="112"/>
      <c r="BF782" s="112"/>
      <c r="BG782" s="112"/>
      <c r="BH782" s="112"/>
      <c r="BI782" s="112"/>
      <c r="BJ782" s="112"/>
      <c r="BK782" s="112"/>
      <c r="BL782" s="112"/>
      <c r="BM782" s="112"/>
      <c r="BN782" s="112"/>
      <c r="BO782" s="112"/>
      <c r="BP782" s="112"/>
      <c r="BQ782" s="112"/>
      <c r="BR782" s="112"/>
      <c r="BS782" s="112"/>
      <c r="BT782" s="112"/>
      <c r="BU782" s="112"/>
      <c r="BV782" s="112"/>
      <c r="BW782" s="112"/>
      <c r="BX782" s="112"/>
      <c r="BY782" s="112"/>
      <c r="BZ782" s="112"/>
    </row>
    <row r="783" spans="30:78" x14ac:dyDescent="0.2">
      <c r="AD783" s="112"/>
      <c r="AE783" s="112"/>
      <c r="AF783" s="112"/>
      <c r="AG783" s="112"/>
      <c r="AH783" s="112"/>
      <c r="AI783" s="112"/>
      <c r="AJ783" s="112"/>
      <c r="AK783" s="112"/>
      <c r="AL783" s="112"/>
      <c r="AM783" s="112"/>
      <c r="AN783" s="112"/>
      <c r="AO783" s="112"/>
      <c r="AP783" s="112"/>
      <c r="AQ783" s="112"/>
      <c r="AR783" s="112"/>
      <c r="AS783" s="112"/>
      <c r="AT783" s="112"/>
      <c r="AU783" s="112"/>
      <c r="AV783" s="112"/>
      <c r="AW783" s="112"/>
      <c r="AX783" s="112"/>
      <c r="AY783" s="112"/>
      <c r="AZ783" s="112"/>
      <c r="BA783" s="112"/>
      <c r="BB783" s="112"/>
      <c r="BC783" s="112"/>
      <c r="BD783" s="112"/>
      <c r="BE783" s="112"/>
      <c r="BF783" s="112"/>
      <c r="BG783" s="112"/>
      <c r="BH783" s="112"/>
      <c r="BI783" s="112"/>
      <c r="BJ783" s="112"/>
      <c r="BK783" s="112"/>
      <c r="BL783" s="112"/>
      <c r="BM783" s="112"/>
      <c r="BN783" s="112"/>
      <c r="BO783" s="112"/>
      <c r="BP783" s="112"/>
      <c r="BQ783" s="112"/>
      <c r="BR783" s="112"/>
      <c r="BS783" s="112"/>
      <c r="BT783" s="112"/>
      <c r="BU783" s="112"/>
      <c r="BV783" s="112"/>
      <c r="BW783" s="112"/>
      <c r="BX783" s="112"/>
      <c r="BY783" s="112"/>
      <c r="BZ783" s="112"/>
    </row>
    <row r="784" spans="30:78" x14ac:dyDescent="0.2">
      <c r="AD784" s="112"/>
      <c r="AE784" s="112"/>
      <c r="AF784" s="112"/>
      <c r="AG784" s="112"/>
      <c r="AH784" s="112"/>
      <c r="AI784" s="112"/>
      <c r="AJ784" s="112"/>
      <c r="AK784" s="112"/>
      <c r="AL784" s="112"/>
      <c r="AM784" s="112"/>
      <c r="AN784" s="112"/>
      <c r="AO784" s="112"/>
      <c r="AP784" s="112"/>
      <c r="AQ784" s="112"/>
      <c r="AR784" s="112"/>
      <c r="AS784" s="112"/>
      <c r="AT784" s="112"/>
      <c r="AU784" s="112"/>
      <c r="AV784" s="112"/>
      <c r="AW784" s="112"/>
      <c r="AX784" s="112"/>
      <c r="AY784" s="112"/>
      <c r="AZ784" s="112"/>
      <c r="BA784" s="112"/>
      <c r="BB784" s="112"/>
      <c r="BC784" s="112"/>
      <c r="BD784" s="112"/>
      <c r="BE784" s="112"/>
      <c r="BF784" s="112"/>
      <c r="BG784" s="112"/>
      <c r="BH784" s="112"/>
      <c r="BI784" s="112"/>
      <c r="BJ784" s="112"/>
      <c r="BK784" s="112"/>
      <c r="BL784" s="112"/>
      <c r="BM784" s="112"/>
      <c r="BN784" s="112"/>
      <c r="BO784" s="112"/>
      <c r="BP784" s="112"/>
      <c r="BQ784" s="112"/>
      <c r="BR784" s="112"/>
      <c r="BS784" s="112"/>
      <c r="BT784" s="112"/>
      <c r="BU784" s="112"/>
      <c r="BV784" s="112"/>
      <c r="BW784" s="112"/>
      <c r="BX784" s="112"/>
      <c r="BY784" s="112"/>
      <c r="BZ784" s="112"/>
    </row>
    <row r="785" spans="30:78" x14ac:dyDescent="0.2">
      <c r="AD785" s="112"/>
      <c r="AE785" s="112"/>
      <c r="AF785" s="112"/>
      <c r="AG785" s="112"/>
      <c r="AH785" s="112"/>
      <c r="AI785" s="112"/>
      <c r="AJ785" s="112"/>
      <c r="AK785" s="112"/>
      <c r="AL785" s="112"/>
      <c r="AM785" s="112"/>
      <c r="AN785" s="112"/>
      <c r="AO785" s="112"/>
      <c r="AP785" s="112"/>
      <c r="AQ785" s="112"/>
      <c r="AR785" s="112"/>
      <c r="AS785" s="112"/>
      <c r="AT785" s="112"/>
      <c r="AU785" s="112"/>
      <c r="AV785" s="112"/>
      <c r="AW785" s="112"/>
      <c r="AX785" s="112"/>
      <c r="AY785" s="112"/>
      <c r="AZ785" s="112"/>
      <c r="BA785" s="112"/>
      <c r="BB785" s="112"/>
      <c r="BC785" s="112"/>
      <c r="BD785" s="112"/>
      <c r="BE785" s="112"/>
      <c r="BF785" s="112"/>
      <c r="BG785" s="112"/>
      <c r="BH785" s="112"/>
      <c r="BI785" s="112"/>
      <c r="BJ785" s="112"/>
      <c r="BK785" s="112"/>
      <c r="BL785" s="112"/>
      <c r="BM785" s="112"/>
      <c r="BN785" s="112"/>
      <c r="BO785" s="112"/>
      <c r="BP785" s="112"/>
      <c r="BQ785" s="112"/>
      <c r="BR785" s="112"/>
      <c r="BS785" s="112"/>
      <c r="BT785" s="112"/>
      <c r="BU785" s="112"/>
      <c r="BV785" s="112"/>
      <c r="BW785" s="112"/>
      <c r="BX785" s="112"/>
      <c r="BY785" s="112"/>
      <c r="BZ785" s="112"/>
    </row>
    <row r="786" spans="30:78" x14ac:dyDescent="0.2">
      <c r="AD786" s="112"/>
      <c r="AE786" s="112"/>
      <c r="AF786" s="112"/>
      <c r="AG786" s="112"/>
      <c r="AH786" s="112"/>
      <c r="AI786" s="112"/>
      <c r="AJ786" s="112"/>
      <c r="AK786" s="112"/>
      <c r="AL786" s="112"/>
      <c r="AM786" s="112"/>
      <c r="AN786" s="112"/>
      <c r="AO786" s="112"/>
      <c r="AP786" s="112"/>
      <c r="AQ786" s="112"/>
      <c r="AR786" s="112"/>
      <c r="AS786" s="112"/>
      <c r="AT786" s="112"/>
      <c r="AU786" s="112"/>
      <c r="AV786" s="112"/>
      <c r="AW786" s="112"/>
      <c r="AX786" s="112"/>
      <c r="AY786" s="112"/>
      <c r="AZ786" s="112"/>
      <c r="BA786" s="112"/>
      <c r="BB786" s="112"/>
      <c r="BC786" s="112"/>
      <c r="BD786" s="112"/>
      <c r="BE786" s="112"/>
      <c r="BF786" s="112"/>
      <c r="BG786" s="112"/>
      <c r="BH786" s="112"/>
      <c r="BI786" s="112"/>
      <c r="BJ786" s="112"/>
      <c r="BK786" s="112"/>
      <c r="BL786" s="112"/>
      <c r="BM786" s="112"/>
      <c r="BN786" s="112"/>
      <c r="BO786" s="112"/>
      <c r="BP786" s="112"/>
      <c r="BQ786" s="112"/>
      <c r="BR786" s="112"/>
      <c r="BS786" s="112"/>
      <c r="BT786" s="112"/>
      <c r="BU786" s="112"/>
      <c r="BV786" s="112"/>
      <c r="BW786" s="112"/>
      <c r="BX786" s="112"/>
      <c r="BY786" s="112"/>
      <c r="BZ786" s="112"/>
    </row>
    <row r="787" spans="30:78" x14ac:dyDescent="0.2">
      <c r="AD787" s="112"/>
      <c r="AE787" s="112"/>
      <c r="AF787" s="112"/>
      <c r="AG787" s="112"/>
      <c r="AH787" s="112"/>
      <c r="AI787" s="112"/>
      <c r="AJ787" s="112"/>
      <c r="AK787" s="112"/>
      <c r="AL787" s="112"/>
      <c r="AM787" s="112"/>
      <c r="AN787" s="112"/>
      <c r="AO787" s="112"/>
      <c r="AP787" s="112"/>
      <c r="AQ787" s="112"/>
      <c r="AR787" s="112"/>
      <c r="AS787" s="112"/>
      <c r="AT787" s="112"/>
      <c r="AU787" s="112"/>
      <c r="AV787" s="112"/>
      <c r="AW787" s="112"/>
      <c r="AX787" s="112"/>
      <c r="AY787" s="112"/>
      <c r="AZ787" s="112"/>
      <c r="BA787" s="112"/>
      <c r="BB787" s="112"/>
      <c r="BC787" s="112"/>
      <c r="BD787" s="112"/>
      <c r="BE787" s="112"/>
      <c r="BF787" s="112"/>
      <c r="BG787" s="112"/>
      <c r="BH787" s="112"/>
      <c r="BI787" s="112"/>
      <c r="BJ787" s="112"/>
      <c r="BK787" s="112"/>
      <c r="BL787" s="112"/>
      <c r="BM787" s="112"/>
      <c r="BN787" s="112"/>
      <c r="BO787" s="112"/>
      <c r="BP787" s="112"/>
      <c r="BQ787" s="112"/>
      <c r="BR787" s="112"/>
      <c r="BS787" s="112"/>
      <c r="BT787" s="112"/>
      <c r="BU787" s="112"/>
      <c r="BV787" s="112"/>
      <c r="BW787" s="112"/>
      <c r="BX787" s="112"/>
      <c r="BY787" s="112"/>
      <c r="BZ787" s="112"/>
    </row>
    <row r="788" spans="30:78" x14ac:dyDescent="0.2">
      <c r="AD788" s="112"/>
      <c r="AE788" s="112"/>
      <c r="AF788" s="112"/>
      <c r="AG788" s="112"/>
      <c r="AH788" s="112"/>
      <c r="AI788" s="112"/>
      <c r="AJ788" s="112"/>
      <c r="AK788" s="112"/>
      <c r="AL788" s="112"/>
      <c r="AM788" s="112"/>
      <c r="AN788" s="112"/>
      <c r="AO788" s="112"/>
      <c r="AP788" s="112"/>
      <c r="AQ788" s="112"/>
      <c r="AR788" s="112"/>
      <c r="AS788" s="112"/>
      <c r="AT788" s="112"/>
      <c r="AU788" s="112"/>
      <c r="AV788" s="112"/>
      <c r="AW788" s="112"/>
      <c r="AX788" s="112"/>
      <c r="AY788" s="112"/>
      <c r="AZ788" s="112"/>
      <c r="BA788" s="112"/>
      <c r="BB788" s="112"/>
      <c r="BC788" s="112"/>
      <c r="BD788" s="112"/>
      <c r="BE788" s="112"/>
      <c r="BF788" s="112"/>
      <c r="BG788" s="112"/>
      <c r="BH788" s="112"/>
      <c r="BI788" s="112"/>
      <c r="BJ788" s="112"/>
      <c r="BK788" s="112"/>
      <c r="BL788" s="112"/>
      <c r="BM788" s="112"/>
      <c r="BN788" s="112"/>
      <c r="BO788" s="112"/>
      <c r="BP788" s="112"/>
      <c r="BQ788" s="112"/>
      <c r="BR788" s="112"/>
      <c r="BS788" s="112"/>
      <c r="BT788" s="112"/>
      <c r="BU788" s="112"/>
      <c r="BV788" s="112"/>
      <c r="BW788" s="112"/>
      <c r="BX788" s="112"/>
      <c r="BY788" s="112"/>
      <c r="BZ788" s="112"/>
    </row>
    <row r="789" spans="30:78" x14ac:dyDescent="0.2">
      <c r="AD789" s="112"/>
      <c r="AE789" s="112"/>
      <c r="AF789" s="112"/>
      <c r="AG789" s="112"/>
      <c r="AH789" s="112"/>
      <c r="AI789" s="112"/>
      <c r="AJ789" s="112"/>
      <c r="AK789" s="112"/>
      <c r="AL789" s="112"/>
      <c r="AM789" s="112"/>
      <c r="AN789" s="112"/>
      <c r="AO789" s="112"/>
      <c r="AP789" s="112"/>
      <c r="AQ789" s="112"/>
      <c r="AR789" s="112"/>
      <c r="AS789" s="112"/>
      <c r="AT789" s="112"/>
      <c r="AU789" s="112"/>
      <c r="AV789" s="112"/>
      <c r="AW789" s="112"/>
      <c r="AX789" s="112"/>
      <c r="AY789" s="112"/>
      <c r="AZ789" s="112"/>
      <c r="BA789" s="112"/>
      <c r="BB789" s="112"/>
      <c r="BC789" s="112"/>
      <c r="BD789" s="112"/>
      <c r="BE789" s="112"/>
      <c r="BF789" s="112"/>
      <c r="BG789" s="112"/>
      <c r="BH789" s="112"/>
      <c r="BI789" s="112"/>
      <c r="BJ789" s="112"/>
      <c r="BK789" s="112"/>
      <c r="BL789" s="112"/>
      <c r="BM789" s="112"/>
      <c r="BN789" s="112"/>
      <c r="BO789" s="112"/>
      <c r="BP789" s="112"/>
      <c r="BQ789" s="112"/>
      <c r="BR789" s="112"/>
      <c r="BS789" s="112"/>
      <c r="BT789" s="112"/>
      <c r="BU789" s="112"/>
      <c r="BV789" s="112"/>
      <c r="BW789" s="112"/>
      <c r="BX789" s="112"/>
      <c r="BY789" s="112"/>
      <c r="BZ789" s="112"/>
    </row>
    <row r="790" spans="30:78" x14ac:dyDescent="0.2">
      <c r="AD790" s="112"/>
      <c r="AE790" s="112"/>
      <c r="AF790" s="112"/>
      <c r="AG790" s="112"/>
      <c r="AH790" s="112"/>
      <c r="AI790" s="112"/>
      <c r="AJ790" s="112"/>
      <c r="AK790" s="112"/>
      <c r="AL790" s="112"/>
      <c r="AM790" s="112"/>
      <c r="AN790" s="112"/>
      <c r="AO790" s="112"/>
      <c r="AP790" s="112"/>
      <c r="AQ790" s="112"/>
      <c r="AR790" s="112"/>
      <c r="AS790" s="112"/>
      <c r="AT790" s="112"/>
      <c r="AU790" s="112"/>
      <c r="AV790" s="112"/>
      <c r="AW790" s="112"/>
      <c r="AX790" s="112"/>
      <c r="AY790" s="112"/>
      <c r="AZ790" s="112"/>
      <c r="BA790" s="112"/>
      <c r="BB790" s="112"/>
      <c r="BC790" s="112"/>
      <c r="BD790" s="112"/>
      <c r="BE790" s="112"/>
      <c r="BF790" s="112"/>
      <c r="BG790" s="112"/>
      <c r="BH790" s="112"/>
      <c r="BI790" s="112"/>
      <c r="BJ790" s="112"/>
      <c r="BK790" s="112"/>
      <c r="BL790" s="112"/>
      <c r="BM790" s="112"/>
      <c r="BN790" s="112"/>
      <c r="BO790" s="112"/>
      <c r="BP790" s="112"/>
      <c r="BQ790" s="112"/>
      <c r="BR790" s="112"/>
      <c r="BS790" s="112"/>
      <c r="BT790" s="112"/>
      <c r="BU790" s="112"/>
      <c r="BV790" s="112"/>
      <c r="BW790" s="112"/>
      <c r="BX790" s="112"/>
      <c r="BY790" s="112"/>
      <c r="BZ790" s="112"/>
    </row>
    <row r="791" spans="30:78" x14ac:dyDescent="0.2">
      <c r="AD791" s="112"/>
      <c r="AE791" s="112"/>
      <c r="AF791" s="112"/>
      <c r="AG791" s="112"/>
      <c r="AH791" s="112"/>
      <c r="AI791" s="112"/>
      <c r="AJ791" s="112"/>
      <c r="AK791" s="112"/>
      <c r="AL791" s="112"/>
      <c r="AM791" s="112"/>
      <c r="AN791" s="112"/>
      <c r="AO791" s="112"/>
      <c r="AP791" s="112"/>
      <c r="AQ791" s="112"/>
      <c r="AR791" s="112"/>
      <c r="AS791" s="112"/>
      <c r="AT791" s="112"/>
      <c r="AU791" s="112"/>
      <c r="AV791" s="112"/>
      <c r="AW791" s="112"/>
      <c r="AX791" s="112"/>
      <c r="AY791" s="112"/>
      <c r="AZ791" s="112"/>
      <c r="BA791" s="112"/>
      <c r="BB791" s="112"/>
      <c r="BC791" s="112"/>
      <c r="BD791" s="112"/>
      <c r="BE791" s="112"/>
      <c r="BF791" s="112"/>
      <c r="BG791" s="112"/>
      <c r="BH791" s="112"/>
      <c r="BI791" s="112"/>
      <c r="BJ791" s="112"/>
      <c r="BK791" s="112"/>
      <c r="BL791" s="112"/>
      <c r="BM791" s="112"/>
      <c r="BN791" s="112"/>
      <c r="BO791" s="112"/>
      <c r="BP791" s="112"/>
      <c r="BQ791" s="112"/>
      <c r="BR791" s="112"/>
      <c r="BS791" s="112"/>
      <c r="BT791" s="112"/>
      <c r="BU791" s="112"/>
      <c r="BV791" s="112"/>
      <c r="BW791" s="112"/>
      <c r="BX791" s="112"/>
      <c r="BY791" s="112"/>
      <c r="BZ791" s="112"/>
    </row>
    <row r="792" spans="30:78" x14ac:dyDescent="0.2">
      <c r="AD792" s="112"/>
      <c r="AE792" s="112"/>
      <c r="AF792" s="112"/>
      <c r="AG792" s="112"/>
      <c r="AH792" s="112"/>
      <c r="AI792" s="112"/>
      <c r="AJ792" s="112"/>
      <c r="AK792" s="112"/>
      <c r="AL792" s="112"/>
      <c r="AM792" s="112"/>
      <c r="AN792" s="112"/>
      <c r="AO792" s="112"/>
      <c r="AP792" s="112"/>
      <c r="AQ792" s="112"/>
      <c r="AR792" s="112"/>
      <c r="AS792" s="112"/>
      <c r="AT792" s="112"/>
      <c r="AU792" s="112"/>
      <c r="AV792" s="112"/>
      <c r="AW792" s="112"/>
      <c r="AX792" s="112"/>
      <c r="AY792" s="112"/>
      <c r="AZ792" s="112"/>
      <c r="BA792" s="112"/>
      <c r="BB792" s="112"/>
      <c r="BC792" s="112"/>
      <c r="BD792" s="112"/>
      <c r="BE792" s="112"/>
      <c r="BF792" s="112"/>
      <c r="BG792" s="112"/>
      <c r="BH792" s="112"/>
      <c r="BI792" s="112"/>
      <c r="BJ792" s="112"/>
      <c r="BK792" s="112"/>
      <c r="BL792" s="112"/>
      <c r="BM792" s="112"/>
      <c r="BN792" s="112"/>
      <c r="BO792" s="112"/>
      <c r="BP792" s="112"/>
      <c r="BQ792" s="112"/>
      <c r="BR792" s="112"/>
      <c r="BS792" s="112"/>
      <c r="BT792" s="112"/>
      <c r="BU792" s="112"/>
      <c r="BV792" s="112"/>
      <c r="BW792" s="112"/>
      <c r="BX792" s="112"/>
      <c r="BY792" s="112"/>
      <c r="BZ792" s="112"/>
    </row>
    <row r="793" spans="30:78" x14ac:dyDescent="0.2">
      <c r="AD793" s="112"/>
      <c r="AE793" s="112"/>
      <c r="AF793" s="112"/>
      <c r="AG793" s="112"/>
      <c r="AH793" s="112"/>
      <c r="AI793" s="112"/>
      <c r="AJ793" s="112"/>
      <c r="AK793" s="112"/>
      <c r="AL793" s="112"/>
      <c r="AM793" s="112"/>
      <c r="AN793" s="112"/>
      <c r="AO793" s="112"/>
      <c r="AP793" s="112"/>
      <c r="AQ793" s="112"/>
      <c r="AR793" s="112"/>
      <c r="AS793" s="112"/>
      <c r="AT793" s="112"/>
      <c r="AU793" s="112"/>
      <c r="AV793" s="112"/>
      <c r="AW793" s="112"/>
      <c r="AX793" s="112"/>
      <c r="AY793" s="112"/>
      <c r="AZ793" s="112"/>
      <c r="BA793" s="112"/>
      <c r="BB793" s="112"/>
      <c r="BC793" s="112"/>
      <c r="BD793" s="112"/>
      <c r="BE793" s="112"/>
      <c r="BF793" s="112"/>
      <c r="BG793" s="112"/>
      <c r="BH793" s="112"/>
      <c r="BI793" s="112"/>
      <c r="BJ793" s="112"/>
      <c r="BK793" s="112"/>
      <c r="BL793" s="112"/>
      <c r="BM793" s="112"/>
      <c r="BN793" s="112"/>
      <c r="BO793" s="112"/>
      <c r="BP793" s="112"/>
      <c r="BQ793" s="112"/>
      <c r="BR793" s="112"/>
      <c r="BS793" s="112"/>
      <c r="BT793" s="112"/>
      <c r="BU793" s="112"/>
      <c r="BV793" s="112"/>
      <c r="BW793" s="112"/>
      <c r="BX793" s="112"/>
      <c r="BY793" s="112"/>
      <c r="BZ793" s="112"/>
    </row>
    <row r="794" spans="30:78" x14ac:dyDescent="0.2">
      <c r="AD794" s="112"/>
      <c r="AE794" s="112"/>
      <c r="AF794" s="112"/>
      <c r="AG794" s="112"/>
      <c r="AH794" s="112"/>
      <c r="AI794" s="112"/>
      <c r="AJ794" s="112"/>
      <c r="AK794" s="112"/>
      <c r="AL794" s="112"/>
      <c r="AM794" s="112"/>
      <c r="AN794" s="112"/>
      <c r="AO794" s="112"/>
      <c r="AP794" s="112"/>
      <c r="AQ794" s="112"/>
      <c r="AR794" s="112"/>
      <c r="AS794" s="112"/>
      <c r="AT794" s="112"/>
      <c r="AU794" s="112"/>
      <c r="AV794" s="112"/>
      <c r="AW794" s="112"/>
      <c r="AX794" s="112"/>
      <c r="AY794" s="112"/>
      <c r="AZ794" s="112"/>
      <c r="BA794" s="112"/>
      <c r="BB794" s="112"/>
      <c r="BC794" s="112"/>
      <c r="BD794" s="112"/>
      <c r="BE794" s="112"/>
      <c r="BF794" s="112"/>
      <c r="BG794" s="112"/>
      <c r="BH794" s="112"/>
      <c r="BI794" s="112"/>
      <c r="BJ794" s="112"/>
      <c r="BK794" s="112"/>
      <c r="BL794" s="112"/>
      <c r="BM794" s="112"/>
      <c r="BN794" s="112"/>
      <c r="BO794" s="112"/>
      <c r="BP794" s="112"/>
      <c r="BQ794" s="112"/>
      <c r="BR794" s="112"/>
      <c r="BS794" s="112"/>
      <c r="BT794" s="112"/>
      <c r="BU794" s="112"/>
      <c r="BV794" s="112"/>
      <c r="BW794" s="112"/>
      <c r="BX794" s="112"/>
      <c r="BY794" s="112"/>
      <c r="BZ794" s="112"/>
    </row>
    <row r="795" spans="30:78" x14ac:dyDescent="0.2">
      <c r="AD795" s="112"/>
      <c r="AE795" s="112"/>
      <c r="AF795" s="112"/>
      <c r="AG795" s="112"/>
      <c r="AH795" s="112"/>
      <c r="AI795" s="112"/>
      <c r="AJ795" s="112"/>
      <c r="AK795" s="112"/>
      <c r="AL795" s="112"/>
      <c r="AM795" s="112"/>
      <c r="AN795" s="112"/>
      <c r="AO795" s="112"/>
      <c r="AP795" s="112"/>
      <c r="AQ795" s="112"/>
      <c r="AR795" s="112"/>
      <c r="AS795" s="112"/>
      <c r="AT795" s="112"/>
      <c r="AU795" s="112"/>
      <c r="AV795" s="112"/>
      <c r="AW795" s="112"/>
      <c r="AX795" s="112"/>
      <c r="AY795" s="112"/>
      <c r="AZ795" s="112"/>
      <c r="BA795" s="112"/>
      <c r="BB795" s="112"/>
      <c r="BC795" s="112"/>
      <c r="BD795" s="112"/>
      <c r="BE795" s="112"/>
      <c r="BF795" s="112"/>
      <c r="BG795" s="112"/>
      <c r="BH795" s="112"/>
      <c r="BI795" s="112"/>
      <c r="BJ795" s="112"/>
      <c r="BK795" s="112"/>
      <c r="BL795" s="112"/>
      <c r="BM795" s="112"/>
      <c r="BN795" s="112"/>
      <c r="BO795" s="112"/>
      <c r="BP795" s="112"/>
      <c r="BQ795" s="112"/>
      <c r="BR795" s="112"/>
      <c r="BS795" s="112"/>
      <c r="BT795" s="112"/>
      <c r="BU795" s="112"/>
      <c r="BV795" s="112"/>
      <c r="BW795" s="112"/>
      <c r="BX795" s="112"/>
      <c r="BY795" s="112"/>
      <c r="BZ795" s="112"/>
    </row>
    <row r="796" spans="30:78" x14ac:dyDescent="0.2">
      <c r="AD796" s="112"/>
      <c r="AE796" s="112"/>
      <c r="AF796" s="112"/>
      <c r="AG796" s="112"/>
      <c r="AH796" s="112"/>
      <c r="AI796" s="112"/>
      <c r="AJ796" s="112"/>
      <c r="AK796" s="112"/>
      <c r="AL796" s="112"/>
      <c r="AM796" s="112"/>
      <c r="AN796" s="112"/>
      <c r="AO796" s="112"/>
      <c r="AP796" s="112"/>
      <c r="AQ796" s="112"/>
      <c r="AR796" s="112"/>
      <c r="AS796" s="112"/>
      <c r="AT796" s="112"/>
      <c r="AU796" s="112"/>
      <c r="AV796" s="112"/>
      <c r="AW796" s="112"/>
      <c r="AX796" s="112"/>
      <c r="AY796" s="112"/>
      <c r="AZ796" s="112"/>
      <c r="BA796" s="112"/>
      <c r="BB796" s="112"/>
      <c r="BC796" s="112"/>
      <c r="BD796" s="112"/>
      <c r="BE796" s="112"/>
      <c r="BF796" s="112"/>
      <c r="BG796" s="112"/>
      <c r="BH796" s="112"/>
      <c r="BI796" s="112"/>
      <c r="BJ796" s="112"/>
      <c r="BK796" s="112"/>
      <c r="BL796" s="112"/>
      <c r="BM796" s="112"/>
      <c r="BN796" s="112"/>
      <c r="BO796" s="112"/>
      <c r="BP796" s="112"/>
      <c r="BQ796" s="112"/>
      <c r="BR796" s="112"/>
      <c r="BS796" s="112"/>
      <c r="BT796" s="112"/>
      <c r="BU796" s="112"/>
      <c r="BV796" s="112"/>
      <c r="BW796" s="112"/>
      <c r="BX796" s="112"/>
      <c r="BY796" s="112"/>
      <c r="BZ796" s="112"/>
    </row>
    <row r="797" spans="30:78" x14ac:dyDescent="0.2">
      <c r="AD797" s="112"/>
      <c r="AE797" s="112"/>
      <c r="AF797" s="112"/>
      <c r="AG797" s="112"/>
      <c r="AH797" s="112"/>
      <c r="AI797" s="112"/>
      <c r="AJ797" s="112"/>
      <c r="AK797" s="112"/>
      <c r="AL797" s="112"/>
      <c r="AM797" s="112"/>
      <c r="AN797" s="112"/>
      <c r="AO797" s="112"/>
      <c r="AP797" s="112"/>
      <c r="AQ797" s="112"/>
      <c r="AR797" s="112"/>
      <c r="AS797" s="112"/>
      <c r="AT797" s="112"/>
      <c r="AU797" s="112"/>
      <c r="AV797" s="112"/>
      <c r="AW797" s="112"/>
      <c r="AX797" s="112"/>
      <c r="AY797" s="112"/>
      <c r="AZ797" s="112"/>
      <c r="BA797" s="112"/>
      <c r="BB797" s="112"/>
      <c r="BC797" s="112"/>
      <c r="BD797" s="112"/>
      <c r="BE797" s="112"/>
      <c r="BF797" s="112"/>
      <c r="BG797" s="112"/>
      <c r="BH797" s="112"/>
      <c r="BI797" s="112"/>
      <c r="BJ797" s="112"/>
      <c r="BK797" s="112"/>
      <c r="BL797" s="112"/>
      <c r="BM797" s="112"/>
      <c r="BN797" s="112"/>
      <c r="BO797" s="112"/>
      <c r="BP797" s="112"/>
      <c r="BQ797" s="112"/>
      <c r="BR797" s="112"/>
      <c r="BS797" s="112"/>
      <c r="BT797" s="112"/>
      <c r="BU797" s="112"/>
      <c r="BV797" s="112"/>
      <c r="BW797" s="112"/>
      <c r="BX797" s="112"/>
      <c r="BY797" s="112"/>
      <c r="BZ797" s="112"/>
    </row>
    <row r="798" spans="30:78" x14ac:dyDescent="0.2">
      <c r="AD798" s="112"/>
      <c r="AE798" s="112"/>
      <c r="AF798" s="112"/>
      <c r="AG798" s="112"/>
      <c r="AH798" s="112"/>
      <c r="AI798" s="112"/>
      <c r="AJ798" s="112"/>
      <c r="AK798" s="112"/>
      <c r="AL798" s="112"/>
      <c r="AM798" s="112"/>
      <c r="AN798" s="112"/>
      <c r="AO798" s="112"/>
      <c r="AP798" s="112"/>
      <c r="AQ798" s="112"/>
      <c r="AR798" s="112"/>
      <c r="AS798" s="112"/>
      <c r="AT798" s="112"/>
      <c r="AU798" s="112"/>
      <c r="AV798" s="112"/>
      <c r="AW798" s="112"/>
      <c r="AX798" s="112"/>
      <c r="AY798" s="112"/>
      <c r="AZ798" s="112"/>
      <c r="BA798" s="112"/>
      <c r="BB798" s="112"/>
      <c r="BC798" s="112"/>
      <c r="BD798" s="112"/>
      <c r="BE798" s="112"/>
      <c r="BF798" s="112"/>
      <c r="BG798" s="112"/>
      <c r="BH798" s="112"/>
      <c r="BI798" s="112"/>
      <c r="BJ798" s="112"/>
      <c r="BK798" s="112"/>
      <c r="BL798" s="112"/>
      <c r="BM798" s="112"/>
      <c r="BN798" s="112"/>
      <c r="BO798" s="112"/>
      <c r="BP798" s="112"/>
      <c r="BQ798" s="112"/>
      <c r="BR798" s="112"/>
      <c r="BS798" s="112"/>
      <c r="BT798" s="112"/>
      <c r="BU798" s="112"/>
      <c r="BV798" s="112"/>
      <c r="BW798" s="112"/>
      <c r="BX798" s="112"/>
      <c r="BY798" s="112"/>
      <c r="BZ798" s="112"/>
    </row>
    <row r="799" spans="30:78" x14ac:dyDescent="0.2">
      <c r="AD799" s="112"/>
      <c r="AE799" s="112"/>
      <c r="AF799" s="112"/>
      <c r="AG799" s="112"/>
      <c r="AH799" s="112"/>
      <c r="AI799" s="112"/>
      <c r="AJ799" s="112"/>
      <c r="AK799" s="112"/>
      <c r="AL799" s="112"/>
      <c r="AM799" s="112"/>
      <c r="AN799" s="112"/>
      <c r="AO799" s="112"/>
      <c r="AP799" s="112"/>
      <c r="AQ799" s="112"/>
      <c r="AR799" s="112"/>
      <c r="AS799" s="112"/>
      <c r="AT799" s="112"/>
      <c r="AU799" s="112"/>
      <c r="AV799" s="112"/>
      <c r="AW799" s="112"/>
      <c r="AX799" s="112"/>
      <c r="AY799" s="112"/>
      <c r="AZ799" s="112"/>
      <c r="BA799" s="112"/>
      <c r="BB799" s="112"/>
      <c r="BC799" s="112"/>
      <c r="BD799" s="112"/>
      <c r="BE799" s="112"/>
      <c r="BF799" s="112"/>
      <c r="BG799" s="112"/>
      <c r="BH799" s="112"/>
      <c r="BI799" s="112"/>
      <c r="BJ799" s="112"/>
      <c r="BK799" s="112"/>
      <c r="BL799" s="112"/>
      <c r="BM799" s="112"/>
      <c r="BN799" s="112"/>
      <c r="BO799" s="112"/>
      <c r="BP799" s="112"/>
      <c r="BQ799" s="112"/>
      <c r="BR799" s="112"/>
      <c r="BS799" s="112"/>
      <c r="BT799" s="112"/>
      <c r="BU799" s="112"/>
      <c r="BV799" s="112"/>
      <c r="BW799" s="112"/>
      <c r="BX799" s="112"/>
      <c r="BY799" s="112"/>
      <c r="BZ799" s="112"/>
    </row>
    <row r="800" spans="30:78" x14ac:dyDescent="0.2">
      <c r="AD800" s="112"/>
      <c r="AE800" s="112"/>
      <c r="AF800" s="112"/>
      <c r="AG800" s="112"/>
      <c r="AH800" s="112"/>
      <c r="AI800" s="112"/>
      <c r="AJ800" s="112"/>
      <c r="AK800" s="112"/>
      <c r="AL800" s="112"/>
      <c r="AM800" s="112"/>
      <c r="AN800" s="112"/>
      <c r="AO800" s="112"/>
      <c r="AP800" s="112"/>
      <c r="AQ800" s="112"/>
      <c r="AR800" s="112"/>
      <c r="AS800" s="112"/>
      <c r="AT800" s="112"/>
      <c r="AU800" s="112"/>
      <c r="AV800" s="112"/>
      <c r="AW800" s="112"/>
      <c r="AX800" s="112"/>
      <c r="AY800" s="112"/>
      <c r="AZ800" s="112"/>
      <c r="BA800" s="112"/>
      <c r="BB800" s="112"/>
      <c r="BC800" s="112"/>
      <c r="BD800" s="112"/>
      <c r="BE800" s="112"/>
      <c r="BF800" s="112"/>
      <c r="BG800" s="112"/>
      <c r="BH800" s="112"/>
      <c r="BI800" s="112"/>
      <c r="BJ800" s="112"/>
      <c r="BK800" s="112"/>
      <c r="BL800" s="112"/>
      <c r="BM800" s="112"/>
      <c r="BN800" s="112"/>
      <c r="BO800" s="112"/>
      <c r="BP800" s="112"/>
      <c r="BQ800" s="112"/>
      <c r="BR800" s="112"/>
      <c r="BS800" s="112"/>
      <c r="BT800" s="112"/>
      <c r="BU800" s="112"/>
      <c r="BV800" s="112"/>
      <c r="BW800" s="112"/>
      <c r="BX800" s="112"/>
      <c r="BY800" s="112"/>
      <c r="BZ800" s="112"/>
    </row>
    <row r="801" spans="30:78" x14ac:dyDescent="0.2">
      <c r="AD801" s="112"/>
      <c r="AE801" s="112"/>
      <c r="AF801" s="112"/>
      <c r="AG801" s="112"/>
      <c r="AH801" s="112"/>
      <c r="AI801" s="112"/>
      <c r="AJ801" s="112"/>
      <c r="AK801" s="112"/>
      <c r="AL801" s="112"/>
      <c r="AM801" s="112"/>
      <c r="AN801" s="112"/>
      <c r="AO801" s="112"/>
      <c r="AP801" s="112"/>
      <c r="AQ801" s="112"/>
      <c r="AR801" s="112"/>
      <c r="AS801" s="112"/>
      <c r="AT801" s="112"/>
      <c r="AU801" s="112"/>
      <c r="AV801" s="112"/>
      <c r="AW801" s="112"/>
      <c r="AX801" s="112"/>
      <c r="AY801" s="112"/>
      <c r="AZ801" s="112"/>
      <c r="BA801" s="112"/>
      <c r="BB801" s="112"/>
      <c r="BC801" s="112"/>
      <c r="BD801" s="112"/>
      <c r="BE801" s="112"/>
      <c r="BF801" s="112"/>
      <c r="BG801" s="112"/>
      <c r="BH801" s="112"/>
      <c r="BI801" s="112"/>
      <c r="BJ801" s="112"/>
      <c r="BK801" s="112"/>
      <c r="BL801" s="112"/>
      <c r="BM801" s="112"/>
      <c r="BN801" s="112"/>
      <c r="BO801" s="112"/>
      <c r="BP801" s="112"/>
      <c r="BQ801" s="112"/>
      <c r="BR801" s="112"/>
      <c r="BS801" s="112"/>
      <c r="BT801" s="112"/>
      <c r="BU801" s="112"/>
      <c r="BV801" s="112"/>
      <c r="BW801" s="112"/>
      <c r="BX801" s="112"/>
      <c r="BY801" s="112"/>
      <c r="BZ801" s="112"/>
    </row>
    <row r="802" spans="30:78" x14ac:dyDescent="0.2">
      <c r="AD802" s="112"/>
      <c r="AE802" s="112"/>
      <c r="AF802" s="112"/>
      <c r="AG802" s="112"/>
      <c r="AH802" s="112"/>
      <c r="AI802" s="112"/>
      <c r="AJ802" s="112"/>
      <c r="AK802" s="112"/>
      <c r="AL802" s="112"/>
      <c r="AM802" s="112"/>
      <c r="AN802" s="112"/>
      <c r="AO802" s="112"/>
      <c r="AP802" s="112"/>
      <c r="AQ802" s="112"/>
      <c r="AR802" s="112"/>
      <c r="AS802" s="112"/>
      <c r="AT802" s="112"/>
      <c r="AU802" s="112"/>
      <c r="AV802" s="112"/>
      <c r="AW802" s="112"/>
      <c r="AX802" s="112"/>
      <c r="AY802" s="112"/>
      <c r="AZ802" s="112"/>
      <c r="BA802" s="112"/>
      <c r="BB802" s="112"/>
      <c r="BC802" s="112"/>
      <c r="BD802" s="112"/>
      <c r="BE802" s="112"/>
      <c r="BF802" s="112"/>
      <c r="BG802" s="112"/>
      <c r="BH802" s="112"/>
      <c r="BI802" s="112"/>
      <c r="BJ802" s="112"/>
      <c r="BK802" s="112"/>
      <c r="BL802" s="112"/>
      <c r="BM802" s="112"/>
      <c r="BN802" s="112"/>
      <c r="BO802" s="112"/>
      <c r="BP802" s="112"/>
      <c r="BQ802" s="112"/>
      <c r="BR802" s="112"/>
      <c r="BS802" s="112"/>
      <c r="BT802" s="112"/>
      <c r="BU802" s="112"/>
      <c r="BV802" s="112"/>
      <c r="BW802" s="112"/>
      <c r="BX802" s="112"/>
      <c r="BY802" s="112"/>
      <c r="BZ802" s="112"/>
    </row>
    <row r="803" spans="30:78" x14ac:dyDescent="0.2">
      <c r="AD803" s="112"/>
      <c r="AE803" s="112"/>
      <c r="AF803" s="112"/>
      <c r="AG803" s="112"/>
      <c r="AH803" s="112"/>
      <c r="AI803" s="112"/>
      <c r="AJ803" s="112"/>
      <c r="AK803" s="112"/>
      <c r="AL803" s="112"/>
      <c r="AM803" s="112"/>
      <c r="AN803" s="112"/>
      <c r="AO803" s="112"/>
      <c r="AP803" s="112"/>
      <c r="AQ803" s="112"/>
      <c r="AR803" s="112"/>
      <c r="AS803" s="112"/>
      <c r="AT803" s="112"/>
      <c r="AU803" s="112"/>
      <c r="AV803" s="112"/>
      <c r="AW803" s="112"/>
      <c r="AX803" s="112"/>
      <c r="AY803" s="112"/>
      <c r="AZ803" s="112"/>
      <c r="BA803" s="112"/>
      <c r="BB803" s="112"/>
      <c r="BC803" s="112"/>
      <c r="BD803" s="112"/>
      <c r="BE803" s="112"/>
      <c r="BF803" s="112"/>
      <c r="BG803" s="112"/>
      <c r="BH803" s="112"/>
      <c r="BI803" s="112"/>
      <c r="BJ803" s="112"/>
      <c r="BK803" s="112"/>
      <c r="BL803" s="112"/>
      <c r="BM803" s="112"/>
      <c r="BN803" s="112"/>
      <c r="BO803" s="112"/>
      <c r="BP803" s="112"/>
      <c r="BQ803" s="112"/>
      <c r="BR803" s="112"/>
      <c r="BS803" s="112"/>
      <c r="BT803" s="112"/>
      <c r="BU803" s="112"/>
      <c r="BV803" s="112"/>
      <c r="BW803" s="112"/>
      <c r="BX803" s="112"/>
      <c r="BY803" s="112"/>
      <c r="BZ803" s="112"/>
    </row>
    <row r="804" spans="30:78" x14ac:dyDescent="0.2">
      <c r="AD804" s="112"/>
      <c r="AE804" s="112"/>
      <c r="AF804" s="112"/>
      <c r="AG804" s="112"/>
      <c r="AH804" s="112"/>
      <c r="AI804" s="112"/>
      <c r="AJ804" s="112"/>
      <c r="AK804" s="112"/>
      <c r="AL804" s="112"/>
      <c r="AM804" s="112"/>
      <c r="AN804" s="112"/>
      <c r="AO804" s="112"/>
      <c r="AP804" s="112"/>
      <c r="AQ804" s="112"/>
      <c r="AR804" s="112"/>
      <c r="AS804" s="112"/>
      <c r="AT804" s="112"/>
      <c r="AU804" s="112"/>
      <c r="AV804" s="112"/>
      <c r="AW804" s="112"/>
      <c r="AX804" s="112"/>
      <c r="AY804" s="112"/>
      <c r="AZ804" s="112"/>
      <c r="BA804" s="112"/>
      <c r="BB804" s="112"/>
      <c r="BC804" s="112"/>
      <c r="BD804" s="112"/>
      <c r="BE804" s="112"/>
      <c r="BF804" s="112"/>
      <c r="BG804" s="112"/>
      <c r="BH804" s="112"/>
      <c r="BI804" s="112"/>
      <c r="BJ804" s="112"/>
      <c r="BK804" s="112"/>
      <c r="BL804" s="112"/>
      <c r="BM804" s="112"/>
      <c r="BN804" s="112"/>
      <c r="BO804" s="112"/>
      <c r="BP804" s="112"/>
      <c r="BQ804" s="112"/>
      <c r="BR804" s="112"/>
      <c r="BS804" s="112"/>
      <c r="BT804" s="112"/>
      <c r="BU804" s="112"/>
      <c r="BV804" s="112"/>
      <c r="BW804" s="112"/>
      <c r="BX804" s="112"/>
      <c r="BY804" s="112"/>
      <c r="BZ804" s="112"/>
    </row>
    <row r="805" spans="30:78" x14ac:dyDescent="0.2">
      <c r="AD805" s="112"/>
      <c r="AE805" s="112"/>
      <c r="AF805" s="112"/>
      <c r="AG805" s="112"/>
      <c r="AH805" s="112"/>
      <c r="AI805" s="112"/>
      <c r="AJ805" s="112"/>
      <c r="AK805" s="112"/>
      <c r="AL805" s="112"/>
      <c r="AM805" s="112"/>
      <c r="AN805" s="112"/>
      <c r="AO805" s="112"/>
      <c r="AP805" s="112"/>
      <c r="AQ805" s="112"/>
      <c r="AR805" s="112"/>
      <c r="AS805" s="112"/>
      <c r="AT805" s="112"/>
      <c r="AU805" s="112"/>
      <c r="AV805" s="112"/>
      <c r="AW805" s="112"/>
      <c r="AX805" s="112"/>
      <c r="AY805" s="112"/>
      <c r="AZ805" s="112"/>
      <c r="BA805" s="112"/>
      <c r="BB805" s="112"/>
      <c r="BC805" s="112"/>
      <c r="BD805" s="112"/>
      <c r="BE805" s="112"/>
      <c r="BF805" s="112"/>
      <c r="BG805" s="112"/>
      <c r="BH805" s="112"/>
      <c r="BI805" s="112"/>
      <c r="BJ805" s="112"/>
      <c r="BK805" s="112"/>
      <c r="BL805" s="112"/>
      <c r="BM805" s="112"/>
      <c r="BN805" s="112"/>
      <c r="BO805" s="112"/>
      <c r="BP805" s="112"/>
      <c r="BQ805" s="112"/>
      <c r="BR805" s="112"/>
      <c r="BS805" s="112"/>
      <c r="BT805" s="112"/>
      <c r="BU805" s="112"/>
      <c r="BV805" s="112"/>
      <c r="BW805" s="112"/>
      <c r="BX805" s="112"/>
      <c r="BY805" s="112"/>
      <c r="BZ805" s="112"/>
    </row>
    <row r="806" spans="30:78" x14ac:dyDescent="0.2">
      <c r="AD806" s="112"/>
      <c r="AE806" s="112"/>
      <c r="AF806" s="112"/>
      <c r="AG806" s="112"/>
      <c r="AH806" s="112"/>
      <c r="AI806" s="112"/>
      <c r="AJ806" s="112"/>
      <c r="AK806" s="112"/>
      <c r="AL806" s="112"/>
      <c r="AM806" s="112"/>
      <c r="AN806" s="112"/>
      <c r="AO806" s="112"/>
      <c r="AP806" s="112"/>
      <c r="AQ806" s="112"/>
      <c r="AR806" s="112"/>
      <c r="AS806" s="112"/>
      <c r="AT806" s="112"/>
      <c r="AU806" s="112"/>
      <c r="AV806" s="112"/>
      <c r="AW806" s="112"/>
      <c r="AX806" s="112"/>
      <c r="AY806" s="112"/>
      <c r="AZ806" s="112"/>
      <c r="BA806" s="112"/>
      <c r="BB806" s="112"/>
      <c r="BC806" s="112"/>
      <c r="BD806" s="112"/>
      <c r="BE806" s="112"/>
      <c r="BF806" s="112"/>
      <c r="BG806" s="112"/>
      <c r="BH806" s="112"/>
      <c r="BI806" s="112"/>
      <c r="BJ806" s="112"/>
      <c r="BK806" s="112"/>
      <c r="BL806" s="112"/>
      <c r="BM806" s="112"/>
      <c r="BN806" s="112"/>
      <c r="BO806" s="112"/>
      <c r="BP806" s="112"/>
      <c r="BQ806" s="112"/>
      <c r="BR806" s="112"/>
      <c r="BS806" s="112"/>
      <c r="BT806" s="112"/>
      <c r="BU806" s="112"/>
      <c r="BV806" s="112"/>
      <c r="BW806" s="112"/>
      <c r="BX806" s="112"/>
      <c r="BY806" s="112"/>
      <c r="BZ806" s="112"/>
    </row>
    <row r="807" spans="30:78" x14ac:dyDescent="0.2">
      <c r="AD807" s="112"/>
      <c r="AE807" s="112"/>
      <c r="AF807" s="112"/>
      <c r="AG807" s="112"/>
      <c r="AH807" s="112"/>
      <c r="AI807" s="112"/>
      <c r="AJ807" s="112"/>
      <c r="AK807" s="112"/>
      <c r="AL807" s="112"/>
      <c r="AM807" s="112"/>
      <c r="AN807" s="112"/>
      <c r="AO807" s="112"/>
      <c r="AP807" s="112"/>
      <c r="AQ807" s="112"/>
      <c r="AR807" s="112"/>
      <c r="AS807" s="112"/>
      <c r="AT807" s="112"/>
      <c r="AU807" s="112"/>
      <c r="AV807" s="112"/>
      <c r="AW807" s="112"/>
      <c r="AX807" s="112"/>
      <c r="AY807" s="112"/>
      <c r="AZ807" s="112"/>
      <c r="BA807" s="112"/>
      <c r="BB807" s="112"/>
      <c r="BC807" s="112"/>
      <c r="BD807" s="112"/>
      <c r="BE807" s="112"/>
      <c r="BF807" s="112"/>
      <c r="BG807" s="112"/>
      <c r="BH807" s="112"/>
      <c r="BI807" s="112"/>
      <c r="BJ807" s="112"/>
      <c r="BK807" s="112"/>
      <c r="BL807" s="112"/>
      <c r="BM807" s="112"/>
      <c r="BN807" s="112"/>
      <c r="BO807" s="112"/>
      <c r="BP807" s="112"/>
      <c r="BQ807" s="112"/>
      <c r="BR807" s="112"/>
      <c r="BS807" s="112"/>
      <c r="BT807" s="112"/>
      <c r="BU807" s="112"/>
      <c r="BV807" s="112"/>
      <c r="BW807" s="112"/>
      <c r="BX807" s="112"/>
      <c r="BY807" s="112"/>
      <c r="BZ807" s="112"/>
    </row>
    <row r="808" spans="30:78" x14ac:dyDescent="0.2">
      <c r="AD808" s="112"/>
      <c r="AE808" s="112"/>
      <c r="AF808" s="112"/>
      <c r="AG808" s="112"/>
      <c r="AH808" s="112"/>
      <c r="AI808" s="112"/>
      <c r="AJ808" s="112"/>
      <c r="AK808" s="112"/>
      <c r="AL808" s="112"/>
      <c r="AM808" s="112"/>
      <c r="AN808" s="112"/>
      <c r="AO808" s="112"/>
      <c r="AP808" s="112"/>
      <c r="AQ808" s="112"/>
      <c r="AR808" s="112"/>
      <c r="AS808" s="112"/>
      <c r="AT808" s="112"/>
      <c r="AU808" s="112"/>
      <c r="AV808" s="112"/>
      <c r="AW808" s="112"/>
      <c r="AX808" s="112"/>
      <c r="AY808" s="112"/>
      <c r="AZ808" s="112"/>
      <c r="BA808" s="112"/>
      <c r="BB808" s="112"/>
      <c r="BC808" s="112"/>
      <c r="BD808" s="112"/>
      <c r="BE808" s="112"/>
      <c r="BF808" s="112"/>
      <c r="BG808" s="112"/>
      <c r="BH808" s="112"/>
      <c r="BI808" s="112"/>
      <c r="BJ808" s="112"/>
      <c r="BK808" s="112"/>
      <c r="BL808" s="112"/>
      <c r="BM808" s="112"/>
      <c r="BN808" s="112"/>
      <c r="BO808" s="112"/>
      <c r="BP808" s="112"/>
      <c r="BQ808" s="112"/>
      <c r="BR808" s="112"/>
      <c r="BS808" s="112"/>
      <c r="BT808" s="112"/>
      <c r="BU808" s="112"/>
      <c r="BV808" s="112"/>
      <c r="BW808" s="112"/>
      <c r="BX808" s="112"/>
      <c r="BY808" s="112"/>
      <c r="BZ808" s="112"/>
    </row>
    <row r="809" spans="30:78" x14ac:dyDescent="0.2">
      <c r="AD809" s="112"/>
      <c r="AE809" s="112"/>
      <c r="AF809" s="112"/>
      <c r="AG809" s="112"/>
      <c r="AH809" s="112"/>
      <c r="AI809" s="112"/>
      <c r="AJ809" s="112"/>
      <c r="AK809" s="112"/>
      <c r="AL809" s="112"/>
      <c r="AM809" s="112"/>
      <c r="AN809" s="112"/>
      <c r="AO809" s="112"/>
      <c r="AP809" s="112"/>
      <c r="AQ809" s="112"/>
      <c r="AR809" s="112"/>
      <c r="AS809" s="112"/>
      <c r="AT809" s="112"/>
      <c r="AU809" s="112"/>
      <c r="AV809" s="112"/>
      <c r="AW809" s="112"/>
      <c r="AX809" s="112"/>
      <c r="AY809" s="112"/>
      <c r="AZ809" s="112"/>
      <c r="BA809" s="112"/>
      <c r="BB809" s="112"/>
      <c r="BC809" s="112"/>
      <c r="BD809" s="112"/>
      <c r="BE809" s="112"/>
      <c r="BF809" s="112"/>
      <c r="BG809" s="112"/>
      <c r="BH809" s="112"/>
      <c r="BI809" s="112"/>
      <c r="BJ809" s="112"/>
      <c r="BK809" s="112"/>
      <c r="BL809" s="112"/>
      <c r="BM809" s="112"/>
      <c r="BN809" s="112"/>
      <c r="BO809" s="112"/>
      <c r="BP809" s="112"/>
      <c r="BQ809" s="112"/>
      <c r="BR809" s="112"/>
      <c r="BS809" s="112"/>
      <c r="BT809" s="112"/>
      <c r="BU809" s="112"/>
      <c r="BV809" s="112"/>
      <c r="BW809" s="112"/>
      <c r="BX809" s="112"/>
      <c r="BY809" s="112"/>
      <c r="BZ809" s="112"/>
    </row>
    <row r="810" spans="30:78" x14ac:dyDescent="0.2">
      <c r="AD810" s="112"/>
      <c r="AE810" s="112"/>
      <c r="AF810" s="112"/>
      <c r="AG810" s="112"/>
      <c r="AH810" s="112"/>
      <c r="AI810" s="112"/>
      <c r="AJ810" s="112"/>
      <c r="AK810" s="112"/>
      <c r="AL810" s="112"/>
      <c r="AM810" s="112"/>
      <c r="AN810" s="112"/>
      <c r="AO810" s="112"/>
      <c r="AP810" s="112"/>
      <c r="AQ810" s="112"/>
      <c r="AR810" s="112"/>
      <c r="AS810" s="112"/>
      <c r="AT810" s="112"/>
      <c r="AU810" s="112"/>
      <c r="AV810" s="112"/>
      <c r="AW810" s="112"/>
      <c r="AX810" s="112"/>
      <c r="AY810" s="112"/>
      <c r="AZ810" s="112"/>
      <c r="BA810" s="112"/>
      <c r="BB810" s="112"/>
      <c r="BC810" s="112"/>
      <c r="BD810" s="112"/>
      <c r="BE810" s="112"/>
      <c r="BF810" s="112"/>
      <c r="BG810" s="112"/>
      <c r="BH810" s="112"/>
      <c r="BI810" s="112"/>
      <c r="BJ810" s="112"/>
      <c r="BK810" s="112"/>
      <c r="BL810" s="112"/>
      <c r="BM810" s="112"/>
      <c r="BN810" s="112"/>
      <c r="BO810" s="112"/>
      <c r="BP810" s="112"/>
      <c r="BQ810" s="112"/>
      <c r="BR810" s="112"/>
      <c r="BS810" s="112"/>
      <c r="BT810" s="112"/>
      <c r="BU810" s="112"/>
      <c r="BV810" s="112"/>
      <c r="BW810" s="112"/>
      <c r="BX810" s="112"/>
      <c r="BY810" s="112"/>
      <c r="BZ810" s="112"/>
    </row>
    <row r="811" spans="30:78" x14ac:dyDescent="0.2">
      <c r="AD811" s="112"/>
      <c r="AE811" s="112"/>
      <c r="AF811" s="112"/>
      <c r="AG811" s="112"/>
      <c r="AH811" s="112"/>
      <c r="AI811" s="112"/>
      <c r="AJ811" s="112"/>
      <c r="AK811" s="112"/>
      <c r="AL811" s="112"/>
      <c r="AM811" s="112"/>
      <c r="AN811" s="112"/>
      <c r="AO811" s="112"/>
      <c r="AP811" s="112"/>
      <c r="AQ811" s="112"/>
      <c r="AR811" s="112"/>
      <c r="AS811" s="112"/>
      <c r="AT811" s="112"/>
      <c r="AU811" s="112"/>
      <c r="AV811" s="112"/>
      <c r="AW811" s="112"/>
      <c r="AX811" s="112"/>
      <c r="AY811" s="112"/>
      <c r="AZ811" s="112"/>
      <c r="BA811" s="112"/>
      <c r="BB811" s="112"/>
      <c r="BC811" s="112"/>
      <c r="BD811" s="112"/>
      <c r="BE811" s="112"/>
      <c r="BF811" s="112"/>
      <c r="BG811" s="112"/>
      <c r="BH811" s="112"/>
      <c r="BI811" s="112"/>
      <c r="BJ811" s="112"/>
      <c r="BK811" s="112"/>
      <c r="BL811" s="112"/>
      <c r="BM811" s="112"/>
      <c r="BN811" s="112"/>
      <c r="BO811" s="112"/>
      <c r="BP811" s="112"/>
      <c r="BQ811" s="112"/>
      <c r="BR811" s="112"/>
      <c r="BS811" s="112"/>
      <c r="BT811" s="112"/>
      <c r="BU811" s="112"/>
      <c r="BV811" s="112"/>
      <c r="BW811" s="112"/>
      <c r="BX811" s="112"/>
      <c r="BY811" s="112"/>
      <c r="BZ811" s="112"/>
    </row>
    <row r="812" spans="30:78" x14ac:dyDescent="0.2">
      <c r="AD812" s="112"/>
      <c r="AE812" s="112"/>
      <c r="AF812" s="112"/>
      <c r="AG812" s="112"/>
      <c r="AH812" s="112"/>
      <c r="AI812" s="112"/>
      <c r="AJ812" s="112"/>
      <c r="AK812" s="112"/>
      <c r="AL812" s="112"/>
      <c r="AM812" s="112"/>
      <c r="AN812" s="112"/>
      <c r="AO812" s="112"/>
      <c r="AP812" s="112"/>
      <c r="AQ812" s="112"/>
      <c r="AR812" s="112"/>
      <c r="AS812" s="112"/>
      <c r="AT812" s="112"/>
      <c r="AU812" s="112"/>
      <c r="AV812" s="112"/>
      <c r="AW812" s="112"/>
      <c r="AX812" s="112"/>
      <c r="AY812" s="112"/>
      <c r="AZ812" s="112"/>
      <c r="BA812" s="112"/>
      <c r="BB812" s="112"/>
      <c r="BC812" s="112"/>
      <c r="BD812" s="112"/>
      <c r="BE812" s="112"/>
      <c r="BF812" s="112"/>
      <c r="BG812" s="112"/>
      <c r="BH812" s="112"/>
      <c r="BI812" s="112"/>
      <c r="BJ812" s="112"/>
      <c r="BK812" s="112"/>
      <c r="BL812" s="112"/>
      <c r="BM812" s="112"/>
      <c r="BN812" s="112"/>
      <c r="BO812" s="112"/>
      <c r="BP812" s="112"/>
      <c r="BQ812" s="112"/>
      <c r="BR812" s="112"/>
      <c r="BS812" s="112"/>
      <c r="BT812" s="112"/>
      <c r="BU812" s="112"/>
      <c r="BV812" s="112"/>
      <c r="BW812" s="112"/>
      <c r="BX812" s="112"/>
      <c r="BY812" s="112"/>
      <c r="BZ812" s="112"/>
    </row>
    <row r="813" spans="30:78" x14ac:dyDescent="0.2">
      <c r="AD813" s="112"/>
      <c r="AE813" s="112"/>
      <c r="AF813" s="112"/>
      <c r="AG813" s="112"/>
      <c r="AH813" s="112"/>
      <c r="AI813" s="112"/>
      <c r="AJ813" s="112"/>
      <c r="AK813" s="112"/>
      <c r="AL813" s="112"/>
      <c r="AM813" s="112"/>
      <c r="AN813" s="112"/>
      <c r="AO813" s="112"/>
      <c r="AP813" s="112"/>
      <c r="AQ813" s="112"/>
      <c r="AR813" s="112"/>
      <c r="AS813" s="112"/>
      <c r="AT813" s="112"/>
      <c r="AU813" s="112"/>
      <c r="AV813" s="112"/>
      <c r="AW813" s="112"/>
      <c r="AX813" s="112"/>
      <c r="AY813" s="112"/>
      <c r="AZ813" s="112"/>
      <c r="BA813" s="112"/>
      <c r="BB813" s="112"/>
      <c r="BC813" s="112"/>
      <c r="BD813" s="112"/>
      <c r="BE813" s="112"/>
      <c r="BF813" s="112"/>
      <c r="BG813" s="112"/>
      <c r="BH813" s="112"/>
      <c r="BI813" s="112"/>
      <c r="BJ813" s="112"/>
      <c r="BK813" s="112"/>
      <c r="BL813" s="112"/>
      <c r="BM813" s="112"/>
      <c r="BN813" s="112"/>
      <c r="BO813" s="112"/>
      <c r="BP813" s="112"/>
      <c r="BQ813" s="112"/>
      <c r="BR813" s="112"/>
      <c r="BS813" s="112"/>
      <c r="BT813" s="112"/>
      <c r="BU813" s="112"/>
      <c r="BV813" s="112"/>
      <c r="BW813" s="112"/>
      <c r="BX813" s="112"/>
      <c r="BY813" s="112"/>
      <c r="BZ813" s="112"/>
    </row>
    <row r="814" spans="30:78" x14ac:dyDescent="0.2">
      <c r="AD814" s="112"/>
      <c r="AE814" s="112"/>
      <c r="AF814" s="112"/>
      <c r="AG814" s="112"/>
      <c r="AH814" s="112"/>
      <c r="AI814" s="112"/>
      <c r="AJ814" s="112"/>
      <c r="AK814" s="112"/>
      <c r="AL814" s="112"/>
      <c r="AM814" s="112"/>
      <c r="AN814" s="112"/>
      <c r="AO814" s="112"/>
      <c r="AP814" s="112"/>
      <c r="AQ814" s="112"/>
      <c r="AR814" s="112"/>
      <c r="AS814" s="112"/>
      <c r="AT814" s="112"/>
      <c r="AU814" s="112"/>
      <c r="AV814" s="112"/>
      <c r="AW814" s="112"/>
      <c r="AX814" s="112"/>
      <c r="AY814" s="112"/>
      <c r="AZ814" s="112"/>
      <c r="BA814" s="112"/>
      <c r="BB814" s="112"/>
      <c r="BC814" s="112"/>
      <c r="BD814" s="112"/>
      <c r="BE814" s="112"/>
      <c r="BF814" s="112"/>
      <c r="BG814" s="112"/>
      <c r="BH814" s="112"/>
      <c r="BI814" s="112"/>
      <c r="BJ814" s="112"/>
      <c r="BK814" s="112"/>
      <c r="BL814" s="112"/>
      <c r="BM814" s="112"/>
      <c r="BN814" s="112"/>
      <c r="BO814" s="112"/>
      <c r="BP814" s="112"/>
      <c r="BQ814" s="112"/>
      <c r="BR814" s="112"/>
      <c r="BS814" s="112"/>
      <c r="BT814" s="112"/>
      <c r="BU814" s="112"/>
      <c r="BV814" s="112"/>
      <c r="BW814" s="112"/>
      <c r="BX814" s="112"/>
      <c r="BY814" s="112"/>
      <c r="BZ814" s="112"/>
    </row>
    <row r="815" spans="30:78" x14ac:dyDescent="0.2">
      <c r="AD815" s="112"/>
      <c r="AE815" s="112"/>
      <c r="AF815" s="112"/>
      <c r="AG815" s="112"/>
      <c r="AH815" s="112"/>
      <c r="AI815" s="112"/>
      <c r="AJ815" s="112"/>
      <c r="AK815" s="112"/>
      <c r="AL815" s="112"/>
      <c r="AM815" s="112"/>
      <c r="AN815" s="112"/>
      <c r="AO815" s="112"/>
      <c r="AP815" s="112"/>
      <c r="AQ815" s="112"/>
      <c r="AR815" s="112"/>
      <c r="AS815" s="112"/>
      <c r="AT815" s="112"/>
      <c r="AU815" s="112"/>
      <c r="AV815" s="112"/>
      <c r="AW815" s="112"/>
      <c r="AX815" s="112"/>
      <c r="AY815" s="112"/>
      <c r="AZ815" s="112"/>
      <c r="BA815" s="112"/>
      <c r="BB815" s="112"/>
      <c r="BC815" s="112"/>
      <c r="BD815" s="112"/>
      <c r="BE815" s="112"/>
      <c r="BF815" s="112"/>
      <c r="BG815" s="112"/>
      <c r="BH815" s="112"/>
      <c r="BI815" s="112"/>
      <c r="BJ815" s="112"/>
      <c r="BK815" s="112"/>
      <c r="BL815" s="112"/>
      <c r="BM815" s="112"/>
      <c r="BN815" s="112"/>
      <c r="BO815" s="112"/>
      <c r="BP815" s="112"/>
      <c r="BQ815" s="112"/>
      <c r="BR815" s="112"/>
      <c r="BS815" s="112"/>
      <c r="BT815" s="112"/>
      <c r="BU815" s="112"/>
      <c r="BV815" s="112"/>
      <c r="BW815" s="112"/>
      <c r="BX815" s="112"/>
      <c r="BY815" s="112"/>
      <c r="BZ815" s="112"/>
    </row>
    <row r="816" spans="30:78" x14ac:dyDescent="0.2">
      <c r="AD816" s="112"/>
      <c r="AE816" s="112"/>
      <c r="AF816" s="112"/>
      <c r="AG816" s="112"/>
      <c r="AH816" s="112"/>
      <c r="AI816" s="112"/>
      <c r="AJ816" s="112"/>
      <c r="AK816" s="112"/>
      <c r="AL816" s="112"/>
      <c r="AM816" s="112"/>
      <c r="AN816" s="112"/>
      <c r="AO816" s="112"/>
      <c r="AP816" s="112"/>
      <c r="AQ816" s="112"/>
      <c r="AR816" s="112"/>
      <c r="AS816" s="112"/>
      <c r="AT816" s="112"/>
      <c r="AU816" s="112"/>
      <c r="AV816" s="112"/>
      <c r="AW816" s="112"/>
      <c r="AX816" s="112"/>
      <c r="AY816" s="112"/>
      <c r="AZ816" s="112"/>
      <c r="BA816" s="112"/>
      <c r="BB816" s="112"/>
      <c r="BC816" s="112"/>
      <c r="BD816" s="112"/>
      <c r="BE816" s="112"/>
      <c r="BF816" s="112"/>
      <c r="BG816" s="112"/>
      <c r="BH816" s="112"/>
      <c r="BI816" s="112"/>
      <c r="BJ816" s="112"/>
      <c r="BK816" s="112"/>
      <c r="BL816" s="112"/>
      <c r="BM816" s="112"/>
      <c r="BN816" s="112"/>
      <c r="BO816" s="112"/>
      <c r="BP816" s="112"/>
      <c r="BQ816" s="112"/>
      <c r="BR816" s="112"/>
      <c r="BS816" s="112"/>
      <c r="BT816" s="112"/>
      <c r="BU816" s="112"/>
      <c r="BV816" s="112"/>
      <c r="BW816" s="112"/>
      <c r="BX816" s="112"/>
      <c r="BY816" s="112"/>
      <c r="BZ816" s="112"/>
    </row>
    <row r="817" spans="30:78" x14ac:dyDescent="0.2">
      <c r="AD817" s="112"/>
      <c r="AE817" s="112"/>
      <c r="AF817" s="112"/>
      <c r="AG817" s="112"/>
      <c r="AH817" s="112"/>
      <c r="AI817" s="112"/>
      <c r="AJ817" s="112"/>
      <c r="AK817" s="112"/>
      <c r="AL817" s="112"/>
      <c r="AM817" s="112"/>
      <c r="AN817" s="112"/>
      <c r="AO817" s="112"/>
      <c r="AP817" s="112"/>
      <c r="AQ817" s="112"/>
      <c r="AR817" s="112"/>
      <c r="AS817" s="112"/>
      <c r="AT817" s="112"/>
      <c r="AU817" s="112"/>
      <c r="AV817" s="112"/>
      <c r="AW817" s="112"/>
      <c r="AX817" s="112"/>
      <c r="AY817" s="112"/>
      <c r="AZ817" s="112"/>
      <c r="BA817" s="112"/>
      <c r="BB817" s="112"/>
      <c r="BC817" s="112"/>
      <c r="BD817" s="112"/>
      <c r="BE817" s="112"/>
      <c r="BF817" s="112"/>
      <c r="BG817" s="112"/>
      <c r="BH817" s="112"/>
      <c r="BI817" s="112"/>
      <c r="BJ817" s="112"/>
      <c r="BK817" s="112"/>
      <c r="BL817" s="112"/>
      <c r="BM817" s="112"/>
      <c r="BN817" s="112"/>
      <c r="BO817" s="112"/>
      <c r="BP817" s="112"/>
      <c r="BQ817" s="112"/>
      <c r="BR817" s="112"/>
      <c r="BS817" s="112"/>
      <c r="BT817" s="112"/>
      <c r="BU817" s="112"/>
      <c r="BV817" s="112"/>
      <c r="BW817" s="112"/>
      <c r="BX817" s="112"/>
      <c r="BY817" s="112"/>
      <c r="BZ817" s="112"/>
    </row>
    <row r="818" spans="30:78" x14ac:dyDescent="0.2">
      <c r="AD818" s="112"/>
      <c r="AE818" s="112"/>
      <c r="AF818" s="112"/>
      <c r="AG818" s="112"/>
      <c r="AH818" s="112"/>
      <c r="AI818" s="112"/>
      <c r="AJ818" s="112"/>
      <c r="AK818" s="112"/>
      <c r="AL818" s="112"/>
      <c r="AM818" s="112"/>
      <c r="AN818" s="112"/>
      <c r="AO818" s="112"/>
      <c r="AP818" s="112"/>
      <c r="AQ818" s="112"/>
      <c r="AR818" s="112"/>
      <c r="AS818" s="112"/>
      <c r="AT818" s="112"/>
      <c r="AU818" s="112"/>
      <c r="AV818" s="112"/>
      <c r="AW818" s="112"/>
      <c r="AX818" s="112"/>
      <c r="AY818" s="112"/>
      <c r="AZ818" s="112"/>
      <c r="BA818" s="112"/>
      <c r="BB818" s="112"/>
      <c r="BC818" s="112"/>
      <c r="BD818" s="112"/>
      <c r="BE818" s="112"/>
      <c r="BF818" s="112"/>
      <c r="BG818" s="112"/>
      <c r="BH818" s="112"/>
      <c r="BI818" s="112"/>
      <c r="BJ818" s="112"/>
      <c r="BK818" s="112"/>
      <c r="BL818" s="112"/>
      <c r="BM818" s="112"/>
      <c r="BN818" s="112"/>
      <c r="BO818" s="112"/>
      <c r="BP818" s="112"/>
      <c r="BQ818" s="112"/>
      <c r="BR818" s="112"/>
      <c r="BS818" s="112"/>
      <c r="BT818" s="112"/>
      <c r="BU818" s="112"/>
      <c r="BV818" s="112"/>
      <c r="BW818" s="112"/>
      <c r="BX818" s="112"/>
      <c r="BY818" s="112"/>
      <c r="BZ818" s="112"/>
    </row>
    <row r="819" spans="30:78" x14ac:dyDescent="0.2">
      <c r="AD819" s="112"/>
      <c r="AE819" s="112"/>
      <c r="AF819" s="112"/>
      <c r="AG819" s="112"/>
      <c r="AH819" s="112"/>
      <c r="AI819" s="112"/>
      <c r="AJ819" s="112"/>
      <c r="AK819" s="112"/>
      <c r="AL819" s="112"/>
      <c r="AM819" s="112"/>
      <c r="AN819" s="112"/>
      <c r="AO819" s="112"/>
      <c r="AP819" s="112"/>
      <c r="AQ819" s="112"/>
      <c r="AR819" s="112"/>
      <c r="AS819" s="112"/>
      <c r="AT819" s="112"/>
      <c r="AU819" s="112"/>
      <c r="AV819" s="112"/>
      <c r="AW819" s="112"/>
      <c r="AX819" s="112"/>
      <c r="AY819" s="112"/>
      <c r="AZ819" s="112"/>
      <c r="BA819" s="112"/>
      <c r="BB819" s="112"/>
      <c r="BC819" s="112"/>
      <c r="BD819" s="112"/>
      <c r="BE819" s="112"/>
      <c r="BF819" s="112"/>
      <c r="BG819" s="112"/>
      <c r="BH819" s="112"/>
      <c r="BI819" s="112"/>
      <c r="BJ819" s="112"/>
      <c r="BK819" s="112"/>
      <c r="BL819" s="112"/>
      <c r="BM819" s="112"/>
      <c r="BN819" s="112"/>
      <c r="BO819" s="112"/>
      <c r="BP819" s="112"/>
      <c r="BQ819" s="112"/>
      <c r="BR819" s="112"/>
      <c r="BS819" s="112"/>
      <c r="BT819" s="112"/>
      <c r="BU819" s="112"/>
      <c r="BV819" s="112"/>
      <c r="BW819" s="112"/>
      <c r="BX819" s="112"/>
      <c r="BY819" s="112"/>
      <c r="BZ819" s="112"/>
    </row>
    <row r="820" spans="30:78" x14ac:dyDescent="0.2">
      <c r="AD820" s="112"/>
      <c r="AE820" s="112"/>
      <c r="AF820" s="112"/>
      <c r="AG820" s="112"/>
      <c r="AH820" s="112"/>
      <c r="AI820" s="112"/>
      <c r="AJ820" s="112"/>
      <c r="AK820" s="112"/>
      <c r="AL820" s="112"/>
      <c r="AM820" s="112"/>
      <c r="AN820" s="112"/>
      <c r="AO820" s="112"/>
      <c r="AP820" s="112"/>
      <c r="AQ820" s="112"/>
      <c r="AR820" s="112"/>
      <c r="AS820" s="112"/>
      <c r="AT820" s="112"/>
      <c r="AU820" s="112"/>
      <c r="AV820" s="112"/>
      <c r="AW820" s="112"/>
      <c r="AX820" s="112"/>
      <c r="AY820" s="112"/>
      <c r="AZ820" s="112"/>
      <c r="BA820" s="112"/>
      <c r="BB820" s="112"/>
      <c r="BC820" s="112"/>
      <c r="BD820" s="112"/>
      <c r="BE820" s="112"/>
      <c r="BF820" s="112"/>
      <c r="BG820" s="112"/>
      <c r="BH820" s="112"/>
      <c r="BI820" s="112"/>
      <c r="BJ820" s="112"/>
      <c r="BK820" s="112"/>
      <c r="BL820" s="112"/>
      <c r="BM820" s="112"/>
      <c r="BN820" s="112"/>
      <c r="BO820" s="112"/>
      <c r="BP820" s="112"/>
      <c r="BQ820" s="112"/>
      <c r="BR820" s="112"/>
      <c r="BS820" s="112"/>
      <c r="BT820" s="112"/>
      <c r="BU820" s="112"/>
      <c r="BV820" s="112"/>
      <c r="BW820" s="112"/>
      <c r="BX820" s="112"/>
      <c r="BY820" s="112"/>
      <c r="BZ820" s="112"/>
    </row>
    <row r="821" spans="30:78" x14ac:dyDescent="0.2">
      <c r="AD821" s="112"/>
      <c r="AE821" s="112"/>
      <c r="AF821" s="112"/>
      <c r="AG821" s="112"/>
      <c r="AH821" s="112"/>
      <c r="AI821" s="112"/>
      <c r="AJ821" s="112"/>
      <c r="AK821" s="112"/>
      <c r="AL821" s="112"/>
      <c r="AM821" s="112"/>
      <c r="AN821" s="112"/>
      <c r="AO821" s="112"/>
      <c r="AP821" s="112"/>
      <c r="AQ821" s="112"/>
      <c r="AR821" s="112"/>
      <c r="AS821" s="112"/>
      <c r="AT821" s="112"/>
      <c r="AU821" s="112"/>
      <c r="AV821" s="112"/>
      <c r="AW821" s="112"/>
      <c r="AX821" s="112"/>
      <c r="AY821" s="112"/>
      <c r="AZ821" s="112"/>
      <c r="BA821" s="112"/>
      <c r="BB821" s="112"/>
      <c r="BC821" s="112"/>
      <c r="BD821" s="112"/>
      <c r="BE821" s="112"/>
      <c r="BF821" s="112"/>
      <c r="BG821" s="112"/>
      <c r="BH821" s="112"/>
      <c r="BI821" s="112"/>
      <c r="BJ821" s="112"/>
      <c r="BK821" s="112"/>
      <c r="BL821" s="112"/>
      <c r="BM821" s="112"/>
      <c r="BN821" s="112"/>
      <c r="BO821" s="112"/>
      <c r="BP821" s="112"/>
      <c r="BQ821" s="112"/>
      <c r="BR821" s="112"/>
      <c r="BS821" s="112"/>
      <c r="BT821" s="112"/>
      <c r="BU821" s="112"/>
      <c r="BV821" s="112"/>
      <c r="BW821" s="112"/>
      <c r="BX821" s="112"/>
      <c r="BY821" s="112"/>
      <c r="BZ821" s="112"/>
    </row>
    <row r="822" spans="30:78" x14ac:dyDescent="0.2">
      <c r="AD822" s="112"/>
      <c r="AE822" s="112"/>
      <c r="AF822" s="112"/>
      <c r="AG822" s="112"/>
      <c r="AH822" s="112"/>
      <c r="AI822" s="112"/>
      <c r="AJ822" s="112"/>
      <c r="AK822" s="112"/>
      <c r="AL822" s="112"/>
      <c r="AM822" s="112"/>
      <c r="AN822" s="112"/>
      <c r="AO822" s="112"/>
      <c r="AP822" s="112"/>
      <c r="AQ822" s="112"/>
      <c r="AR822" s="112"/>
      <c r="AS822" s="112"/>
      <c r="AT822" s="112"/>
      <c r="AU822" s="112"/>
      <c r="AV822" s="112"/>
      <c r="AW822" s="112"/>
      <c r="AX822" s="112"/>
      <c r="AY822" s="112"/>
      <c r="AZ822" s="112"/>
      <c r="BA822" s="112"/>
      <c r="BB822" s="112"/>
      <c r="BC822" s="112"/>
      <c r="BD822" s="112"/>
      <c r="BE822" s="112"/>
      <c r="BF822" s="112"/>
      <c r="BG822" s="112"/>
      <c r="BH822" s="112"/>
      <c r="BI822" s="112"/>
      <c r="BJ822" s="112"/>
      <c r="BK822" s="112"/>
      <c r="BL822" s="112"/>
      <c r="BM822" s="112"/>
      <c r="BN822" s="112"/>
      <c r="BO822" s="112"/>
      <c r="BP822" s="112"/>
      <c r="BQ822" s="112"/>
      <c r="BR822" s="112"/>
      <c r="BS822" s="112"/>
      <c r="BT822" s="112"/>
      <c r="BU822" s="112"/>
      <c r="BV822" s="112"/>
      <c r="BW822" s="112"/>
      <c r="BX822" s="112"/>
      <c r="BY822" s="112"/>
      <c r="BZ822" s="112"/>
    </row>
    <row r="823" spans="30:78" x14ac:dyDescent="0.2">
      <c r="AD823" s="112"/>
      <c r="AE823" s="112"/>
      <c r="AF823" s="112"/>
      <c r="AG823" s="112"/>
      <c r="AH823" s="112"/>
      <c r="AI823" s="112"/>
      <c r="AJ823" s="112"/>
      <c r="AK823" s="112"/>
      <c r="AL823" s="112"/>
      <c r="AM823" s="112"/>
      <c r="AN823" s="112"/>
      <c r="AO823" s="112"/>
      <c r="AP823" s="112"/>
      <c r="AQ823" s="112"/>
      <c r="AR823" s="112"/>
      <c r="AS823" s="112"/>
      <c r="AT823" s="112"/>
      <c r="AU823" s="112"/>
      <c r="AV823" s="112"/>
      <c r="AW823" s="112"/>
      <c r="AX823" s="112"/>
      <c r="AY823" s="112"/>
      <c r="AZ823" s="112"/>
      <c r="BA823" s="112"/>
      <c r="BB823" s="112"/>
      <c r="BC823" s="112"/>
      <c r="BD823" s="112"/>
      <c r="BE823" s="112"/>
      <c r="BF823" s="112"/>
      <c r="BG823" s="112"/>
      <c r="BH823" s="112"/>
      <c r="BI823" s="112"/>
      <c r="BJ823" s="112"/>
      <c r="BK823" s="112"/>
      <c r="BL823" s="112"/>
      <c r="BM823" s="112"/>
      <c r="BN823" s="112"/>
      <c r="BO823" s="112"/>
      <c r="BP823" s="112"/>
      <c r="BQ823" s="112"/>
      <c r="BR823" s="112"/>
      <c r="BS823" s="112"/>
      <c r="BT823" s="112"/>
      <c r="BU823" s="112"/>
      <c r="BV823" s="112"/>
      <c r="BW823" s="112"/>
      <c r="BX823" s="112"/>
      <c r="BY823" s="112"/>
      <c r="BZ823" s="112"/>
    </row>
    <row r="824" spans="30:78" x14ac:dyDescent="0.2">
      <c r="AD824" s="112"/>
      <c r="AE824" s="112"/>
      <c r="AF824" s="112"/>
      <c r="AG824" s="112"/>
      <c r="AH824" s="112"/>
      <c r="AI824" s="112"/>
      <c r="AJ824" s="112"/>
      <c r="AK824" s="112"/>
      <c r="AL824" s="112"/>
      <c r="AM824" s="112"/>
      <c r="AN824" s="112"/>
      <c r="AO824" s="112"/>
      <c r="AP824" s="112"/>
      <c r="AQ824" s="112"/>
      <c r="AR824" s="112"/>
      <c r="AS824" s="112"/>
      <c r="AT824" s="112"/>
      <c r="AU824" s="112"/>
      <c r="AV824" s="112"/>
      <c r="AW824" s="112"/>
      <c r="AX824" s="112"/>
      <c r="AY824" s="112"/>
      <c r="AZ824" s="112"/>
      <c r="BA824" s="112"/>
      <c r="BB824" s="112"/>
      <c r="BC824" s="112"/>
      <c r="BD824" s="112"/>
      <c r="BE824" s="112"/>
      <c r="BF824" s="112"/>
      <c r="BG824" s="112"/>
      <c r="BH824" s="112"/>
      <c r="BI824" s="112"/>
      <c r="BJ824" s="112"/>
      <c r="BK824" s="112"/>
      <c r="BL824" s="112"/>
      <c r="BM824" s="112"/>
      <c r="BN824" s="112"/>
      <c r="BO824" s="112"/>
      <c r="BP824" s="112"/>
      <c r="BQ824" s="112"/>
      <c r="BR824" s="112"/>
      <c r="BS824" s="112"/>
      <c r="BT824" s="112"/>
      <c r="BU824" s="112"/>
      <c r="BV824" s="112"/>
      <c r="BW824" s="112"/>
      <c r="BX824" s="112"/>
      <c r="BY824" s="112"/>
      <c r="BZ824" s="112"/>
    </row>
    <row r="825" spans="30:78" x14ac:dyDescent="0.2">
      <c r="AD825" s="112"/>
      <c r="AE825" s="112"/>
      <c r="AF825" s="112"/>
      <c r="AG825" s="112"/>
      <c r="AH825" s="112"/>
      <c r="AI825" s="112"/>
      <c r="AJ825" s="112"/>
      <c r="AK825" s="112"/>
      <c r="AL825" s="112"/>
      <c r="AM825" s="112"/>
      <c r="AN825" s="112"/>
      <c r="AO825" s="112"/>
      <c r="AP825" s="112"/>
      <c r="AQ825" s="112"/>
      <c r="AR825" s="112"/>
      <c r="AS825" s="112"/>
      <c r="AT825" s="112"/>
      <c r="AU825" s="112"/>
      <c r="AV825" s="112"/>
      <c r="AW825" s="112"/>
      <c r="AX825" s="112"/>
      <c r="AY825" s="112"/>
      <c r="AZ825" s="112"/>
      <c r="BA825" s="112"/>
      <c r="BB825" s="112"/>
      <c r="BC825" s="112"/>
      <c r="BD825" s="112"/>
      <c r="BE825" s="112"/>
      <c r="BF825" s="112"/>
      <c r="BG825" s="112"/>
      <c r="BH825" s="112"/>
      <c r="BI825" s="112"/>
      <c r="BJ825" s="112"/>
      <c r="BK825" s="112"/>
      <c r="BL825" s="112"/>
      <c r="BM825" s="112"/>
      <c r="BN825" s="112"/>
      <c r="BO825" s="112"/>
      <c r="BP825" s="112"/>
      <c r="BQ825" s="112"/>
      <c r="BR825" s="112"/>
      <c r="BS825" s="112"/>
      <c r="BT825" s="112"/>
      <c r="BU825" s="112"/>
      <c r="BV825" s="112"/>
      <c r="BW825" s="112"/>
      <c r="BX825" s="112"/>
      <c r="BY825" s="112"/>
      <c r="BZ825" s="112"/>
    </row>
    <row r="826" spans="30:78" x14ac:dyDescent="0.2">
      <c r="AD826" s="112"/>
      <c r="AE826" s="112"/>
      <c r="AF826" s="112"/>
      <c r="AG826" s="112"/>
      <c r="AH826" s="112"/>
      <c r="AI826" s="112"/>
      <c r="AJ826" s="112"/>
      <c r="AK826" s="112"/>
      <c r="AL826" s="112"/>
      <c r="AM826" s="112"/>
      <c r="AN826" s="112"/>
      <c r="AO826" s="112"/>
      <c r="AP826" s="112"/>
      <c r="AQ826" s="112"/>
      <c r="AR826" s="112"/>
      <c r="AS826" s="112"/>
      <c r="AT826" s="112"/>
      <c r="AU826" s="112"/>
      <c r="AV826" s="112"/>
      <c r="AW826" s="112"/>
      <c r="AX826" s="112"/>
      <c r="AY826" s="112"/>
      <c r="AZ826" s="112"/>
      <c r="BA826" s="112"/>
      <c r="BB826" s="112"/>
      <c r="BC826" s="112"/>
      <c r="BD826" s="112"/>
      <c r="BE826" s="112"/>
      <c r="BF826" s="112"/>
      <c r="BG826" s="112"/>
      <c r="BH826" s="112"/>
      <c r="BI826" s="112"/>
      <c r="BJ826" s="112"/>
      <c r="BK826" s="112"/>
      <c r="BL826" s="112"/>
      <c r="BM826" s="112"/>
      <c r="BN826" s="112"/>
      <c r="BO826" s="112"/>
      <c r="BP826" s="112"/>
      <c r="BQ826" s="112"/>
      <c r="BR826" s="112"/>
      <c r="BS826" s="112"/>
      <c r="BT826" s="112"/>
      <c r="BU826" s="112"/>
      <c r="BV826" s="112"/>
      <c r="BW826" s="112"/>
      <c r="BX826" s="112"/>
      <c r="BY826" s="112"/>
      <c r="BZ826" s="112"/>
    </row>
    <row r="827" spans="30:78" x14ac:dyDescent="0.2">
      <c r="AD827" s="112"/>
      <c r="AE827" s="112"/>
      <c r="AF827" s="112"/>
      <c r="AG827" s="112"/>
      <c r="AH827" s="112"/>
      <c r="AI827" s="112"/>
      <c r="AJ827" s="112"/>
      <c r="AK827" s="112"/>
      <c r="AL827" s="112"/>
      <c r="AM827" s="112"/>
      <c r="AN827" s="112"/>
      <c r="AO827" s="112"/>
      <c r="AP827" s="112"/>
      <c r="AQ827" s="112"/>
      <c r="AR827" s="112"/>
      <c r="AS827" s="112"/>
      <c r="AT827" s="112"/>
      <c r="AU827" s="112"/>
      <c r="AV827" s="112"/>
      <c r="AW827" s="112"/>
      <c r="AX827" s="112"/>
      <c r="AY827" s="112"/>
      <c r="AZ827" s="112"/>
      <c r="BA827" s="112"/>
      <c r="BB827" s="112"/>
      <c r="BC827" s="112"/>
      <c r="BD827" s="112"/>
      <c r="BE827" s="112"/>
      <c r="BF827" s="112"/>
      <c r="BG827" s="112"/>
      <c r="BH827" s="112"/>
      <c r="BI827" s="112"/>
      <c r="BJ827" s="112"/>
      <c r="BK827" s="112"/>
      <c r="BL827" s="112"/>
      <c r="BM827" s="112"/>
      <c r="BN827" s="112"/>
      <c r="BO827" s="112"/>
      <c r="BP827" s="112"/>
      <c r="BQ827" s="112"/>
      <c r="BR827" s="112"/>
      <c r="BS827" s="112"/>
      <c r="BT827" s="112"/>
      <c r="BU827" s="112"/>
      <c r="BV827" s="112"/>
      <c r="BW827" s="112"/>
      <c r="BX827" s="112"/>
      <c r="BY827" s="112"/>
      <c r="BZ827" s="112"/>
    </row>
    <row r="828" spans="30:78" x14ac:dyDescent="0.2">
      <c r="AD828" s="112"/>
      <c r="AE828" s="112"/>
      <c r="AF828" s="112"/>
      <c r="AG828" s="112"/>
      <c r="AH828" s="112"/>
      <c r="AI828" s="112"/>
      <c r="AJ828" s="112"/>
      <c r="AK828" s="112"/>
      <c r="AL828" s="112"/>
      <c r="AM828" s="112"/>
      <c r="AN828" s="112"/>
      <c r="AO828" s="112"/>
      <c r="AP828" s="112"/>
      <c r="AQ828" s="112"/>
      <c r="AR828" s="112"/>
      <c r="AS828" s="112"/>
      <c r="AT828" s="112"/>
      <c r="AU828" s="112"/>
      <c r="AV828" s="112"/>
      <c r="AW828" s="112"/>
      <c r="AX828" s="112"/>
      <c r="AY828" s="112"/>
      <c r="AZ828" s="112"/>
      <c r="BA828" s="112"/>
      <c r="BB828" s="112"/>
      <c r="BC828" s="112"/>
      <c r="BD828" s="112"/>
      <c r="BE828" s="112"/>
      <c r="BF828" s="112"/>
      <c r="BG828" s="112"/>
      <c r="BH828" s="112"/>
      <c r="BI828" s="112"/>
      <c r="BJ828" s="112"/>
      <c r="BK828" s="112"/>
      <c r="BL828" s="112"/>
      <c r="BM828" s="112"/>
      <c r="BN828" s="112"/>
      <c r="BO828" s="112"/>
      <c r="BP828" s="112"/>
      <c r="BQ828" s="112"/>
      <c r="BR828" s="112"/>
      <c r="BS828" s="112"/>
      <c r="BT828" s="112"/>
      <c r="BU828" s="112"/>
      <c r="BV828" s="112"/>
      <c r="BW828" s="112"/>
      <c r="BX828" s="112"/>
      <c r="BY828" s="112"/>
      <c r="BZ828" s="112"/>
    </row>
    <row r="829" spans="30:78" x14ac:dyDescent="0.2">
      <c r="AD829" s="112"/>
      <c r="AE829" s="112"/>
      <c r="AF829" s="112"/>
      <c r="AG829" s="112"/>
      <c r="AH829" s="112"/>
      <c r="AI829" s="112"/>
      <c r="AJ829" s="112"/>
      <c r="AK829" s="112"/>
      <c r="AL829" s="112"/>
      <c r="AM829" s="112"/>
      <c r="AN829" s="112"/>
      <c r="AO829" s="112"/>
      <c r="AP829" s="112"/>
      <c r="AQ829" s="112"/>
      <c r="AR829" s="112"/>
      <c r="AS829" s="112"/>
      <c r="AT829" s="112"/>
      <c r="AU829" s="112"/>
      <c r="AV829" s="112"/>
      <c r="AW829" s="112"/>
      <c r="AX829" s="112"/>
      <c r="AY829" s="112"/>
      <c r="AZ829" s="112"/>
      <c r="BA829" s="112"/>
      <c r="BB829" s="112"/>
      <c r="BC829" s="112"/>
      <c r="BD829" s="112"/>
      <c r="BE829" s="112"/>
      <c r="BF829" s="112"/>
      <c r="BG829" s="112"/>
      <c r="BH829" s="112"/>
      <c r="BI829" s="112"/>
      <c r="BJ829" s="112"/>
      <c r="BK829" s="112"/>
      <c r="BL829" s="112"/>
      <c r="BM829" s="112"/>
      <c r="BN829" s="112"/>
      <c r="BO829" s="112"/>
      <c r="BP829" s="112"/>
      <c r="BQ829" s="112"/>
      <c r="BR829" s="112"/>
      <c r="BS829" s="112"/>
      <c r="BT829" s="112"/>
      <c r="BU829" s="112"/>
      <c r="BV829" s="112"/>
      <c r="BW829" s="112"/>
      <c r="BX829" s="112"/>
      <c r="BY829" s="112"/>
      <c r="BZ829" s="112"/>
    </row>
    <row r="830" spans="30:78" x14ac:dyDescent="0.2">
      <c r="AD830" s="112"/>
      <c r="AE830" s="112"/>
      <c r="AF830" s="112"/>
      <c r="AG830" s="112"/>
      <c r="AH830" s="112"/>
      <c r="AI830" s="112"/>
      <c r="AJ830" s="112"/>
      <c r="AK830" s="112"/>
      <c r="AL830" s="112"/>
      <c r="AM830" s="112"/>
      <c r="AN830" s="112"/>
      <c r="AO830" s="112"/>
      <c r="AP830" s="112"/>
      <c r="AQ830" s="112"/>
      <c r="AR830" s="112"/>
      <c r="AS830" s="112"/>
      <c r="AT830" s="112"/>
      <c r="AU830" s="112"/>
      <c r="AV830" s="112"/>
      <c r="AW830" s="112"/>
      <c r="AX830" s="112"/>
      <c r="AY830" s="112"/>
      <c r="AZ830" s="112"/>
      <c r="BA830" s="112"/>
      <c r="BB830" s="112"/>
      <c r="BC830" s="112"/>
      <c r="BD830" s="112"/>
      <c r="BE830" s="112"/>
      <c r="BF830" s="112"/>
      <c r="BG830" s="112"/>
      <c r="BH830" s="112"/>
      <c r="BI830" s="112"/>
      <c r="BJ830" s="112"/>
      <c r="BK830" s="112"/>
      <c r="BL830" s="112"/>
      <c r="BM830" s="112"/>
      <c r="BN830" s="112"/>
      <c r="BO830" s="112"/>
      <c r="BP830" s="112"/>
      <c r="BQ830" s="112"/>
      <c r="BR830" s="112"/>
      <c r="BS830" s="112"/>
      <c r="BT830" s="112"/>
      <c r="BU830" s="112"/>
      <c r="BV830" s="112"/>
      <c r="BW830" s="112"/>
      <c r="BX830" s="112"/>
      <c r="BY830" s="112"/>
      <c r="BZ830" s="112"/>
    </row>
    <row r="831" spans="30:78" x14ac:dyDescent="0.2">
      <c r="AD831" s="112"/>
      <c r="AE831" s="112"/>
      <c r="AF831" s="112"/>
      <c r="AG831" s="112"/>
      <c r="AH831" s="112"/>
      <c r="AI831" s="112"/>
      <c r="AJ831" s="112"/>
      <c r="AK831" s="112"/>
      <c r="AL831" s="112"/>
      <c r="AM831" s="112"/>
      <c r="AN831" s="112"/>
      <c r="AO831" s="112"/>
      <c r="AP831" s="112"/>
      <c r="AQ831" s="112"/>
      <c r="AR831" s="112"/>
      <c r="AS831" s="112"/>
      <c r="AT831" s="112"/>
      <c r="AU831" s="112"/>
      <c r="AV831" s="112"/>
      <c r="AW831" s="112"/>
      <c r="AX831" s="112"/>
      <c r="AY831" s="112"/>
      <c r="AZ831" s="112"/>
      <c r="BA831" s="112"/>
      <c r="BB831" s="112"/>
      <c r="BC831" s="112"/>
      <c r="BD831" s="112"/>
      <c r="BE831" s="112"/>
      <c r="BF831" s="112"/>
      <c r="BG831" s="112"/>
      <c r="BH831" s="112"/>
      <c r="BI831" s="112"/>
      <c r="BJ831" s="112"/>
      <c r="BK831" s="112"/>
      <c r="BL831" s="112"/>
      <c r="BM831" s="112"/>
      <c r="BN831" s="112"/>
      <c r="BO831" s="112"/>
      <c r="BP831" s="112"/>
      <c r="BQ831" s="112"/>
      <c r="BR831" s="112"/>
      <c r="BS831" s="112"/>
      <c r="BT831" s="112"/>
      <c r="BU831" s="112"/>
      <c r="BV831" s="112"/>
      <c r="BW831" s="112"/>
      <c r="BX831" s="112"/>
      <c r="BY831" s="112"/>
      <c r="BZ831" s="112"/>
    </row>
    <row r="832" spans="30:78" x14ac:dyDescent="0.2">
      <c r="AD832" s="112"/>
      <c r="AE832" s="112"/>
      <c r="AF832" s="112"/>
      <c r="AG832" s="112"/>
      <c r="AH832" s="112"/>
      <c r="AI832" s="112"/>
      <c r="AJ832" s="112"/>
      <c r="AK832" s="112"/>
      <c r="AL832" s="112"/>
      <c r="AM832" s="112"/>
      <c r="AN832" s="112"/>
      <c r="AO832" s="112"/>
      <c r="AP832" s="112"/>
      <c r="AQ832" s="112"/>
      <c r="AR832" s="112"/>
      <c r="AS832" s="112"/>
      <c r="AT832" s="112"/>
      <c r="AU832" s="112"/>
      <c r="AV832" s="112"/>
      <c r="AW832" s="112"/>
      <c r="AX832" s="112"/>
      <c r="AY832" s="112"/>
      <c r="AZ832" s="112"/>
      <c r="BA832" s="112"/>
      <c r="BB832" s="112"/>
      <c r="BC832" s="112"/>
      <c r="BD832" s="112"/>
      <c r="BE832" s="112"/>
      <c r="BF832" s="112"/>
      <c r="BG832" s="112"/>
      <c r="BH832" s="112"/>
      <c r="BI832" s="112"/>
      <c r="BJ832" s="112"/>
      <c r="BK832" s="112"/>
      <c r="BL832" s="112"/>
      <c r="BM832" s="112"/>
      <c r="BN832" s="112"/>
      <c r="BO832" s="112"/>
      <c r="BP832" s="112"/>
      <c r="BQ832" s="112"/>
      <c r="BR832" s="112"/>
      <c r="BS832" s="112"/>
      <c r="BT832" s="112"/>
      <c r="BU832" s="112"/>
      <c r="BV832" s="112"/>
      <c r="BW832" s="112"/>
      <c r="BX832" s="112"/>
      <c r="BY832" s="112"/>
      <c r="BZ832" s="112"/>
    </row>
    <row r="833" spans="30:78" x14ac:dyDescent="0.2">
      <c r="AD833" s="112"/>
      <c r="AE833" s="112"/>
      <c r="AF833" s="112"/>
      <c r="AG833" s="112"/>
      <c r="AH833" s="112"/>
      <c r="AI833" s="112"/>
      <c r="AJ833" s="112"/>
      <c r="AK833" s="112"/>
      <c r="AL833" s="112"/>
      <c r="AM833" s="112"/>
      <c r="AN833" s="112"/>
      <c r="AO833" s="112"/>
      <c r="AP833" s="112"/>
      <c r="AQ833" s="112"/>
      <c r="AR833" s="112"/>
      <c r="AS833" s="112"/>
      <c r="AT833" s="112"/>
      <c r="AU833" s="112"/>
      <c r="AV833" s="112"/>
      <c r="AW833" s="112"/>
      <c r="AX833" s="112"/>
      <c r="AY833" s="112"/>
      <c r="AZ833" s="112"/>
      <c r="BA833" s="112"/>
      <c r="BB833" s="112"/>
      <c r="BC833" s="112"/>
      <c r="BD833" s="112"/>
      <c r="BE833" s="112"/>
      <c r="BF833" s="112"/>
      <c r="BG833" s="112"/>
      <c r="BH833" s="112"/>
      <c r="BI833" s="112"/>
      <c r="BJ833" s="112"/>
      <c r="BK833" s="112"/>
      <c r="BL833" s="112"/>
      <c r="BM833" s="112"/>
      <c r="BN833" s="112"/>
      <c r="BO833" s="112"/>
      <c r="BP833" s="112"/>
      <c r="BQ833" s="112"/>
      <c r="BR833" s="112"/>
      <c r="BS833" s="112"/>
      <c r="BT833" s="112"/>
      <c r="BU833" s="112"/>
      <c r="BV833" s="112"/>
      <c r="BW833" s="112"/>
      <c r="BX833" s="112"/>
      <c r="BY833" s="112"/>
      <c r="BZ833" s="112"/>
    </row>
    <row r="834" spans="30:78" x14ac:dyDescent="0.2">
      <c r="AD834" s="112"/>
      <c r="AE834" s="112"/>
      <c r="AF834" s="112"/>
      <c r="AG834" s="112"/>
      <c r="AH834" s="112"/>
      <c r="AI834" s="112"/>
      <c r="AJ834" s="112"/>
      <c r="AK834" s="112"/>
      <c r="AL834" s="112"/>
      <c r="AM834" s="112"/>
      <c r="AN834" s="112"/>
      <c r="AO834" s="112"/>
      <c r="AP834" s="112"/>
      <c r="AQ834" s="112"/>
      <c r="AR834" s="112"/>
      <c r="AS834" s="112"/>
      <c r="AT834" s="112"/>
      <c r="AU834" s="112"/>
      <c r="AV834" s="112"/>
      <c r="AW834" s="112"/>
      <c r="AX834" s="112"/>
      <c r="AY834" s="112"/>
      <c r="AZ834" s="112"/>
      <c r="BA834" s="112"/>
      <c r="BB834" s="112"/>
      <c r="BC834" s="112"/>
      <c r="BD834" s="112"/>
      <c r="BE834" s="112"/>
      <c r="BF834" s="112"/>
      <c r="BG834" s="112"/>
      <c r="BH834" s="112"/>
      <c r="BI834" s="112"/>
      <c r="BJ834" s="112"/>
      <c r="BK834" s="112"/>
      <c r="BL834" s="112"/>
      <c r="BM834" s="112"/>
      <c r="BN834" s="112"/>
      <c r="BO834" s="112"/>
      <c r="BP834" s="112"/>
      <c r="BQ834" s="112"/>
      <c r="BR834" s="112"/>
      <c r="BS834" s="112"/>
      <c r="BT834" s="112"/>
      <c r="BU834" s="112"/>
      <c r="BV834" s="112"/>
      <c r="BW834" s="112"/>
      <c r="BX834" s="112"/>
      <c r="BY834" s="112"/>
      <c r="BZ834" s="112"/>
    </row>
    <row r="835" spans="30:78" x14ac:dyDescent="0.2">
      <c r="AD835" s="112"/>
      <c r="AE835" s="112"/>
      <c r="AF835" s="112"/>
      <c r="AG835" s="112"/>
      <c r="AH835" s="112"/>
      <c r="AI835" s="112"/>
      <c r="AJ835" s="112"/>
      <c r="AK835" s="112"/>
      <c r="AL835" s="112"/>
      <c r="AM835" s="112"/>
      <c r="AN835" s="112"/>
      <c r="AO835" s="112"/>
      <c r="AP835" s="112"/>
      <c r="AQ835" s="112"/>
      <c r="AR835" s="112"/>
      <c r="AS835" s="112"/>
      <c r="AT835" s="112"/>
      <c r="AU835" s="112"/>
      <c r="AV835" s="112"/>
      <c r="AW835" s="112"/>
      <c r="AX835" s="112"/>
      <c r="AY835" s="112"/>
      <c r="AZ835" s="112"/>
      <c r="BA835" s="112"/>
      <c r="BB835" s="112"/>
      <c r="BC835" s="112"/>
      <c r="BD835" s="112"/>
      <c r="BE835" s="112"/>
      <c r="BF835" s="112"/>
      <c r="BG835" s="112"/>
      <c r="BH835" s="112"/>
      <c r="BI835" s="112"/>
      <c r="BJ835" s="112"/>
      <c r="BK835" s="112"/>
      <c r="BL835" s="112"/>
      <c r="BM835" s="112"/>
      <c r="BN835" s="112"/>
      <c r="BO835" s="112"/>
      <c r="BP835" s="112"/>
      <c r="BQ835" s="112"/>
      <c r="BR835" s="112"/>
      <c r="BS835" s="112"/>
      <c r="BT835" s="112"/>
      <c r="BU835" s="112"/>
      <c r="BV835" s="112"/>
      <c r="BW835" s="112"/>
      <c r="BX835" s="112"/>
      <c r="BY835" s="112"/>
      <c r="BZ835" s="112"/>
    </row>
    <row r="836" spans="30:78" x14ac:dyDescent="0.2">
      <c r="AD836" s="112"/>
      <c r="AE836" s="112"/>
      <c r="AF836" s="112"/>
      <c r="AG836" s="112"/>
      <c r="AH836" s="112"/>
      <c r="AI836" s="112"/>
      <c r="AJ836" s="112"/>
      <c r="AK836" s="112"/>
      <c r="AL836" s="112"/>
      <c r="AM836" s="112"/>
      <c r="AN836" s="112"/>
      <c r="AO836" s="112"/>
      <c r="AP836" s="112"/>
      <c r="AQ836" s="112"/>
      <c r="AR836" s="112"/>
      <c r="AS836" s="112"/>
      <c r="AT836" s="112"/>
      <c r="AU836" s="112"/>
      <c r="AV836" s="112"/>
      <c r="AW836" s="112"/>
      <c r="AX836" s="112"/>
      <c r="AY836" s="112"/>
      <c r="AZ836" s="112"/>
      <c r="BA836" s="112"/>
      <c r="BB836" s="112"/>
      <c r="BC836" s="112"/>
      <c r="BD836" s="112"/>
      <c r="BE836" s="112"/>
      <c r="BF836" s="112"/>
      <c r="BG836" s="112"/>
      <c r="BH836" s="112"/>
      <c r="BI836" s="112"/>
      <c r="BJ836" s="112"/>
      <c r="BK836" s="112"/>
      <c r="BL836" s="112"/>
      <c r="BM836" s="112"/>
      <c r="BN836" s="112"/>
      <c r="BO836" s="112"/>
      <c r="BP836" s="112"/>
      <c r="BQ836" s="112"/>
      <c r="BR836" s="112"/>
      <c r="BS836" s="112"/>
      <c r="BT836" s="112"/>
      <c r="BU836" s="112"/>
      <c r="BV836" s="112"/>
      <c r="BW836" s="112"/>
      <c r="BX836" s="112"/>
      <c r="BY836" s="112"/>
      <c r="BZ836" s="112"/>
    </row>
    <row r="837" spans="30:78" x14ac:dyDescent="0.2">
      <c r="AD837" s="112"/>
      <c r="AE837" s="112"/>
      <c r="AF837" s="112"/>
      <c r="AG837" s="112"/>
      <c r="AH837" s="112"/>
      <c r="AI837" s="112"/>
      <c r="AJ837" s="112"/>
      <c r="AK837" s="112"/>
      <c r="AL837" s="112"/>
      <c r="AM837" s="112"/>
      <c r="AN837" s="112"/>
      <c r="AO837" s="112"/>
      <c r="AP837" s="112"/>
      <c r="AQ837" s="112"/>
      <c r="AR837" s="112"/>
      <c r="AS837" s="112"/>
      <c r="AT837" s="112"/>
      <c r="AU837" s="112"/>
      <c r="AV837" s="112"/>
      <c r="AW837" s="112"/>
      <c r="AX837" s="112"/>
      <c r="AY837" s="112"/>
      <c r="AZ837" s="112"/>
      <c r="BA837" s="112"/>
      <c r="BB837" s="112"/>
      <c r="BC837" s="112"/>
      <c r="BD837" s="112"/>
      <c r="BE837" s="112"/>
      <c r="BF837" s="112"/>
      <c r="BG837" s="112"/>
      <c r="BH837" s="112"/>
      <c r="BI837" s="112"/>
      <c r="BJ837" s="112"/>
      <c r="BK837" s="112"/>
      <c r="BL837" s="112"/>
      <c r="BM837" s="112"/>
      <c r="BN837" s="112"/>
      <c r="BO837" s="112"/>
      <c r="BP837" s="112"/>
      <c r="BQ837" s="112"/>
      <c r="BR837" s="112"/>
      <c r="BS837" s="112"/>
      <c r="BT837" s="112"/>
      <c r="BU837" s="112"/>
      <c r="BV837" s="112"/>
      <c r="BW837" s="112"/>
      <c r="BX837" s="112"/>
      <c r="BY837" s="112"/>
      <c r="BZ837" s="112"/>
    </row>
    <row r="838" spans="30:78" x14ac:dyDescent="0.2">
      <c r="AD838" s="112"/>
      <c r="AE838" s="112"/>
      <c r="AF838" s="112"/>
      <c r="AG838" s="112"/>
      <c r="AH838" s="112"/>
      <c r="AI838" s="112"/>
      <c r="AJ838" s="112"/>
      <c r="AK838" s="112"/>
      <c r="AL838" s="112"/>
      <c r="AM838" s="112"/>
      <c r="AN838" s="112"/>
      <c r="AO838" s="112"/>
      <c r="AP838" s="112"/>
      <c r="AQ838" s="112"/>
      <c r="AR838" s="112"/>
      <c r="AS838" s="112"/>
      <c r="AT838" s="112"/>
      <c r="AU838" s="112"/>
      <c r="AV838" s="112"/>
      <c r="AW838" s="112"/>
      <c r="AX838" s="112"/>
      <c r="AY838" s="112"/>
      <c r="AZ838" s="112"/>
      <c r="BA838" s="112"/>
      <c r="BB838" s="112"/>
      <c r="BC838" s="112"/>
      <c r="BD838" s="112"/>
      <c r="BE838" s="112"/>
      <c r="BF838" s="112"/>
      <c r="BG838" s="112"/>
      <c r="BH838" s="112"/>
      <c r="BI838" s="112"/>
      <c r="BJ838" s="112"/>
      <c r="BK838" s="112"/>
      <c r="BL838" s="112"/>
      <c r="BM838" s="112"/>
      <c r="BN838" s="112"/>
      <c r="BO838" s="112"/>
      <c r="BP838" s="112"/>
      <c r="BQ838" s="112"/>
      <c r="BR838" s="112"/>
      <c r="BS838" s="112"/>
      <c r="BT838" s="112"/>
      <c r="BU838" s="112"/>
      <c r="BV838" s="112"/>
      <c r="BW838" s="112"/>
      <c r="BX838" s="112"/>
      <c r="BY838" s="112"/>
      <c r="BZ838" s="112"/>
    </row>
    <row r="839" spans="30:78" x14ac:dyDescent="0.2">
      <c r="AD839" s="112"/>
      <c r="AE839" s="112"/>
      <c r="AF839" s="112"/>
      <c r="AG839" s="112"/>
      <c r="AH839" s="112"/>
      <c r="AI839" s="112"/>
      <c r="AJ839" s="112"/>
      <c r="AK839" s="112"/>
      <c r="AL839" s="112"/>
      <c r="AM839" s="112"/>
      <c r="AN839" s="112"/>
      <c r="AO839" s="112"/>
      <c r="AP839" s="112"/>
      <c r="AQ839" s="112"/>
      <c r="AR839" s="112"/>
      <c r="AS839" s="112"/>
      <c r="AT839" s="112"/>
      <c r="AU839" s="112"/>
      <c r="AV839" s="112"/>
      <c r="AW839" s="112"/>
      <c r="AX839" s="112"/>
      <c r="AY839" s="112"/>
      <c r="AZ839" s="112"/>
      <c r="BA839" s="112"/>
      <c r="BB839" s="112"/>
      <c r="BC839" s="112"/>
      <c r="BD839" s="112"/>
      <c r="BE839" s="112"/>
      <c r="BF839" s="112"/>
      <c r="BG839" s="112"/>
      <c r="BH839" s="112"/>
      <c r="BI839" s="112"/>
      <c r="BJ839" s="112"/>
      <c r="BK839" s="112"/>
      <c r="BL839" s="112"/>
      <c r="BM839" s="112"/>
      <c r="BN839" s="112"/>
      <c r="BO839" s="112"/>
      <c r="BP839" s="112"/>
      <c r="BQ839" s="112"/>
      <c r="BR839" s="112"/>
      <c r="BS839" s="112"/>
      <c r="BT839" s="112"/>
      <c r="BU839" s="112"/>
      <c r="BV839" s="112"/>
      <c r="BW839" s="112"/>
      <c r="BX839" s="112"/>
      <c r="BY839" s="112"/>
      <c r="BZ839" s="112"/>
    </row>
    <row r="840" spans="30:78" x14ac:dyDescent="0.2">
      <c r="AD840" s="112"/>
      <c r="AE840" s="112"/>
      <c r="AF840" s="112"/>
      <c r="AG840" s="112"/>
      <c r="AH840" s="112"/>
      <c r="AI840" s="112"/>
      <c r="AJ840" s="112"/>
      <c r="AK840" s="112"/>
      <c r="AL840" s="112"/>
      <c r="AM840" s="112"/>
      <c r="AN840" s="112"/>
      <c r="AO840" s="112"/>
      <c r="AP840" s="112"/>
      <c r="AQ840" s="112"/>
      <c r="AR840" s="112"/>
      <c r="AS840" s="112"/>
      <c r="AT840" s="112"/>
      <c r="AU840" s="112"/>
      <c r="AV840" s="112"/>
      <c r="AW840" s="112"/>
      <c r="AX840" s="112"/>
      <c r="AY840" s="112"/>
      <c r="AZ840" s="112"/>
      <c r="BA840" s="112"/>
      <c r="BB840" s="112"/>
      <c r="BC840" s="112"/>
      <c r="BD840" s="112"/>
      <c r="BE840" s="112"/>
      <c r="BF840" s="112"/>
      <c r="BG840" s="112"/>
      <c r="BH840" s="112"/>
      <c r="BI840" s="112"/>
      <c r="BJ840" s="112"/>
      <c r="BK840" s="112"/>
      <c r="BL840" s="112"/>
      <c r="BM840" s="112"/>
      <c r="BN840" s="112"/>
      <c r="BO840" s="112"/>
      <c r="BP840" s="112"/>
      <c r="BQ840" s="112"/>
      <c r="BR840" s="112"/>
      <c r="BS840" s="112"/>
      <c r="BT840" s="112"/>
      <c r="BU840" s="112"/>
      <c r="BV840" s="112"/>
      <c r="BW840" s="112"/>
      <c r="BX840" s="112"/>
      <c r="BY840" s="112"/>
      <c r="BZ840" s="112"/>
    </row>
    <row r="841" spans="30:78" x14ac:dyDescent="0.2">
      <c r="AD841" s="112"/>
      <c r="AE841" s="112"/>
      <c r="AF841" s="112"/>
      <c r="AG841" s="112"/>
      <c r="AH841" s="112"/>
      <c r="AI841" s="112"/>
      <c r="AJ841" s="112"/>
      <c r="AK841" s="112"/>
      <c r="AL841" s="112"/>
      <c r="AM841" s="112"/>
      <c r="AN841" s="112"/>
      <c r="AO841" s="112"/>
      <c r="AP841" s="112"/>
      <c r="AQ841" s="112"/>
      <c r="AR841" s="112"/>
      <c r="AS841" s="112"/>
      <c r="AT841" s="112"/>
      <c r="AU841" s="112"/>
      <c r="AV841" s="112"/>
      <c r="AW841" s="112"/>
      <c r="AX841" s="112"/>
      <c r="AY841" s="112"/>
      <c r="AZ841" s="112"/>
      <c r="BA841" s="112"/>
      <c r="BB841" s="112"/>
      <c r="BC841" s="112"/>
      <c r="BD841" s="112"/>
      <c r="BE841" s="112"/>
      <c r="BF841" s="112"/>
      <c r="BG841" s="112"/>
      <c r="BH841" s="112"/>
      <c r="BI841" s="112"/>
      <c r="BJ841" s="112"/>
      <c r="BK841" s="112"/>
      <c r="BL841" s="112"/>
      <c r="BM841" s="112"/>
      <c r="BN841" s="112"/>
      <c r="BO841" s="112"/>
      <c r="BP841" s="112"/>
      <c r="BQ841" s="112"/>
      <c r="BR841" s="112"/>
      <c r="BS841" s="112"/>
      <c r="BT841" s="112"/>
      <c r="BU841" s="112"/>
      <c r="BV841" s="112"/>
      <c r="BW841" s="112"/>
      <c r="BX841" s="112"/>
      <c r="BY841" s="112"/>
      <c r="BZ841" s="112"/>
    </row>
    <row r="842" spans="30:78" x14ac:dyDescent="0.2">
      <c r="AD842" s="112"/>
      <c r="AE842" s="112"/>
      <c r="AF842" s="112"/>
      <c r="AG842" s="112"/>
      <c r="AH842" s="112"/>
      <c r="AI842" s="112"/>
      <c r="AJ842" s="112"/>
      <c r="AK842" s="112"/>
      <c r="AL842" s="112"/>
      <c r="AM842" s="112"/>
      <c r="AN842" s="112"/>
      <c r="AO842" s="112"/>
      <c r="AP842" s="112"/>
      <c r="AQ842" s="112"/>
      <c r="AR842" s="112"/>
      <c r="AS842" s="112"/>
      <c r="AT842" s="112"/>
      <c r="AU842" s="112"/>
      <c r="AV842" s="112"/>
      <c r="AW842" s="112"/>
      <c r="AX842" s="112"/>
      <c r="AY842" s="112"/>
      <c r="AZ842" s="112"/>
      <c r="BA842" s="112"/>
      <c r="BB842" s="112"/>
      <c r="BC842" s="112"/>
      <c r="BD842" s="112"/>
      <c r="BE842" s="112"/>
      <c r="BF842" s="112"/>
      <c r="BG842" s="112"/>
      <c r="BH842" s="112"/>
      <c r="BI842" s="112"/>
      <c r="BJ842" s="112"/>
      <c r="BK842" s="112"/>
      <c r="BL842" s="112"/>
      <c r="BM842" s="112"/>
      <c r="BN842" s="112"/>
      <c r="BO842" s="112"/>
      <c r="BP842" s="112"/>
      <c r="BQ842" s="112"/>
      <c r="BR842" s="112"/>
      <c r="BS842" s="112"/>
      <c r="BT842" s="112"/>
      <c r="BU842" s="112"/>
      <c r="BV842" s="112"/>
      <c r="BW842" s="112"/>
      <c r="BX842" s="112"/>
      <c r="BY842" s="112"/>
      <c r="BZ842" s="112"/>
    </row>
    <row r="843" spans="30:78" x14ac:dyDescent="0.2">
      <c r="AD843" s="112"/>
      <c r="AE843" s="112"/>
      <c r="AF843" s="112"/>
      <c r="AG843" s="112"/>
      <c r="AH843" s="112"/>
      <c r="AI843" s="112"/>
      <c r="AJ843" s="112"/>
      <c r="AK843" s="112"/>
      <c r="AL843" s="112"/>
      <c r="AM843" s="112"/>
      <c r="AN843" s="112"/>
      <c r="AO843" s="112"/>
      <c r="AP843" s="112"/>
      <c r="AQ843" s="112"/>
      <c r="AR843" s="112"/>
      <c r="AS843" s="112"/>
      <c r="AT843" s="112"/>
      <c r="AU843" s="112"/>
      <c r="AV843" s="112"/>
      <c r="AW843" s="112"/>
      <c r="AX843" s="112"/>
      <c r="AY843" s="112"/>
      <c r="AZ843" s="112"/>
      <c r="BA843" s="112"/>
      <c r="BB843" s="112"/>
      <c r="BC843" s="112"/>
      <c r="BD843" s="112"/>
      <c r="BE843" s="112"/>
      <c r="BF843" s="112"/>
      <c r="BG843" s="112"/>
      <c r="BH843" s="112"/>
      <c r="BI843" s="112"/>
      <c r="BJ843" s="112"/>
      <c r="BK843" s="112"/>
      <c r="BL843" s="112"/>
      <c r="BM843" s="112"/>
      <c r="BN843" s="112"/>
      <c r="BO843" s="112"/>
      <c r="BP843" s="112"/>
      <c r="BQ843" s="112"/>
      <c r="BR843" s="112"/>
      <c r="BS843" s="112"/>
      <c r="BT843" s="112"/>
      <c r="BU843" s="112"/>
      <c r="BV843" s="112"/>
      <c r="BW843" s="112"/>
      <c r="BX843" s="112"/>
      <c r="BY843" s="112"/>
      <c r="BZ843" s="112"/>
    </row>
    <row r="844" spans="30:78" x14ac:dyDescent="0.2">
      <c r="AD844" s="112"/>
      <c r="AE844" s="112"/>
      <c r="AF844" s="112"/>
      <c r="AG844" s="112"/>
      <c r="AH844" s="112"/>
      <c r="AI844" s="112"/>
      <c r="AJ844" s="112"/>
      <c r="AK844" s="112"/>
      <c r="AL844" s="112"/>
      <c r="AM844" s="112"/>
      <c r="AN844" s="112"/>
      <c r="AO844" s="112"/>
      <c r="AP844" s="112"/>
      <c r="AQ844" s="112"/>
      <c r="AR844" s="112"/>
      <c r="AS844" s="112"/>
      <c r="AT844" s="112"/>
      <c r="AU844" s="112"/>
      <c r="AV844" s="112"/>
      <c r="AW844" s="112"/>
      <c r="AX844" s="112"/>
      <c r="AY844" s="112"/>
      <c r="AZ844" s="112"/>
      <c r="BA844" s="112"/>
      <c r="BB844" s="112"/>
      <c r="BC844" s="112"/>
      <c r="BD844" s="112"/>
      <c r="BE844" s="112"/>
      <c r="BF844" s="112"/>
      <c r="BG844" s="112"/>
      <c r="BH844" s="112"/>
      <c r="BI844" s="112"/>
      <c r="BJ844" s="112"/>
      <c r="BK844" s="112"/>
      <c r="BL844" s="112"/>
      <c r="BM844" s="112"/>
      <c r="BN844" s="112"/>
      <c r="BO844" s="112"/>
      <c r="BP844" s="112"/>
      <c r="BQ844" s="112"/>
      <c r="BR844" s="112"/>
      <c r="BS844" s="112"/>
      <c r="BT844" s="112"/>
      <c r="BU844" s="112"/>
      <c r="BV844" s="112"/>
      <c r="BW844" s="112"/>
      <c r="BX844" s="112"/>
      <c r="BY844" s="112"/>
      <c r="BZ844" s="112"/>
    </row>
    <row r="845" spans="30:78" x14ac:dyDescent="0.2">
      <c r="AD845" s="112"/>
      <c r="AE845" s="112"/>
      <c r="AF845" s="112"/>
      <c r="AG845" s="112"/>
      <c r="AH845" s="112"/>
      <c r="AI845" s="112"/>
      <c r="AJ845" s="112"/>
      <c r="AK845" s="112"/>
      <c r="AL845" s="112"/>
      <c r="AM845" s="112"/>
      <c r="AN845" s="112"/>
      <c r="AO845" s="112"/>
      <c r="AP845" s="112"/>
      <c r="AQ845" s="112"/>
      <c r="AR845" s="112"/>
      <c r="AS845" s="112"/>
      <c r="AT845" s="112"/>
      <c r="AU845" s="112"/>
      <c r="AV845" s="112"/>
      <c r="AW845" s="112"/>
      <c r="AX845" s="112"/>
      <c r="AY845" s="112"/>
      <c r="AZ845" s="112"/>
      <c r="BA845" s="112"/>
      <c r="BB845" s="112"/>
      <c r="BC845" s="112"/>
      <c r="BD845" s="112"/>
      <c r="BE845" s="112"/>
      <c r="BF845" s="112"/>
      <c r="BG845" s="112"/>
      <c r="BH845" s="112"/>
      <c r="BI845" s="112"/>
      <c r="BJ845" s="112"/>
      <c r="BK845" s="112"/>
      <c r="BL845" s="112"/>
      <c r="BM845" s="112"/>
      <c r="BN845" s="112"/>
      <c r="BO845" s="112"/>
      <c r="BP845" s="112"/>
      <c r="BQ845" s="112"/>
      <c r="BR845" s="112"/>
      <c r="BS845" s="112"/>
      <c r="BT845" s="112"/>
      <c r="BU845" s="112"/>
      <c r="BV845" s="112"/>
      <c r="BW845" s="112"/>
      <c r="BX845" s="112"/>
      <c r="BY845" s="112"/>
      <c r="BZ845" s="112"/>
    </row>
    <row r="846" spans="30:78" x14ac:dyDescent="0.2">
      <c r="AD846" s="112"/>
      <c r="AE846" s="112"/>
      <c r="AF846" s="112"/>
      <c r="AG846" s="112"/>
      <c r="AH846" s="112"/>
      <c r="AI846" s="112"/>
      <c r="AJ846" s="112"/>
      <c r="AK846" s="112"/>
      <c r="AL846" s="112"/>
      <c r="AM846" s="112"/>
      <c r="AN846" s="112"/>
      <c r="AO846" s="112"/>
      <c r="AP846" s="112"/>
      <c r="AQ846" s="112"/>
      <c r="AR846" s="112"/>
      <c r="AS846" s="112"/>
      <c r="AT846" s="112"/>
      <c r="AU846" s="112"/>
      <c r="AV846" s="112"/>
      <c r="AW846" s="112"/>
      <c r="AX846" s="112"/>
      <c r="AY846" s="112"/>
      <c r="AZ846" s="112"/>
      <c r="BA846" s="112"/>
      <c r="BB846" s="112"/>
      <c r="BC846" s="112"/>
      <c r="BD846" s="112"/>
      <c r="BE846" s="112"/>
      <c r="BF846" s="112"/>
      <c r="BG846" s="112"/>
      <c r="BH846" s="112"/>
      <c r="BI846" s="112"/>
      <c r="BJ846" s="112"/>
      <c r="BK846" s="112"/>
      <c r="BL846" s="112"/>
      <c r="BM846" s="112"/>
      <c r="BN846" s="112"/>
      <c r="BO846" s="112"/>
      <c r="BP846" s="112"/>
      <c r="BQ846" s="112"/>
      <c r="BR846" s="112"/>
      <c r="BS846" s="112"/>
      <c r="BT846" s="112"/>
      <c r="BU846" s="112"/>
      <c r="BV846" s="112"/>
      <c r="BW846" s="112"/>
      <c r="BX846" s="112"/>
      <c r="BY846" s="112"/>
      <c r="BZ846" s="112"/>
    </row>
    <row r="847" spans="30:78" x14ac:dyDescent="0.2">
      <c r="AD847" s="112"/>
      <c r="AE847" s="112"/>
      <c r="AF847" s="112"/>
      <c r="AG847" s="112"/>
      <c r="AH847" s="112"/>
      <c r="AI847" s="112"/>
      <c r="AJ847" s="112"/>
      <c r="AK847" s="112"/>
      <c r="AL847" s="112"/>
      <c r="AM847" s="112"/>
      <c r="AN847" s="112"/>
      <c r="AO847" s="112"/>
      <c r="AP847" s="112"/>
      <c r="AQ847" s="112"/>
      <c r="AR847" s="112"/>
      <c r="AS847" s="112"/>
      <c r="AT847" s="112"/>
      <c r="AU847" s="112"/>
      <c r="AV847" s="112"/>
      <c r="AW847" s="112"/>
      <c r="AX847" s="112"/>
      <c r="AY847" s="112"/>
      <c r="AZ847" s="112"/>
      <c r="BA847" s="112"/>
      <c r="BB847" s="112"/>
      <c r="BC847" s="112"/>
      <c r="BD847" s="112"/>
      <c r="BE847" s="112"/>
      <c r="BF847" s="112"/>
      <c r="BG847" s="112"/>
      <c r="BH847" s="112"/>
      <c r="BI847" s="112"/>
      <c r="BJ847" s="112"/>
      <c r="BK847" s="112"/>
      <c r="BL847" s="112"/>
      <c r="BM847" s="112"/>
      <c r="BN847" s="112"/>
      <c r="BO847" s="112"/>
      <c r="BP847" s="112"/>
      <c r="BQ847" s="112"/>
      <c r="BR847" s="112"/>
      <c r="BS847" s="112"/>
      <c r="BT847" s="112"/>
      <c r="BU847" s="112"/>
      <c r="BV847" s="112"/>
      <c r="BW847" s="112"/>
      <c r="BX847" s="112"/>
      <c r="BY847" s="112"/>
      <c r="BZ847" s="112"/>
    </row>
    <row r="848" spans="30:78" x14ac:dyDescent="0.2">
      <c r="AD848" s="112"/>
      <c r="AE848" s="112"/>
      <c r="AF848" s="112"/>
      <c r="AG848" s="112"/>
      <c r="AH848" s="112"/>
      <c r="AI848" s="112"/>
      <c r="AJ848" s="112"/>
      <c r="AK848" s="112"/>
      <c r="AL848" s="112"/>
      <c r="AM848" s="112"/>
      <c r="AN848" s="112"/>
      <c r="AO848" s="112"/>
      <c r="AP848" s="112"/>
      <c r="AQ848" s="112"/>
      <c r="AR848" s="112"/>
      <c r="AS848" s="112"/>
      <c r="AT848" s="112"/>
      <c r="AU848" s="112"/>
      <c r="AV848" s="112"/>
      <c r="AW848" s="112"/>
      <c r="AX848" s="112"/>
      <c r="AY848" s="112"/>
      <c r="AZ848" s="112"/>
      <c r="BA848" s="112"/>
      <c r="BB848" s="112"/>
      <c r="BC848" s="112"/>
      <c r="BD848" s="112"/>
      <c r="BE848" s="112"/>
      <c r="BF848" s="112"/>
      <c r="BG848" s="112"/>
      <c r="BH848" s="112"/>
      <c r="BI848" s="112"/>
      <c r="BJ848" s="112"/>
      <c r="BK848" s="112"/>
      <c r="BL848" s="112"/>
      <c r="BM848" s="112"/>
      <c r="BN848" s="112"/>
      <c r="BO848" s="112"/>
      <c r="BP848" s="112"/>
      <c r="BQ848" s="112"/>
      <c r="BR848" s="112"/>
      <c r="BS848" s="112"/>
      <c r="BT848" s="112"/>
      <c r="BU848" s="112"/>
      <c r="BV848" s="112"/>
      <c r="BW848" s="112"/>
      <c r="BX848" s="112"/>
      <c r="BY848" s="112"/>
      <c r="BZ848" s="112"/>
    </row>
    <row r="849" spans="30:78" x14ac:dyDescent="0.2">
      <c r="AD849" s="112"/>
      <c r="AE849" s="112"/>
      <c r="AF849" s="112"/>
      <c r="AG849" s="112"/>
      <c r="AH849" s="112"/>
      <c r="AI849" s="112"/>
      <c r="AJ849" s="112"/>
      <c r="AK849" s="112"/>
      <c r="AL849" s="112"/>
      <c r="AM849" s="112"/>
      <c r="AN849" s="112"/>
      <c r="AO849" s="112"/>
      <c r="AP849" s="112"/>
      <c r="AQ849" s="112"/>
      <c r="AR849" s="112"/>
      <c r="AS849" s="112"/>
      <c r="AT849" s="112"/>
      <c r="AU849" s="112"/>
      <c r="AV849" s="112"/>
      <c r="AW849" s="112"/>
      <c r="AX849" s="112"/>
      <c r="AY849" s="112"/>
      <c r="AZ849" s="112"/>
      <c r="BA849" s="112"/>
      <c r="BB849" s="112"/>
      <c r="BC849" s="112"/>
      <c r="BD849" s="112"/>
      <c r="BE849" s="112"/>
      <c r="BF849" s="112"/>
      <c r="BG849" s="112"/>
      <c r="BH849" s="112"/>
      <c r="BI849" s="112"/>
      <c r="BJ849" s="112"/>
      <c r="BK849" s="112"/>
      <c r="BL849" s="112"/>
      <c r="BM849" s="112"/>
      <c r="BN849" s="112"/>
      <c r="BO849" s="112"/>
      <c r="BP849" s="112"/>
      <c r="BQ849" s="112"/>
      <c r="BR849" s="112"/>
      <c r="BS849" s="112"/>
      <c r="BT849" s="112"/>
      <c r="BU849" s="112"/>
      <c r="BV849" s="112"/>
      <c r="BW849" s="112"/>
      <c r="BX849" s="112"/>
      <c r="BY849" s="112"/>
      <c r="BZ849" s="112"/>
    </row>
    <row r="850" spans="30:78" x14ac:dyDescent="0.2">
      <c r="AD850" s="112"/>
      <c r="AE850" s="112"/>
      <c r="AF850" s="112"/>
      <c r="AG850" s="112"/>
      <c r="AH850" s="112"/>
      <c r="AI850" s="112"/>
      <c r="AJ850" s="112"/>
      <c r="AK850" s="112"/>
      <c r="AL850" s="112"/>
      <c r="AM850" s="112"/>
      <c r="AN850" s="112"/>
      <c r="AO850" s="112"/>
      <c r="AP850" s="112"/>
      <c r="AQ850" s="112"/>
      <c r="AR850" s="112"/>
      <c r="AS850" s="112"/>
      <c r="AT850" s="112"/>
      <c r="AU850" s="112"/>
      <c r="AV850" s="112"/>
      <c r="AW850" s="112"/>
      <c r="AX850" s="112"/>
      <c r="AY850" s="112"/>
      <c r="AZ850" s="112"/>
      <c r="BA850" s="112"/>
      <c r="BB850" s="112"/>
      <c r="BC850" s="112"/>
      <c r="BD850" s="112"/>
      <c r="BE850" s="112"/>
      <c r="BF850" s="112"/>
      <c r="BG850" s="112"/>
      <c r="BH850" s="112"/>
      <c r="BI850" s="112"/>
      <c r="BJ850" s="112"/>
      <c r="BK850" s="112"/>
      <c r="BL850" s="112"/>
      <c r="BM850" s="112"/>
      <c r="BN850" s="112"/>
      <c r="BO850" s="112"/>
      <c r="BP850" s="112"/>
      <c r="BQ850" s="112"/>
      <c r="BR850" s="112"/>
      <c r="BS850" s="112"/>
      <c r="BT850" s="112"/>
      <c r="BU850" s="112"/>
      <c r="BV850" s="112"/>
      <c r="BW850" s="112"/>
      <c r="BX850" s="112"/>
      <c r="BY850" s="112"/>
      <c r="BZ850" s="112"/>
    </row>
    <row r="851" spans="30:78" x14ac:dyDescent="0.2">
      <c r="AD851" s="112"/>
      <c r="AE851" s="112"/>
      <c r="AF851" s="112"/>
      <c r="AG851" s="112"/>
      <c r="AH851" s="112"/>
      <c r="AI851" s="112"/>
      <c r="AJ851" s="112"/>
      <c r="AK851" s="112"/>
      <c r="AL851" s="112"/>
      <c r="AM851" s="112"/>
      <c r="AN851" s="112"/>
      <c r="AO851" s="112"/>
      <c r="AP851" s="112"/>
      <c r="AQ851" s="112"/>
      <c r="AR851" s="112"/>
      <c r="AS851" s="112"/>
      <c r="AT851" s="112"/>
      <c r="AU851" s="112"/>
      <c r="AV851" s="112"/>
      <c r="AW851" s="112"/>
      <c r="AX851" s="112"/>
      <c r="AY851" s="112"/>
      <c r="AZ851" s="112"/>
      <c r="BA851" s="112"/>
      <c r="BB851" s="112"/>
      <c r="BC851" s="112"/>
      <c r="BD851" s="112"/>
      <c r="BE851" s="112"/>
      <c r="BF851" s="112"/>
      <c r="BG851" s="112"/>
      <c r="BH851" s="112"/>
      <c r="BI851" s="112"/>
      <c r="BJ851" s="112"/>
      <c r="BK851" s="112"/>
      <c r="BL851" s="112"/>
      <c r="BM851" s="112"/>
      <c r="BN851" s="112"/>
      <c r="BO851" s="112"/>
      <c r="BP851" s="112"/>
      <c r="BQ851" s="112"/>
      <c r="BR851" s="112"/>
      <c r="BS851" s="112"/>
      <c r="BT851" s="112"/>
      <c r="BU851" s="112"/>
      <c r="BV851" s="112"/>
      <c r="BW851" s="112"/>
      <c r="BX851" s="112"/>
      <c r="BY851" s="112"/>
      <c r="BZ851" s="112"/>
    </row>
    <row r="852" spans="30:78" x14ac:dyDescent="0.2">
      <c r="AD852" s="112"/>
      <c r="AE852" s="112"/>
      <c r="AF852" s="112"/>
      <c r="AG852" s="112"/>
      <c r="AH852" s="112"/>
      <c r="AI852" s="112"/>
      <c r="AJ852" s="112"/>
      <c r="AK852" s="112"/>
      <c r="AL852" s="112"/>
      <c r="AM852" s="112"/>
      <c r="AN852" s="112"/>
      <c r="AO852" s="112"/>
      <c r="AP852" s="112"/>
      <c r="AQ852" s="112"/>
      <c r="AR852" s="112"/>
      <c r="AS852" s="112"/>
      <c r="AT852" s="112"/>
      <c r="AU852" s="112"/>
      <c r="AV852" s="112"/>
      <c r="AW852" s="112"/>
      <c r="AX852" s="112"/>
      <c r="AY852" s="112"/>
      <c r="AZ852" s="112"/>
      <c r="BA852" s="112"/>
      <c r="BB852" s="112"/>
      <c r="BC852" s="112"/>
      <c r="BD852" s="112"/>
      <c r="BE852" s="112"/>
      <c r="BF852" s="112"/>
      <c r="BG852" s="112"/>
      <c r="BH852" s="112"/>
      <c r="BI852" s="112"/>
      <c r="BJ852" s="112"/>
      <c r="BK852" s="112"/>
      <c r="BL852" s="112"/>
      <c r="BM852" s="112"/>
      <c r="BN852" s="112"/>
      <c r="BO852" s="112"/>
      <c r="BP852" s="112"/>
      <c r="BQ852" s="112"/>
      <c r="BR852" s="112"/>
      <c r="BS852" s="112"/>
      <c r="BT852" s="112"/>
      <c r="BU852" s="112"/>
      <c r="BV852" s="112"/>
      <c r="BW852" s="112"/>
      <c r="BX852" s="112"/>
      <c r="BY852" s="112"/>
      <c r="BZ852" s="112"/>
    </row>
    <row r="853" spans="30:78" x14ac:dyDescent="0.2">
      <c r="AD853" s="112"/>
      <c r="AE853" s="112"/>
      <c r="AF853" s="112"/>
      <c r="AG853" s="112"/>
      <c r="AH853" s="112"/>
      <c r="AI853" s="112"/>
      <c r="AJ853" s="112"/>
      <c r="AK853" s="112"/>
      <c r="AL853" s="112"/>
      <c r="AM853" s="112"/>
      <c r="AN853" s="112"/>
      <c r="AO853" s="112"/>
      <c r="AP853" s="112"/>
      <c r="AQ853" s="112"/>
      <c r="AR853" s="112"/>
      <c r="AS853" s="112"/>
      <c r="AT853" s="112"/>
      <c r="AU853" s="112"/>
      <c r="AV853" s="112"/>
      <c r="AW853" s="112"/>
      <c r="AX853" s="112"/>
      <c r="AY853" s="112"/>
      <c r="AZ853" s="112"/>
      <c r="BA853" s="112"/>
      <c r="BB853" s="112"/>
      <c r="BC853" s="112"/>
      <c r="BD853" s="112"/>
      <c r="BE853" s="112"/>
      <c r="BF853" s="112"/>
      <c r="BG853" s="112"/>
      <c r="BH853" s="112"/>
      <c r="BI853" s="112"/>
      <c r="BJ853" s="112"/>
      <c r="BK853" s="112"/>
      <c r="BL853" s="112"/>
      <c r="BM853" s="112"/>
      <c r="BN853" s="112"/>
      <c r="BO853" s="112"/>
      <c r="BP853" s="112"/>
      <c r="BQ853" s="112"/>
      <c r="BR853" s="112"/>
      <c r="BS853" s="112"/>
      <c r="BT853" s="112"/>
      <c r="BU853" s="112"/>
      <c r="BV853" s="112"/>
      <c r="BW853" s="112"/>
      <c r="BX853" s="112"/>
      <c r="BY853" s="112"/>
      <c r="BZ853" s="112"/>
    </row>
    <row r="854" spans="30:78" x14ac:dyDescent="0.2">
      <c r="AD854" s="112"/>
      <c r="AE854" s="112"/>
      <c r="AF854" s="112"/>
      <c r="AG854" s="112"/>
      <c r="AH854" s="112"/>
      <c r="AI854" s="112"/>
      <c r="AJ854" s="112"/>
      <c r="AK854" s="112"/>
      <c r="AL854" s="112"/>
      <c r="AM854" s="112"/>
      <c r="AN854" s="112"/>
      <c r="AO854" s="112"/>
      <c r="AP854" s="112"/>
      <c r="AQ854" s="112"/>
      <c r="AR854" s="112"/>
      <c r="AS854" s="112"/>
      <c r="AT854" s="112"/>
      <c r="AU854" s="112"/>
      <c r="AV854" s="112"/>
      <c r="AW854" s="112"/>
      <c r="AX854" s="112"/>
      <c r="AY854" s="112"/>
      <c r="AZ854" s="112"/>
      <c r="BA854" s="112"/>
      <c r="BB854" s="112"/>
      <c r="BC854" s="112"/>
      <c r="BD854" s="112"/>
      <c r="BE854" s="112"/>
      <c r="BF854" s="112"/>
      <c r="BG854" s="112"/>
      <c r="BH854" s="112"/>
      <c r="BI854" s="112"/>
      <c r="BJ854" s="112"/>
      <c r="BK854" s="112"/>
      <c r="BL854" s="112"/>
      <c r="BM854" s="112"/>
      <c r="BN854" s="112"/>
      <c r="BO854" s="112"/>
      <c r="BP854" s="112"/>
      <c r="BQ854" s="112"/>
      <c r="BR854" s="112"/>
      <c r="BS854" s="112"/>
      <c r="BT854" s="112"/>
      <c r="BU854" s="112"/>
      <c r="BV854" s="112"/>
      <c r="BW854" s="112"/>
      <c r="BX854" s="112"/>
      <c r="BY854" s="112"/>
      <c r="BZ854" s="112"/>
    </row>
    <row r="855" spans="30:78" x14ac:dyDescent="0.2">
      <c r="AD855" s="112"/>
      <c r="AE855" s="112"/>
      <c r="AF855" s="112"/>
      <c r="AG855" s="112"/>
      <c r="AH855" s="112"/>
      <c r="AI855" s="112"/>
      <c r="AJ855" s="112"/>
      <c r="AK855" s="112"/>
      <c r="AL855" s="112"/>
      <c r="AM855" s="112"/>
      <c r="AN855" s="112"/>
      <c r="AO855" s="112"/>
      <c r="AP855" s="112"/>
      <c r="AQ855" s="112"/>
      <c r="AR855" s="112"/>
      <c r="AS855" s="112"/>
      <c r="AT855" s="112"/>
      <c r="AU855" s="112"/>
      <c r="AV855" s="112"/>
      <c r="AW855" s="112"/>
      <c r="AX855" s="112"/>
      <c r="AY855" s="112"/>
      <c r="AZ855" s="112"/>
      <c r="BA855" s="112"/>
      <c r="BB855" s="112"/>
      <c r="BC855" s="112"/>
      <c r="BD855" s="112"/>
      <c r="BE855" s="112"/>
      <c r="BF855" s="112"/>
      <c r="BG855" s="112"/>
      <c r="BH855" s="112"/>
      <c r="BI855" s="112"/>
      <c r="BJ855" s="112"/>
      <c r="BK855" s="112"/>
      <c r="BL855" s="112"/>
      <c r="BM855" s="112"/>
      <c r="BN855" s="112"/>
      <c r="BO855" s="112"/>
      <c r="BP855" s="112"/>
      <c r="BQ855" s="112"/>
      <c r="BR855" s="112"/>
      <c r="BS855" s="112"/>
      <c r="BT855" s="112"/>
      <c r="BU855" s="112"/>
      <c r="BV855" s="112"/>
      <c r="BW855" s="112"/>
      <c r="BX855" s="112"/>
      <c r="BY855" s="112"/>
      <c r="BZ855" s="112"/>
    </row>
    <row r="856" spans="30:78" x14ac:dyDescent="0.2">
      <c r="AD856" s="112"/>
      <c r="AE856" s="112"/>
      <c r="AF856" s="112"/>
      <c r="AG856" s="112"/>
      <c r="AH856" s="112"/>
      <c r="AI856" s="112"/>
      <c r="AJ856" s="112"/>
      <c r="AK856" s="112"/>
      <c r="AL856" s="112"/>
      <c r="AM856" s="112"/>
      <c r="AN856" s="112"/>
      <c r="AO856" s="112"/>
      <c r="AP856" s="112"/>
      <c r="AQ856" s="112"/>
      <c r="AR856" s="112"/>
      <c r="AS856" s="112"/>
      <c r="AT856" s="112"/>
      <c r="AU856" s="112"/>
      <c r="AV856" s="112"/>
      <c r="AW856" s="112"/>
      <c r="AX856" s="112"/>
      <c r="AY856" s="112"/>
      <c r="AZ856" s="112"/>
      <c r="BA856" s="112"/>
      <c r="BB856" s="112"/>
      <c r="BC856" s="112"/>
      <c r="BD856" s="112"/>
      <c r="BE856" s="112"/>
      <c r="BF856" s="112"/>
      <c r="BG856" s="112"/>
      <c r="BH856" s="112"/>
      <c r="BI856" s="112"/>
      <c r="BJ856" s="112"/>
      <c r="BK856" s="112"/>
      <c r="BL856" s="112"/>
      <c r="BM856" s="112"/>
      <c r="BN856" s="112"/>
      <c r="BO856" s="112"/>
      <c r="BP856" s="112"/>
      <c r="BQ856" s="112"/>
      <c r="BR856" s="112"/>
      <c r="BS856" s="112"/>
      <c r="BT856" s="112"/>
      <c r="BU856" s="112"/>
      <c r="BV856" s="112"/>
      <c r="BW856" s="112"/>
      <c r="BX856" s="112"/>
      <c r="BY856" s="112"/>
      <c r="BZ856" s="112"/>
    </row>
    <row r="857" spans="30:78" x14ac:dyDescent="0.2">
      <c r="AD857" s="112"/>
      <c r="AE857" s="112"/>
      <c r="AF857" s="112"/>
      <c r="AG857" s="112"/>
      <c r="AH857" s="112"/>
      <c r="AI857" s="112"/>
      <c r="AJ857" s="112"/>
      <c r="AK857" s="112"/>
      <c r="AL857" s="112"/>
      <c r="AM857" s="112"/>
      <c r="AN857" s="112"/>
      <c r="AO857" s="112"/>
      <c r="AP857" s="112"/>
      <c r="AQ857" s="112"/>
      <c r="AR857" s="112"/>
      <c r="AS857" s="112"/>
      <c r="AT857" s="112"/>
      <c r="AU857" s="112"/>
      <c r="AV857" s="112"/>
      <c r="AW857" s="112"/>
      <c r="AX857" s="112"/>
      <c r="AY857" s="112"/>
      <c r="AZ857" s="112"/>
      <c r="BA857" s="112"/>
      <c r="BB857" s="112"/>
      <c r="BC857" s="112"/>
      <c r="BD857" s="112"/>
      <c r="BE857" s="112"/>
      <c r="BF857" s="112"/>
      <c r="BG857" s="112"/>
      <c r="BH857" s="112"/>
      <c r="BI857" s="112"/>
      <c r="BJ857" s="112"/>
      <c r="BK857" s="112"/>
      <c r="BL857" s="112"/>
      <c r="BM857" s="112"/>
      <c r="BN857" s="112"/>
      <c r="BO857" s="112"/>
      <c r="BP857" s="112"/>
      <c r="BQ857" s="112"/>
      <c r="BR857" s="112"/>
      <c r="BS857" s="112"/>
      <c r="BT857" s="112"/>
      <c r="BU857" s="112"/>
      <c r="BV857" s="112"/>
      <c r="BW857" s="112"/>
      <c r="BX857" s="112"/>
      <c r="BY857" s="112"/>
      <c r="BZ857" s="112"/>
    </row>
    <row r="858" spans="30:78" x14ac:dyDescent="0.2">
      <c r="AD858" s="112"/>
      <c r="AE858" s="112"/>
      <c r="AF858" s="112"/>
      <c r="AG858" s="112"/>
      <c r="AH858" s="112"/>
      <c r="AI858" s="112"/>
      <c r="AJ858" s="112"/>
      <c r="AK858" s="112"/>
      <c r="AL858" s="112"/>
      <c r="AM858" s="112"/>
      <c r="AN858" s="112"/>
      <c r="AO858" s="112"/>
      <c r="AP858" s="112"/>
      <c r="AQ858" s="112"/>
      <c r="AR858" s="112"/>
      <c r="AS858" s="112"/>
      <c r="AT858" s="112"/>
      <c r="AU858" s="112"/>
      <c r="AV858" s="112"/>
      <c r="AW858" s="112"/>
      <c r="AX858" s="112"/>
      <c r="AY858" s="112"/>
      <c r="AZ858" s="112"/>
      <c r="BA858" s="112"/>
      <c r="BB858" s="112"/>
      <c r="BC858" s="112"/>
      <c r="BD858" s="112"/>
      <c r="BE858" s="112"/>
      <c r="BF858" s="112"/>
      <c r="BG858" s="112"/>
      <c r="BH858" s="112"/>
      <c r="BI858" s="112"/>
      <c r="BJ858" s="112"/>
      <c r="BK858" s="112"/>
      <c r="BL858" s="112"/>
      <c r="BM858" s="112"/>
      <c r="BN858" s="112"/>
      <c r="BO858" s="112"/>
      <c r="BP858" s="112"/>
      <c r="BQ858" s="112"/>
      <c r="BR858" s="112"/>
      <c r="BS858" s="112"/>
      <c r="BT858" s="112"/>
      <c r="BU858" s="112"/>
      <c r="BV858" s="112"/>
      <c r="BW858" s="112"/>
      <c r="BX858" s="112"/>
      <c r="BY858" s="112"/>
      <c r="BZ858" s="112"/>
    </row>
    <row r="859" spans="30:78" x14ac:dyDescent="0.2">
      <c r="AD859" s="112"/>
      <c r="AE859" s="112"/>
      <c r="AF859" s="112"/>
      <c r="AG859" s="112"/>
      <c r="AH859" s="112"/>
      <c r="AI859" s="112"/>
      <c r="AJ859" s="112"/>
      <c r="AK859" s="112"/>
      <c r="AL859" s="112"/>
      <c r="AM859" s="112"/>
      <c r="AN859" s="112"/>
      <c r="AO859" s="112"/>
      <c r="AP859" s="112"/>
      <c r="AQ859" s="112"/>
      <c r="AR859" s="112"/>
      <c r="AS859" s="112"/>
      <c r="AT859" s="112"/>
      <c r="AU859" s="112"/>
      <c r="AV859" s="112"/>
      <c r="AW859" s="112"/>
      <c r="AX859" s="112"/>
      <c r="AY859" s="112"/>
      <c r="AZ859" s="112"/>
      <c r="BA859" s="112"/>
      <c r="BB859" s="112"/>
      <c r="BC859" s="112"/>
      <c r="BD859" s="112"/>
      <c r="BE859" s="112"/>
      <c r="BF859" s="112"/>
      <c r="BG859" s="112"/>
      <c r="BH859" s="112"/>
      <c r="BI859" s="112"/>
      <c r="BJ859" s="112"/>
      <c r="BK859" s="112"/>
      <c r="BL859" s="112"/>
      <c r="BM859" s="112"/>
      <c r="BN859" s="112"/>
      <c r="BO859" s="112"/>
      <c r="BP859" s="112"/>
      <c r="BQ859" s="112"/>
      <c r="BR859" s="112"/>
      <c r="BS859" s="112"/>
      <c r="BT859" s="112"/>
      <c r="BU859" s="112"/>
      <c r="BV859" s="112"/>
      <c r="BW859" s="112"/>
      <c r="BX859" s="112"/>
      <c r="BY859" s="112"/>
      <c r="BZ859" s="112"/>
    </row>
    <row r="860" spans="30:78" x14ac:dyDescent="0.2">
      <c r="AD860" s="112"/>
      <c r="AE860" s="112"/>
      <c r="AF860" s="112"/>
      <c r="AG860" s="112"/>
      <c r="AH860" s="112"/>
      <c r="AI860" s="112"/>
      <c r="AJ860" s="112"/>
      <c r="AK860" s="112"/>
      <c r="AL860" s="112"/>
      <c r="AM860" s="112"/>
      <c r="AN860" s="112"/>
      <c r="AO860" s="112"/>
      <c r="AP860" s="112"/>
      <c r="AQ860" s="112"/>
      <c r="AR860" s="112"/>
      <c r="AS860" s="112"/>
      <c r="AT860" s="112"/>
      <c r="AU860" s="112"/>
      <c r="AV860" s="112"/>
      <c r="AW860" s="112"/>
      <c r="AX860" s="112"/>
      <c r="AY860" s="112"/>
      <c r="AZ860" s="112"/>
      <c r="BA860" s="112"/>
      <c r="BB860" s="112"/>
      <c r="BC860" s="112"/>
      <c r="BD860" s="112"/>
      <c r="BE860" s="112"/>
      <c r="BF860" s="112"/>
      <c r="BG860" s="112"/>
      <c r="BH860" s="112"/>
      <c r="BI860" s="112"/>
      <c r="BJ860" s="112"/>
      <c r="BK860" s="112"/>
      <c r="BL860" s="112"/>
      <c r="BM860" s="112"/>
      <c r="BN860" s="112"/>
      <c r="BO860" s="112"/>
      <c r="BP860" s="112"/>
      <c r="BQ860" s="112"/>
      <c r="BR860" s="112"/>
      <c r="BS860" s="112"/>
      <c r="BT860" s="112"/>
      <c r="BU860" s="112"/>
      <c r="BV860" s="112"/>
      <c r="BW860" s="112"/>
      <c r="BX860" s="112"/>
      <c r="BY860" s="112"/>
      <c r="BZ860" s="112"/>
    </row>
    <row r="861" spans="30:78" x14ac:dyDescent="0.2">
      <c r="AD861" s="112"/>
      <c r="AE861" s="112"/>
      <c r="AF861" s="112"/>
      <c r="AG861" s="112"/>
      <c r="AH861" s="112"/>
      <c r="AI861" s="112"/>
      <c r="AJ861" s="112"/>
      <c r="AK861" s="112"/>
      <c r="AL861" s="112"/>
      <c r="AM861" s="112"/>
      <c r="AN861" s="112"/>
      <c r="AO861" s="112"/>
      <c r="AP861" s="112"/>
      <c r="AQ861" s="112"/>
      <c r="AR861" s="112"/>
      <c r="AS861" s="112"/>
      <c r="AT861" s="112"/>
      <c r="AU861" s="112"/>
      <c r="AV861" s="112"/>
      <c r="AW861" s="112"/>
      <c r="AX861" s="112"/>
      <c r="AY861" s="112"/>
      <c r="AZ861" s="112"/>
      <c r="BA861" s="112"/>
      <c r="BB861" s="112"/>
      <c r="BC861" s="112"/>
      <c r="BD861" s="112"/>
      <c r="BE861" s="112"/>
      <c r="BF861" s="112"/>
      <c r="BG861" s="112"/>
      <c r="BH861" s="112"/>
      <c r="BI861" s="112"/>
      <c r="BJ861" s="112"/>
      <c r="BK861" s="112"/>
      <c r="BL861" s="112"/>
      <c r="BM861" s="112"/>
      <c r="BN861" s="112"/>
      <c r="BO861" s="112"/>
      <c r="BP861" s="112"/>
      <c r="BQ861" s="112"/>
      <c r="BR861" s="112"/>
      <c r="BS861" s="112"/>
      <c r="BT861" s="112"/>
      <c r="BU861" s="112"/>
      <c r="BV861" s="112"/>
      <c r="BW861" s="112"/>
      <c r="BX861" s="112"/>
      <c r="BY861" s="112"/>
      <c r="BZ861" s="112"/>
    </row>
    <row r="862" spans="30:78" x14ac:dyDescent="0.2">
      <c r="AD862" s="112"/>
      <c r="AE862" s="112"/>
      <c r="AF862" s="112"/>
      <c r="AG862" s="112"/>
      <c r="AH862" s="112"/>
      <c r="AI862" s="112"/>
      <c r="AJ862" s="112"/>
      <c r="AK862" s="112"/>
      <c r="AL862" s="112"/>
      <c r="AM862" s="112"/>
      <c r="AN862" s="112"/>
      <c r="AO862" s="112"/>
      <c r="AP862" s="112"/>
      <c r="AQ862" s="112"/>
      <c r="AR862" s="112"/>
      <c r="AS862" s="112"/>
      <c r="AT862" s="112"/>
      <c r="AU862" s="112"/>
      <c r="AV862" s="112"/>
      <c r="AW862" s="112"/>
      <c r="AX862" s="112"/>
      <c r="AY862" s="112"/>
      <c r="AZ862" s="112"/>
      <c r="BA862" s="112"/>
      <c r="BB862" s="112"/>
      <c r="BC862" s="112"/>
      <c r="BD862" s="112"/>
      <c r="BE862" s="112"/>
      <c r="BF862" s="112"/>
      <c r="BG862" s="112"/>
      <c r="BH862" s="112"/>
      <c r="BI862" s="112"/>
      <c r="BJ862" s="112"/>
      <c r="BK862" s="112"/>
      <c r="BL862" s="112"/>
      <c r="BM862" s="112"/>
      <c r="BN862" s="112"/>
      <c r="BO862" s="112"/>
      <c r="BP862" s="112"/>
      <c r="BQ862" s="112"/>
      <c r="BR862" s="112"/>
      <c r="BS862" s="112"/>
      <c r="BT862" s="112"/>
      <c r="BU862" s="112"/>
      <c r="BV862" s="112"/>
      <c r="BW862" s="112"/>
      <c r="BX862" s="112"/>
      <c r="BY862" s="112"/>
      <c r="BZ862" s="112"/>
    </row>
    <row r="863" spans="30:78" x14ac:dyDescent="0.2">
      <c r="AD863" s="112"/>
      <c r="AE863" s="112"/>
      <c r="AF863" s="112"/>
      <c r="AG863" s="112"/>
      <c r="AH863" s="112"/>
      <c r="AI863" s="112"/>
      <c r="AJ863" s="112"/>
      <c r="AK863" s="112"/>
      <c r="AL863" s="112"/>
      <c r="AM863" s="112"/>
      <c r="AN863" s="112"/>
      <c r="AO863" s="112"/>
      <c r="AP863" s="112"/>
      <c r="AQ863" s="112"/>
      <c r="AR863" s="112"/>
      <c r="AS863" s="112"/>
      <c r="AT863" s="112"/>
      <c r="AU863" s="112"/>
      <c r="AV863" s="112"/>
      <c r="AW863" s="112"/>
      <c r="AX863" s="112"/>
      <c r="AY863" s="112"/>
      <c r="AZ863" s="112"/>
      <c r="BA863" s="112"/>
      <c r="BB863" s="112"/>
      <c r="BC863" s="112"/>
      <c r="BD863" s="112"/>
      <c r="BE863" s="112"/>
      <c r="BF863" s="112"/>
      <c r="BG863" s="112"/>
      <c r="BH863" s="112"/>
      <c r="BI863" s="112"/>
      <c r="BJ863" s="112"/>
      <c r="BK863" s="112"/>
      <c r="BL863" s="112"/>
      <c r="BM863" s="112"/>
      <c r="BN863" s="112"/>
      <c r="BO863" s="112"/>
      <c r="BP863" s="112"/>
      <c r="BQ863" s="112"/>
      <c r="BR863" s="112"/>
      <c r="BS863" s="112"/>
      <c r="BT863" s="112"/>
      <c r="BU863" s="112"/>
      <c r="BV863" s="112"/>
      <c r="BW863" s="112"/>
      <c r="BX863" s="112"/>
      <c r="BY863" s="112"/>
      <c r="BZ863" s="112"/>
    </row>
    <row r="864" spans="30:78" x14ac:dyDescent="0.2">
      <c r="AD864" s="112"/>
      <c r="AE864" s="112"/>
      <c r="AF864" s="112"/>
      <c r="AG864" s="112"/>
      <c r="AH864" s="112"/>
      <c r="AI864" s="112"/>
      <c r="AJ864" s="112"/>
      <c r="AK864" s="112"/>
      <c r="AL864" s="112"/>
      <c r="AM864" s="112"/>
      <c r="AN864" s="112"/>
      <c r="AO864" s="112"/>
      <c r="AP864" s="112"/>
      <c r="AQ864" s="112"/>
      <c r="AR864" s="112"/>
      <c r="AS864" s="112"/>
      <c r="AT864" s="112"/>
      <c r="AU864" s="112"/>
      <c r="AV864" s="112"/>
      <c r="AW864" s="112"/>
      <c r="AX864" s="112"/>
      <c r="AY864" s="112"/>
      <c r="AZ864" s="112"/>
      <c r="BA864" s="112"/>
      <c r="BB864" s="112"/>
      <c r="BC864" s="112"/>
      <c r="BD864" s="112"/>
      <c r="BE864" s="112"/>
      <c r="BF864" s="112"/>
      <c r="BG864" s="112"/>
      <c r="BH864" s="112"/>
      <c r="BI864" s="112"/>
      <c r="BJ864" s="112"/>
      <c r="BK864" s="112"/>
      <c r="BL864" s="112"/>
      <c r="BM864" s="112"/>
      <c r="BN864" s="112"/>
      <c r="BO864" s="112"/>
      <c r="BP864" s="112"/>
      <c r="BQ864" s="112"/>
      <c r="BR864" s="112"/>
      <c r="BS864" s="112"/>
      <c r="BT864" s="112"/>
      <c r="BU864" s="112"/>
      <c r="BV864" s="112"/>
      <c r="BW864" s="112"/>
      <c r="BX864" s="112"/>
      <c r="BY864" s="112"/>
      <c r="BZ864" s="112"/>
    </row>
    <row r="865" spans="30:78" x14ac:dyDescent="0.2">
      <c r="AD865" s="112"/>
      <c r="AE865" s="112"/>
      <c r="AF865" s="112"/>
      <c r="AG865" s="112"/>
      <c r="AH865" s="112"/>
      <c r="AI865" s="112"/>
      <c r="AJ865" s="112"/>
      <c r="AK865" s="112"/>
      <c r="AL865" s="112"/>
      <c r="AM865" s="112"/>
      <c r="AN865" s="112"/>
      <c r="AO865" s="112"/>
      <c r="AP865" s="112"/>
      <c r="AQ865" s="112"/>
      <c r="AR865" s="112"/>
      <c r="AS865" s="112"/>
      <c r="AT865" s="112"/>
      <c r="AU865" s="112"/>
      <c r="AV865" s="112"/>
      <c r="AW865" s="112"/>
      <c r="AX865" s="112"/>
      <c r="AY865" s="112"/>
      <c r="AZ865" s="112"/>
      <c r="BA865" s="112"/>
      <c r="BB865" s="112"/>
      <c r="BC865" s="112"/>
      <c r="BD865" s="112"/>
      <c r="BE865" s="112"/>
      <c r="BF865" s="112"/>
      <c r="BG865" s="112"/>
      <c r="BH865" s="112"/>
      <c r="BI865" s="112"/>
      <c r="BJ865" s="112"/>
      <c r="BK865" s="112"/>
      <c r="BL865" s="112"/>
      <c r="BM865" s="112"/>
      <c r="BN865" s="112"/>
      <c r="BO865" s="112"/>
      <c r="BP865" s="112"/>
      <c r="BQ865" s="112"/>
      <c r="BR865" s="112"/>
      <c r="BS865" s="112"/>
      <c r="BT865" s="112"/>
      <c r="BU865" s="112"/>
      <c r="BV865" s="112"/>
      <c r="BW865" s="112"/>
      <c r="BX865" s="112"/>
      <c r="BY865" s="112"/>
      <c r="BZ865" s="112"/>
    </row>
    <row r="866" spans="30:78" x14ac:dyDescent="0.2">
      <c r="AD866" s="112"/>
      <c r="AE866" s="112"/>
      <c r="AF866" s="112"/>
      <c r="AG866" s="112"/>
      <c r="AH866" s="112"/>
      <c r="AI866" s="112"/>
      <c r="AJ866" s="112"/>
      <c r="AK866" s="112"/>
      <c r="AL866" s="112"/>
      <c r="AM866" s="112"/>
      <c r="AN866" s="112"/>
      <c r="AO866" s="112"/>
      <c r="AP866" s="112"/>
      <c r="AQ866" s="112"/>
      <c r="AR866" s="112"/>
      <c r="AS866" s="112"/>
      <c r="AT866" s="112"/>
      <c r="AU866" s="112"/>
      <c r="AV866" s="112"/>
      <c r="AW866" s="112"/>
      <c r="AX866" s="112"/>
      <c r="AY866" s="112"/>
      <c r="AZ866" s="112"/>
      <c r="BA866" s="112"/>
      <c r="BB866" s="112"/>
      <c r="BC866" s="112"/>
      <c r="BD866" s="112"/>
      <c r="BE866" s="112"/>
      <c r="BF866" s="112"/>
      <c r="BG866" s="112"/>
      <c r="BH866" s="112"/>
      <c r="BI866" s="112"/>
      <c r="BJ866" s="112"/>
      <c r="BK866" s="112"/>
      <c r="BL866" s="112"/>
      <c r="BM866" s="112"/>
      <c r="BN866" s="112"/>
      <c r="BO866" s="112"/>
      <c r="BP866" s="112"/>
      <c r="BQ866" s="112"/>
      <c r="BR866" s="112"/>
      <c r="BS866" s="112"/>
      <c r="BT866" s="112"/>
      <c r="BU866" s="112"/>
      <c r="BV866" s="112"/>
      <c r="BW866" s="112"/>
      <c r="BX866" s="112"/>
      <c r="BY866" s="112"/>
      <c r="BZ866" s="112"/>
    </row>
    <row r="867" spans="30:78" x14ac:dyDescent="0.2">
      <c r="AD867" s="112"/>
      <c r="AE867" s="112"/>
      <c r="AF867" s="112"/>
      <c r="AG867" s="112"/>
      <c r="AH867" s="112"/>
      <c r="AI867" s="112"/>
      <c r="AJ867" s="112"/>
      <c r="AK867" s="112"/>
      <c r="AL867" s="112"/>
      <c r="AM867" s="112"/>
      <c r="AN867" s="112"/>
      <c r="AO867" s="112"/>
      <c r="AP867" s="112"/>
      <c r="AQ867" s="112"/>
      <c r="AR867" s="112"/>
      <c r="AS867" s="112"/>
      <c r="AT867" s="112"/>
      <c r="AU867" s="112"/>
      <c r="AV867" s="112"/>
      <c r="AW867" s="112"/>
      <c r="AX867" s="112"/>
      <c r="AY867" s="112"/>
      <c r="AZ867" s="112"/>
      <c r="BA867" s="112"/>
      <c r="BB867" s="112"/>
      <c r="BC867" s="112"/>
      <c r="BD867" s="112"/>
      <c r="BE867" s="112"/>
      <c r="BF867" s="112"/>
      <c r="BG867" s="112"/>
      <c r="BH867" s="112"/>
      <c r="BI867" s="112"/>
      <c r="BJ867" s="112"/>
      <c r="BK867" s="112"/>
      <c r="BL867" s="112"/>
      <c r="BM867" s="112"/>
      <c r="BN867" s="112"/>
      <c r="BO867" s="112"/>
      <c r="BP867" s="112"/>
      <c r="BQ867" s="112"/>
      <c r="BR867" s="112"/>
      <c r="BS867" s="112"/>
      <c r="BT867" s="112"/>
      <c r="BU867" s="112"/>
      <c r="BV867" s="112"/>
      <c r="BW867" s="112"/>
      <c r="BX867" s="112"/>
      <c r="BY867" s="112"/>
      <c r="BZ867" s="112"/>
    </row>
    <row r="868" spans="30:78" x14ac:dyDescent="0.2">
      <c r="AD868" s="112"/>
      <c r="AE868" s="112"/>
      <c r="AF868" s="112"/>
      <c r="AG868" s="112"/>
      <c r="AH868" s="112"/>
      <c r="AI868" s="112"/>
      <c r="AJ868" s="112"/>
      <c r="AK868" s="112"/>
      <c r="AL868" s="112"/>
      <c r="AM868" s="112"/>
      <c r="AN868" s="112"/>
      <c r="AO868" s="112"/>
      <c r="AP868" s="112"/>
      <c r="AQ868" s="112"/>
      <c r="AR868" s="112"/>
      <c r="AS868" s="112"/>
      <c r="AT868" s="112"/>
      <c r="AU868" s="112"/>
      <c r="AV868" s="112"/>
      <c r="AW868" s="112"/>
      <c r="AX868" s="112"/>
      <c r="AY868" s="112"/>
      <c r="AZ868" s="112"/>
      <c r="BA868" s="112"/>
      <c r="BB868" s="112"/>
      <c r="BC868" s="112"/>
      <c r="BD868" s="112"/>
      <c r="BE868" s="112"/>
      <c r="BF868" s="112"/>
      <c r="BG868" s="112"/>
      <c r="BH868" s="112"/>
      <c r="BI868" s="112"/>
      <c r="BJ868" s="112"/>
      <c r="BK868" s="112"/>
      <c r="BL868" s="112"/>
      <c r="BM868" s="112"/>
      <c r="BN868" s="112"/>
      <c r="BO868" s="112"/>
      <c r="BP868" s="112"/>
      <c r="BQ868" s="112"/>
      <c r="BR868" s="112"/>
      <c r="BS868" s="112"/>
      <c r="BT868" s="112"/>
      <c r="BU868" s="112"/>
      <c r="BV868" s="112"/>
      <c r="BW868" s="112"/>
      <c r="BX868" s="112"/>
      <c r="BY868" s="112"/>
      <c r="BZ868" s="112"/>
    </row>
    <row r="869" spans="30:78" x14ac:dyDescent="0.2">
      <c r="AD869" s="112"/>
      <c r="AE869" s="112"/>
      <c r="AF869" s="112"/>
      <c r="AG869" s="112"/>
      <c r="AH869" s="112"/>
      <c r="AI869" s="112"/>
      <c r="AJ869" s="112"/>
      <c r="AK869" s="112"/>
      <c r="AL869" s="112"/>
      <c r="AM869" s="112"/>
      <c r="AN869" s="112"/>
      <c r="AO869" s="112"/>
      <c r="AP869" s="112"/>
      <c r="AQ869" s="112"/>
      <c r="AR869" s="112"/>
      <c r="AS869" s="112"/>
      <c r="AT869" s="112"/>
      <c r="AU869" s="112"/>
      <c r="AV869" s="112"/>
      <c r="AW869" s="112"/>
      <c r="AX869" s="112"/>
      <c r="AY869" s="112"/>
      <c r="AZ869" s="112"/>
      <c r="BA869" s="112"/>
      <c r="BB869" s="112"/>
      <c r="BC869" s="112"/>
      <c r="BD869" s="112"/>
      <c r="BE869" s="112"/>
      <c r="BF869" s="112"/>
      <c r="BG869" s="112"/>
      <c r="BH869" s="112"/>
      <c r="BI869" s="112"/>
      <c r="BJ869" s="112"/>
      <c r="BK869" s="112"/>
      <c r="BL869" s="112"/>
      <c r="BM869" s="112"/>
      <c r="BN869" s="112"/>
      <c r="BO869" s="112"/>
      <c r="BP869" s="112"/>
      <c r="BQ869" s="112"/>
      <c r="BR869" s="112"/>
      <c r="BS869" s="112"/>
      <c r="BT869" s="112"/>
      <c r="BU869" s="112"/>
      <c r="BV869" s="112"/>
      <c r="BW869" s="112"/>
      <c r="BX869" s="112"/>
      <c r="BY869" s="112"/>
      <c r="BZ869" s="112"/>
    </row>
    <row r="870" spans="30:78" x14ac:dyDescent="0.2">
      <c r="AD870" s="112"/>
      <c r="AE870" s="112"/>
      <c r="AF870" s="112"/>
      <c r="AG870" s="112"/>
      <c r="AH870" s="112"/>
      <c r="AI870" s="112"/>
      <c r="AJ870" s="112"/>
      <c r="AK870" s="112"/>
      <c r="AL870" s="112"/>
      <c r="AM870" s="112"/>
      <c r="AN870" s="112"/>
      <c r="AO870" s="112"/>
      <c r="AP870" s="112"/>
      <c r="AQ870" s="112"/>
      <c r="AR870" s="112"/>
      <c r="AS870" s="112"/>
      <c r="AT870" s="112"/>
      <c r="AU870" s="112"/>
      <c r="AV870" s="112"/>
      <c r="AW870" s="112"/>
      <c r="AX870" s="112"/>
      <c r="AY870" s="112"/>
      <c r="AZ870" s="112"/>
      <c r="BA870" s="112"/>
      <c r="BB870" s="112"/>
      <c r="BC870" s="112"/>
      <c r="BD870" s="112"/>
      <c r="BE870" s="112"/>
      <c r="BF870" s="112"/>
      <c r="BG870" s="112"/>
      <c r="BH870" s="112"/>
      <c r="BI870" s="112"/>
      <c r="BJ870" s="112"/>
      <c r="BK870" s="112"/>
      <c r="BL870" s="112"/>
      <c r="BM870" s="112"/>
      <c r="BN870" s="112"/>
      <c r="BO870" s="112"/>
      <c r="BP870" s="112"/>
      <c r="BQ870" s="112"/>
      <c r="BR870" s="112"/>
      <c r="BS870" s="112"/>
      <c r="BT870" s="112"/>
      <c r="BU870" s="112"/>
      <c r="BV870" s="112"/>
      <c r="BW870" s="112"/>
      <c r="BX870" s="112"/>
      <c r="BY870" s="112"/>
      <c r="BZ870" s="112"/>
    </row>
    <row r="871" spans="30:78" x14ac:dyDescent="0.2">
      <c r="AD871" s="112"/>
      <c r="AE871" s="112"/>
      <c r="AF871" s="112"/>
      <c r="AG871" s="112"/>
      <c r="AH871" s="112"/>
      <c r="AI871" s="112"/>
      <c r="AJ871" s="112"/>
      <c r="AK871" s="112"/>
      <c r="AL871" s="112"/>
      <c r="AM871" s="112"/>
      <c r="AN871" s="112"/>
      <c r="AO871" s="112"/>
      <c r="AP871" s="112"/>
      <c r="AQ871" s="112"/>
      <c r="AR871" s="112"/>
      <c r="AS871" s="112"/>
      <c r="AT871" s="112"/>
      <c r="AU871" s="112"/>
      <c r="AV871" s="112"/>
      <c r="AW871" s="112"/>
      <c r="AX871" s="112"/>
      <c r="AY871" s="112"/>
      <c r="AZ871" s="112"/>
      <c r="BA871" s="112"/>
      <c r="BB871" s="112"/>
      <c r="BC871" s="112"/>
      <c r="BD871" s="112"/>
      <c r="BE871" s="112"/>
      <c r="BF871" s="112"/>
      <c r="BG871" s="112"/>
      <c r="BH871" s="112"/>
      <c r="BI871" s="112"/>
      <c r="BJ871" s="112"/>
      <c r="BK871" s="112"/>
      <c r="BL871" s="112"/>
      <c r="BM871" s="112"/>
      <c r="BN871" s="112"/>
      <c r="BO871" s="112"/>
      <c r="BP871" s="112"/>
      <c r="BQ871" s="112"/>
      <c r="BR871" s="112"/>
      <c r="BS871" s="112"/>
      <c r="BT871" s="112"/>
      <c r="BU871" s="112"/>
      <c r="BV871" s="112"/>
      <c r="BW871" s="112"/>
      <c r="BX871" s="112"/>
      <c r="BY871" s="112"/>
      <c r="BZ871" s="112"/>
    </row>
    <row r="872" spans="30:78" x14ac:dyDescent="0.2">
      <c r="AD872" s="112"/>
      <c r="AE872" s="112"/>
      <c r="AF872" s="112"/>
      <c r="AG872" s="112"/>
      <c r="AH872" s="112"/>
      <c r="AI872" s="112"/>
      <c r="AJ872" s="112"/>
      <c r="AK872" s="112"/>
      <c r="AL872" s="112"/>
      <c r="AM872" s="112"/>
      <c r="AN872" s="112"/>
      <c r="AO872" s="112"/>
      <c r="AP872" s="112"/>
      <c r="AQ872" s="112"/>
      <c r="AR872" s="112"/>
      <c r="AS872" s="112"/>
      <c r="AT872" s="112"/>
      <c r="AU872" s="112"/>
      <c r="AV872" s="112"/>
      <c r="AW872" s="112"/>
      <c r="AX872" s="112"/>
      <c r="AY872" s="112"/>
      <c r="AZ872" s="112"/>
      <c r="BA872" s="112"/>
      <c r="BB872" s="112"/>
      <c r="BC872" s="112"/>
      <c r="BD872" s="112"/>
      <c r="BE872" s="112"/>
      <c r="BF872" s="112"/>
      <c r="BG872" s="112"/>
      <c r="BH872" s="112"/>
      <c r="BI872" s="112"/>
      <c r="BJ872" s="112"/>
      <c r="BK872" s="112"/>
      <c r="BL872" s="112"/>
      <c r="BM872" s="112"/>
      <c r="BN872" s="112"/>
      <c r="BO872" s="112"/>
      <c r="BP872" s="112"/>
      <c r="BQ872" s="112"/>
      <c r="BR872" s="112"/>
      <c r="BS872" s="112"/>
      <c r="BT872" s="112"/>
      <c r="BU872" s="112"/>
      <c r="BV872" s="112"/>
      <c r="BW872" s="112"/>
      <c r="BX872" s="112"/>
      <c r="BY872" s="112"/>
      <c r="BZ872" s="112"/>
    </row>
    <row r="873" spans="30:78" x14ac:dyDescent="0.2">
      <c r="AD873" s="112"/>
      <c r="AE873" s="112"/>
      <c r="AF873" s="112"/>
      <c r="AG873" s="112"/>
      <c r="AH873" s="112"/>
      <c r="AI873" s="112"/>
      <c r="AJ873" s="112"/>
      <c r="AK873" s="112"/>
      <c r="AL873" s="112"/>
      <c r="AM873" s="112"/>
      <c r="AN873" s="112"/>
      <c r="AO873" s="112"/>
      <c r="AP873" s="112"/>
      <c r="AQ873" s="112"/>
      <c r="AR873" s="112"/>
      <c r="AS873" s="112"/>
      <c r="AT873" s="112"/>
      <c r="AU873" s="112"/>
      <c r="AV873" s="112"/>
      <c r="AW873" s="112"/>
      <c r="AX873" s="112"/>
      <c r="AY873" s="112"/>
      <c r="AZ873" s="112"/>
      <c r="BA873" s="112"/>
      <c r="BB873" s="112"/>
      <c r="BC873" s="112"/>
      <c r="BD873" s="112"/>
      <c r="BE873" s="112"/>
      <c r="BF873" s="112"/>
      <c r="BG873" s="112"/>
      <c r="BH873" s="112"/>
      <c r="BI873" s="112"/>
      <c r="BJ873" s="112"/>
      <c r="BK873" s="112"/>
      <c r="BL873" s="112"/>
      <c r="BM873" s="112"/>
      <c r="BN873" s="112"/>
      <c r="BO873" s="112"/>
      <c r="BP873" s="112"/>
      <c r="BQ873" s="112"/>
      <c r="BR873" s="112"/>
      <c r="BS873" s="112"/>
      <c r="BT873" s="112"/>
      <c r="BU873" s="112"/>
      <c r="BV873" s="112"/>
      <c r="BW873" s="112"/>
      <c r="BX873" s="112"/>
      <c r="BY873" s="112"/>
      <c r="BZ873" s="112"/>
    </row>
    <row r="874" spans="30:78" x14ac:dyDescent="0.2">
      <c r="AD874" s="112"/>
      <c r="AE874" s="112"/>
      <c r="AF874" s="112"/>
      <c r="AG874" s="112"/>
      <c r="AH874" s="112"/>
      <c r="AI874" s="112"/>
      <c r="AJ874" s="112"/>
      <c r="AK874" s="112"/>
      <c r="AL874" s="112"/>
      <c r="AM874" s="112"/>
      <c r="AN874" s="112"/>
      <c r="AO874" s="112"/>
      <c r="AP874" s="112"/>
      <c r="AQ874" s="112"/>
      <c r="AR874" s="112"/>
      <c r="AS874" s="112"/>
      <c r="AT874" s="112"/>
      <c r="AU874" s="112"/>
      <c r="AV874" s="112"/>
      <c r="AW874" s="112"/>
      <c r="AX874" s="112"/>
      <c r="AY874" s="112"/>
      <c r="AZ874" s="112"/>
      <c r="BA874" s="112"/>
      <c r="BB874" s="112"/>
      <c r="BC874" s="112"/>
      <c r="BD874" s="112"/>
      <c r="BE874" s="112"/>
      <c r="BF874" s="112"/>
      <c r="BG874" s="112"/>
      <c r="BH874" s="112"/>
      <c r="BI874" s="112"/>
      <c r="BJ874" s="112"/>
      <c r="BK874" s="112"/>
      <c r="BL874" s="112"/>
      <c r="BM874" s="112"/>
      <c r="BN874" s="112"/>
      <c r="BO874" s="112"/>
      <c r="BP874" s="112"/>
      <c r="BQ874" s="112"/>
      <c r="BR874" s="112"/>
      <c r="BS874" s="112"/>
      <c r="BT874" s="112"/>
      <c r="BU874" s="112"/>
      <c r="BV874" s="112"/>
      <c r="BW874" s="112"/>
      <c r="BX874" s="112"/>
      <c r="BY874" s="112"/>
      <c r="BZ874" s="112"/>
    </row>
    <row r="875" spans="30:78" x14ac:dyDescent="0.2">
      <c r="AD875" s="112"/>
      <c r="AE875" s="112"/>
      <c r="AF875" s="112"/>
      <c r="AG875" s="112"/>
      <c r="AH875" s="112"/>
      <c r="AI875" s="112"/>
      <c r="AJ875" s="112"/>
      <c r="AK875" s="112"/>
      <c r="AL875" s="112"/>
      <c r="AM875" s="112"/>
      <c r="AN875" s="112"/>
      <c r="AO875" s="112"/>
      <c r="AP875" s="112"/>
      <c r="AQ875" s="112"/>
      <c r="AR875" s="112"/>
      <c r="AS875" s="112"/>
      <c r="AT875" s="112"/>
      <c r="AU875" s="112"/>
      <c r="AV875" s="112"/>
      <c r="AW875" s="112"/>
      <c r="AX875" s="112"/>
      <c r="AY875" s="112"/>
      <c r="AZ875" s="112"/>
      <c r="BA875" s="112"/>
      <c r="BB875" s="112"/>
      <c r="BC875" s="112"/>
      <c r="BD875" s="112"/>
      <c r="BE875" s="112"/>
      <c r="BF875" s="112"/>
      <c r="BG875" s="112"/>
      <c r="BH875" s="112"/>
      <c r="BI875" s="112"/>
      <c r="BJ875" s="112"/>
      <c r="BK875" s="112"/>
      <c r="BL875" s="112"/>
      <c r="BM875" s="112"/>
      <c r="BN875" s="112"/>
      <c r="BO875" s="112"/>
      <c r="BP875" s="112"/>
      <c r="BQ875" s="112"/>
      <c r="BR875" s="112"/>
      <c r="BS875" s="112"/>
      <c r="BT875" s="112"/>
      <c r="BU875" s="112"/>
      <c r="BV875" s="112"/>
      <c r="BW875" s="112"/>
      <c r="BX875" s="112"/>
      <c r="BY875" s="112"/>
      <c r="BZ875" s="112"/>
    </row>
    <row r="876" spans="30:78" x14ac:dyDescent="0.2">
      <c r="AD876" s="112"/>
      <c r="AE876" s="112"/>
      <c r="AF876" s="112"/>
      <c r="AG876" s="112"/>
      <c r="AH876" s="112"/>
      <c r="AI876" s="112"/>
      <c r="AJ876" s="112"/>
      <c r="AK876" s="112"/>
      <c r="AL876" s="112"/>
      <c r="AM876" s="112"/>
      <c r="AN876" s="112"/>
      <c r="AO876" s="112"/>
      <c r="AP876" s="112"/>
      <c r="AQ876" s="112"/>
      <c r="AR876" s="112"/>
      <c r="AS876" s="112"/>
      <c r="AT876" s="112"/>
      <c r="AU876" s="112"/>
      <c r="AV876" s="112"/>
      <c r="AW876" s="112"/>
      <c r="AX876" s="112"/>
      <c r="AY876" s="112"/>
      <c r="AZ876" s="112"/>
      <c r="BA876" s="112"/>
      <c r="BB876" s="112"/>
      <c r="BC876" s="112"/>
      <c r="BD876" s="112"/>
      <c r="BE876" s="112"/>
      <c r="BF876" s="112"/>
      <c r="BG876" s="112"/>
      <c r="BH876" s="112"/>
      <c r="BI876" s="112"/>
      <c r="BJ876" s="112"/>
      <c r="BK876" s="112"/>
      <c r="BL876" s="112"/>
      <c r="BM876" s="112"/>
      <c r="BN876" s="112"/>
      <c r="BO876" s="112"/>
      <c r="BP876" s="112"/>
      <c r="BQ876" s="112"/>
      <c r="BR876" s="112"/>
      <c r="BS876" s="112"/>
      <c r="BT876" s="112"/>
      <c r="BU876" s="112"/>
      <c r="BV876" s="112"/>
      <c r="BW876" s="112"/>
      <c r="BX876" s="112"/>
      <c r="BY876" s="112"/>
      <c r="BZ876" s="112"/>
    </row>
    <row r="877" spans="30:78" x14ac:dyDescent="0.2">
      <c r="AD877" s="112"/>
      <c r="AE877" s="112"/>
      <c r="AF877" s="112"/>
      <c r="AG877" s="112"/>
      <c r="AH877" s="112"/>
      <c r="AI877" s="112"/>
      <c r="AJ877" s="112"/>
      <c r="AK877" s="112"/>
      <c r="AL877" s="112"/>
      <c r="AM877" s="112"/>
      <c r="AN877" s="112"/>
      <c r="AO877" s="112"/>
      <c r="AP877" s="112"/>
      <c r="AQ877" s="112"/>
      <c r="AR877" s="112"/>
      <c r="AS877" s="112"/>
      <c r="AT877" s="112"/>
      <c r="AU877" s="112"/>
      <c r="AV877" s="112"/>
      <c r="AW877" s="112"/>
      <c r="AX877" s="112"/>
      <c r="AY877" s="112"/>
      <c r="AZ877" s="112"/>
      <c r="BA877" s="112"/>
      <c r="BB877" s="112"/>
      <c r="BC877" s="112"/>
      <c r="BD877" s="112"/>
      <c r="BE877" s="112"/>
      <c r="BF877" s="112"/>
      <c r="BG877" s="112"/>
      <c r="BH877" s="112"/>
      <c r="BI877" s="112"/>
      <c r="BJ877" s="112"/>
      <c r="BK877" s="112"/>
      <c r="BL877" s="112"/>
      <c r="BM877" s="112"/>
      <c r="BN877" s="112"/>
      <c r="BO877" s="112"/>
      <c r="BP877" s="112"/>
      <c r="BQ877" s="112"/>
      <c r="BR877" s="112"/>
      <c r="BS877" s="112"/>
      <c r="BT877" s="112"/>
      <c r="BU877" s="112"/>
      <c r="BV877" s="112"/>
      <c r="BW877" s="112"/>
      <c r="BX877" s="112"/>
      <c r="BY877" s="112"/>
      <c r="BZ877" s="112"/>
    </row>
    <row r="878" spans="30:78" x14ac:dyDescent="0.2">
      <c r="AD878" s="112"/>
      <c r="AE878" s="112"/>
      <c r="AF878" s="112"/>
      <c r="AG878" s="112"/>
      <c r="AH878" s="112"/>
      <c r="AI878" s="112"/>
      <c r="AJ878" s="112"/>
      <c r="AK878" s="112"/>
      <c r="AL878" s="112"/>
      <c r="AM878" s="112"/>
      <c r="AN878" s="112"/>
      <c r="AO878" s="112"/>
      <c r="AP878" s="112"/>
      <c r="AQ878" s="112"/>
      <c r="AR878" s="112"/>
      <c r="AS878" s="112"/>
      <c r="AT878" s="112"/>
      <c r="AU878" s="112"/>
      <c r="AV878" s="112"/>
      <c r="AW878" s="112"/>
      <c r="AX878" s="112"/>
      <c r="AY878" s="112"/>
      <c r="AZ878" s="112"/>
      <c r="BA878" s="112"/>
      <c r="BB878" s="112"/>
      <c r="BC878" s="112"/>
      <c r="BD878" s="112"/>
      <c r="BE878" s="112"/>
      <c r="BF878" s="112"/>
      <c r="BG878" s="112"/>
      <c r="BH878" s="112"/>
      <c r="BI878" s="112"/>
      <c r="BJ878" s="112"/>
      <c r="BK878" s="112"/>
      <c r="BL878" s="112"/>
      <c r="BM878" s="112"/>
      <c r="BN878" s="112"/>
      <c r="BO878" s="112"/>
      <c r="BP878" s="112"/>
      <c r="BQ878" s="112"/>
      <c r="BR878" s="112"/>
      <c r="BS878" s="112"/>
      <c r="BT878" s="112"/>
      <c r="BU878" s="112"/>
      <c r="BV878" s="112"/>
      <c r="BW878" s="112"/>
      <c r="BX878" s="112"/>
      <c r="BY878" s="112"/>
      <c r="BZ878" s="112"/>
    </row>
    <row r="879" spans="30:78" x14ac:dyDescent="0.2">
      <c r="AD879" s="112"/>
      <c r="AE879" s="112"/>
      <c r="AF879" s="112"/>
      <c r="AG879" s="112"/>
      <c r="AH879" s="112"/>
      <c r="AI879" s="112"/>
      <c r="AJ879" s="112"/>
      <c r="AK879" s="112"/>
      <c r="AL879" s="112"/>
      <c r="AM879" s="112"/>
      <c r="AN879" s="112"/>
      <c r="AO879" s="112"/>
      <c r="AP879" s="112"/>
      <c r="AQ879" s="112"/>
      <c r="AR879" s="112"/>
      <c r="AS879" s="112"/>
      <c r="AT879" s="112"/>
      <c r="AU879" s="112"/>
      <c r="AV879" s="112"/>
      <c r="AW879" s="112"/>
      <c r="AX879" s="112"/>
      <c r="AY879" s="112"/>
      <c r="AZ879" s="112"/>
      <c r="BA879" s="112"/>
      <c r="BB879" s="112"/>
      <c r="BC879" s="112"/>
      <c r="BD879" s="112"/>
      <c r="BE879" s="112"/>
      <c r="BF879" s="112"/>
      <c r="BG879" s="112"/>
      <c r="BH879" s="112"/>
      <c r="BI879" s="112"/>
      <c r="BJ879" s="112"/>
      <c r="BK879" s="112"/>
      <c r="BL879" s="112"/>
      <c r="BM879" s="112"/>
      <c r="BN879" s="112"/>
      <c r="BO879" s="112"/>
      <c r="BP879" s="112"/>
      <c r="BQ879" s="112"/>
      <c r="BR879" s="112"/>
      <c r="BS879" s="112"/>
      <c r="BT879" s="112"/>
      <c r="BU879" s="112"/>
      <c r="BV879" s="112"/>
      <c r="BW879" s="112"/>
      <c r="BX879" s="112"/>
      <c r="BY879" s="112"/>
      <c r="BZ879" s="112"/>
    </row>
    <row r="880" spans="30:78" x14ac:dyDescent="0.2">
      <c r="AD880" s="112"/>
      <c r="AE880" s="112"/>
      <c r="AF880" s="112"/>
      <c r="AG880" s="112"/>
      <c r="AH880" s="112"/>
      <c r="AI880" s="112"/>
      <c r="AJ880" s="112"/>
      <c r="AK880" s="112"/>
      <c r="AL880" s="112"/>
      <c r="AM880" s="112"/>
      <c r="AN880" s="112"/>
      <c r="AO880" s="112"/>
      <c r="AP880" s="112"/>
      <c r="AQ880" s="112"/>
      <c r="AR880" s="112"/>
      <c r="AS880" s="112"/>
      <c r="AT880" s="112"/>
      <c r="AU880" s="112"/>
      <c r="AV880" s="112"/>
      <c r="AW880" s="112"/>
      <c r="AX880" s="112"/>
      <c r="AY880" s="112"/>
      <c r="AZ880" s="112"/>
      <c r="BA880" s="112"/>
      <c r="BB880" s="112"/>
      <c r="BC880" s="112"/>
      <c r="BD880" s="112"/>
      <c r="BE880" s="112"/>
      <c r="BF880" s="112"/>
      <c r="BG880" s="112"/>
      <c r="BH880" s="112"/>
      <c r="BI880" s="112"/>
      <c r="BJ880" s="112"/>
      <c r="BK880" s="112"/>
      <c r="BL880" s="112"/>
      <c r="BM880" s="112"/>
      <c r="BN880" s="112"/>
      <c r="BO880" s="112"/>
      <c r="BP880" s="112"/>
      <c r="BQ880" s="112"/>
      <c r="BR880" s="112"/>
      <c r="BS880" s="112"/>
      <c r="BT880" s="112"/>
      <c r="BU880" s="112"/>
      <c r="BV880" s="112"/>
      <c r="BW880" s="112"/>
      <c r="BX880" s="112"/>
      <c r="BY880" s="112"/>
      <c r="BZ880" s="112"/>
    </row>
    <row r="881" spans="30:78" x14ac:dyDescent="0.2">
      <c r="AD881" s="112"/>
      <c r="AE881" s="112"/>
      <c r="AF881" s="112"/>
      <c r="AG881" s="112"/>
      <c r="AH881" s="112"/>
      <c r="AI881" s="112"/>
      <c r="AJ881" s="112"/>
      <c r="AK881" s="112"/>
      <c r="AL881" s="112"/>
      <c r="AM881" s="112"/>
      <c r="AN881" s="112"/>
      <c r="AO881" s="112"/>
      <c r="AP881" s="112"/>
      <c r="AQ881" s="112"/>
      <c r="AR881" s="112"/>
      <c r="AS881" s="112"/>
      <c r="AT881" s="112"/>
      <c r="AU881" s="112"/>
      <c r="AV881" s="112"/>
      <c r="AW881" s="112"/>
      <c r="AX881" s="112"/>
      <c r="AY881" s="112"/>
      <c r="AZ881" s="112"/>
      <c r="BA881" s="112"/>
      <c r="BB881" s="112"/>
      <c r="BC881" s="112"/>
      <c r="BD881" s="112"/>
      <c r="BE881" s="112"/>
      <c r="BF881" s="112"/>
      <c r="BG881" s="112"/>
      <c r="BH881" s="112"/>
      <c r="BI881" s="112"/>
      <c r="BJ881" s="112"/>
      <c r="BK881" s="112"/>
      <c r="BL881" s="112"/>
      <c r="BM881" s="112"/>
      <c r="BN881" s="112"/>
      <c r="BO881" s="112"/>
      <c r="BP881" s="112"/>
      <c r="BQ881" s="112"/>
      <c r="BR881" s="112"/>
      <c r="BS881" s="112"/>
      <c r="BT881" s="112"/>
      <c r="BU881" s="112"/>
      <c r="BV881" s="112"/>
      <c r="BW881" s="112"/>
      <c r="BX881" s="112"/>
      <c r="BY881" s="112"/>
      <c r="BZ881" s="112"/>
    </row>
    <row r="882" spans="30:78" x14ac:dyDescent="0.2">
      <c r="AD882" s="112"/>
      <c r="AE882" s="112"/>
      <c r="AF882" s="112"/>
      <c r="AG882" s="112"/>
      <c r="AH882" s="112"/>
      <c r="AI882" s="112"/>
      <c r="AJ882" s="112"/>
      <c r="AK882" s="112"/>
      <c r="AL882" s="112"/>
      <c r="AM882" s="112"/>
      <c r="AN882" s="112"/>
      <c r="AO882" s="112"/>
      <c r="AP882" s="112"/>
      <c r="AQ882" s="112"/>
      <c r="AR882" s="112"/>
      <c r="AS882" s="112"/>
      <c r="AT882" s="112"/>
      <c r="AU882" s="112"/>
      <c r="AV882" s="112"/>
      <c r="AW882" s="112"/>
      <c r="AX882" s="112"/>
      <c r="AY882" s="112"/>
      <c r="AZ882" s="112"/>
      <c r="BA882" s="112"/>
      <c r="BB882" s="112"/>
      <c r="BC882" s="112"/>
      <c r="BD882" s="112"/>
      <c r="BE882" s="112"/>
      <c r="BF882" s="112"/>
      <c r="BG882" s="112"/>
      <c r="BH882" s="112"/>
      <c r="BI882" s="112"/>
      <c r="BJ882" s="112"/>
      <c r="BK882" s="112"/>
      <c r="BL882" s="112"/>
      <c r="BM882" s="112"/>
      <c r="BN882" s="112"/>
      <c r="BO882" s="112"/>
      <c r="BP882" s="112"/>
      <c r="BQ882" s="112"/>
      <c r="BR882" s="112"/>
      <c r="BS882" s="112"/>
      <c r="BT882" s="112"/>
      <c r="BU882" s="112"/>
      <c r="BV882" s="112"/>
      <c r="BW882" s="112"/>
      <c r="BX882" s="112"/>
      <c r="BY882" s="112"/>
      <c r="BZ882" s="112"/>
    </row>
    <row r="883" spans="30:78" x14ac:dyDescent="0.2">
      <c r="AD883" s="112"/>
      <c r="AE883" s="112"/>
      <c r="AF883" s="112"/>
      <c r="AG883" s="112"/>
      <c r="AH883" s="112"/>
      <c r="AI883" s="112"/>
      <c r="AJ883" s="112"/>
      <c r="AK883" s="112"/>
      <c r="AL883" s="112"/>
      <c r="AM883" s="112"/>
      <c r="AN883" s="112"/>
      <c r="AO883" s="112"/>
      <c r="AP883" s="112"/>
      <c r="AQ883" s="112"/>
      <c r="AR883" s="112"/>
      <c r="AS883" s="112"/>
      <c r="AT883" s="112"/>
      <c r="AU883" s="112"/>
      <c r="AV883" s="112"/>
      <c r="AW883" s="112"/>
      <c r="AX883" s="112"/>
      <c r="AY883" s="112"/>
      <c r="AZ883" s="112"/>
      <c r="BA883" s="112"/>
      <c r="BB883" s="112"/>
      <c r="BC883" s="112"/>
      <c r="BD883" s="112"/>
      <c r="BE883" s="112"/>
      <c r="BF883" s="112"/>
      <c r="BG883" s="112"/>
      <c r="BH883" s="112"/>
      <c r="BI883" s="112"/>
      <c r="BJ883" s="112"/>
      <c r="BK883" s="112"/>
      <c r="BL883" s="112"/>
      <c r="BM883" s="112"/>
      <c r="BN883" s="112"/>
      <c r="BO883" s="112"/>
      <c r="BP883" s="112"/>
      <c r="BQ883" s="112"/>
      <c r="BR883" s="112"/>
      <c r="BS883" s="112"/>
      <c r="BT883" s="112"/>
      <c r="BU883" s="112"/>
      <c r="BV883" s="112"/>
      <c r="BW883" s="112"/>
      <c r="BX883" s="112"/>
      <c r="BY883" s="112"/>
      <c r="BZ883" s="112"/>
    </row>
    <row r="884" spans="30:78" x14ac:dyDescent="0.2">
      <c r="AD884" s="112"/>
      <c r="AE884" s="112"/>
      <c r="AF884" s="112"/>
      <c r="AG884" s="112"/>
      <c r="AH884" s="112"/>
      <c r="AI884" s="112"/>
      <c r="AJ884" s="112"/>
      <c r="AK884" s="112"/>
      <c r="AL884" s="112"/>
      <c r="AM884" s="112"/>
      <c r="AN884" s="112"/>
      <c r="AO884" s="112"/>
      <c r="AP884" s="112"/>
      <c r="AQ884" s="112"/>
      <c r="AR884" s="112"/>
      <c r="AS884" s="112"/>
      <c r="AT884" s="112"/>
      <c r="AU884" s="112"/>
      <c r="AV884" s="112"/>
      <c r="AW884" s="112"/>
      <c r="AX884" s="112"/>
      <c r="AY884" s="112"/>
      <c r="AZ884" s="112"/>
      <c r="BA884" s="112"/>
      <c r="BB884" s="112"/>
      <c r="BC884" s="112"/>
      <c r="BD884" s="112"/>
      <c r="BE884" s="112"/>
      <c r="BF884" s="112"/>
      <c r="BG884" s="112"/>
      <c r="BH884" s="112"/>
      <c r="BI884" s="112"/>
      <c r="BJ884" s="112"/>
      <c r="BK884" s="112"/>
      <c r="BL884" s="112"/>
      <c r="BM884" s="112"/>
      <c r="BN884" s="112"/>
      <c r="BO884" s="112"/>
      <c r="BP884" s="112"/>
      <c r="BQ884" s="112"/>
      <c r="BR884" s="112"/>
      <c r="BS884" s="112"/>
      <c r="BT884" s="112"/>
      <c r="BU884" s="112"/>
      <c r="BV884" s="112"/>
      <c r="BW884" s="112"/>
      <c r="BX884" s="112"/>
      <c r="BY884" s="112"/>
      <c r="BZ884" s="112"/>
    </row>
    <row r="885" spans="30:78" x14ac:dyDescent="0.2">
      <c r="AD885" s="112"/>
      <c r="AE885" s="112"/>
      <c r="AF885" s="112"/>
      <c r="AG885" s="112"/>
      <c r="AH885" s="112"/>
      <c r="AI885" s="112"/>
      <c r="AJ885" s="112"/>
      <c r="AK885" s="112"/>
      <c r="AL885" s="112"/>
      <c r="AM885" s="112"/>
      <c r="AN885" s="112"/>
      <c r="AO885" s="112"/>
      <c r="AP885" s="112"/>
      <c r="AQ885" s="112"/>
      <c r="AR885" s="112"/>
      <c r="AS885" s="112"/>
      <c r="AT885" s="112"/>
      <c r="AU885" s="112"/>
      <c r="AV885" s="112"/>
      <c r="AW885" s="112"/>
      <c r="AX885" s="112"/>
      <c r="AY885" s="112"/>
      <c r="AZ885" s="112"/>
      <c r="BA885" s="112"/>
      <c r="BB885" s="112"/>
      <c r="BC885" s="112"/>
      <c r="BD885" s="112"/>
      <c r="BE885" s="112"/>
      <c r="BF885" s="112"/>
      <c r="BG885" s="112"/>
      <c r="BH885" s="112"/>
      <c r="BI885" s="112"/>
      <c r="BJ885" s="112"/>
      <c r="BK885" s="112"/>
      <c r="BL885" s="112"/>
      <c r="BM885" s="112"/>
      <c r="BN885" s="112"/>
      <c r="BO885" s="112"/>
      <c r="BP885" s="112"/>
      <c r="BQ885" s="112"/>
      <c r="BR885" s="112"/>
      <c r="BS885" s="112"/>
      <c r="BT885" s="112"/>
      <c r="BU885" s="112"/>
      <c r="BV885" s="112"/>
      <c r="BW885" s="112"/>
      <c r="BX885" s="112"/>
      <c r="BY885" s="112"/>
      <c r="BZ885" s="112"/>
    </row>
    <row r="886" spans="30:78" x14ac:dyDescent="0.2">
      <c r="AD886" s="112"/>
      <c r="AE886" s="112"/>
      <c r="AF886" s="112"/>
      <c r="AG886" s="112"/>
      <c r="AH886" s="112"/>
      <c r="AI886" s="112"/>
      <c r="AJ886" s="112"/>
      <c r="AK886" s="112"/>
      <c r="AL886" s="112"/>
      <c r="AM886" s="112"/>
      <c r="AN886" s="112"/>
      <c r="AO886" s="112"/>
      <c r="AP886" s="112"/>
      <c r="AQ886" s="112"/>
      <c r="AR886" s="112"/>
      <c r="AS886" s="112"/>
      <c r="AT886" s="112"/>
      <c r="AU886" s="112"/>
      <c r="AV886" s="112"/>
      <c r="AW886" s="112"/>
      <c r="AX886" s="112"/>
      <c r="AY886" s="112"/>
      <c r="AZ886" s="112"/>
      <c r="BA886" s="112"/>
      <c r="BB886" s="112"/>
      <c r="BC886" s="112"/>
      <c r="BD886" s="112"/>
      <c r="BE886" s="112"/>
      <c r="BF886" s="112"/>
      <c r="BG886" s="112"/>
      <c r="BH886" s="112"/>
      <c r="BI886" s="112"/>
      <c r="BJ886" s="112"/>
      <c r="BK886" s="112"/>
      <c r="BL886" s="112"/>
      <c r="BM886" s="112"/>
      <c r="BN886" s="112"/>
      <c r="BO886" s="112"/>
      <c r="BP886" s="112"/>
      <c r="BQ886" s="112"/>
      <c r="BR886" s="112"/>
      <c r="BS886" s="112"/>
      <c r="BT886" s="112"/>
      <c r="BU886" s="112"/>
      <c r="BV886" s="112"/>
      <c r="BW886" s="112"/>
      <c r="BX886" s="112"/>
      <c r="BY886" s="112"/>
      <c r="BZ886" s="112"/>
    </row>
    <row r="887" spans="30:78" x14ac:dyDescent="0.2">
      <c r="AD887" s="112"/>
      <c r="AE887" s="112"/>
      <c r="AF887" s="112"/>
      <c r="AG887" s="112"/>
      <c r="AH887" s="112"/>
      <c r="AI887" s="112"/>
      <c r="AJ887" s="112"/>
      <c r="AK887" s="112"/>
      <c r="AL887" s="112"/>
      <c r="AM887" s="112"/>
      <c r="AN887" s="112"/>
      <c r="AO887" s="112"/>
      <c r="AP887" s="112"/>
      <c r="AQ887" s="112"/>
      <c r="AR887" s="112"/>
      <c r="AS887" s="112"/>
      <c r="AT887" s="112"/>
      <c r="AU887" s="112"/>
      <c r="AV887" s="112"/>
      <c r="AW887" s="112"/>
      <c r="AX887" s="112"/>
      <c r="AY887" s="112"/>
      <c r="AZ887" s="112"/>
      <c r="BA887" s="112"/>
      <c r="BB887" s="112"/>
      <c r="BC887" s="112"/>
      <c r="BD887" s="112"/>
      <c r="BE887" s="112"/>
      <c r="BF887" s="112"/>
      <c r="BG887" s="112"/>
      <c r="BH887" s="112"/>
      <c r="BI887" s="112"/>
      <c r="BJ887" s="112"/>
      <c r="BK887" s="112"/>
      <c r="BL887" s="112"/>
      <c r="BM887" s="112"/>
      <c r="BN887" s="112"/>
      <c r="BO887" s="112"/>
      <c r="BP887" s="112"/>
      <c r="BQ887" s="112"/>
      <c r="BR887" s="112"/>
      <c r="BS887" s="112"/>
      <c r="BT887" s="112"/>
      <c r="BU887" s="112"/>
      <c r="BV887" s="112"/>
      <c r="BW887" s="112"/>
      <c r="BX887" s="112"/>
      <c r="BY887" s="112"/>
      <c r="BZ887" s="112"/>
    </row>
    <row r="888" spans="30:78" x14ac:dyDescent="0.2">
      <c r="AD888" s="112"/>
      <c r="AE888" s="112"/>
      <c r="AF888" s="112"/>
      <c r="AG888" s="112"/>
      <c r="AH888" s="112"/>
      <c r="AI888" s="112"/>
      <c r="AJ888" s="112"/>
      <c r="AK888" s="112"/>
      <c r="AL888" s="112"/>
      <c r="AM888" s="112"/>
      <c r="AN888" s="112"/>
      <c r="AO888" s="112"/>
      <c r="AP888" s="112"/>
      <c r="AQ888" s="112"/>
      <c r="AR888" s="112"/>
      <c r="AS888" s="112"/>
      <c r="AT888" s="112"/>
      <c r="AU888" s="112"/>
      <c r="AV888" s="112"/>
      <c r="AW888" s="112"/>
      <c r="AX888" s="112"/>
      <c r="AY888" s="112"/>
      <c r="AZ888" s="112"/>
      <c r="BA888" s="112"/>
      <c r="BB888" s="112"/>
      <c r="BC888" s="112"/>
      <c r="BD888" s="112"/>
      <c r="BE888" s="112"/>
      <c r="BF888" s="112"/>
      <c r="BG888" s="112"/>
      <c r="BH888" s="112"/>
      <c r="BI888" s="112"/>
      <c r="BJ888" s="112"/>
      <c r="BK888" s="112"/>
      <c r="BL888" s="112"/>
      <c r="BM888" s="112"/>
      <c r="BN888" s="112"/>
      <c r="BO888" s="112"/>
      <c r="BP888" s="112"/>
      <c r="BQ888" s="112"/>
      <c r="BR888" s="112"/>
      <c r="BS888" s="112"/>
      <c r="BT888" s="112"/>
      <c r="BU888" s="112"/>
      <c r="BV888" s="112"/>
      <c r="BW888" s="112"/>
      <c r="BX888" s="112"/>
      <c r="BY888" s="112"/>
      <c r="BZ888" s="112"/>
    </row>
    <row r="889" spans="30:78" x14ac:dyDescent="0.2">
      <c r="AD889" s="112"/>
      <c r="AE889" s="112"/>
      <c r="AF889" s="112"/>
      <c r="AG889" s="112"/>
      <c r="AH889" s="112"/>
      <c r="AI889" s="112"/>
      <c r="AJ889" s="112"/>
      <c r="AK889" s="112"/>
      <c r="AL889" s="112"/>
      <c r="AM889" s="112"/>
      <c r="AN889" s="112"/>
      <c r="AO889" s="112"/>
      <c r="AP889" s="112"/>
      <c r="AQ889" s="112"/>
      <c r="AR889" s="112"/>
      <c r="AS889" s="112"/>
      <c r="AT889" s="112"/>
      <c r="AU889" s="112"/>
      <c r="AV889" s="112"/>
      <c r="AW889" s="112"/>
      <c r="AX889" s="112"/>
      <c r="AY889" s="112"/>
      <c r="AZ889" s="112"/>
      <c r="BA889" s="112"/>
      <c r="BB889" s="112"/>
      <c r="BC889" s="112"/>
      <c r="BD889" s="112"/>
      <c r="BE889" s="112"/>
      <c r="BF889" s="112"/>
      <c r="BG889" s="112"/>
      <c r="BH889" s="112"/>
      <c r="BI889" s="112"/>
      <c r="BJ889" s="112"/>
      <c r="BK889" s="112"/>
      <c r="BL889" s="112"/>
      <c r="BM889" s="112"/>
      <c r="BN889" s="112"/>
      <c r="BO889" s="112"/>
      <c r="BP889" s="112"/>
      <c r="BQ889" s="112"/>
      <c r="BR889" s="112"/>
      <c r="BS889" s="112"/>
      <c r="BT889" s="112"/>
      <c r="BU889" s="112"/>
      <c r="BV889" s="112"/>
      <c r="BW889" s="112"/>
      <c r="BX889" s="112"/>
      <c r="BY889" s="112"/>
      <c r="BZ889" s="112"/>
    </row>
    <row r="890" spans="30:78" x14ac:dyDescent="0.2">
      <c r="AD890" s="112"/>
      <c r="AE890" s="112"/>
      <c r="AF890" s="112"/>
      <c r="AG890" s="112"/>
      <c r="AH890" s="112"/>
      <c r="AI890" s="112"/>
      <c r="AJ890" s="112"/>
      <c r="AK890" s="112"/>
      <c r="AL890" s="112"/>
      <c r="AM890" s="112"/>
      <c r="AN890" s="112"/>
      <c r="AO890" s="112"/>
      <c r="AP890" s="112"/>
      <c r="AQ890" s="112"/>
      <c r="AR890" s="112"/>
      <c r="AS890" s="112"/>
      <c r="AT890" s="112"/>
      <c r="AU890" s="112"/>
      <c r="AV890" s="112"/>
      <c r="AW890" s="112"/>
      <c r="AX890" s="112"/>
      <c r="AY890" s="112"/>
      <c r="AZ890" s="112"/>
      <c r="BA890" s="112"/>
      <c r="BB890" s="112"/>
      <c r="BC890" s="112"/>
      <c r="BD890" s="112"/>
      <c r="BE890" s="112"/>
      <c r="BF890" s="112"/>
      <c r="BG890" s="112"/>
      <c r="BH890" s="112"/>
      <c r="BI890" s="112"/>
      <c r="BJ890" s="112"/>
      <c r="BK890" s="112"/>
      <c r="BL890" s="112"/>
      <c r="BM890" s="112"/>
      <c r="BN890" s="112"/>
      <c r="BO890" s="112"/>
      <c r="BP890" s="112"/>
      <c r="BQ890" s="112"/>
      <c r="BR890" s="112"/>
      <c r="BS890" s="112"/>
      <c r="BT890" s="112"/>
      <c r="BU890" s="112"/>
      <c r="BV890" s="112"/>
      <c r="BW890" s="112"/>
      <c r="BX890" s="112"/>
      <c r="BY890" s="112"/>
      <c r="BZ890" s="112"/>
    </row>
    <row r="891" spans="30:78" x14ac:dyDescent="0.2">
      <c r="AD891" s="112"/>
      <c r="AE891" s="112"/>
      <c r="AF891" s="112"/>
      <c r="AG891" s="112"/>
      <c r="AH891" s="112"/>
      <c r="AI891" s="112"/>
      <c r="AJ891" s="112"/>
      <c r="AK891" s="112"/>
      <c r="AL891" s="112"/>
      <c r="AM891" s="112"/>
      <c r="AN891" s="112"/>
      <c r="AO891" s="112"/>
      <c r="AP891" s="112"/>
      <c r="AQ891" s="112"/>
      <c r="AR891" s="112"/>
      <c r="AS891" s="112"/>
      <c r="AT891" s="112"/>
      <c r="AU891" s="112"/>
      <c r="AV891" s="112"/>
      <c r="AW891" s="112"/>
      <c r="AX891" s="112"/>
      <c r="AY891" s="112"/>
      <c r="AZ891" s="112"/>
      <c r="BA891" s="112"/>
      <c r="BB891" s="112"/>
      <c r="BC891" s="112"/>
      <c r="BD891" s="112"/>
      <c r="BE891" s="112"/>
      <c r="BF891" s="112"/>
      <c r="BG891" s="112"/>
      <c r="BH891" s="112"/>
      <c r="BI891" s="112"/>
      <c r="BJ891" s="112"/>
      <c r="BK891" s="112"/>
      <c r="BL891" s="112"/>
      <c r="BM891" s="112"/>
      <c r="BN891" s="112"/>
      <c r="BO891" s="112"/>
      <c r="BP891" s="112"/>
      <c r="BQ891" s="112"/>
      <c r="BR891" s="112"/>
      <c r="BS891" s="112"/>
      <c r="BT891" s="112"/>
      <c r="BU891" s="112"/>
      <c r="BV891" s="112"/>
      <c r="BW891" s="112"/>
      <c r="BX891" s="112"/>
      <c r="BY891" s="112"/>
      <c r="BZ891" s="112"/>
    </row>
    <row r="892" spans="30:78" x14ac:dyDescent="0.2">
      <c r="AD892" s="112"/>
      <c r="AE892" s="112"/>
      <c r="AF892" s="112"/>
      <c r="AG892" s="112"/>
      <c r="AH892" s="112"/>
      <c r="AI892" s="112"/>
      <c r="AJ892" s="112"/>
      <c r="AK892" s="112"/>
      <c r="AL892" s="112"/>
      <c r="AM892" s="112"/>
      <c r="AN892" s="112"/>
      <c r="AO892" s="112"/>
      <c r="AP892" s="112"/>
      <c r="AQ892" s="112"/>
      <c r="AR892" s="112"/>
      <c r="AS892" s="112"/>
      <c r="AT892" s="112"/>
      <c r="AU892" s="112"/>
      <c r="AV892" s="112"/>
      <c r="AW892" s="112"/>
      <c r="AX892" s="112"/>
      <c r="AY892" s="112"/>
      <c r="AZ892" s="112"/>
      <c r="BA892" s="112"/>
      <c r="BB892" s="112"/>
      <c r="BC892" s="112"/>
      <c r="BD892" s="112"/>
      <c r="BE892" s="112"/>
      <c r="BF892" s="112"/>
      <c r="BG892" s="112"/>
      <c r="BH892" s="112"/>
      <c r="BI892" s="112"/>
      <c r="BJ892" s="112"/>
      <c r="BK892" s="112"/>
      <c r="BL892" s="112"/>
      <c r="BM892" s="112"/>
      <c r="BN892" s="112"/>
      <c r="BO892" s="112"/>
      <c r="BP892" s="112"/>
      <c r="BQ892" s="112"/>
      <c r="BR892" s="112"/>
      <c r="BS892" s="112"/>
      <c r="BT892" s="112"/>
      <c r="BU892" s="112"/>
      <c r="BV892" s="112"/>
      <c r="BW892" s="112"/>
      <c r="BX892" s="112"/>
      <c r="BY892" s="112"/>
      <c r="BZ892" s="112"/>
    </row>
    <row r="893" spans="30:78" x14ac:dyDescent="0.2">
      <c r="AD893" s="112"/>
      <c r="AE893" s="112"/>
      <c r="AF893" s="112"/>
      <c r="AG893" s="112"/>
      <c r="AH893" s="112"/>
      <c r="AI893" s="112"/>
      <c r="AJ893" s="112"/>
      <c r="AK893" s="112"/>
      <c r="AL893" s="112"/>
      <c r="AM893" s="112"/>
      <c r="AN893" s="112"/>
      <c r="AO893" s="112"/>
      <c r="AP893" s="112"/>
      <c r="AQ893" s="112"/>
      <c r="AR893" s="112"/>
      <c r="AS893" s="112"/>
      <c r="AT893" s="112"/>
      <c r="AU893" s="112"/>
      <c r="AV893" s="112"/>
      <c r="AW893" s="112"/>
      <c r="AX893" s="112"/>
      <c r="AY893" s="112"/>
      <c r="AZ893" s="112"/>
      <c r="BA893" s="112"/>
      <c r="BB893" s="112"/>
      <c r="BC893" s="112"/>
      <c r="BD893" s="112"/>
      <c r="BE893" s="112"/>
      <c r="BF893" s="112"/>
      <c r="BG893" s="112"/>
      <c r="BH893" s="112"/>
      <c r="BI893" s="112"/>
      <c r="BJ893" s="112"/>
      <c r="BK893" s="112"/>
      <c r="BL893" s="112"/>
      <c r="BM893" s="112"/>
      <c r="BN893" s="112"/>
      <c r="BO893" s="112"/>
      <c r="BP893" s="112"/>
      <c r="BQ893" s="112"/>
      <c r="BR893" s="112"/>
      <c r="BS893" s="112"/>
      <c r="BT893" s="112"/>
      <c r="BU893" s="112"/>
      <c r="BV893" s="112"/>
      <c r="BW893" s="112"/>
      <c r="BX893" s="112"/>
      <c r="BY893" s="112"/>
      <c r="BZ893" s="112"/>
    </row>
    <row r="894" spans="30:78" x14ac:dyDescent="0.2">
      <c r="AD894" s="112"/>
      <c r="AE894" s="112"/>
      <c r="AF894" s="112"/>
      <c r="AG894" s="112"/>
      <c r="AH894" s="112"/>
      <c r="AI894" s="112"/>
      <c r="AJ894" s="112"/>
      <c r="AK894" s="112"/>
      <c r="AL894" s="112"/>
      <c r="AM894" s="112"/>
      <c r="AN894" s="112"/>
      <c r="AO894" s="112"/>
      <c r="AP894" s="112"/>
      <c r="AQ894" s="112"/>
      <c r="AR894" s="112"/>
      <c r="AS894" s="112"/>
      <c r="AT894" s="112"/>
      <c r="AU894" s="112"/>
      <c r="AV894" s="112"/>
      <c r="AW894" s="112"/>
      <c r="AX894" s="112"/>
      <c r="AY894" s="112"/>
      <c r="AZ894" s="112"/>
      <c r="BA894" s="112"/>
      <c r="BB894" s="112"/>
      <c r="BC894" s="112"/>
      <c r="BD894" s="112"/>
      <c r="BE894" s="112"/>
      <c r="BF894" s="112"/>
      <c r="BG894" s="112"/>
      <c r="BH894" s="112"/>
      <c r="BI894" s="112"/>
      <c r="BJ894" s="112"/>
      <c r="BK894" s="112"/>
      <c r="BL894" s="112"/>
      <c r="BM894" s="112"/>
      <c r="BN894" s="112"/>
      <c r="BO894" s="112"/>
      <c r="BP894" s="112"/>
      <c r="BQ894" s="112"/>
      <c r="BR894" s="112"/>
      <c r="BS894" s="112"/>
      <c r="BT894" s="112"/>
      <c r="BU894" s="112"/>
      <c r="BV894" s="112"/>
      <c r="BW894" s="112"/>
      <c r="BX894" s="112"/>
      <c r="BY894" s="112"/>
      <c r="BZ894" s="112"/>
    </row>
    <row r="895" spans="30:78" x14ac:dyDescent="0.2">
      <c r="AD895" s="112"/>
      <c r="AE895" s="112"/>
      <c r="AF895" s="112"/>
      <c r="AG895" s="112"/>
      <c r="AH895" s="112"/>
      <c r="AI895" s="112"/>
      <c r="AJ895" s="112"/>
      <c r="AK895" s="112"/>
      <c r="AL895" s="112"/>
      <c r="AM895" s="112"/>
      <c r="AN895" s="112"/>
      <c r="AO895" s="112"/>
      <c r="AP895" s="112"/>
      <c r="AQ895" s="112"/>
      <c r="AR895" s="112"/>
      <c r="AS895" s="112"/>
      <c r="AT895" s="112"/>
      <c r="AU895" s="112"/>
      <c r="AV895" s="112"/>
      <c r="AW895" s="112"/>
      <c r="AX895" s="112"/>
      <c r="AY895" s="112"/>
      <c r="AZ895" s="112"/>
      <c r="BA895" s="112"/>
      <c r="BB895" s="112"/>
      <c r="BC895" s="112"/>
      <c r="BD895" s="112"/>
      <c r="BE895" s="112"/>
      <c r="BF895" s="112"/>
      <c r="BG895" s="112"/>
      <c r="BH895" s="112"/>
      <c r="BI895" s="112"/>
      <c r="BJ895" s="112"/>
      <c r="BK895" s="112"/>
      <c r="BL895" s="112"/>
      <c r="BM895" s="112"/>
      <c r="BN895" s="112"/>
      <c r="BO895" s="112"/>
      <c r="BP895" s="112"/>
      <c r="BQ895" s="112"/>
      <c r="BR895" s="112"/>
      <c r="BS895" s="112"/>
      <c r="BT895" s="112"/>
      <c r="BU895" s="112"/>
      <c r="BV895" s="112"/>
      <c r="BW895" s="112"/>
      <c r="BX895" s="112"/>
      <c r="BY895" s="112"/>
      <c r="BZ895" s="112"/>
    </row>
    <row r="896" spans="30:78" x14ac:dyDescent="0.2">
      <c r="AD896" s="112"/>
      <c r="AE896" s="112"/>
      <c r="AF896" s="112"/>
      <c r="AG896" s="112"/>
      <c r="AH896" s="112"/>
      <c r="AI896" s="112"/>
      <c r="AJ896" s="112"/>
      <c r="AK896" s="112"/>
      <c r="AL896" s="112"/>
      <c r="AM896" s="112"/>
      <c r="AN896" s="112"/>
      <c r="AO896" s="112"/>
      <c r="AP896" s="112"/>
      <c r="AQ896" s="112"/>
      <c r="AR896" s="112"/>
      <c r="AS896" s="112"/>
      <c r="AT896" s="112"/>
      <c r="AU896" s="112"/>
      <c r="AV896" s="112"/>
      <c r="AW896" s="112"/>
      <c r="AX896" s="112"/>
      <c r="AY896" s="112"/>
      <c r="AZ896" s="112"/>
      <c r="BA896" s="112"/>
      <c r="BB896" s="112"/>
      <c r="BC896" s="112"/>
      <c r="BD896" s="112"/>
      <c r="BE896" s="112"/>
      <c r="BF896" s="112"/>
      <c r="BG896" s="112"/>
      <c r="BH896" s="112"/>
      <c r="BI896" s="112"/>
      <c r="BJ896" s="112"/>
      <c r="BK896" s="112"/>
      <c r="BL896" s="112"/>
      <c r="BM896" s="112"/>
      <c r="BN896" s="112"/>
      <c r="BO896" s="112"/>
      <c r="BP896" s="112"/>
      <c r="BQ896" s="112"/>
      <c r="BR896" s="112"/>
      <c r="BS896" s="112"/>
      <c r="BT896" s="112"/>
      <c r="BU896" s="112"/>
      <c r="BV896" s="112"/>
      <c r="BW896" s="112"/>
      <c r="BX896" s="112"/>
      <c r="BY896" s="112"/>
      <c r="BZ896" s="112"/>
    </row>
    <row r="897" spans="30:78" x14ac:dyDescent="0.2">
      <c r="AD897" s="112"/>
      <c r="AE897" s="112"/>
      <c r="AF897" s="112"/>
      <c r="AG897" s="112"/>
      <c r="AH897" s="112"/>
      <c r="AI897" s="112"/>
      <c r="AJ897" s="112"/>
      <c r="AK897" s="112"/>
      <c r="AL897" s="112"/>
      <c r="AM897" s="112"/>
      <c r="AN897" s="112"/>
      <c r="AO897" s="112"/>
      <c r="AP897" s="112"/>
      <c r="AQ897" s="112"/>
      <c r="AR897" s="112"/>
      <c r="AS897" s="112"/>
      <c r="AT897" s="112"/>
      <c r="AU897" s="112"/>
      <c r="AV897" s="112"/>
      <c r="AW897" s="112"/>
      <c r="AX897" s="112"/>
      <c r="AY897" s="112"/>
      <c r="AZ897" s="112"/>
      <c r="BA897" s="112"/>
      <c r="BB897" s="112"/>
      <c r="BC897" s="112"/>
      <c r="BD897" s="112"/>
      <c r="BE897" s="112"/>
      <c r="BF897" s="112"/>
      <c r="BG897" s="112"/>
      <c r="BH897" s="112"/>
      <c r="BI897" s="112"/>
      <c r="BJ897" s="112"/>
      <c r="BK897" s="112"/>
      <c r="BL897" s="112"/>
      <c r="BM897" s="112"/>
      <c r="BN897" s="112"/>
      <c r="BO897" s="112"/>
      <c r="BP897" s="112"/>
      <c r="BQ897" s="112"/>
      <c r="BR897" s="112"/>
      <c r="BS897" s="112"/>
      <c r="BT897" s="112"/>
      <c r="BU897" s="112"/>
      <c r="BV897" s="112"/>
      <c r="BW897" s="112"/>
      <c r="BX897" s="112"/>
      <c r="BY897" s="112"/>
      <c r="BZ897" s="112"/>
    </row>
    <row r="898" spans="30:78" x14ac:dyDescent="0.2">
      <c r="AD898" s="112"/>
      <c r="AE898" s="112"/>
      <c r="AF898" s="112"/>
      <c r="AG898" s="112"/>
      <c r="AH898" s="112"/>
      <c r="AI898" s="112"/>
      <c r="AJ898" s="112"/>
      <c r="AK898" s="112"/>
      <c r="AL898" s="112"/>
      <c r="AM898" s="112"/>
      <c r="AN898" s="112"/>
      <c r="AO898" s="112"/>
      <c r="AP898" s="112"/>
      <c r="AQ898" s="112"/>
      <c r="AR898" s="112"/>
      <c r="AS898" s="112"/>
      <c r="AT898" s="112"/>
      <c r="AU898" s="112"/>
      <c r="AV898" s="112"/>
      <c r="AW898" s="112"/>
      <c r="AX898" s="112"/>
      <c r="AY898" s="112"/>
      <c r="AZ898" s="112"/>
      <c r="BA898" s="112"/>
      <c r="BB898" s="112"/>
      <c r="BC898" s="112"/>
      <c r="BD898" s="112"/>
      <c r="BE898" s="112"/>
      <c r="BF898" s="112"/>
      <c r="BG898" s="112"/>
      <c r="BH898" s="112"/>
      <c r="BI898" s="112"/>
      <c r="BJ898" s="112"/>
      <c r="BK898" s="112"/>
      <c r="BL898" s="112"/>
      <c r="BM898" s="112"/>
      <c r="BN898" s="112"/>
      <c r="BO898" s="112"/>
      <c r="BP898" s="112"/>
      <c r="BQ898" s="112"/>
      <c r="BR898" s="112"/>
      <c r="BS898" s="112"/>
      <c r="BT898" s="112"/>
      <c r="BU898" s="112"/>
      <c r="BV898" s="112"/>
      <c r="BW898" s="112"/>
      <c r="BX898" s="112"/>
      <c r="BY898" s="112"/>
      <c r="BZ898" s="112"/>
    </row>
    <row r="899" spans="30:78" x14ac:dyDescent="0.2">
      <c r="AD899" s="112"/>
      <c r="AE899" s="112"/>
      <c r="AF899" s="112"/>
      <c r="AG899" s="112"/>
      <c r="AH899" s="112"/>
      <c r="AI899" s="112"/>
      <c r="AJ899" s="112"/>
      <c r="AK899" s="112"/>
      <c r="AL899" s="112"/>
      <c r="AM899" s="112"/>
      <c r="AN899" s="112"/>
      <c r="AO899" s="112"/>
      <c r="AP899" s="112"/>
      <c r="AQ899" s="112"/>
      <c r="AR899" s="112"/>
      <c r="AS899" s="112"/>
      <c r="AT899" s="112"/>
      <c r="AU899" s="112"/>
      <c r="AV899" s="112"/>
      <c r="AW899" s="112"/>
      <c r="AX899" s="112"/>
      <c r="AY899" s="112"/>
      <c r="AZ899" s="112"/>
      <c r="BA899" s="112"/>
      <c r="BB899" s="112"/>
      <c r="BC899" s="112"/>
      <c r="BD899" s="112"/>
      <c r="BE899" s="112"/>
      <c r="BF899" s="112"/>
      <c r="BG899" s="112"/>
      <c r="BH899" s="112"/>
      <c r="BI899" s="112"/>
      <c r="BJ899" s="112"/>
      <c r="BK899" s="112"/>
      <c r="BL899" s="112"/>
      <c r="BM899" s="112"/>
      <c r="BN899" s="112"/>
      <c r="BO899" s="112"/>
      <c r="BP899" s="112"/>
      <c r="BQ899" s="112"/>
      <c r="BR899" s="112"/>
      <c r="BS899" s="112"/>
      <c r="BT899" s="112"/>
      <c r="BU899" s="112"/>
      <c r="BV899" s="112"/>
      <c r="BW899" s="112"/>
      <c r="BX899" s="112"/>
      <c r="BY899" s="112"/>
      <c r="BZ899" s="112"/>
    </row>
    <row r="900" spans="30:78" x14ac:dyDescent="0.2">
      <c r="AD900" s="112"/>
      <c r="AE900" s="112"/>
      <c r="AF900" s="112"/>
      <c r="AG900" s="112"/>
      <c r="AH900" s="112"/>
      <c r="AI900" s="112"/>
      <c r="AJ900" s="112"/>
      <c r="AK900" s="112"/>
      <c r="AL900" s="112"/>
      <c r="AM900" s="112"/>
      <c r="AN900" s="112"/>
      <c r="AO900" s="112"/>
      <c r="AP900" s="112"/>
      <c r="AQ900" s="112"/>
      <c r="AR900" s="112"/>
      <c r="AS900" s="112"/>
      <c r="AT900" s="112"/>
      <c r="AU900" s="112"/>
      <c r="AV900" s="112"/>
      <c r="AW900" s="112"/>
      <c r="AX900" s="112"/>
      <c r="AY900" s="112"/>
      <c r="AZ900" s="112"/>
      <c r="BA900" s="112"/>
      <c r="BB900" s="112"/>
      <c r="BC900" s="112"/>
      <c r="BD900" s="112"/>
      <c r="BE900" s="112"/>
      <c r="BF900" s="112"/>
      <c r="BG900" s="112"/>
      <c r="BH900" s="112"/>
      <c r="BI900" s="112"/>
      <c r="BJ900" s="112"/>
      <c r="BK900" s="112"/>
      <c r="BL900" s="112"/>
      <c r="BM900" s="112"/>
      <c r="BN900" s="112"/>
      <c r="BO900" s="112"/>
      <c r="BP900" s="112"/>
      <c r="BQ900" s="112"/>
      <c r="BR900" s="112"/>
      <c r="BS900" s="112"/>
      <c r="BT900" s="112"/>
      <c r="BU900" s="112"/>
      <c r="BV900" s="112"/>
      <c r="BW900" s="112"/>
      <c r="BX900" s="112"/>
      <c r="BY900" s="112"/>
      <c r="BZ900" s="112"/>
    </row>
    <row r="901" spans="30:78" x14ac:dyDescent="0.2">
      <c r="AD901" s="112"/>
      <c r="AE901" s="112"/>
      <c r="AF901" s="112"/>
      <c r="AG901" s="112"/>
      <c r="AH901" s="112"/>
      <c r="AI901" s="112"/>
      <c r="AJ901" s="112"/>
      <c r="AK901" s="112"/>
      <c r="AL901" s="112"/>
      <c r="AM901" s="112"/>
      <c r="AN901" s="112"/>
      <c r="AO901" s="112"/>
      <c r="AP901" s="112"/>
      <c r="AQ901" s="112"/>
      <c r="AR901" s="112"/>
      <c r="AS901" s="112"/>
      <c r="AT901" s="112"/>
      <c r="AU901" s="112"/>
      <c r="AV901" s="112"/>
      <c r="AW901" s="112"/>
      <c r="AX901" s="112"/>
      <c r="AY901" s="112"/>
      <c r="AZ901" s="112"/>
      <c r="BA901" s="112"/>
      <c r="BB901" s="112"/>
      <c r="BC901" s="112"/>
      <c r="BD901" s="112"/>
      <c r="BE901" s="112"/>
      <c r="BF901" s="112"/>
      <c r="BG901" s="112"/>
      <c r="BH901" s="112"/>
      <c r="BI901" s="112"/>
      <c r="BJ901" s="112"/>
      <c r="BK901" s="112"/>
      <c r="BL901" s="112"/>
      <c r="BM901" s="112"/>
      <c r="BN901" s="112"/>
      <c r="BO901" s="112"/>
      <c r="BP901" s="112"/>
      <c r="BQ901" s="112"/>
      <c r="BR901" s="112"/>
      <c r="BS901" s="112"/>
      <c r="BT901" s="112"/>
      <c r="BU901" s="112"/>
      <c r="BV901" s="112"/>
      <c r="BW901" s="112"/>
      <c r="BX901" s="112"/>
      <c r="BY901" s="112"/>
      <c r="BZ901" s="112"/>
    </row>
    <row r="902" spans="30:78" x14ac:dyDescent="0.2">
      <c r="AD902" s="112"/>
      <c r="AE902" s="112"/>
      <c r="AF902" s="112"/>
      <c r="AG902" s="112"/>
      <c r="AH902" s="112"/>
      <c r="AI902" s="112"/>
      <c r="AJ902" s="112"/>
      <c r="AK902" s="112"/>
      <c r="AL902" s="112"/>
      <c r="AM902" s="112"/>
      <c r="AN902" s="112"/>
      <c r="AO902" s="112"/>
      <c r="AP902" s="112"/>
      <c r="AQ902" s="112"/>
      <c r="AR902" s="112"/>
      <c r="AS902" s="112"/>
      <c r="AT902" s="112"/>
      <c r="AU902" s="112"/>
      <c r="AV902" s="112"/>
      <c r="AW902" s="112"/>
      <c r="AX902" s="112"/>
      <c r="AY902" s="112"/>
      <c r="AZ902" s="112"/>
      <c r="BA902" s="112"/>
      <c r="BB902" s="112"/>
      <c r="BC902" s="112"/>
      <c r="BD902" s="112"/>
      <c r="BE902" s="112"/>
      <c r="BF902" s="112"/>
      <c r="BG902" s="112"/>
      <c r="BH902" s="112"/>
      <c r="BI902" s="112"/>
      <c r="BJ902" s="112"/>
      <c r="BK902" s="112"/>
      <c r="BL902" s="112"/>
      <c r="BM902" s="112"/>
      <c r="BN902" s="112"/>
      <c r="BO902" s="112"/>
      <c r="BP902" s="112"/>
      <c r="BQ902" s="112"/>
      <c r="BR902" s="112"/>
      <c r="BS902" s="112"/>
      <c r="BT902" s="112"/>
      <c r="BU902" s="112"/>
      <c r="BV902" s="112"/>
      <c r="BW902" s="112"/>
      <c r="BX902" s="112"/>
      <c r="BY902" s="112"/>
      <c r="BZ902" s="112"/>
    </row>
    <row r="903" spans="30:78" x14ac:dyDescent="0.2">
      <c r="AD903" s="112"/>
      <c r="AE903" s="112"/>
      <c r="AF903" s="112"/>
      <c r="AG903" s="112"/>
      <c r="AH903" s="112"/>
      <c r="AI903" s="112"/>
      <c r="AJ903" s="112"/>
      <c r="AK903" s="112"/>
      <c r="AL903" s="112"/>
      <c r="AM903" s="112"/>
      <c r="AN903" s="112"/>
      <c r="AO903" s="112"/>
      <c r="AP903" s="112"/>
      <c r="AQ903" s="112"/>
      <c r="AR903" s="112"/>
      <c r="AS903" s="112"/>
      <c r="AT903" s="112"/>
      <c r="AU903" s="112"/>
      <c r="AV903" s="112"/>
      <c r="AW903" s="112"/>
      <c r="AX903" s="112"/>
      <c r="AY903" s="112"/>
      <c r="AZ903" s="112"/>
      <c r="BA903" s="112"/>
      <c r="BB903" s="112"/>
      <c r="BC903" s="112"/>
      <c r="BD903" s="112"/>
      <c r="BE903" s="112"/>
      <c r="BF903" s="112"/>
      <c r="BG903" s="112"/>
      <c r="BH903" s="112"/>
      <c r="BI903" s="112"/>
      <c r="BJ903" s="112"/>
      <c r="BK903" s="112"/>
      <c r="BL903" s="112"/>
      <c r="BM903" s="112"/>
      <c r="BN903" s="112"/>
      <c r="BO903" s="112"/>
      <c r="BP903" s="112"/>
      <c r="BQ903" s="112"/>
      <c r="BR903" s="112"/>
      <c r="BS903" s="112"/>
      <c r="BT903" s="112"/>
      <c r="BU903" s="112"/>
      <c r="BV903" s="112"/>
      <c r="BW903" s="112"/>
      <c r="BX903" s="112"/>
      <c r="BY903" s="112"/>
      <c r="BZ903" s="112"/>
    </row>
    <row r="904" spans="30:78" x14ac:dyDescent="0.2">
      <c r="AD904" s="112"/>
      <c r="AE904" s="112"/>
      <c r="AF904" s="112"/>
      <c r="AG904" s="112"/>
      <c r="AH904" s="112"/>
      <c r="AI904" s="112"/>
      <c r="AJ904" s="112"/>
      <c r="AK904" s="112"/>
      <c r="AL904" s="112"/>
      <c r="AM904" s="112"/>
      <c r="AN904" s="112"/>
      <c r="AO904" s="112"/>
      <c r="AP904" s="112"/>
      <c r="AQ904" s="112"/>
      <c r="AR904" s="112"/>
      <c r="AS904" s="112"/>
      <c r="AT904" s="112"/>
      <c r="AU904" s="112"/>
      <c r="AV904" s="112"/>
      <c r="AW904" s="112"/>
      <c r="AX904" s="112"/>
      <c r="AY904" s="112"/>
      <c r="AZ904" s="112"/>
      <c r="BA904" s="112"/>
      <c r="BB904" s="112"/>
      <c r="BC904" s="112"/>
      <c r="BD904" s="112"/>
      <c r="BE904" s="112"/>
      <c r="BF904" s="112"/>
      <c r="BG904" s="112"/>
      <c r="BH904" s="112"/>
      <c r="BI904" s="112"/>
      <c r="BJ904" s="112"/>
      <c r="BK904" s="112"/>
      <c r="BL904" s="112"/>
      <c r="BM904" s="112"/>
      <c r="BN904" s="112"/>
      <c r="BO904" s="112"/>
      <c r="BP904" s="112"/>
      <c r="BQ904" s="112"/>
      <c r="BR904" s="112"/>
      <c r="BS904" s="112"/>
      <c r="BT904" s="112"/>
      <c r="BU904" s="112"/>
      <c r="BV904" s="112"/>
      <c r="BW904" s="112"/>
      <c r="BX904" s="112"/>
      <c r="BY904" s="112"/>
      <c r="BZ904" s="112"/>
    </row>
    <row r="905" spans="30:78" x14ac:dyDescent="0.2">
      <c r="AD905" s="112"/>
      <c r="AE905" s="112"/>
      <c r="AF905" s="112"/>
      <c r="AG905" s="112"/>
      <c r="AH905" s="112"/>
      <c r="AI905" s="112"/>
      <c r="AJ905" s="112"/>
      <c r="AK905" s="112"/>
      <c r="AL905" s="112"/>
      <c r="AM905" s="112"/>
      <c r="AN905" s="112"/>
      <c r="AO905" s="112"/>
      <c r="AP905" s="112"/>
      <c r="AQ905" s="112"/>
      <c r="AR905" s="112"/>
      <c r="AS905" s="112"/>
      <c r="AT905" s="112"/>
      <c r="AU905" s="112"/>
      <c r="AV905" s="112"/>
      <c r="AW905" s="112"/>
      <c r="AX905" s="112"/>
      <c r="AY905" s="112"/>
      <c r="AZ905" s="112"/>
      <c r="BA905" s="112"/>
      <c r="BB905" s="112"/>
      <c r="BC905" s="112"/>
      <c r="BD905" s="112"/>
      <c r="BE905" s="112"/>
      <c r="BF905" s="112"/>
      <c r="BG905" s="112"/>
      <c r="BH905" s="112"/>
      <c r="BI905" s="112"/>
      <c r="BJ905" s="112"/>
      <c r="BK905" s="112"/>
      <c r="BL905" s="112"/>
      <c r="BM905" s="112"/>
      <c r="BN905" s="112"/>
      <c r="BO905" s="112"/>
      <c r="BP905" s="112"/>
      <c r="BQ905" s="112"/>
      <c r="BR905" s="112"/>
      <c r="BS905" s="112"/>
      <c r="BT905" s="112"/>
      <c r="BU905" s="112"/>
      <c r="BV905" s="112"/>
      <c r="BW905" s="112"/>
      <c r="BX905" s="112"/>
      <c r="BY905" s="112"/>
      <c r="BZ905" s="112"/>
    </row>
    <row r="906" spans="30:78" x14ac:dyDescent="0.2">
      <c r="AD906" s="112"/>
      <c r="AE906" s="112"/>
      <c r="AF906" s="112"/>
      <c r="AG906" s="112"/>
      <c r="AH906" s="112"/>
      <c r="AI906" s="112"/>
      <c r="AJ906" s="112"/>
      <c r="AK906" s="112"/>
      <c r="AL906" s="112"/>
      <c r="AM906" s="112"/>
      <c r="AN906" s="112"/>
      <c r="AO906" s="112"/>
      <c r="AP906" s="112"/>
      <c r="AQ906" s="112"/>
      <c r="AR906" s="112"/>
      <c r="AS906" s="112"/>
      <c r="AT906" s="112"/>
      <c r="AU906" s="112"/>
      <c r="AV906" s="112"/>
      <c r="AW906" s="112"/>
      <c r="AX906" s="112"/>
      <c r="AY906" s="112"/>
      <c r="AZ906" s="112"/>
      <c r="BA906" s="112"/>
      <c r="BB906" s="112"/>
      <c r="BC906" s="112"/>
      <c r="BD906" s="112"/>
      <c r="BE906" s="112"/>
      <c r="BF906" s="112"/>
      <c r="BG906" s="112"/>
      <c r="BH906" s="112"/>
      <c r="BI906" s="112"/>
      <c r="BJ906" s="112"/>
      <c r="BK906" s="112"/>
      <c r="BL906" s="112"/>
      <c r="BM906" s="112"/>
      <c r="BN906" s="112"/>
      <c r="BO906" s="112"/>
      <c r="BP906" s="112"/>
      <c r="BQ906" s="112"/>
      <c r="BR906" s="112"/>
      <c r="BS906" s="112"/>
      <c r="BT906" s="112"/>
      <c r="BU906" s="112"/>
      <c r="BV906" s="112"/>
      <c r="BW906" s="112"/>
      <c r="BX906" s="112"/>
      <c r="BY906" s="112"/>
      <c r="BZ906" s="112"/>
    </row>
    <row r="907" spans="30:78" x14ac:dyDescent="0.2">
      <c r="AD907" s="112"/>
      <c r="AE907" s="112"/>
      <c r="AF907" s="112"/>
      <c r="AG907" s="112"/>
      <c r="AH907" s="112"/>
      <c r="AI907" s="112"/>
      <c r="AJ907" s="112"/>
      <c r="AK907" s="112"/>
      <c r="AL907" s="112"/>
      <c r="AM907" s="112"/>
      <c r="AN907" s="112"/>
      <c r="AO907" s="112"/>
      <c r="AP907" s="112"/>
      <c r="AQ907" s="112"/>
      <c r="AR907" s="112"/>
      <c r="AS907" s="112"/>
      <c r="AT907" s="112"/>
      <c r="AU907" s="112"/>
      <c r="AV907" s="112"/>
      <c r="AW907" s="112"/>
      <c r="AX907" s="112"/>
      <c r="AY907" s="112"/>
      <c r="AZ907" s="112"/>
      <c r="BA907" s="112"/>
      <c r="BB907" s="112"/>
      <c r="BC907" s="112"/>
      <c r="BD907" s="112"/>
      <c r="BE907" s="112"/>
      <c r="BF907" s="112"/>
      <c r="BG907" s="112"/>
      <c r="BH907" s="112"/>
      <c r="BI907" s="112"/>
      <c r="BJ907" s="112"/>
      <c r="BK907" s="112"/>
      <c r="BL907" s="112"/>
      <c r="BM907" s="112"/>
      <c r="BN907" s="112"/>
      <c r="BO907" s="112"/>
      <c r="BP907" s="112"/>
      <c r="BQ907" s="112"/>
      <c r="BR907" s="112"/>
      <c r="BS907" s="112"/>
      <c r="BT907" s="112"/>
      <c r="BU907" s="112"/>
      <c r="BV907" s="112"/>
      <c r="BW907" s="112"/>
      <c r="BX907" s="112"/>
      <c r="BY907" s="112"/>
      <c r="BZ907" s="112"/>
    </row>
    <row r="908" spans="30:78" x14ac:dyDescent="0.2">
      <c r="AD908" s="112"/>
      <c r="AE908" s="112"/>
      <c r="AF908" s="112"/>
      <c r="AG908" s="112"/>
      <c r="AH908" s="112"/>
      <c r="AI908" s="112"/>
      <c r="AJ908" s="112"/>
      <c r="AK908" s="112"/>
      <c r="AL908" s="112"/>
      <c r="AM908" s="112"/>
      <c r="AN908" s="112"/>
      <c r="AO908" s="112"/>
      <c r="AP908" s="112"/>
      <c r="AQ908" s="112"/>
      <c r="AR908" s="112"/>
      <c r="AS908" s="112"/>
      <c r="AT908" s="112"/>
      <c r="AU908" s="112"/>
      <c r="AV908" s="112"/>
      <c r="AW908" s="112"/>
      <c r="AX908" s="112"/>
      <c r="AY908" s="112"/>
      <c r="AZ908" s="112"/>
      <c r="BA908" s="112"/>
      <c r="BB908" s="112"/>
      <c r="BC908" s="112"/>
      <c r="BD908" s="112"/>
      <c r="BE908" s="112"/>
      <c r="BF908" s="112"/>
      <c r="BG908" s="112"/>
      <c r="BH908" s="112"/>
      <c r="BI908" s="112"/>
      <c r="BJ908" s="112"/>
      <c r="BK908" s="112"/>
      <c r="BL908" s="112"/>
      <c r="BM908" s="112"/>
      <c r="BN908" s="112"/>
      <c r="BO908" s="112"/>
      <c r="BP908" s="112"/>
      <c r="BQ908" s="112"/>
      <c r="BR908" s="112"/>
      <c r="BS908" s="112"/>
      <c r="BT908" s="112"/>
      <c r="BU908" s="112"/>
      <c r="BV908" s="112"/>
      <c r="BW908" s="112"/>
      <c r="BX908" s="112"/>
      <c r="BY908" s="112"/>
      <c r="BZ908" s="112"/>
    </row>
    <row r="909" spans="30:78" x14ac:dyDescent="0.2">
      <c r="AD909" s="112"/>
      <c r="AE909" s="112"/>
      <c r="AF909" s="112"/>
      <c r="AG909" s="112"/>
      <c r="AH909" s="112"/>
      <c r="AI909" s="112"/>
      <c r="AJ909" s="112"/>
      <c r="AK909" s="112"/>
      <c r="AL909" s="112"/>
      <c r="AM909" s="112"/>
      <c r="AN909" s="112"/>
      <c r="AO909" s="112"/>
      <c r="AP909" s="112"/>
      <c r="AQ909" s="112"/>
      <c r="AR909" s="112"/>
      <c r="AS909" s="112"/>
      <c r="AT909" s="112"/>
      <c r="AU909" s="112"/>
      <c r="AV909" s="112"/>
      <c r="AW909" s="112"/>
      <c r="AX909" s="112"/>
      <c r="AY909" s="112"/>
      <c r="AZ909" s="112"/>
      <c r="BA909" s="112"/>
      <c r="BB909" s="112"/>
      <c r="BC909" s="112"/>
      <c r="BD909" s="112"/>
      <c r="BE909" s="112"/>
      <c r="BF909" s="112"/>
      <c r="BG909" s="112"/>
      <c r="BH909" s="112"/>
      <c r="BI909" s="112"/>
      <c r="BJ909" s="112"/>
      <c r="BK909" s="112"/>
      <c r="BL909" s="112"/>
      <c r="BM909" s="112"/>
      <c r="BN909" s="112"/>
      <c r="BO909" s="112"/>
      <c r="BP909" s="112"/>
      <c r="BQ909" s="112"/>
      <c r="BR909" s="112"/>
      <c r="BS909" s="112"/>
      <c r="BT909" s="112"/>
      <c r="BU909" s="112"/>
      <c r="BV909" s="112"/>
      <c r="BW909" s="112"/>
      <c r="BX909" s="112"/>
      <c r="BY909" s="112"/>
      <c r="BZ909" s="112"/>
    </row>
    <row r="910" spans="30:78" x14ac:dyDescent="0.2">
      <c r="AD910" s="112"/>
      <c r="AE910" s="112"/>
      <c r="AF910" s="112"/>
      <c r="AG910" s="112"/>
      <c r="AH910" s="112"/>
      <c r="AI910" s="112"/>
      <c r="AJ910" s="112"/>
      <c r="AK910" s="112"/>
      <c r="AL910" s="112"/>
      <c r="AM910" s="112"/>
      <c r="AN910" s="112"/>
      <c r="AO910" s="112"/>
      <c r="AP910" s="112"/>
      <c r="AQ910" s="112"/>
      <c r="AR910" s="112"/>
      <c r="AS910" s="112"/>
      <c r="AT910" s="112"/>
      <c r="AU910" s="112"/>
      <c r="AV910" s="112"/>
      <c r="AW910" s="112"/>
      <c r="AX910" s="112"/>
      <c r="AY910" s="112"/>
      <c r="AZ910" s="112"/>
      <c r="BA910" s="112"/>
      <c r="BB910" s="112"/>
      <c r="BC910" s="112"/>
      <c r="BD910" s="112"/>
      <c r="BE910" s="112"/>
      <c r="BF910" s="112"/>
      <c r="BG910" s="112"/>
      <c r="BH910" s="112"/>
      <c r="BI910" s="112"/>
      <c r="BJ910" s="112"/>
      <c r="BK910" s="112"/>
      <c r="BL910" s="112"/>
      <c r="BM910" s="112"/>
      <c r="BN910" s="112"/>
      <c r="BO910" s="112"/>
      <c r="BP910" s="112"/>
      <c r="BQ910" s="112"/>
      <c r="BR910" s="112"/>
      <c r="BS910" s="112"/>
      <c r="BT910" s="112"/>
      <c r="BU910" s="112"/>
      <c r="BV910" s="112"/>
      <c r="BW910" s="112"/>
      <c r="BX910" s="112"/>
      <c r="BY910" s="112"/>
      <c r="BZ910" s="112"/>
    </row>
    <row r="911" spans="30:78" x14ac:dyDescent="0.2">
      <c r="AD911" s="112"/>
      <c r="AE911" s="112"/>
      <c r="AF911" s="112"/>
      <c r="AG911" s="112"/>
      <c r="AH911" s="112"/>
      <c r="AI911" s="112"/>
      <c r="AJ911" s="112"/>
      <c r="AK911" s="112"/>
      <c r="AL911" s="112"/>
      <c r="AM911" s="112"/>
      <c r="AN911" s="112"/>
      <c r="AO911" s="112"/>
      <c r="AP911" s="112"/>
      <c r="AQ911" s="112"/>
      <c r="AR911" s="112"/>
      <c r="AS911" s="112"/>
      <c r="AT911" s="112"/>
      <c r="AU911" s="112"/>
      <c r="AV911" s="112"/>
      <c r="AW911" s="112"/>
      <c r="AX911" s="112"/>
      <c r="AY911" s="112"/>
      <c r="AZ911" s="112"/>
      <c r="BA911" s="112"/>
      <c r="BB911" s="112"/>
      <c r="BC911" s="112"/>
      <c r="BD911" s="112"/>
      <c r="BE911" s="112"/>
      <c r="BF911" s="112"/>
      <c r="BG911" s="112"/>
      <c r="BH911" s="112"/>
      <c r="BI911" s="112"/>
      <c r="BJ911" s="112"/>
      <c r="BK911" s="112"/>
      <c r="BL911" s="112"/>
      <c r="BM911" s="112"/>
      <c r="BN911" s="112"/>
      <c r="BO911" s="112"/>
      <c r="BP911" s="112"/>
      <c r="BQ911" s="112"/>
      <c r="BR911" s="112"/>
      <c r="BS911" s="112"/>
      <c r="BT911" s="112"/>
      <c r="BU911" s="112"/>
      <c r="BV911" s="112"/>
      <c r="BW911" s="112"/>
      <c r="BX911" s="112"/>
      <c r="BY911" s="112"/>
      <c r="BZ911" s="112"/>
    </row>
    <row r="912" spans="30:78" x14ac:dyDescent="0.2">
      <c r="AD912" s="112"/>
      <c r="AE912" s="112"/>
      <c r="AF912" s="112"/>
      <c r="AG912" s="112"/>
      <c r="AH912" s="112"/>
      <c r="AI912" s="112"/>
      <c r="AJ912" s="112"/>
      <c r="AK912" s="112"/>
      <c r="AL912" s="112"/>
      <c r="AM912" s="112"/>
      <c r="AN912" s="112"/>
      <c r="AO912" s="112"/>
      <c r="AP912" s="112"/>
      <c r="AQ912" s="112"/>
      <c r="AR912" s="112"/>
      <c r="AS912" s="112"/>
      <c r="AT912" s="112"/>
      <c r="AU912" s="112"/>
      <c r="AV912" s="112"/>
      <c r="AW912" s="112"/>
      <c r="AX912" s="112"/>
      <c r="AY912" s="112"/>
      <c r="AZ912" s="112"/>
      <c r="BA912" s="112"/>
      <c r="BB912" s="112"/>
      <c r="BC912" s="112"/>
      <c r="BD912" s="112"/>
      <c r="BE912" s="112"/>
      <c r="BF912" s="112"/>
      <c r="BG912" s="112"/>
      <c r="BH912" s="112"/>
      <c r="BI912" s="112"/>
      <c r="BJ912" s="112"/>
      <c r="BK912" s="112"/>
      <c r="BL912" s="112"/>
      <c r="BM912" s="112"/>
      <c r="BN912" s="112"/>
      <c r="BO912" s="112"/>
      <c r="BP912" s="112"/>
      <c r="BQ912" s="112"/>
      <c r="BR912" s="112"/>
      <c r="BS912" s="112"/>
      <c r="BT912" s="112"/>
      <c r="BU912" s="112"/>
      <c r="BV912" s="112"/>
      <c r="BW912" s="112"/>
      <c r="BX912" s="112"/>
      <c r="BY912" s="112"/>
      <c r="BZ912" s="112"/>
    </row>
    <row r="913" spans="30:78" x14ac:dyDescent="0.2">
      <c r="AD913" s="112"/>
      <c r="AE913" s="112"/>
      <c r="AF913" s="112"/>
      <c r="AG913" s="112"/>
      <c r="AH913" s="112"/>
      <c r="AI913" s="112"/>
      <c r="AJ913" s="112"/>
      <c r="AK913" s="112"/>
      <c r="AL913" s="112"/>
      <c r="AM913" s="112"/>
      <c r="AN913" s="112"/>
      <c r="AO913" s="112"/>
      <c r="AP913" s="112"/>
      <c r="AQ913" s="112"/>
      <c r="AR913" s="112"/>
      <c r="AS913" s="112"/>
      <c r="AT913" s="112"/>
      <c r="AU913" s="112"/>
      <c r="AV913" s="112"/>
      <c r="AW913" s="112"/>
      <c r="AX913" s="112"/>
      <c r="AY913" s="112"/>
      <c r="AZ913" s="112"/>
      <c r="BA913" s="112"/>
      <c r="BB913" s="112"/>
      <c r="BC913" s="112"/>
      <c r="BD913" s="112"/>
      <c r="BE913" s="112"/>
      <c r="BF913" s="112"/>
      <c r="BG913" s="112"/>
      <c r="BH913" s="112"/>
      <c r="BI913" s="112"/>
      <c r="BJ913" s="112"/>
      <c r="BK913" s="112"/>
      <c r="BL913" s="112"/>
      <c r="BM913" s="112"/>
      <c r="BN913" s="112"/>
      <c r="BO913" s="112"/>
      <c r="BP913" s="112"/>
      <c r="BQ913" s="112"/>
      <c r="BR913" s="112"/>
      <c r="BS913" s="112"/>
      <c r="BT913" s="112"/>
      <c r="BU913" s="112"/>
      <c r="BV913" s="112"/>
      <c r="BW913" s="112"/>
      <c r="BX913" s="112"/>
      <c r="BY913" s="112"/>
      <c r="BZ913" s="112"/>
    </row>
    <row r="914" spans="30:78" x14ac:dyDescent="0.2">
      <c r="AD914" s="112"/>
      <c r="AE914" s="112"/>
      <c r="AF914" s="112"/>
      <c r="AG914" s="112"/>
      <c r="AH914" s="112"/>
      <c r="AI914" s="112"/>
      <c r="AJ914" s="112"/>
      <c r="AK914" s="112"/>
      <c r="AL914" s="112"/>
      <c r="AM914" s="112"/>
      <c r="AN914" s="112"/>
      <c r="AO914" s="112"/>
      <c r="AP914" s="112"/>
      <c r="AQ914" s="112"/>
      <c r="AR914" s="112"/>
      <c r="AS914" s="112"/>
      <c r="AT914" s="112"/>
      <c r="AU914" s="112"/>
      <c r="AV914" s="112"/>
      <c r="AW914" s="112"/>
      <c r="AX914" s="112"/>
      <c r="AY914" s="112"/>
      <c r="AZ914" s="112"/>
      <c r="BA914" s="112"/>
      <c r="BB914" s="112"/>
      <c r="BC914" s="112"/>
      <c r="BD914" s="112"/>
      <c r="BE914" s="112"/>
      <c r="BF914" s="112"/>
      <c r="BG914" s="112"/>
      <c r="BH914" s="112"/>
      <c r="BI914" s="112"/>
      <c r="BJ914" s="112"/>
      <c r="BK914" s="112"/>
      <c r="BL914" s="112"/>
      <c r="BM914" s="112"/>
      <c r="BN914" s="112"/>
      <c r="BO914" s="112"/>
      <c r="BP914" s="112"/>
      <c r="BQ914" s="112"/>
      <c r="BR914" s="112"/>
      <c r="BS914" s="112"/>
      <c r="BT914" s="112"/>
      <c r="BU914" s="112"/>
      <c r="BV914" s="112"/>
      <c r="BW914" s="112"/>
      <c r="BX914" s="112"/>
      <c r="BY914" s="112"/>
      <c r="BZ914" s="112"/>
    </row>
    <row r="915" spans="30:78" x14ac:dyDescent="0.2">
      <c r="AD915" s="112"/>
      <c r="AE915" s="112"/>
      <c r="AF915" s="112"/>
      <c r="AG915" s="112"/>
      <c r="AH915" s="112"/>
      <c r="AI915" s="112"/>
      <c r="AJ915" s="112"/>
      <c r="AK915" s="112"/>
      <c r="AL915" s="112"/>
      <c r="AM915" s="112"/>
      <c r="AN915" s="112"/>
      <c r="AO915" s="112"/>
      <c r="AP915" s="112"/>
      <c r="AQ915" s="112"/>
      <c r="AR915" s="112"/>
      <c r="AS915" s="112"/>
      <c r="AT915" s="112"/>
      <c r="AU915" s="112"/>
      <c r="AV915" s="112"/>
      <c r="AW915" s="112"/>
      <c r="AX915" s="112"/>
      <c r="AY915" s="112"/>
      <c r="AZ915" s="112"/>
      <c r="BA915" s="112"/>
      <c r="BB915" s="112"/>
      <c r="BC915" s="112"/>
      <c r="BD915" s="112"/>
      <c r="BE915" s="112"/>
      <c r="BF915" s="112"/>
      <c r="BG915" s="112"/>
      <c r="BH915" s="112"/>
      <c r="BI915" s="112"/>
      <c r="BJ915" s="112"/>
      <c r="BK915" s="112"/>
      <c r="BL915" s="112"/>
      <c r="BM915" s="112"/>
      <c r="BN915" s="112"/>
      <c r="BO915" s="112"/>
      <c r="BP915" s="112"/>
      <c r="BQ915" s="112"/>
      <c r="BR915" s="112"/>
      <c r="BS915" s="112"/>
      <c r="BT915" s="112"/>
      <c r="BU915" s="112"/>
      <c r="BV915" s="112"/>
      <c r="BW915" s="112"/>
      <c r="BX915" s="112"/>
      <c r="BY915" s="112"/>
      <c r="BZ915" s="112"/>
    </row>
    <row r="916" spans="30:78" x14ac:dyDescent="0.2">
      <c r="AD916" s="112"/>
      <c r="AE916" s="112"/>
      <c r="AF916" s="112"/>
      <c r="AG916" s="112"/>
      <c r="AH916" s="112"/>
      <c r="AI916" s="112"/>
      <c r="AJ916" s="112"/>
      <c r="AK916" s="112"/>
      <c r="AL916" s="112"/>
      <c r="AM916" s="112"/>
      <c r="AN916" s="112"/>
      <c r="AO916" s="112"/>
      <c r="AP916" s="112"/>
      <c r="AQ916" s="112"/>
      <c r="AR916" s="112"/>
      <c r="AS916" s="112"/>
      <c r="AT916" s="112"/>
      <c r="AU916" s="112"/>
      <c r="AV916" s="112"/>
      <c r="AW916" s="112"/>
      <c r="AX916" s="112"/>
      <c r="AY916" s="112"/>
      <c r="AZ916" s="112"/>
      <c r="BA916" s="112"/>
      <c r="BB916" s="112"/>
      <c r="BC916" s="112"/>
      <c r="BD916" s="112"/>
      <c r="BE916" s="112"/>
      <c r="BF916" s="112"/>
      <c r="BG916" s="112"/>
      <c r="BH916" s="112"/>
      <c r="BI916" s="112"/>
      <c r="BJ916" s="112"/>
      <c r="BK916" s="112"/>
      <c r="BL916" s="112"/>
      <c r="BM916" s="112"/>
      <c r="BN916" s="112"/>
      <c r="BO916" s="112"/>
      <c r="BP916" s="112"/>
      <c r="BQ916" s="112"/>
      <c r="BR916" s="112"/>
      <c r="BS916" s="112"/>
      <c r="BT916" s="112"/>
      <c r="BU916" s="112"/>
      <c r="BV916" s="112"/>
      <c r="BW916" s="112"/>
      <c r="BX916" s="112"/>
      <c r="BY916" s="112"/>
      <c r="BZ916" s="112"/>
    </row>
    <row r="917" spans="30:78" x14ac:dyDescent="0.2">
      <c r="AD917" s="112"/>
      <c r="AE917" s="112"/>
      <c r="AF917" s="112"/>
      <c r="AG917" s="112"/>
      <c r="AH917" s="112"/>
      <c r="AI917" s="112"/>
      <c r="AJ917" s="112"/>
      <c r="AK917" s="112"/>
      <c r="AL917" s="112"/>
      <c r="AM917" s="112"/>
      <c r="AN917" s="112"/>
      <c r="AO917" s="112"/>
      <c r="AP917" s="112"/>
      <c r="AQ917" s="112"/>
      <c r="AR917" s="112"/>
      <c r="AS917" s="112"/>
      <c r="AT917" s="112"/>
      <c r="AU917" s="112"/>
      <c r="AV917" s="112"/>
      <c r="AW917" s="112"/>
      <c r="AX917" s="112"/>
      <c r="AY917" s="112"/>
      <c r="AZ917" s="112"/>
      <c r="BA917" s="112"/>
      <c r="BB917" s="112"/>
      <c r="BC917" s="112"/>
      <c r="BD917" s="112"/>
      <c r="BE917" s="112"/>
      <c r="BF917" s="112"/>
      <c r="BG917" s="112"/>
      <c r="BH917" s="112"/>
      <c r="BI917" s="112"/>
      <c r="BJ917" s="112"/>
      <c r="BK917" s="112"/>
      <c r="BL917" s="112"/>
      <c r="BM917" s="112"/>
      <c r="BN917" s="112"/>
      <c r="BO917" s="112"/>
      <c r="BP917" s="112"/>
      <c r="BQ917" s="112"/>
      <c r="BR917" s="112"/>
      <c r="BS917" s="112"/>
      <c r="BT917" s="112"/>
      <c r="BU917" s="112"/>
      <c r="BV917" s="112"/>
      <c r="BW917" s="112"/>
      <c r="BX917" s="112"/>
      <c r="BY917" s="112"/>
      <c r="BZ917" s="112"/>
    </row>
    <row r="918" spans="30:78" x14ac:dyDescent="0.2">
      <c r="AD918" s="112"/>
      <c r="AE918" s="112"/>
      <c r="AF918" s="112"/>
      <c r="AG918" s="112"/>
      <c r="AH918" s="112"/>
      <c r="AI918" s="112"/>
      <c r="AJ918" s="112"/>
      <c r="AK918" s="112"/>
      <c r="AL918" s="112"/>
      <c r="AM918" s="112"/>
      <c r="AN918" s="112"/>
      <c r="AO918" s="112"/>
      <c r="AP918" s="112"/>
      <c r="AQ918" s="112"/>
      <c r="AR918" s="112"/>
      <c r="AS918" s="112"/>
      <c r="AT918" s="112"/>
      <c r="AU918" s="112"/>
      <c r="AV918" s="112"/>
      <c r="AW918" s="112"/>
      <c r="AX918" s="112"/>
      <c r="AY918" s="112"/>
      <c r="AZ918" s="112"/>
      <c r="BA918" s="112"/>
      <c r="BB918" s="112"/>
      <c r="BC918" s="112"/>
      <c r="BD918" s="112"/>
      <c r="BE918" s="112"/>
      <c r="BF918" s="112"/>
      <c r="BG918" s="112"/>
      <c r="BH918" s="112"/>
      <c r="BI918" s="112"/>
      <c r="BJ918" s="112"/>
      <c r="BK918" s="112"/>
      <c r="BL918" s="112"/>
      <c r="BM918" s="112"/>
      <c r="BN918" s="112"/>
      <c r="BO918" s="112"/>
      <c r="BP918" s="112"/>
      <c r="BQ918" s="112"/>
      <c r="BR918" s="112"/>
      <c r="BS918" s="112"/>
      <c r="BT918" s="112"/>
      <c r="BU918" s="112"/>
      <c r="BV918" s="112"/>
      <c r="BW918" s="112"/>
      <c r="BX918" s="112"/>
      <c r="BY918" s="112"/>
      <c r="BZ918" s="112"/>
    </row>
    <row r="919" spans="30:78" x14ac:dyDescent="0.2">
      <c r="AD919" s="112"/>
      <c r="AE919" s="112"/>
      <c r="AF919" s="112"/>
      <c r="AG919" s="112"/>
      <c r="AH919" s="112"/>
      <c r="AI919" s="112"/>
      <c r="AJ919" s="112"/>
      <c r="AK919" s="112"/>
      <c r="AL919" s="112"/>
      <c r="AM919" s="112"/>
      <c r="AN919" s="112"/>
      <c r="AO919" s="112"/>
      <c r="AP919" s="112"/>
      <c r="AQ919" s="112"/>
      <c r="AR919" s="112"/>
      <c r="AS919" s="112"/>
      <c r="AT919" s="112"/>
      <c r="AU919" s="112"/>
      <c r="AV919" s="112"/>
      <c r="AW919" s="112"/>
      <c r="AX919" s="112"/>
      <c r="AY919" s="112"/>
      <c r="AZ919" s="112"/>
      <c r="BA919" s="112"/>
      <c r="BB919" s="112"/>
      <c r="BC919" s="112"/>
      <c r="BD919" s="112"/>
      <c r="BE919" s="112"/>
      <c r="BF919" s="112"/>
      <c r="BG919" s="112"/>
      <c r="BH919" s="112"/>
      <c r="BI919" s="112"/>
      <c r="BJ919" s="112"/>
      <c r="BK919" s="112"/>
      <c r="BL919" s="112"/>
      <c r="BM919" s="112"/>
      <c r="BN919" s="112"/>
      <c r="BO919" s="112"/>
      <c r="BP919" s="112"/>
      <c r="BQ919" s="112"/>
      <c r="BR919" s="112"/>
      <c r="BS919" s="112"/>
      <c r="BT919" s="112"/>
      <c r="BU919" s="112"/>
      <c r="BV919" s="112"/>
      <c r="BW919" s="112"/>
      <c r="BX919" s="112"/>
      <c r="BY919" s="112"/>
      <c r="BZ919" s="112"/>
    </row>
    <row r="920" spans="30:78" x14ac:dyDescent="0.2">
      <c r="AD920" s="112"/>
      <c r="AE920" s="112"/>
      <c r="AF920" s="112"/>
      <c r="AG920" s="112"/>
      <c r="AH920" s="112"/>
      <c r="AI920" s="112"/>
      <c r="AJ920" s="112"/>
      <c r="AK920" s="112"/>
      <c r="AL920" s="112"/>
      <c r="AM920" s="112"/>
      <c r="AN920" s="112"/>
      <c r="AO920" s="112"/>
      <c r="AP920" s="112"/>
      <c r="AQ920" s="112"/>
      <c r="AR920" s="112"/>
      <c r="AS920" s="112"/>
      <c r="AT920" s="112"/>
      <c r="AU920" s="112"/>
      <c r="AV920" s="112"/>
      <c r="AW920" s="112"/>
      <c r="AX920" s="112"/>
      <c r="AY920" s="112"/>
      <c r="AZ920" s="112"/>
      <c r="BA920" s="112"/>
      <c r="BB920" s="112"/>
      <c r="BC920" s="112"/>
      <c r="BD920" s="112"/>
      <c r="BE920" s="112"/>
      <c r="BF920" s="112"/>
      <c r="BG920" s="112"/>
      <c r="BH920" s="112"/>
      <c r="BI920" s="112"/>
      <c r="BJ920" s="112"/>
      <c r="BK920" s="112"/>
      <c r="BL920" s="112"/>
      <c r="BM920" s="112"/>
      <c r="BN920" s="112"/>
      <c r="BO920" s="112"/>
      <c r="BP920" s="112"/>
      <c r="BQ920" s="112"/>
      <c r="BR920" s="112"/>
      <c r="BS920" s="112"/>
      <c r="BT920" s="112"/>
      <c r="BU920" s="112"/>
      <c r="BV920" s="112"/>
      <c r="BW920" s="112"/>
      <c r="BX920" s="112"/>
      <c r="BY920" s="112"/>
      <c r="BZ920" s="112"/>
    </row>
    <row r="921" spans="30:78" x14ac:dyDescent="0.2">
      <c r="AD921" s="112"/>
      <c r="AE921" s="112"/>
      <c r="AF921" s="112"/>
      <c r="AG921" s="112"/>
      <c r="AH921" s="112"/>
      <c r="AI921" s="112"/>
      <c r="AJ921" s="112"/>
      <c r="AK921" s="112"/>
      <c r="AL921" s="112"/>
      <c r="AM921" s="112"/>
      <c r="AN921" s="112"/>
      <c r="AO921" s="112"/>
      <c r="AP921" s="112"/>
      <c r="AQ921" s="112"/>
      <c r="AR921" s="112"/>
      <c r="AS921" s="112"/>
      <c r="AT921" s="112"/>
      <c r="AU921" s="112"/>
      <c r="AV921" s="112"/>
      <c r="AW921" s="112"/>
      <c r="AX921" s="112"/>
      <c r="AY921" s="112"/>
      <c r="AZ921" s="112"/>
      <c r="BA921" s="112"/>
      <c r="BB921" s="112"/>
      <c r="BC921" s="112"/>
      <c r="BD921" s="112"/>
      <c r="BE921" s="112"/>
      <c r="BF921" s="112"/>
      <c r="BG921" s="112"/>
      <c r="BH921" s="112"/>
      <c r="BI921" s="112"/>
      <c r="BJ921" s="112"/>
      <c r="BK921" s="112"/>
      <c r="BL921" s="112"/>
      <c r="BM921" s="112"/>
      <c r="BN921" s="112"/>
      <c r="BO921" s="112"/>
      <c r="BP921" s="112"/>
      <c r="BQ921" s="112"/>
      <c r="BR921" s="112"/>
      <c r="BS921" s="112"/>
      <c r="BT921" s="112"/>
      <c r="BU921" s="112"/>
      <c r="BV921" s="112"/>
      <c r="BW921" s="112"/>
      <c r="BX921" s="112"/>
      <c r="BY921" s="112"/>
      <c r="BZ921" s="112"/>
    </row>
    <row r="922" spans="30:78" x14ac:dyDescent="0.2">
      <c r="AD922" s="112"/>
      <c r="AE922" s="112"/>
      <c r="AF922" s="112"/>
      <c r="AG922" s="112"/>
      <c r="AH922" s="112"/>
      <c r="AI922" s="112"/>
      <c r="AJ922" s="112"/>
      <c r="AK922" s="112"/>
      <c r="AL922" s="112"/>
      <c r="AM922" s="112"/>
      <c r="AN922" s="112"/>
      <c r="AO922" s="112"/>
      <c r="AP922" s="112"/>
      <c r="AQ922" s="112"/>
      <c r="AR922" s="112"/>
      <c r="AS922" s="112"/>
      <c r="AT922" s="112"/>
      <c r="AU922" s="112"/>
      <c r="AV922" s="112"/>
      <c r="AW922" s="112"/>
      <c r="AX922" s="112"/>
      <c r="AY922" s="112"/>
      <c r="AZ922" s="112"/>
      <c r="BA922" s="112"/>
      <c r="BB922" s="112"/>
      <c r="BC922" s="112"/>
      <c r="BD922" s="112"/>
      <c r="BE922" s="112"/>
      <c r="BF922" s="112"/>
      <c r="BG922" s="112"/>
      <c r="BH922" s="112"/>
      <c r="BI922" s="112"/>
      <c r="BJ922" s="112"/>
      <c r="BK922" s="112"/>
      <c r="BL922" s="112"/>
      <c r="BM922" s="112"/>
      <c r="BN922" s="112"/>
      <c r="BO922" s="112"/>
      <c r="BP922" s="112"/>
      <c r="BQ922" s="112"/>
      <c r="BR922" s="112"/>
      <c r="BS922" s="112"/>
      <c r="BT922" s="112"/>
      <c r="BU922" s="112"/>
      <c r="BV922" s="112"/>
      <c r="BW922" s="112"/>
      <c r="BX922" s="112"/>
      <c r="BY922" s="112"/>
      <c r="BZ922" s="112"/>
    </row>
    <row r="923" spans="30:78" x14ac:dyDescent="0.2">
      <c r="AD923" s="112"/>
      <c r="AE923" s="112"/>
      <c r="AF923" s="112"/>
      <c r="AG923" s="112"/>
      <c r="AH923" s="112"/>
      <c r="AI923" s="112"/>
      <c r="AJ923" s="112"/>
      <c r="AK923" s="112"/>
      <c r="AL923" s="112"/>
      <c r="AM923" s="112"/>
      <c r="AN923" s="112"/>
      <c r="AO923" s="112"/>
      <c r="AP923" s="112"/>
      <c r="AQ923" s="112"/>
      <c r="AR923" s="112"/>
      <c r="AS923" s="112"/>
      <c r="AT923" s="112"/>
      <c r="AU923" s="112"/>
      <c r="AV923" s="112"/>
      <c r="AW923" s="112"/>
      <c r="AX923" s="112"/>
      <c r="AY923" s="112"/>
      <c r="AZ923" s="112"/>
      <c r="BA923" s="112"/>
      <c r="BB923" s="112"/>
      <c r="BC923" s="112"/>
      <c r="BD923" s="112"/>
      <c r="BE923" s="112"/>
      <c r="BF923" s="112"/>
      <c r="BG923" s="112"/>
      <c r="BH923" s="112"/>
      <c r="BI923" s="112"/>
      <c r="BJ923" s="112"/>
      <c r="BK923" s="112"/>
      <c r="BL923" s="112"/>
      <c r="BM923" s="112"/>
      <c r="BN923" s="112"/>
      <c r="BO923" s="112"/>
      <c r="BP923" s="112"/>
      <c r="BQ923" s="112"/>
      <c r="BR923" s="112"/>
      <c r="BS923" s="112"/>
      <c r="BT923" s="112"/>
      <c r="BU923" s="112"/>
      <c r="BV923" s="112"/>
      <c r="BW923" s="112"/>
      <c r="BX923" s="112"/>
      <c r="BY923" s="112"/>
      <c r="BZ923" s="112"/>
    </row>
    <row r="924" spans="30:78" x14ac:dyDescent="0.2">
      <c r="AD924" s="112"/>
      <c r="AE924" s="112"/>
      <c r="AF924" s="112"/>
      <c r="AG924" s="112"/>
      <c r="AH924" s="112"/>
      <c r="AI924" s="112"/>
      <c r="AJ924" s="112"/>
      <c r="AK924" s="112"/>
      <c r="AL924" s="112"/>
      <c r="AM924" s="112"/>
      <c r="AN924" s="112"/>
      <c r="AO924" s="112"/>
      <c r="AP924" s="112"/>
      <c r="AQ924" s="112"/>
      <c r="AR924" s="112"/>
      <c r="AS924" s="112"/>
      <c r="AT924" s="112"/>
      <c r="AU924" s="112"/>
      <c r="AV924" s="112"/>
      <c r="AW924" s="112"/>
      <c r="AX924" s="112"/>
      <c r="AY924" s="112"/>
      <c r="AZ924" s="112"/>
      <c r="BA924" s="112"/>
      <c r="BB924" s="112"/>
      <c r="BC924" s="112"/>
      <c r="BD924" s="112"/>
      <c r="BE924" s="112"/>
      <c r="BF924" s="112"/>
      <c r="BG924" s="112"/>
      <c r="BH924" s="112"/>
      <c r="BI924" s="112"/>
      <c r="BJ924" s="112"/>
      <c r="BK924" s="112"/>
      <c r="BL924" s="112"/>
      <c r="BM924" s="112"/>
      <c r="BN924" s="112"/>
      <c r="BO924" s="112"/>
      <c r="BP924" s="112"/>
      <c r="BQ924" s="112"/>
      <c r="BR924" s="112"/>
      <c r="BS924" s="112"/>
      <c r="BT924" s="112"/>
      <c r="BU924" s="112"/>
      <c r="BV924" s="112"/>
      <c r="BW924" s="112"/>
      <c r="BX924" s="112"/>
      <c r="BY924" s="112"/>
      <c r="BZ924" s="112"/>
    </row>
    <row r="925" spans="30:78" x14ac:dyDescent="0.2">
      <c r="AD925" s="112"/>
      <c r="AE925" s="112"/>
      <c r="AF925" s="112"/>
      <c r="AG925" s="112"/>
      <c r="AH925" s="112"/>
      <c r="AI925" s="112"/>
      <c r="AJ925" s="112"/>
      <c r="AK925" s="112"/>
      <c r="AL925" s="112"/>
      <c r="AM925" s="112"/>
      <c r="AN925" s="112"/>
      <c r="AO925" s="112"/>
      <c r="AP925" s="112"/>
      <c r="AQ925" s="112"/>
      <c r="AR925" s="112"/>
      <c r="AS925" s="112"/>
      <c r="AT925" s="112"/>
      <c r="AU925" s="112"/>
      <c r="AV925" s="112"/>
      <c r="AW925" s="112"/>
      <c r="AX925" s="112"/>
      <c r="AY925" s="112"/>
      <c r="AZ925" s="112"/>
      <c r="BA925" s="112"/>
      <c r="BB925" s="112"/>
      <c r="BC925" s="112"/>
      <c r="BD925" s="112"/>
      <c r="BE925" s="112"/>
      <c r="BF925" s="112"/>
      <c r="BG925" s="112"/>
      <c r="BH925" s="112"/>
      <c r="BI925" s="112"/>
      <c r="BJ925" s="112"/>
      <c r="BK925" s="112"/>
      <c r="BL925" s="112"/>
      <c r="BM925" s="112"/>
      <c r="BN925" s="112"/>
      <c r="BO925" s="112"/>
      <c r="BP925" s="112"/>
      <c r="BQ925" s="112"/>
      <c r="BR925" s="112"/>
      <c r="BS925" s="112"/>
      <c r="BT925" s="112"/>
      <c r="BU925" s="112"/>
      <c r="BV925" s="112"/>
      <c r="BW925" s="112"/>
      <c r="BX925" s="112"/>
      <c r="BY925" s="112"/>
      <c r="BZ925" s="112"/>
    </row>
    <row r="926" spans="30:78" x14ac:dyDescent="0.2">
      <c r="AD926" s="112"/>
      <c r="AE926" s="112"/>
      <c r="AF926" s="112"/>
      <c r="AG926" s="112"/>
      <c r="AH926" s="112"/>
      <c r="AI926" s="112"/>
      <c r="AJ926" s="112"/>
      <c r="AK926" s="112"/>
      <c r="AL926" s="112"/>
      <c r="AM926" s="112"/>
      <c r="AN926" s="112"/>
      <c r="AO926" s="112"/>
      <c r="AP926" s="112"/>
      <c r="AQ926" s="112"/>
      <c r="AR926" s="112"/>
      <c r="AS926" s="112"/>
      <c r="AT926" s="112"/>
      <c r="AU926" s="112"/>
      <c r="AV926" s="112"/>
      <c r="AW926" s="112"/>
      <c r="AX926" s="112"/>
      <c r="AY926" s="112"/>
      <c r="AZ926" s="112"/>
      <c r="BA926" s="112"/>
      <c r="BB926" s="112"/>
      <c r="BC926" s="112"/>
      <c r="BD926" s="112"/>
      <c r="BE926" s="112"/>
      <c r="BF926" s="112"/>
      <c r="BG926" s="112"/>
      <c r="BH926" s="112"/>
      <c r="BI926" s="112"/>
      <c r="BJ926" s="112"/>
      <c r="BK926" s="112"/>
      <c r="BL926" s="112"/>
      <c r="BM926" s="112"/>
      <c r="BN926" s="112"/>
      <c r="BO926" s="112"/>
      <c r="BP926" s="112"/>
      <c r="BQ926" s="112"/>
      <c r="BR926" s="112"/>
      <c r="BS926" s="112"/>
      <c r="BT926" s="112"/>
      <c r="BU926" s="112"/>
      <c r="BV926" s="112"/>
      <c r="BW926" s="112"/>
      <c r="BX926" s="112"/>
      <c r="BY926" s="112"/>
      <c r="BZ926" s="112"/>
    </row>
    <row r="927" spans="30:78" x14ac:dyDescent="0.2">
      <c r="AD927" s="112"/>
      <c r="AE927" s="112"/>
      <c r="AF927" s="112"/>
      <c r="AG927" s="112"/>
      <c r="AH927" s="112"/>
      <c r="AI927" s="112"/>
      <c r="AJ927" s="112"/>
      <c r="AK927" s="112"/>
      <c r="AL927" s="112"/>
      <c r="AM927" s="112"/>
      <c r="AN927" s="112"/>
      <c r="AO927" s="112"/>
      <c r="AP927" s="112"/>
      <c r="AQ927" s="112"/>
      <c r="AR927" s="112"/>
      <c r="AS927" s="112"/>
      <c r="AT927" s="112"/>
      <c r="AU927" s="112"/>
      <c r="AV927" s="112"/>
      <c r="AW927" s="112"/>
      <c r="AX927" s="112"/>
      <c r="AY927" s="112"/>
      <c r="AZ927" s="112"/>
      <c r="BA927" s="112"/>
      <c r="BB927" s="112"/>
      <c r="BC927" s="112"/>
      <c r="BD927" s="112"/>
      <c r="BE927" s="112"/>
      <c r="BF927" s="112"/>
      <c r="BG927" s="112"/>
      <c r="BH927" s="112"/>
      <c r="BI927" s="112"/>
      <c r="BJ927" s="112"/>
      <c r="BK927" s="112"/>
      <c r="BL927" s="112"/>
      <c r="BM927" s="112"/>
      <c r="BN927" s="112"/>
      <c r="BO927" s="112"/>
      <c r="BP927" s="112"/>
      <c r="BQ927" s="112"/>
      <c r="BR927" s="112"/>
      <c r="BS927" s="112"/>
      <c r="BT927" s="112"/>
      <c r="BU927" s="112"/>
      <c r="BV927" s="112"/>
      <c r="BW927" s="112"/>
      <c r="BX927" s="112"/>
      <c r="BY927" s="112"/>
      <c r="BZ927" s="112"/>
    </row>
    <row r="928" spans="30:78" x14ac:dyDescent="0.2">
      <c r="AD928" s="112"/>
      <c r="AE928" s="112"/>
      <c r="AF928" s="112"/>
      <c r="AG928" s="112"/>
      <c r="AH928" s="112"/>
      <c r="AI928" s="112"/>
      <c r="AJ928" s="112"/>
      <c r="AK928" s="112"/>
      <c r="AL928" s="112"/>
      <c r="AM928" s="112"/>
      <c r="AN928" s="112"/>
      <c r="AO928" s="112"/>
      <c r="AP928" s="112"/>
      <c r="AQ928" s="112"/>
      <c r="AR928" s="112"/>
      <c r="AS928" s="112"/>
      <c r="AT928" s="112"/>
      <c r="AU928" s="112"/>
      <c r="AV928" s="112"/>
      <c r="AW928" s="112"/>
      <c r="AX928" s="112"/>
      <c r="AY928" s="112"/>
      <c r="AZ928" s="112"/>
      <c r="BA928" s="112"/>
      <c r="BB928" s="112"/>
      <c r="BC928" s="112"/>
      <c r="BD928" s="112"/>
      <c r="BE928" s="112"/>
      <c r="BF928" s="112"/>
      <c r="BG928" s="112"/>
      <c r="BH928" s="112"/>
      <c r="BI928" s="112"/>
      <c r="BJ928" s="112"/>
      <c r="BK928" s="112"/>
      <c r="BL928" s="112"/>
      <c r="BM928" s="112"/>
      <c r="BN928" s="112"/>
      <c r="BO928" s="112"/>
      <c r="BP928" s="112"/>
      <c r="BQ928" s="112"/>
      <c r="BR928" s="112"/>
      <c r="BS928" s="112"/>
      <c r="BT928" s="112"/>
      <c r="BU928" s="112"/>
      <c r="BV928" s="112"/>
      <c r="BW928" s="112"/>
      <c r="BX928" s="112"/>
      <c r="BY928" s="112"/>
      <c r="BZ928" s="112"/>
    </row>
    <row r="929" spans="30:78" x14ac:dyDescent="0.2">
      <c r="AD929" s="112"/>
      <c r="AE929" s="112"/>
      <c r="AF929" s="112"/>
      <c r="AG929" s="112"/>
      <c r="AH929" s="112"/>
      <c r="AI929" s="112"/>
      <c r="AJ929" s="112"/>
      <c r="AK929" s="112"/>
      <c r="AL929" s="112"/>
      <c r="AM929" s="112"/>
      <c r="AN929" s="112"/>
      <c r="AO929" s="112"/>
      <c r="AP929" s="112"/>
      <c r="AQ929" s="112"/>
      <c r="AR929" s="112"/>
      <c r="AS929" s="112"/>
      <c r="AT929" s="112"/>
      <c r="AU929" s="112"/>
      <c r="AV929" s="112"/>
      <c r="AW929" s="112"/>
      <c r="AX929" s="112"/>
      <c r="AY929" s="112"/>
      <c r="AZ929" s="112"/>
      <c r="BA929" s="112"/>
      <c r="BB929" s="112"/>
      <c r="BC929" s="112"/>
      <c r="BD929" s="112"/>
      <c r="BE929" s="112"/>
      <c r="BF929" s="112"/>
      <c r="BG929" s="112"/>
      <c r="BH929" s="112"/>
      <c r="BI929" s="112"/>
      <c r="BJ929" s="112"/>
      <c r="BK929" s="112"/>
      <c r="BL929" s="112"/>
      <c r="BM929" s="112"/>
      <c r="BN929" s="112"/>
      <c r="BO929" s="112"/>
      <c r="BP929" s="112"/>
      <c r="BQ929" s="112"/>
      <c r="BR929" s="112"/>
      <c r="BS929" s="112"/>
      <c r="BT929" s="112"/>
      <c r="BU929" s="112"/>
      <c r="BV929" s="112"/>
      <c r="BW929" s="112"/>
      <c r="BX929" s="112"/>
      <c r="BY929" s="112"/>
      <c r="BZ929" s="112"/>
    </row>
    <row r="930" spans="30:78" x14ac:dyDescent="0.2">
      <c r="AD930" s="112"/>
      <c r="AE930" s="112"/>
      <c r="AF930" s="112"/>
      <c r="AG930" s="112"/>
      <c r="AH930" s="112"/>
      <c r="AI930" s="112"/>
      <c r="AJ930" s="112"/>
      <c r="AK930" s="112"/>
      <c r="AL930" s="112"/>
      <c r="AM930" s="112"/>
      <c r="AN930" s="112"/>
      <c r="AO930" s="112"/>
      <c r="AP930" s="112"/>
      <c r="AQ930" s="112"/>
      <c r="AR930" s="112"/>
      <c r="AS930" s="112"/>
      <c r="AT930" s="112"/>
      <c r="AU930" s="112"/>
      <c r="AV930" s="112"/>
      <c r="AW930" s="112"/>
      <c r="AX930" s="112"/>
      <c r="AY930" s="112"/>
      <c r="AZ930" s="112"/>
      <c r="BA930" s="112"/>
      <c r="BB930" s="112"/>
      <c r="BC930" s="112"/>
      <c r="BD930" s="112"/>
      <c r="BE930" s="112"/>
      <c r="BF930" s="112"/>
      <c r="BG930" s="112"/>
      <c r="BH930" s="112"/>
      <c r="BI930" s="112"/>
      <c r="BJ930" s="112"/>
      <c r="BK930" s="112"/>
      <c r="BL930" s="112"/>
      <c r="BM930" s="112"/>
      <c r="BN930" s="112"/>
      <c r="BO930" s="112"/>
      <c r="BP930" s="112"/>
      <c r="BQ930" s="112"/>
      <c r="BR930" s="112"/>
      <c r="BS930" s="112"/>
      <c r="BT930" s="112"/>
      <c r="BU930" s="112"/>
      <c r="BV930" s="112"/>
      <c r="BW930" s="112"/>
      <c r="BX930" s="112"/>
      <c r="BY930" s="112"/>
      <c r="BZ930" s="112"/>
    </row>
    <row r="931" spans="30:78" x14ac:dyDescent="0.2">
      <c r="AD931" s="112"/>
      <c r="AE931" s="112"/>
      <c r="AF931" s="112"/>
      <c r="AG931" s="112"/>
      <c r="AH931" s="112"/>
      <c r="AI931" s="112"/>
      <c r="AJ931" s="112"/>
      <c r="AK931" s="112"/>
      <c r="AL931" s="112"/>
      <c r="AM931" s="112"/>
      <c r="AN931" s="112"/>
      <c r="AO931" s="112"/>
      <c r="AP931" s="112"/>
      <c r="AQ931" s="112"/>
      <c r="AR931" s="112"/>
      <c r="AS931" s="112"/>
      <c r="AT931" s="112"/>
      <c r="AU931" s="112"/>
      <c r="AV931" s="112"/>
      <c r="AW931" s="112"/>
      <c r="AX931" s="112"/>
      <c r="AY931" s="112"/>
      <c r="AZ931" s="112"/>
      <c r="BA931" s="112"/>
      <c r="BB931" s="112"/>
      <c r="BC931" s="112"/>
      <c r="BD931" s="112"/>
      <c r="BE931" s="112"/>
      <c r="BF931" s="112"/>
      <c r="BG931" s="112"/>
      <c r="BH931" s="112"/>
      <c r="BI931" s="112"/>
      <c r="BJ931" s="112"/>
      <c r="BK931" s="112"/>
      <c r="BL931" s="112"/>
      <c r="BM931" s="112"/>
      <c r="BN931" s="112"/>
      <c r="BO931" s="112"/>
      <c r="BP931" s="112"/>
      <c r="BQ931" s="112"/>
      <c r="BR931" s="112"/>
      <c r="BS931" s="112"/>
      <c r="BT931" s="112"/>
      <c r="BU931" s="112"/>
      <c r="BV931" s="112"/>
      <c r="BW931" s="112"/>
      <c r="BX931" s="112"/>
      <c r="BY931" s="112"/>
      <c r="BZ931" s="112"/>
    </row>
    <row r="932" spans="30:78" x14ac:dyDescent="0.2">
      <c r="AD932" s="112"/>
      <c r="AE932" s="112"/>
      <c r="AF932" s="112"/>
      <c r="AG932" s="112"/>
      <c r="AH932" s="112"/>
      <c r="AI932" s="112"/>
      <c r="AJ932" s="112"/>
      <c r="AK932" s="112"/>
      <c r="AL932" s="112"/>
      <c r="AM932" s="112"/>
      <c r="AN932" s="112"/>
      <c r="AO932" s="112"/>
      <c r="AP932" s="112"/>
      <c r="AQ932" s="112"/>
      <c r="AR932" s="112"/>
      <c r="AS932" s="112"/>
      <c r="AT932" s="112"/>
      <c r="AU932" s="112"/>
      <c r="AV932" s="112"/>
      <c r="AW932" s="112"/>
      <c r="AX932" s="112"/>
      <c r="AY932" s="112"/>
      <c r="AZ932" s="112"/>
      <c r="BA932" s="112"/>
      <c r="BB932" s="112"/>
      <c r="BC932" s="112"/>
      <c r="BD932" s="112"/>
      <c r="BE932" s="112"/>
      <c r="BF932" s="112"/>
      <c r="BG932" s="112"/>
      <c r="BH932" s="112"/>
      <c r="BI932" s="112"/>
      <c r="BJ932" s="112"/>
      <c r="BK932" s="112"/>
      <c r="BL932" s="112"/>
      <c r="BM932" s="112"/>
      <c r="BN932" s="112"/>
      <c r="BO932" s="112"/>
      <c r="BP932" s="112"/>
      <c r="BQ932" s="112"/>
      <c r="BR932" s="112"/>
      <c r="BS932" s="112"/>
      <c r="BT932" s="112"/>
      <c r="BU932" s="112"/>
      <c r="BV932" s="112"/>
      <c r="BW932" s="112"/>
      <c r="BX932" s="112"/>
      <c r="BY932" s="112"/>
      <c r="BZ932" s="112"/>
    </row>
    <row r="933" spans="30:78" x14ac:dyDescent="0.2">
      <c r="AD933" s="112"/>
      <c r="AE933" s="112"/>
      <c r="AF933" s="112"/>
      <c r="AG933" s="112"/>
      <c r="AH933" s="112"/>
      <c r="AI933" s="112"/>
      <c r="AJ933" s="112"/>
      <c r="AK933" s="112"/>
      <c r="AL933" s="112"/>
      <c r="AM933" s="112"/>
      <c r="AN933" s="112"/>
      <c r="AO933" s="112"/>
      <c r="AP933" s="112"/>
      <c r="AQ933" s="112"/>
      <c r="AR933" s="112"/>
      <c r="AS933" s="112"/>
      <c r="AT933" s="112"/>
      <c r="AU933" s="112"/>
      <c r="AV933" s="112"/>
      <c r="AW933" s="112"/>
      <c r="AX933" s="112"/>
      <c r="AY933" s="112"/>
      <c r="AZ933" s="112"/>
      <c r="BA933" s="112"/>
      <c r="BB933" s="112"/>
      <c r="BC933" s="112"/>
      <c r="BD933" s="112"/>
      <c r="BE933" s="112"/>
      <c r="BF933" s="112"/>
      <c r="BG933" s="112"/>
      <c r="BH933" s="112"/>
      <c r="BI933" s="112"/>
      <c r="BJ933" s="112"/>
      <c r="BK933" s="112"/>
      <c r="BL933" s="112"/>
      <c r="BM933" s="112"/>
      <c r="BN933" s="112"/>
      <c r="BO933" s="112"/>
      <c r="BP933" s="112"/>
      <c r="BQ933" s="112"/>
      <c r="BR933" s="112"/>
      <c r="BS933" s="112"/>
      <c r="BT933" s="112"/>
      <c r="BU933" s="112"/>
      <c r="BV933" s="112"/>
      <c r="BW933" s="112"/>
      <c r="BX933" s="112"/>
      <c r="BY933" s="112"/>
      <c r="BZ933" s="112"/>
    </row>
    <row r="934" spans="30:78" x14ac:dyDescent="0.2">
      <c r="AD934" s="112"/>
      <c r="AE934" s="112"/>
      <c r="AF934" s="112"/>
      <c r="AG934" s="112"/>
      <c r="AH934" s="112"/>
      <c r="AI934" s="112"/>
      <c r="AJ934" s="112"/>
      <c r="AK934" s="112"/>
      <c r="AL934" s="112"/>
      <c r="AM934" s="112"/>
      <c r="AN934" s="112"/>
      <c r="AO934" s="112"/>
      <c r="AP934" s="112"/>
      <c r="AQ934" s="112"/>
      <c r="AR934" s="112"/>
      <c r="AS934" s="112"/>
      <c r="AT934" s="112"/>
      <c r="AU934" s="112"/>
      <c r="AV934" s="112"/>
      <c r="AW934" s="112"/>
      <c r="AX934" s="112"/>
      <c r="AY934" s="112"/>
      <c r="AZ934" s="112"/>
      <c r="BA934" s="112"/>
      <c r="BB934" s="112"/>
      <c r="BC934" s="112"/>
      <c r="BD934" s="112"/>
      <c r="BE934" s="112"/>
      <c r="BF934" s="112"/>
      <c r="BG934" s="112"/>
      <c r="BH934" s="112"/>
      <c r="BI934" s="112"/>
      <c r="BJ934" s="112"/>
      <c r="BK934" s="112"/>
      <c r="BL934" s="112"/>
      <c r="BM934" s="112"/>
      <c r="BN934" s="112"/>
      <c r="BO934" s="112"/>
      <c r="BP934" s="112"/>
      <c r="BQ934" s="112"/>
      <c r="BR934" s="112"/>
      <c r="BS934" s="112"/>
      <c r="BT934" s="112"/>
      <c r="BU934" s="112"/>
      <c r="BV934" s="112"/>
      <c r="BW934" s="112"/>
      <c r="BX934" s="112"/>
      <c r="BY934" s="112"/>
      <c r="BZ934" s="112"/>
    </row>
    <row r="935" spans="30:78" x14ac:dyDescent="0.2">
      <c r="AD935" s="112"/>
      <c r="AE935" s="112"/>
      <c r="AF935" s="112"/>
      <c r="AG935" s="112"/>
      <c r="AH935" s="112"/>
      <c r="AI935" s="112"/>
      <c r="AJ935" s="112"/>
      <c r="AK935" s="112"/>
      <c r="AL935" s="112"/>
      <c r="AM935" s="112"/>
      <c r="AN935" s="112"/>
      <c r="AO935" s="112"/>
      <c r="AP935" s="112"/>
      <c r="AQ935" s="112"/>
      <c r="AR935" s="112"/>
      <c r="AS935" s="112"/>
      <c r="AT935" s="112"/>
      <c r="AU935" s="112"/>
      <c r="AV935" s="112"/>
      <c r="AW935" s="112"/>
      <c r="AX935" s="112"/>
      <c r="AY935" s="112"/>
      <c r="AZ935" s="112"/>
      <c r="BA935" s="112"/>
      <c r="BB935" s="112"/>
      <c r="BC935" s="112"/>
      <c r="BD935" s="112"/>
      <c r="BE935" s="112"/>
      <c r="BF935" s="112"/>
      <c r="BG935" s="112"/>
      <c r="BH935" s="112"/>
      <c r="BI935" s="112"/>
      <c r="BJ935" s="112"/>
      <c r="BK935" s="112"/>
      <c r="BL935" s="112"/>
      <c r="BM935" s="112"/>
      <c r="BN935" s="112"/>
      <c r="BO935" s="112"/>
      <c r="BP935" s="112"/>
      <c r="BQ935" s="112"/>
      <c r="BR935" s="112"/>
      <c r="BS935" s="112"/>
      <c r="BT935" s="112"/>
      <c r="BU935" s="112"/>
      <c r="BV935" s="112"/>
      <c r="BW935" s="112"/>
      <c r="BX935" s="112"/>
      <c r="BY935" s="112"/>
      <c r="BZ935" s="112"/>
    </row>
    <row r="936" spans="30:78" x14ac:dyDescent="0.2">
      <c r="AD936" s="112"/>
      <c r="AE936" s="112"/>
      <c r="AF936" s="112"/>
      <c r="AG936" s="112"/>
      <c r="AH936" s="112"/>
      <c r="AI936" s="112"/>
      <c r="AJ936" s="112"/>
      <c r="AK936" s="112"/>
      <c r="AL936" s="112"/>
      <c r="AM936" s="112"/>
      <c r="AN936" s="112"/>
      <c r="AO936" s="112"/>
      <c r="AP936" s="112"/>
      <c r="AQ936" s="112"/>
      <c r="AR936" s="112"/>
      <c r="AS936" s="112"/>
      <c r="AT936" s="112"/>
      <c r="AU936" s="112"/>
      <c r="AV936" s="112"/>
      <c r="AW936" s="112"/>
      <c r="AX936" s="112"/>
      <c r="AY936" s="112"/>
      <c r="AZ936" s="112"/>
      <c r="BA936" s="112"/>
      <c r="BB936" s="112"/>
      <c r="BC936" s="112"/>
      <c r="BD936" s="112"/>
      <c r="BE936" s="112"/>
      <c r="BF936" s="112"/>
      <c r="BG936" s="112"/>
      <c r="BH936" s="112"/>
      <c r="BI936" s="112"/>
      <c r="BJ936" s="112"/>
      <c r="BK936" s="112"/>
      <c r="BL936" s="112"/>
      <c r="BM936" s="112"/>
      <c r="BN936" s="112"/>
      <c r="BO936" s="112"/>
      <c r="BP936" s="112"/>
      <c r="BQ936" s="112"/>
      <c r="BR936" s="112"/>
      <c r="BS936" s="112"/>
      <c r="BT936" s="112"/>
      <c r="BU936" s="112"/>
      <c r="BV936" s="112"/>
      <c r="BW936" s="112"/>
      <c r="BX936" s="112"/>
      <c r="BY936" s="112"/>
      <c r="BZ936" s="112"/>
    </row>
    <row r="937" spans="30:78" x14ac:dyDescent="0.2">
      <c r="AD937" s="112"/>
      <c r="AE937" s="112"/>
      <c r="AF937" s="112"/>
      <c r="AG937" s="112"/>
      <c r="AH937" s="112"/>
      <c r="AI937" s="112"/>
      <c r="AJ937" s="112"/>
      <c r="AK937" s="112"/>
      <c r="AL937" s="112"/>
      <c r="AM937" s="112"/>
      <c r="AN937" s="112"/>
      <c r="AO937" s="112"/>
      <c r="AP937" s="112"/>
      <c r="AQ937" s="112"/>
      <c r="AR937" s="112"/>
      <c r="AS937" s="112"/>
      <c r="AT937" s="112"/>
      <c r="AU937" s="112"/>
      <c r="AV937" s="112"/>
      <c r="AW937" s="112"/>
      <c r="AX937" s="112"/>
      <c r="AY937" s="112"/>
      <c r="AZ937" s="112"/>
      <c r="BA937" s="112"/>
      <c r="BB937" s="112"/>
      <c r="BC937" s="112"/>
      <c r="BD937" s="112"/>
      <c r="BE937" s="112"/>
      <c r="BF937" s="112"/>
      <c r="BG937" s="112"/>
      <c r="BH937" s="112"/>
      <c r="BI937" s="112"/>
      <c r="BJ937" s="112"/>
      <c r="BK937" s="112"/>
      <c r="BL937" s="112"/>
      <c r="BM937" s="112"/>
      <c r="BN937" s="112"/>
      <c r="BO937" s="112"/>
      <c r="BP937" s="112"/>
      <c r="BQ937" s="112"/>
      <c r="BR937" s="112"/>
      <c r="BS937" s="112"/>
      <c r="BT937" s="112"/>
      <c r="BU937" s="112"/>
      <c r="BV937" s="112"/>
      <c r="BW937" s="112"/>
      <c r="BX937" s="112"/>
      <c r="BY937" s="112"/>
      <c r="BZ937" s="112"/>
    </row>
    <row r="938" spans="30:78" x14ac:dyDescent="0.2">
      <c r="AD938" s="112"/>
      <c r="AE938" s="112"/>
      <c r="AF938" s="112"/>
      <c r="AG938" s="112"/>
      <c r="AH938" s="112"/>
      <c r="AI938" s="112"/>
      <c r="AJ938" s="112"/>
      <c r="AK938" s="112"/>
      <c r="AL938" s="112"/>
      <c r="AM938" s="112"/>
      <c r="AN938" s="112"/>
      <c r="AO938" s="112"/>
      <c r="AP938" s="112"/>
      <c r="AQ938" s="112"/>
      <c r="AR938" s="112"/>
      <c r="AS938" s="112"/>
      <c r="AT938" s="112"/>
      <c r="AU938" s="112"/>
      <c r="AV938" s="112"/>
      <c r="AW938" s="112"/>
      <c r="AX938" s="112"/>
      <c r="AY938" s="112"/>
      <c r="AZ938" s="112"/>
      <c r="BA938" s="112"/>
      <c r="BB938" s="112"/>
      <c r="BC938" s="112"/>
      <c r="BD938" s="112"/>
      <c r="BE938" s="112"/>
      <c r="BF938" s="112"/>
      <c r="BG938" s="112"/>
      <c r="BH938" s="112"/>
      <c r="BI938" s="112"/>
      <c r="BJ938" s="112"/>
      <c r="BK938" s="112"/>
      <c r="BL938" s="112"/>
      <c r="BM938" s="112"/>
      <c r="BN938" s="112"/>
      <c r="BO938" s="112"/>
      <c r="BP938" s="112"/>
      <c r="BQ938" s="112"/>
      <c r="BR938" s="112"/>
      <c r="BS938" s="112"/>
      <c r="BT938" s="112"/>
      <c r="BU938" s="112"/>
      <c r="BV938" s="112"/>
      <c r="BW938" s="112"/>
      <c r="BX938" s="112"/>
      <c r="BY938" s="112"/>
      <c r="BZ938" s="112"/>
    </row>
    <row r="939" spans="30:78" x14ac:dyDescent="0.2">
      <c r="AD939" s="112"/>
      <c r="AE939" s="112"/>
      <c r="AF939" s="112"/>
      <c r="AG939" s="112"/>
      <c r="AH939" s="112"/>
      <c r="AI939" s="112"/>
      <c r="AJ939" s="112"/>
      <c r="AK939" s="112"/>
      <c r="AL939" s="112"/>
      <c r="AM939" s="112"/>
      <c r="AN939" s="112"/>
      <c r="AO939" s="112"/>
      <c r="AP939" s="112"/>
      <c r="AQ939" s="112"/>
      <c r="AR939" s="112"/>
      <c r="AS939" s="112"/>
      <c r="AT939" s="112"/>
      <c r="AU939" s="112"/>
      <c r="AV939" s="112"/>
      <c r="AW939" s="112"/>
      <c r="AX939" s="112"/>
      <c r="AY939" s="112"/>
      <c r="AZ939" s="112"/>
      <c r="BA939" s="112"/>
      <c r="BB939" s="112"/>
      <c r="BC939" s="112"/>
      <c r="BD939" s="112"/>
      <c r="BE939" s="112"/>
      <c r="BF939" s="112"/>
      <c r="BG939" s="112"/>
      <c r="BH939" s="112"/>
      <c r="BI939" s="112"/>
      <c r="BJ939" s="112"/>
      <c r="BK939" s="112"/>
      <c r="BL939" s="112"/>
      <c r="BM939" s="112"/>
      <c r="BN939" s="112"/>
      <c r="BO939" s="112"/>
      <c r="BP939" s="112"/>
      <c r="BQ939" s="112"/>
      <c r="BR939" s="112"/>
      <c r="BS939" s="112"/>
      <c r="BT939" s="112"/>
      <c r="BU939" s="112"/>
      <c r="BV939" s="112"/>
      <c r="BW939" s="112"/>
      <c r="BX939" s="112"/>
      <c r="BY939" s="112"/>
      <c r="BZ939" s="112"/>
    </row>
    <row r="940" spans="30:78" x14ac:dyDescent="0.2">
      <c r="AD940" s="112"/>
      <c r="AE940" s="112"/>
      <c r="AF940" s="112"/>
      <c r="AG940" s="112"/>
      <c r="AH940" s="112"/>
      <c r="AI940" s="112"/>
      <c r="AJ940" s="112"/>
      <c r="AK940" s="112"/>
      <c r="AL940" s="112"/>
      <c r="AM940" s="112"/>
      <c r="AN940" s="112"/>
      <c r="AO940" s="112"/>
      <c r="AP940" s="112"/>
      <c r="AQ940" s="112"/>
      <c r="AR940" s="112"/>
      <c r="AS940" s="112"/>
      <c r="AT940" s="112"/>
      <c r="AU940" s="112"/>
      <c r="AV940" s="112"/>
      <c r="AW940" s="112"/>
      <c r="AX940" s="112"/>
      <c r="AY940" s="112"/>
      <c r="AZ940" s="112"/>
      <c r="BA940" s="112"/>
      <c r="BB940" s="112"/>
      <c r="BC940" s="112"/>
      <c r="BD940" s="112"/>
      <c r="BE940" s="112"/>
      <c r="BF940" s="112"/>
      <c r="BG940" s="112"/>
      <c r="BH940" s="112"/>
      <c r="BI940" s="112"/>
      <c r="BJ940" s="112"/>
      <c r="BK940" s="112"/>
      <c r="BL940" s="112"/>
      <c r="BM940" s="112"/>
      <c r="BN940" s="112"/>
      <c r="BO940" s="112"/>
      <c r="BP940" s="112"/>
      <c r="BQ940" s="112"/>
      <c r="BR940" s="112"/>
      <c r="BS940" s="112"/>
      <c r="BT940" s="112"/>
      <c r="BU940" s="112"/>
      <c r="BV940" s="112"/>
      <c r="BW940" s="112"/>
      <c r="BX940" s="112"/>
      <c r="BY940" s="112"/>
      <c r="BZ940" s="112"/>
    </row>
    <row r="941" spans="30:78" x14ac:dyDescent="0.2">
      <c r="AD941" s="112"/>
      <c r="AE941" s="112"/>
      <c r="AF941" s="112"/>
      <c r="AG941" s="112"/>
      <c r="AH941" s="112"/>
      <c r="AI941" s="112"/>
      <c r="AJ941" s="112"/>
      <c r="AK941" s="112"/>
      <c r="AL941" s="112"/>
      <c r="AM941" s="112"/>
      <c r="AN941" s="112"/>
      <c r="AO941" s="112"/>
      <c r="AP941" s="112"/>
      <c r="AQ941" s="112"/>
      <c r="AR941" s="112"/>
      <c r="AS941" s="112"/>
      <c r="AT941" s="112"/>
      <c r="AU941" s="112"/>
      <c r="AV941" s="112"/>
      <c r="AW941" s="112"/>
      <c r="AX941" s="112"/>
      <c r="AY941" s="112"/>
      <c r="AZ941" s="112"/>
      <c r="BA941" s="112"/>
      <c r="BB941" s="112"/>
      <c r="BC941" s="112"/>
      <c r="BD941" s="112"/>
      <c r="BE941" s="112"/>
      <c r="BF941" s="112"/>
      <c r="BG941" s="112"/>
      <c r="BH941" s="112"/>
      <c r="BI941" s="112"/>
      <c r="BJ941" s="112"/>
      <c r="BK941" s="112"/>
      <c r="BL941" s="112"/>
      <c r="BM941" s="112"/>
      <c r="BN941" s="112"/>
      <c r="BO941" s="112"/>
      <c r="BP941" s="112"/>
      <c r="BQ941" s="112"/>
      <c r="BR941" s="112"/>
      <c r="BS941" s="112"/>
      <c r="BT941" s="112"/>
      <c r="BU941" s="112"/>
      <c r="BV941" s="112"/>
      <c r="BW941" s="112"/>
      <c r="BX941" s="112"/>
      <c r="BY941" s="112"/>
      <c r="BZ941" s="112"/>
    </row>
    <row r="942" spans="30:78" x14ac:dyDescent="0.2">
      <c r="AD942" s="112"/>
      <c r="AE942" s="112"/>
      <c r="AF942" s="112"/>
      <c r="AG942" s="112"/>
      <c r="AH942" s="112"/>
      <c r="AI942" s="112"/>
      <c r="AJ942" s="112"/>
      <c r="AK942" s="112"/>
      <c r="AL942" s="112"/>
      <c r="AM942" s="112"/>
      <c r="AN942" s="112"/>
      <c r="AO942" s="112"/>
      <c r="AP942" s="112"/>
      <c r="AQ942" s="112"/>
      <c r="AR942" s="112"/>
      <c r="AS942" s="112"/>
      <c r="AT942" s="112"/>
      <c r="AU942" s="112"/>
      <c r="AV942" s="112"/>
      <c r="AW942" s="112"/>
      <c r="AX942" s="112"/>
      <c r="AY942" s="112"/>
      <c r="AZ942" s="112"/>
      <c r="BA942" s="112"/>
      <c r="BB942" s="112"/>
      <c r="BC942" s="112"/>
      <c r="BD942" s="112"/>
      <c r="BE942" s="112"/>
      <c r="BF942" s="112"/>
      <c r="BG942" s="112"/>
      <c r="BH942" s="112"/>
      <c r="BI942" s="112"/>
      <c r="BJ942" s="112"/>
      <c r="BK942" s="112"/>
      <c r="BL942" s="112"/>
      <c r="BM942" s="112"/>
      <c r="BN942" s="112"/>
      <c r="BO942" s="112"/>
      <c r="BP942" s="112"/>
      <c r="BQ942" s="112"/>
      <c r="BR942" s="112"/>
      <c r="BS942" s="112"/>
      <c r="BT942" s="112"/>
      <c r="BU942" s="112"/>
      <c r="BV942" s="112"/>
      <c r="BW942" s="112"/>
      <c r="BX942" s="112"/>
      <c r="BY942" s="112"/>
      <c r="BZ942" s="112"/>
    </row>
    <row r="943" spans="30:78" x14ac:dyDescent="0.2">
      <c r="AD943" s="112"/>
      <c r="AE943" s="112"/>
      <c r="AF943" s="112"/>
      <c r="AG943" s="112"/>
      <c r="AH943" s="112"/>
      <c r="AI943" s="112"/>
      <c r="AJ943" s="112"/>
      <c r="AK943" s="112"/>
      <c r="AL943" s="112"/>
      <c r="AM943" s="112"/>
      <c r="AN943" s="112"/>
      <c r="AO943" s="112"/>
      <c r="AP943" s="112"/>
      <c r="AQ943" s="112"/>
      <c r="AR943" s="112"/>
      <c r="AS943" s="112"/>
      <c r="AT943" s="112"/>
      <c r="AU943" s="112"/>
      <c r="AV943" s="112"/>
      <c r="AW943" s="112"/>
      <c r="AX943" s="112"/>
      <c r="AY943" s="112"/>
      <c r="AZ943" s="112"/>
      <c r="BA943" s="112"/>
      <c r="BB943" s="112"/>
      <c r="BC943" s="112"/>
      <c r="BD943" s="112"/>
      <c r="BE943" s="112"/>
      <c r="BF943" s="112"/>
      <c r="BG943" s="112"/>
      <c r="BH943" s="112"/>
      <c r="BI943" s="112"/>
      <c r="BJ943" s="112"/>
      <c r="BK943" s="112"/>
      <c r="BL943" s="112"/>
      <c r="BM943" s="112"/>
      <c r="BN943" s="112"/>
      <c r="BO943" s="112"/>
      <c r="BP943" s="112"/>
      <c r="BQ943" s="112"/>
      <c r="BR943" s="112"/>
      <c r="BS943" s="112"/>
      <c r="BT943" s="112"/>
      <c r="BU943" s="112"/>
      <c r="BV943" s="112"/>
      <c r="BW943" s="112"/>
      <c r="BX943" s="112"/>
      <c r="BY943" s="112"/>
      <c r="BZ943" s="112"/>
    </row>
    <row r="944" spans="30:78" x14ac:dyDescent="0.2">
      <c r="AD944" s="112"/>
      <c r="AE944" s="112"/>
      <c r="AF944" s="112"/>
      <c r="AG944" s="112"/>
      <c r="AH944" s="112"/>
      <c r="AI944" s="112"/>
      <c r="AJ944" s="112"/>
      <c r="AK944" s="112"/>
      <c r="AL944" s="112"/>
      <c r="AM944" s="112"/>
      <c r="AN944" s="112"/>
      <c r="AO944" s="112"/>
      <c r="AP944" s="112"/>
      <c r="AQ944" s="112"/>
      <c r="AR944" s="112"/>
      <c r="AS944" s="112"/>
      <c r="AT944" s="112"/>
      <c r="AU944" s="112"/>
      <c r="AV944" s="112"/>
      <c r="AW944" s="112"/>
      <c r="AX944" s="112"/>
      <c r="AY944" s="112"/>
      <c r="AZ944" s="112"/>
      <c r="BA944" s="112"/>
      <c r="BB944" s="112"/>
      <c r="BC944" s="112"/>
      <c r="BD944" s="112"/>
      <c r="BE944" s="112"/>
      <c r="BF944" s="112"/>
      <c r="BG944" s="112"/>
      <c r="BH944" s="112"/>
      <c r="BI944" s="112"/>
      <c r="BJ944" s="112"/>
      <c r="BK944" s="112"/>
      <c r="BL944" s="112"/>
      <c r="BM944" s="112"/>
      <c r="BN944" s="112"/>
      <c r="BO944" s="112"/>
      <c r="BP944" s="112"/>
      <c r="BQ944" s="112"/>
      <c r="BR944" s="112"/>
      <c r="BS944" s="112"/>
      <c r="BT944" s="112"/>
      <c r="BU944" s="112"/>
      <c r="BV944" s="112"/>
      <c r="BW944" s="112"/>
      <c r="BX944" s="112"/>
      <c r="BY944" s="112"/>
      <c r="BZ944" s="112"/>
    </row>
    <row r="945" spans="30:78" x14ac:dyDescent="0.2">
      <c r="AD945" s="112"/>
      <c r="AE945" s="112"/>
      <c r="AF945" s="112"/>
      <c r="AG945" s="112"/>
      <c r="AH945" s="112"/>
      <c r="AI945" s="112"/>
      <c r="AJ945" s="112"/>
      <c r="AK945" s="112"/>
      <c r="AL945" s="112"/>
      <c r="AM945" s="112"/>
      <c r="AN945" s="112"/>
      <c r="AO945" s="112"/>
      <c r="AP945" s="112"/>
      <c r="AQ945" s="112"/>
      <c r="AR945" s="112"/>
      <c r="AS945" s="112"/>
      <c r="AT945" s="112"/>
      <c r="AU945" s="112"/>
      <c r="AV945" s="112"/>
      <c r="AW945" s="112"/>
      <c r="AX945" s="112"/>
      <c r="AY945" s="112"/>
      <c r="AZ945" s="112"/>
      <c r="BA945" s="112"/>
      <c r="BB945" s="112"/>
      <c r="BC945" s="112"/>
      <c r="BD945" s="112"/>
      <c r="BE945" s="112"/>
      <c r="BF945" s="112"/>
      <c r="BG945" s="112"/>
      <c r="BH945" s="112"/>
      <c r="BI945" s="112"/>
      <c r="BJ945" s="112"/>
      <c r="BK945" s="112"/>
      <c r="BL945" s="112"/>
      <c r="BM945" s="112"/>
      <c r="BN945" s="112"/>
      <c r="BO945" s="112"/>
      <c r="BP945" s="112"/>
      <c r="BQ945" s="112"/>
      <c r="BR945" s="112"/>
      <c r="BS945" s="112"/>
      <c r="BT945" s="112"/>
      <c r="BU945" s="112"/>
      <c r="BV945" s="112"/>
      <c r="BW945" s="112"/>
      <c r="BX945" s="112"/>
      <c r="BY945" s="112"/>
      <c r="BZ945" s="112"/>
    </row>
    <row r="946" spans="30:78" x14ac:dyDescent="0.2">
      <c r="AD946" s="112"/>
      <c r="AE946" s="112"/>
      <c r="AF946" s="112"/>
      <c r="AG946" s="112"/>
      <c r="AH946" s="112"/>
      <c r="AI946" s="112"/>
      <c r="AJ946" s="112"/>
      <c r="AK946" s="112"/>
      <c r="AL946" s="112"/>
      <c r="AM946" s="112"/>
      <c r="AN946" s="112"/>
      <c r="AO946" s="112"/>
      <c r="AP946" s="112"/>
      <c r="AQ946" s="112"/>
      <c r="AR946" s="112"/>
      <c r="AS946" s="112"/>
      <c r="AT946" s="112"/>
      <c r="AU946" s="112"/>
      <c r="AV946" s="112"/>
      <c r="AW946" s="112"/>
      <c r="AX946" s="112"/>
      <c r="AY946" s="112"/>
      <c r="AZ946" s="112"/>
      <c r="BA946" s="112"/>
      <c r="BB946" s="112"/>
      <c r="BC946" s="112"/>
      <c r="BD946" s="112"/>
      <c r="BE946" s="112"/>
      <c r="BF946" s="112"/>
      <c r="BG946" s="112"/>
      <c r="BH946" s="112"/>
      <c r="BI946" s="112"/>
      <c r="BJ946" s="112"/>
      <c r="BK946" s="112"/>
      <c r="BL946" s="112"/>
      <c r="BM946" s="112"/>
      <c r="BN946" s="112"/>
      <c r="BO946" s="112"/>
      <c r="BP946" s="112"/>
      <c r="BQ946" s="112"/>
      <c r="BR946" s="112"/>
      <c r="BS946" s="112"/>
      <c r="BT946" s="112"/>
      <c r="BU946" s="112"/>
      <c r="BV946" s="112"/>
      <c r="BW946" s="112"/>
      <c r="BX946" s="112"/>
      <c r="BY946" s="112"/>
      <c r="BZ946" s="112"/>
    </row>
    <row r="947" spans="30:78" x14ac:dyDescent="0.2">
      <c r="AD947" s="112"/>
      <c r="AE947" s="112"/>
      <c r="AF947" s="112"/>
      <c r="AG947" s="112"/>
      <c r="AH947" s="112"/>
      <c r="AI947" s="112"/>
      <c r="AJ947" s="112"/>
      <c r="AK947" s="112"/>
      <c r="AL947" s="112"/>
      <c r="AM947" s="112"/>
      <c r="AN947" s="112"/>
      <c r="AO947" s="112"/>
      <c r="AP947" s="112"/>
      <c r="AQ947" s="112"/>
      <c r="AR947" s="112"/>
      <c r="AS947" s="112"/>
      <c r="AT947" s="112"/>
      <c r="AU947" s="112"/>
      <c r="AV947" s="112"/>
      <c r="AW947" s="112"/>
      <c r="AX947" s="112"/>
      <c r="AY947" s="112"/>
      <c r="AZ947" s="112"/>
      <c r="BA947" s="112"/>
      <c r="BB947" s="112"/>
      <c r="BC947" s="112"/>
      <c r="BD947" s="112"/>
      <c r="BE947" s="112"/>
      <c r="BF947" s="112"/>
      <c r="BG947" s="112"/>
      <c r="BH947" s="112"/>
      <c r="BI947" s="112"/>
      <c r="BJ947" s="112"/>
      <c r="BK947" s="112"/>
      <c r="BL947" s="112"/>
      <c r="BM947" s="112"/>
      <c r="BN947" s="112"/>
      <c r="BO947" s="112"/>
      <c r="BP947" s="112"/>
      <c r="BQ947" s="112"/>
      <c r="BR947" s="112"/>
      <c r="BS947" s="112"/>
      <c r="BT947" s="112"/>
      <c r="BU947" s="112"/>
      <c r="BV947" s="112"/>
      <c r="BW947" s="112"/>
      <c r="BX947" s="112"/>
      <c r="BY947" s="112"/>
      <c r="BZ947" s="112"/>
    </row>
    <row r="948" spans="30:78" x14ac:dyDescent="0.2">
      <c r="AD948" s="112"/>
      <c r="AE948" s="112"/>
      <c r="AF948" s="112"/>
      <c r="AG948" s="112"/>
      <c r="AH948" s="112"/>
      <c r="AI948" s="112"/>
      <c r="AJ948" s="112"/>
      <c r="AK948" s="112"/>
      <c r="AL948" s="112"/>
      <c r="AM948" s="112"/>
      <c r="AN948" s="112"/>
      <c r="AO948" s="112"/>
      <c r="AP948" s="112"/>
      <c r="AQ948" s="112"/>
      <c r="AR948" s="112"/>
      <c r="AS948" s="112"/>
      <c r="AT948" s="112"/>
      <c r="AU948" s="112"/>
      <c r="AV948" s="112"/>
      <c r="AW948" s="112"/>
      <c r="AX948" s="112"/>
      <c r="AY948" s="112"/>
      <c r="AZ948" s="112"/>
      <c r="BA948" s="112"/>
      <c r="BB948" s="112"/>
      <c r="BC948" s="112"/>
      <c r="BD948" s="112"/>
      <c r="BE948" s="112"/>
      <c r="BF948" s="112"/>
      <c r="BG948" s="112"/>
      <c r="BH948" s="112"/>
      <c r="BI948" s="112"/>
      <c r="BJ948" s="112"/>
      <c r="BK948" s="112"/>
      <c r="BL948" s="112"/>
      <c r="BM948" s="112"/>
      <c r="BN948" s="112"/>
      <c r="BO948" s="112"/>
      <c r="BP948" s="112"/>
      <c r="BQ948" s="112"/>
      <c r="BR948" s="112"/>
      <c r="BS948" s="112"/>
      <c r="BT948" s="112"/>
      <c r="BU948" s="112"/>
      <c r="BV948" s="112"/>
      <c r="BW948" s="112"/>
      <c r="BX948" s="112"/>
      <c r="BY948" s="112"/>
      <c r="BZ948" s="112"/>
    </row>
    <row r="949" spans="30:78" x14ac:dyDescent="0.2">
      <c r="AD949" s="112"/>
      <c r="AE949" s="112"/>
      <c r="AF949" s="112"/>
      <c r="AG949" s="112"/>
      <c r="AH949" s="112"/>
      <c r="AI949" s="112"/>
      <c r="AJ949" s="112"/>
      <c r="AK949" s="112"/>
      <c r="AL949" s="112"/>
      <c r="AM949" s="112"/>
      <c r="AN949" s="112"/>
      <c r="AO949" s="112"/>
      <c r="AP949" s="112"/>
      <c r="AQ949" s="112"/>
      <c r="AR949" s="112"/>
      <c r="AS949" s="112"/>
      <c r="AT949" s="112"/>
      <c r="AU949" s="112"/>
      <c r="AV949" s="112"/>
      <c r="AW949" s="112"/>
      <c r="AX949" s="112"/>
      <c r="AY949" s="112"/>
      <c r="AZ949" s="112"/>
      <c r="BA949" s="112"/>
      <c r="BB949" s="112"/>
      <c r="BC949" s="112"/>
      <c r="BD949" s="112"/>
      <c r="BE949" s="112"/>
      <c r="BF949" s="112"/>
      <c r="BG949" s="112"/>
      <c r="BH949" s="112"/>
      <c r="BI949" s="112"/>
      <c r="BJ949" s="112"/>
      <c r="BK949" s="112"/>
      <c r="BL949" s="112"/>
      <c r="BM949" s="112"/>
      <c r="BN949" s="112"/>
      <c r="BO949" s="112"/>
      <c r="BP949" s="112"/>
      <c r="BQ949" s="112"/>
      <c r="BR949" s="112"/>
      <c r="BS949" s="112"/>
      <c r="BT949" s="112"/>
      <c r="BU949" s="112"/>
      <c r="BV949" s="112"/>
      <c r="BW949" s="112"/>
      <c r="BX949" s="112"/>
      <c r="BY949" s="112"/>
      <c r="BZ949" s="112"/>
    </row>
    <row r="950" spans="30:78" x14ac:dyDescent="0.2">
      <c r="AD950" s="112"/>
      <c r="AE950" s="112"/>
      <c r="AF950" s="112"/>
      <c r="AG950" s="112"/>
      <c r="AH950" s="112"/>
      <c r="AI950" s="112"/>
      <c r="AJ950" s="112"/>
      <c r="AK950" s="112"/>
      <c r="AL950" s="112"/>
      <c r="AM950" s="112"/>
      <c r="AN950" s="112"/>
      <c r="AO950" s="112"/>
      <c r="AP950" s="112"/>
      <c r="AQ950" s="112"/>
      <c r="AR950" s="112"/>
      <c r="AS950" s="112"/>
      <c r="AT950" s="112"/>
      <c r="AU950" s="112"/>
      <c r="AV950" s="112"/>
      <c r="AW950" s="112"/>
      <c r="AX950" s="112"/>
      <c r="AY950" s="112"/>
      <c r="AZ950" s="112"/>
      <c r="BA950" s="112"/>
      <c r="BB950" s="112"/>
      <c r="BC950" s="112"/>
      <c r="BD950" s="112"/>
      <c r="BE950" s="112"/>
      <c r="BF950" s="112"/>
      <c r="BG950" s="112"/>
      <c r="BH950" s="112"/>
      <c r="BI950" s="112"/>
      <c r="BJ950" s="112"/>
      <c r="BK950" s="112"/>
      <c r="BL950" s="112"/>
      <c r="BM950" s="112"/>
      <c r="BN950" s="112"/>
      <c r="BO950" s="112"/>
      <c r="BP950" s="112"/>
      <c r="BQ950" s="112"/>
      <c r="BR950" s="112"/>
      <c r="BS950" s="112"/>
      <c r="BT950" s="112"/>
      <c r="BU950" s="112"/>
      <c r="BV950" s="112"/>
      <c r="BW950" s="112"/>
      <c r="BX950" s="112"/>
      <c r="BY950" s="112"/>
      <c r="BZ950" s="112"/>
    </row>
    <row r="951" spans="30:78" x14ac:dyDescent="0.2">
      <c r="AD951" s="112"/>
      <c r="AE951" s="112"/>
      <c r="AF951" s="112"/>
      <c r="AG951" s="112"/>
      <c r="AH951" s="112"/>
      <c r="AI951" s="112"/>
      <c r="AJ951" s="112"/>
      <c r="AK951" s="112"/>
      <c r="AL951" s="112"/>
      <c r="AM951" s="112"/>
      <c r="AN951" s="112"/>
      <c r="AO951" s="112"/>
      <c r="AP951" s="112"/>
      <c r="AQ951" s="112"/>
      <c r="AR951" s="112"/>
      <c r="AS951" s="112"/>
      <c r="AT951" s="112"/>
      <c r="AU951" s="112"/>
      <c r="AV951" s="112"/>
      <c r="AW951" s="112"/>
      <c r="AX951" s="112"/>
      <c r="AY951" s="112"/>
      <c r="AZ951" s="112"/>
      <c r="BA951" s="112"/>
      <c r="BB951" s="112"/>
      <c r="BC951" s="112"/>
      <c r="BD951" s="112"/>
      <c r="BE951" s="112"/>
      <c r="BF951" s="112"/>
      <c r="BG951" s="112"/>
      <c r="BH951" s="112"/>
      <c r="BI951" s="112"/>
      <c r="BJ951" s="112"/>
      <c r="BK951" s="112"/>
      <c r="BL951" s="112"/>
      <c r="BM951" s="112"/>
      <c r="BN951" s="112"/>
      <c r="BO951" s="112"/>
      <c r="BP951" s="112"/>
      <c r="BQ951" s="112"/>
      <c r="BR951" s="112"/>
      <c r="BS951" s="112"/>
      <c r="BT951" s="112"/>
      <c r="BU951" s="112"/>
      <c r="BV951" s="112"/>
      <c r="BW951" s="112"/>
      <c r="BX951" s="112"/>
      <c r="BY951" s="112"/>
      <c r="BZ951" s="112"/>
    </row>
    <row r="952" spans="30:78" x14ac:dyDescent="0.2">
      <c r="AD952" s="112"/>
      <c r="AE952" s="112"/>
      <c r="AF952" s="112"/>
      <c r="AG952" s="112"/>
      <c r="AH952" s="112"/>
      <c r="AI952" s="112"/>
      <c r="AJ952" s="112"/>
      <c r="AK952" s="112"/>
      <c r="AL952" s="112"/>
      <c r="AM952" s="112"/>
      <c r="AN952" s="112"/>
      <c r="AO952" s="112"/>
      <c r="AP952" s="112"/>
      <c r="AQ952" s="112"/>
      <c r="AR952" s="112"/>
      <c r="AS952" s="112"/>
      <c r="AT952" s="112"/>
      <c r="AU952" s="112"/>
      <c r="AV952" s="112"/>
      <c r="AW952" s="112"/>
      <c r="AX952" s="112"/>
      <c r="AY952" s="112"/>
      <c r="AZ952" s="112"/>
      <c r="BA952" s="112"/>
      <c r="BB952" s="112"/>
      <c r="BC952" s="112"/>
      <c r="BD952" s="112"/>
      <c r="BE952" s="112"/>
      <c r="BF952" s="112"/>
      <c r="BG952" s="112"/>
      <c r="BH952" s="112"/>
      <c r="BI952" s="112"/>
      <c r="BJ952" s="112"/>
      <c r="BK952" s="112"/>
      <c r="BL952" s="112"/>
      <c r="BM952" s="112"/>
      <c r="BN952" s="112"/>
      <c r="BO952" s="112"/>
      <c r="BP952" s="112"/>
      <c r="BQ952" s="112"/>
      <c r="BR952" s="112"/>
      <c r="BS952" s="112"/>
      <c r="BT952" s="112"/>
      <c r="BU952" s="112"/>
      <c r="BV952" s="112"/>
      <c r="BW952" s="112"/>
      <c r="BX952" s="112"/>
      <c r="BY952" s="112"/>
      <c r="BZ952" s="112"/>
    </row>
    <row r="953" spans="30:78" x14ac:dyDescent="0.2">
      <c r="AD953" s="112"/>
      <c r="AE953" s="112"/>
      <c r="AF953" s="112"/>
      <c r="AG953" s="112"/>
      <c r="AH953" s="112"/>
      <c r="AI953" s="112"/>
      <c r="AJ953" s="112"/>
      <c r="AK953" s="112"/>
      <c r="AL953" s="112"/>
      <c r="AM953" s="112"/>
      <c r="AN953" s="112"/>
      <c r="AO953" s="112"/>
      <c r="AP953" s="112"/>
      <c r="AQ953" s="112"/>
      <c r="AR953" s="112"/>
      <c r="AS953" s="112"/>
      <c r="AT953" s="112"/>
      <c r="AU953" s="112"/>
      <c r="AV953" s="112"/>
      <c r="AW953" s="112"/>
      <c r="AX953" s="112"/>
      <c r="AY953" s="112"/>
      <c r="AZ953" s="112"/>
      <c r="BA953" s="112"/>
      <c r="BB953" s="112"/>
      <c r="BC953" s="112"/>
      <c r="BD953" s="112"/>
      <c r="BE953" s="112"/>
      <c r="BF953" s="112"/>
      <c r="BG953" s="112"/>
      <c r="BH953" s="112"/>
      <c r="BI953" s="112"/>
      <c r="BJ953" s="112"/>
      <c r="BK953" s="112"/>
      <c r="BL953" s="112"/>
      <c r="BM953" s="112"/>
      <c r="BN953" s="112"/>
      <c r="BO953" s="112"/>
      <c r="BP953" s="112"/>
      <c r="BQ953" s="112"/>
      <c r="BR953" s="112"/>
      <c r="BS953" s="112"/>
      <c r="BT953" s="112"/>
      <c r="BU953" s="112"/>
      <c r="BV953" s="112"/>
      <c r="BW953" s="112"/>
      <c r="BX953" s="112"/>
      <c r="BY953" s="112"/>
      <c r="BZ953" s="112"/>
    </row>
    <row r="954" spans="30:78" x14ac:dyDescent="0.2">
      <c r="AD954" s="112"/>
      <c r="AE954" s="112"/>
      <c r="AF954" s="112"/>
      <c r="AG954" s="112"/>
      <c r="AH954" s="112"/>
      <c r="AI954" s="112"/>
      <c r="AJ954" s="112"/>
      <c r="AK954" s="112"/>
      <c r="AL954" s="112"/>
      <c r="AM954" s="112"/>
      <c r="AN954" s="112"/>
      <c r="AO954" s="112"/>
      <c r="AP954" s="112"/>
      <c r="AQ954" s="112"/>
      <c r="AR954" s="112"/>
      <c r="AS954" s="112"/>
      <c r="AT954" s="112"/>
      <c r="AU954" s="112"/>
      <c r="AV954" s="112"/>
      <c r="AW954" s="112"/>
      <c r="AX954" s="112"/>
      <c r="AY954" s="112"/>
      <c r="AZ954" s="112"/>
      <c r="BA954" s="112"/>
      <c r="BB954" s="112"/>
      <c r="BC954" s="112"/>
      <c r="BD954" s="112"/>
      <c r="BE954" s="112"/>
      <c r="BF954" s="112"/>
      <c r="BG954" s="112"/>
      <c r="BH954" s="112"/>
      <c r="BI954" s="112"/>
      <c r="BJ954" s="112"/>
      <c r="BK954" s="112"/>
      <c r="BL954" s="112"/>
      <c r="BM954" s="112"/>
      <c r="BN954" s="112"/>
      <c r="BO954" s="112"/>
      <c r="BP954" s="112"/>
      <c r="BQ954" s="112"/>
      <c r="BR954" s="112"/>
      <c r="BS954" s="112"/>
      <c r="BT954" s="112"/>
      <c r="BU954" s="112"/>
      <c r="BV954" s="112"/>
      <c r="BW954" s="112"/>
      <c r="BX954" s="112"/>
      <c r="BY954" s="112"/>
      <c r="BZ954" s="112"/>
    </row>
    <row r="955" spans="30:78" x14ac:dyDescent="0.2">
      <c r="AD955" s="112"/>
      <c r="AE955" s="112"/>
      <c r="AF955" s="112"/>
      <c r="AG955" s="112"/>
      <c r="AH955" s="112"/>
      <c r="AI955" s="112"/>
      <c r="AJ955" s="112"/>
      <c r="AK955" s="112"/>
      <c r="AL955" s="112"/>
      <c r="AM955" s="112"/>
      <c r="AN955" s="112"/>
      <c r="AO955" s="112"/>
      <c r="AP955" s="112"/>
      <c r="AQ955" s="112"/>
      <c r="AR955" s="112"/>
      <c r="AS955" s="112"/>
      <c r="AT955" s="112"/>
      <c r="AU955" s="112"/>
      <c r="AV955" s="112"/>
      <c r="AW955" s="112"/>
      <c r="AX955" s="112"/>
      <c r="AY955" s="112"/>
      <c r="AZ955" s="112"/>
      <c r="BA955" s="112"/>
      <c r="BB955" s="112"/>
      <c r="BC955" s="112"/>
      <c r="BD955" s="112"/>
      <c r="BE955" s="112"/>
      <c r="BF955" s="112"/>
      <c r="BG955" s="112"/>
      <c r="BH955" s="112"/>
      <c r="BI955" s="112"/>
      <c r="BJ955" s="112"/>
      <c r="BK955" s="112"/>
      <c r="BL955" s="112"/>
      <c r="BM955" s="112"/>
      <c r="BN955" s="112"/>
      <c r="BO955" s="112"/>
      <c r="BP955" s="112"/>
      <c r="BQ955" s="112"/>
      <c r="BR955" s="112"/>
      <c r="BS955" s="112"/>
      <c r="BT955" s="112"/>
      <c r="BU955" s="112"/>
      <c r="BV955" s="112"/>
      <c r="BW955" s="112"/>
      <c r="BX955" s="112"/>
      <c r="BY955" s="112"/>
      <c r="BZ955" s="112"/>
    </row>
    <row r="956" spans="30:78" x14ac:dyDescent="0.2">
      <c r="AD956" s="112"/>
      <c r="AE956" s="112"/>
      <c r="AF956" s="112"/>
      <c r="AG956" s="112"/>
      <c r="AH956" s="112"/>
      <c r="AI956" s="112"/>
      <c r="AJ956" s="112"/>
      <c r="AK956" s="112"/>
      <c r="AL956" s="112"/>
      <c r="AM956" s="112"/>
      <c r="AN956" s="112"/>
      <c r="AO956" s="112"/>
      <c r="AP956" s="112"/>
      <c r="AQ956" s="112"/>
      <c r="AR956" s="112"/>
      <c r="AS956" s="112"/>
      <c r="AT956" s="112"/>
      <c r="AU956" s="112"/>
      <c r="AV956" s="112"/>
      <c r="AW956" s="112"/>
      <c r="AX956" s="112"/>
      <c r="AY956" s="112"/>
      <c r="AZ956" s="112"/>
      <c r="BA956" s="112"/>
      <c r="BB956" s="112"/>
      <c r="BC956" s="112"/>
      <c r="BD956" s="112"/>
      <c r="BE956" s="112"/>
      <c r="BF956" s="112"/>
      <c r="BG956" s="112"/>
      <c r="BH956" s="112"/>
      <c r="BI956" s="112"/>
      <c r="BJ956" s="112"/>
      <c r="BK956" s="112"/>
      <c r="BL956" s="112"/>
      <c r="BM956" s="112"/>
      <c r="BN956" s="112"/>
      <c r="BO956" s="112"/>
      <c r="BP956" s="112"/>
      <c r="BQ956" s="112"/>
      <c r="BR956" s="112"/>
      <c r="BS956" s="112"/>
      <c r="BT956" s="112"/>
      <c r="BU956" s="112"/>
      <c r="BV956" s="112"/>
      <c r="BW956" s="112"/>
      <c r="BX956" s="112"/>
      <c r="BY956" s="112"/>
      <c r="BZ956" s="112"/>
    </row>
    <row r="957" spans="30:78" x14ac:dyDescent="0.2">
      <c r="AD957" s="112"/>
      <c r="AE957" s="112"/>
      <c r="AF957" s="112"/>
      <c r="AG957" s="112"/>
      <c r="AH957" s="112"/>
      <c r="AI957" s="112"/>
      <c r="AJ957" s="112"/>
      <c r="AK957" s="112"/>
      <c r="AL957" s="112"/>
      <c r="AM957" s="112"/>
      <c r="AN957" s="112"/>
      <c r="AO957" s="112"/>
      <c r="AP957" s="112"/>
      <c r="AQ957" s="112"/>
      <c r="AR957" s="112"/>
      <c r="AS957" s="112"/>
      <c r="AT957" s="112"/>
      <c r="AU957" s="112"/>
      <c r="AV957" s="112"/>
      <c r="AW957" s="112"/>
      <c r="AX957" s="112"/>
      <c r="AY957" s="112"/>
      <c r="AZ957" s="112"/>
      <c r="BA957" s="112"/>
      <c r="BB957" s="112"/>
      <c r="BC957" s="112"/>
      <c r="BD957" s="112"/>
      <c r="BE957" s="112"/>
      <c r="BF957" s="112"/>
      <c r="BG957" s="112"/>
      <c r="BH957" s="112"/>
      <c r="BI957" s="112"/>
      <c r="BJ957" s="112"/>
      <c r="BK957" s="112"/>
      <c r="BL957" s="112"/>
      <c r="BM957" s="112"/>
      <c r="BN957" s="112"/>
      <c r="BO957" s="112"/>
      <c r="BP957" s="112"/>
      <c r="BQ957" s="112"/>
      <c r="BR957" s="112"/>
      <c r="BS957" s="112"/>
      <c r="BT957" s="112"/>
      <c r="BU957" s="112"/>
      <c r="BV957" s="112"/>
      <c r="BW957" s="112"/>
      <c r="BX957" s="112"/>
      <c r="BY957" s="112"/>
      <c r="BZ957" s="112"/>
    </row>
    <row r="958" spans="30:78" x14ac:dyDescent="0.2">
      <c r="AD958" s="112"/>
      <c r="AE958" s="112"/>
      <c r="AF958" s="112"/>
      <c r="AG958" s="112"/>
      <c r="AH958" s="112"/>
      <c r="AI958" s="112"/>
      <c r="AJ958" s="112"/>
      <c r="AK958" s="112"/>
      <c r="AL958" s="112"/>
      <c r="AM958" s="112"/>
      <c r="AN958" s="112"/>
      <c r="AO958" s="112"/>
      <c r="AP958" s="112"/>
      <c r="AQ958" s="112"/>
      <c r="AR958" s="112"/>
      <c r="AS958" s="112"/>
      <c r="AT958" s="112"/>
      <c r="AU958" s="112"/>
      <c r="AV958" s="112"/>
      <c r="AW958" s="112"/>
      <c r="AX958" s="112"/>
      <c r="AY958" s="112"/>
      <c r="AZ958" s="112"/>
      <c r="BA958" s="112"/>
      <c r="BB958" s="112"/>
      <c r="BC958" s="112"/>
      <c r="BD958" s="112"/>
      <c r="BE958" s="112"/>
      <c r="BF958" s="112"/>
      <c r="BG958" s="112"/>
      <c r="BH958" s="112"/>
      <c r="BI958" s="112"/>
      <c r="BJ958" s="112"/>
      <c r="BK958" s="112"/>
      <c r="BL958" s="112"/>
      <c r="BM958" s="112"/>
      <c r="BN958" s="112"/>
      <c r="BO958" s="112"/>
      <c r="BP958" s="112"/>
      <c r="BQ958" s="112"/>
      <c r="BR958" s="112"/>
      <c r="BS958" s="112"/>
      <c r="BT958" s="112"/>
      <c r="BU958" s="112"/>
      <c r="BV958" s="112"/>
      <c r="BW958" s="112"/>
      <c r="BX958" s="112"/>
      <c r="BY958" s="112"/>
      <c r="BZ958" s="112"/>
    </row>
    <row r="959" spans="30:78" x14ac:dyDescent="0.2">
      <c r="AD959" s="112"/>
      <c r="AE959" s="112"/>
      <c r="AF959" s="112"/>
      <c r="AG959" s="112"/>
      <c r="AH959" s="112"/>
      <c r="AI959" s="112"/>
      <c r="AJ959" s="112"/>
      <c r="AK959" s="112"/>
      <c r="AL959" s="112"/>
      <c r="AM959" s="112"/>
      <c r="AN959" s="112"/>
      <c r="AO959" s="112"/>
      <c r="AP959" s="112"/>
      <c r="AQ959" s="112"/>
      <c r="AR959" s="112"/>
      <c r="AS959" s="112"/>
      <c r="AT959" s="112"/>
      <c r="AU959" s="112"/>
      <c r="AV959" s="112"/>
      <c r="AW959" s="112"/>
      <c r="AX959" s="112"/>
      <c r="AY959" s="112"/>
      <c r="AZ959" s="112"/>
      <c r="BA959" s="112"/>
      <c r="BB959" s="112"/>
      <c r="BC959" s="112"/>
      <c r="BD959" s="112"/>
      <c r="BE959" s="112"/>
      <c r="BF959" s="112"/>
      <c r="BG959" s="112"/>
      <c r="BH959" s="112"/>
      <c r="BI959" s="112"/>
      <c r="BJ959" s="112"/>
      <c r="BK959" s="112"/>
      <c r="BL959" s="112"/>
      <c r="BM959" s="112"/>
      <c r="BN959" s="112"/>
      <c r="BO959" s="112"/>
      <c r="BP959" s="112"/>
      <c r="BQ959" s="112"/>
      <c r="BR959" s="112"/>
      <c r="BS959" s="112"/>
      <c r="BT959" s="112"/>
      <c r="BU959" s="112"/>
      <c r="BV959" s="112"/>
      <c r="BW959" s="112"/>
      <c r="BX959" s="112"/>
      <c r="BY959" s="112"/>
      <c r="BZ959" s="112"/>
    </row>
    <row r="960" spans="30:78" x14ac:dyDescent="0.2">
      <c r="AD960" s="112"/>
      <c r="AE960" s="112"/>
      <c r="AF960" s="112"/>
      <c r="AG960" s="112"/>
      <c r="AH960" s="112"/>
      <c r="AI960" s="112"/>
      <c r="AJ960" s="112"/>
      <c r="AK960" s="112"/>
      <c r="AL960" s="112"/>
      <c r="AM960" s="112"/>
      <c r="AN960" s="112"/>
      <c r="AO960" s="112"/>
      <c r="AP960" s="112"/>
      <c r="AQ960" s="112"/>
      <c r="AR960" s="112"/>
      <c r="AS960" s="112"/>
      <c r="AT960" s="112"/>
      <c r="AU960" s="112"/>
      <c r="AV960" s="112"/>
      <c r="AW960" s="112"/>
      <c r="AX960" s="112"/>
      <c r="AY960" s="112"/>
      <c r="AZ960" s="112"/>
      <c r="BA960" s="112"/>
      <c r="BB960" s="112"/>
      <c r="BC960" s="112"/>
      <c r="BD960" s="112"/>
      <c r="BE960" s="112"/>
      <c r="BF960" s="112"/>
      <c r="BG960" s="112"/>
      <c r="BH960" s="112"/>
      <c r="BI960" s="112"/>
      <c r="BJ960" s="112"/>
      <c r="BK960" s="112"/>
      <c r="BL960" s="112"/>
      <c r="BM960" s="112"/>
      <c r="BN960" s="112"/>
      <c r="BO960" s="112"/>
      <c r="BP960" s="112"/>
      <c r="BQ960" s="112"/>
      <c r="BR960" s="112"/>
      <c r="BS960" s="112"/>
      <c r="BT960" s="112"/>
      <c r="BU960" s="112"/>
      <c r="BV960" s="112"/>
      <c r="BW960" s="112"/>
      <c r="BX960" s="112"/>
      <c r="BY960" s="112"/>
      <c r="BZ960" s="112"/>
    </row>
    <row r="961" spans="30:78" x14ac:dyDescent="0.2">
      <c r="AD961" s="112"/>
      <c r="AE961" s="112"/>
      <c r="AF961" s="112"/>
      <c r="AG961" s="112"/>
      <c r="AH961" s="112"/>
      <c r="AI961" s="112"/>
      <c r="AJ961" s="112"/>
      <c r="AK961" s="112"/>
      <c r="AL961" s="112"/>
      <c r="AM961" s="112"/>
      <c r="AN961" s="112"/>
      <c r="AO961" s="112"/>
      <c r="AP961" s="112"/>
      <c r="AQ961" s="112"/>
      <c r="AR961" s="112"/>
      <c r="AS961" s="112"/>
      <c r="AT961" s="112"/>
      <c r="AU961" s="112"/>
      <c r="AV961" s="112"/>
      <c r="AW961" s="112"/>
      <c r="AX961" s="112"/>
      <c r="AY961" s="112"/>
      <c r="AZ961" s="112"/>
      <c r="BA961" s="112"/>
      <c r="BB961" s="112"/>
      <c r="BC961" s="112"/>
      <c r="BD961" s="112"/>
      <c r="BE961" s="112"/>
      <c r="BF961" s="112"/>
      <c r="BG961" s="112"/>
      <c r="BH961" s="112"/>
      <c r="BI961" s="112"/>
      <c r="BJ961" s="112"/>
      <c r="BK961" s="112"/>
      <c r="BL961" s="112"/>
      <c r="BM961" s="112"/>
      <c r="BN961" s="112"/>
      <c r="BO961" s="112"/>
      <c r="BP961" s="112"/>
      <c r="BQ961" s="112"/>
      <c r="BR961" s="112"/>
      <c r="BS961" s="112"/>
      <c r="BT961" s="112"/>
      <c r="BU961" s="112"/>
      <c r="BV961" s="112"/>
      <c r="BW961" s="112"/>
      <c r="BX961" s="112"/>
      <c r="BY961" s="112"/>
      <c r="BZ961" s="112"/>
    </row>
    <row r="962" spans="30:78" x14ac:dyDescent="0.2">
      <c r="AD962" s="112"/>
      <c r="AE962" s="112"/>
      <c r="AF962" s="112"/>
      <c r="AG962" s="112"/>
      <c r="AH962" s="112"/>
      <c r="AI962" s="112"/>
      <c r="AJ962" s="112"/>
      <c r="AK962" s="112"/>
      <c r="AL962" s="112"/>
      <c r="AM962" s="112"/>
      <c r="AN962" s="112"/>
      <c r="AO962" s="112"/>
      <c r="AP962" s="112"/>
      <c r="AQ962" s="112"/>
      <c r="AR962" s="112"/>
      <c r="AS962" s="112"/>
      <c r="AT962" s="112"/>
      <c r="AU962" s="112"/>
      <c r="AV962" s="112"/>
      <c r="AW962" s="112"/>
      <c r="AX962" s="112"/>
      <c r="AY962" s="112"/>
      <c r="AZ962" s="112"/>
      <c r="BA962" s="112"/>
      <c r="BB962" s="112"/>
      <c r="BC962" s="112"/>
      <c r="BD962" s="112"/>
      <c r="BE962" s="112"/>
      <c r="BF962" s="112"/>
      <c r="BG962" s="112"/>
      <c r="BH962" s="112"/>
      <c r="BI962" s="112"/>
      <c r="BJ962" s="112"/>
      <c r="BK962" s="112"/>
      <c r="BL962" s="112"/>
      <c r="BM962" s="112"/>
      <c r="BN962" s="112"/>
      <c r="BO962" s="112"/>
      <c r="BP962" s="112"/>
      <c r="BQ962" s="112"/>
      <c r="BR962" s="112"/>
      <c r="BS962" s="112"/>
      <c r="BT962" s="112"/>
      <c r="BU962" s="112"/>
      <c r="BV962" s="112"/>
      <c r="BW962" s="112"/>
      <c r="BX962" s="112"/>
      <c r="BY962" s="112"/>
      <c r="BZ962" s="112"/>
    </row>
    <row r="963" spans="30:78" x14ac:dyDescent="0.2">
      <c r="AD963" s="112"/>
      <c r="AE963" s="112"/>
      <c r="AF963" s="112"/>
      <c r="AG963" s="112"/>
      <c r="AH963" s="112"/>
      <c r="AI963" s="112"/>
      <c r="AJ963" s="112"/>
      <c r="AK963" s="112"/>
      <c r="AL963" s="112"/>
      <c r="AM963" s="112"/>
      <c r="AN963" s="112"/>
      <c r="AO963" s="112"/>
      <c r="AP963" s="112"/>
      <c r="AQ963" s="112"/>
      <c r="AR963" s="112"/>
      <c r="AS963" s="112"/>
      <c r="AT963" s="112"/>
      <c r="AU963" s="112"/>
      <c r="AV963" s="112"/>
      <c r="AW963" s="112"/>
      <c r="AX963" s="112"/>
      <c r="AY963" s="112"/>
      <c r="AZ963" s="112"/>
      <c r="BA963" s="112"/>
      <c r="BB963" s="112"/>
      <c r="BC963" s="112"/>
      <c r="BD963" s="112"/>
      <c r="BE963" s="112"/>
      <c r="BF963" s="112"/>
      <c r="BG963" s="112"/>
      <c r="BH963" s="112"/>
      <c r="BI963" s="112"/>
      <c r="BJ963" s="112"/>
      <c r="BK963" s="112"/>
      <c r="BL963" s="112"/>
      <c r="BM963" s="112"/>
      <c r="BN963" s="112"/>
      <c r="BO963" s="112"/>
      <c r="BP963" s="112"/>
      <c r="BQ963" s="112"/>
      <c r="BR963" s="112"/>
      <c r="BS963" s="112"/>
      <c r="BT963" s="112"/>
      <c r="BU963" s="112"/>
      <c r="BV963" s="112"/>
      <c r="BW963" s="112"/>
      <c r="BX963" s="112"/>
      <c r="BY963" s="112"/>
      <c r="BZ963" s="112"/>
    </row>
    <row r="964" spans="30:78" x14ac:dyDescent="0.2">
      <c r="AD964" s="112"/>
      <c r="AE964" s="112"/>
      <c r="AF964" s="112"/>
      <c r="AG964" s="112"/>
      <c r="AH964" s="112"/>
      <c r="AI964" s="112"/>
      <c r="AJ964" s="112"/>
      <c r="AK964" s="112"/>
      <c r="AL964" s="112"/>
      <c r="AM964" s="112"/>
      <c r="AN964" s="112"/>
      <c r="AO964" s="112"/>
      <c r="AP964" s="112"/>
      <c r="AQ964" s="112"/>
      <c r="AR964" s="112"/>
      <c r="AS964" s="112"/>
      <c r="AT964" s="112"/>
      <c r="AU964" s="112"/>
      <c r="AV964" s="112"/>
      <c r="AW964" s="112"/>
      <c r="AX964" s="112"/>
      <c r="AY964" s="112"/>
      <c r="AZ964" s="112"/>
      <c r="BA964" s="112"/>
      <c r="BB964" s="112"/>
      <c r="BC964" s="112"/>
      <c r="BD964" s="112"/>
      <c r="BE964" s="112"/>
      <c r="BF964" s="112"/>
      <c r="BG964" s="112"/>
      <c r="BH964" s="112"/>
      <c r="BI964" s="112"/>
      <c r="BJ964" s="112"/>
      <c r="BK964" s="112"/>
      <c r="BL964" s="112"/>
      <c r="BM964" s="112"/>
      <c r="BN964" s="112"/>
      <c r="BO964" s="112"/>
      <c r="BP964" s="112"/>
      <c r="BQ964" s="112"/>
      <c r="BR964" s="112"/>
      <c r="BS964" s="112"/>
      <c r="BT964" s="112"/>
      <c r="BU964" s="112"/>
      <c r="BV964" s="112"/>
      <c r="BW964" s="112"/>
      <c r="BX964" s="112"/>
      <c r="BY964" s="112"/>
      <c r="BZ964" s="112"/>
    </row>
    <row r="965" spans="30:78" x14ac:dyDescent="0.2">
      <c r="AD965" s="112"/>
      <c r="AE965" s="112"/>
      <c r="AF965" s="112"/>
      <c r="AG965" s="112"/>
      <c r="AH965" s="112"/>
      <c r="AI965" s="112"/>
      <c r="AJ965" s="112"/>
      <c r="AK965" s="112"/>
      <c r="AL965" s="112"/>
      <c r="AM965" s="112"/>
      <c r="AN965" s="112"/>
      <c r="AO965" s="112"/>
      <c r="AP965" s="112"/>
      <c r="AQ965" s="112"/>
      <c r="AR965" s="112"/>
      <c r="AS965" s="112"/>
      <c r="AT965" s="112"/>
      <c r="AU965" s="112"/>
      <c r="AV965" s="112"/>
      <c r="AW965" s="112"/>
      <c r="AX965" s="112"/>
      <c r="AY965" s="112"/>
      <c r="AZ965" s="112"/>
      <c r="BA965" s="112"/>
      <c r="BB965" s="112"/>
      <c r="BC965" s="112"/>
      <c r="BD965" s="112"/>
      <c r="BE965" s="112"/>
      <c r="BF965" s="112"/>
      <c r="BG965" s="112"/>
      <c r="BH965" s="112"/>
      <c r="BI965" s="112"/>
      <c r="BJ965" s="112"/>
      <c r="BK965" s="112"/>
      <c r="BL965" s="112"/>
      <c r="BM965" s="112"/>
      <c r="BN965" s="112"/>
      <c r="BO965" s="112"/>
      <c r="BP965" s="112"/>
      <c r="BQ965" s="112"/>
      <c r="BR965" s="112"/>
      <c r="BS965" s="112"/>
      <c r="BT965" s="112"/>
      <c r="BU965" s="112"/>
      <c r="BV965" s="112"/>
      <c r="BW965" s="112"/>
      <c r="BX965" s="112"/>
      <c r="BY965" s="112"/>
      <c r="BZ965" s="112"/>
    </row>
    <row r="966" spans="30:78" x14ac:dyDescent="0.2">
      <c r="AD966" s="112"/>
      <c r="AE966" s="112"/>
      <c r="AF966" s="112"/>
      <c r="AG966" s="112"/>
      <c r="AH966" s="112"/>
      <c r="AI966" s="112"/>
      <c r="AJ966" s="112"/>
      <c r="AK966" s="112"/>
      <c r="AL966" s="112"/>
      <c r="AM966" s="112"/>
      <c r="AN966" s="112"/>
      <c r="AO966" s="112"/>
      <c r="AP966" s="112"/>
      <c r="AQ966" s="112"/>
      <c r="AR966" s="112"/>
      <c r="AS966" s="112"/>
      <c r="AT966" s="112"/>
      <c r="AU966" s="112"/>
      <c r="AV966" s="112"/>
      <c r="AW966" s="112"/>
      <c r="AX966" s="112"/>
      <c r="AY966" s="112"/>
      <c r="AZ966" s="112"/>
      <c r="BA966" s="112"/>
      <c r="BB966" s="112"/>
      <c r="BC966" s="112"/>
      <c r="BD966" s="112"/>
      <c r="BE966" s="112"/>
      <c r="BF966" s="112"/>
      <c r="BG966" s="112"/>
      <c r="BH966" s="112"/>
      <c r="BI966" s="112"/>
      <c r="BJ966" s="112"/>
      <c r="BK966" s="112"/>
      <c r="BL966" s="112"/>
      <c r="BM966" s="112"/>
      <c r="BN966" s="112"/>
      <c r="BO966" s="112"/>
      <c r="BP966" s="112"/>
      <c r="BQ966" s="112"/>
      <c r="BR966" s="112"/>
      <c r="BS966" s="112"/>
      <c r="BT966" s="112"/>
      <c r="BU966" s="112"/>
      <c r="BV966" s="112"/>
      <c r="BW966" s="112"/>
      <c r="BX966" s="112"/>
      <c r="BY966" s="112"/>
      <c r="BZ966" s="112"/>
    </row>
    <row r="967" spans="30:78" x14ac:dyDescent="0.2">
      <c r="AD967" s="112"/>
      <c r="AE967" s="112"/>
      <c r="AF967" s="112"/>
      <c r="AG967" s="112"/>
      <c r="AH967" s="112"/>
      <c r="AI967" s="112"/>
      <c r="AJ967" s="112"/>
      <c r="AK967" s="112"/>
      <c r="AL967" s="112"/>
      <c r="AM967" s="112"/>
      <c r="AN967" s="112"/>
      <c r="AO967" s="112"/>
      <c r="AP967" s="112"/>
      <c r="AQ967" s="112"/>
      <c r="AR967" s="112"/>
      <c r="AS967" s="112"/>
      <c r="AT967" s="112"/>
      <c r="AU967" s="112"/>
      <c r="AV967" s="112"/>
      <c r="AW967" s="112"/>
      <c r="AX967" s="112"/>
      <c r="AY967" s="112"/>
      <c r="AZ967" s="112"/>
      <c r="BA967" s="112"/>
      <c r="BB967" s="112"/>
      <c r="BC967" s="112"/>
      <c r="BD967" s="112"/>
      <c r="BE967" s="112"/>
      <c r="BF967" s="112"/>
      <c r="BG967" s="112"/>
      <c r="BH967" s="112"/>
      <c r="BI967" s="112"/>
      <c r="BJ967" s="112"/>
      <c r="BK967" s="112"/>
      <c r="BL967" s="112"/>
      <c r="BM967" s="112"/>
      <c r="BN967" s="112"/>
      <c r="BO967" s="112"/>
      <c r="BP967" s="112"/>
      <c r="BQ967" s="112"/>
      <c r="BR967" s="112"/>
      <c r="BS967" s="112"/>
      <c r="BT967" s="112"/>
      <c r="BU967" s="112"/>
      <c r="BV967" s="112"/>
      <c r="BW967" s="112"/>
      <c r="BX967" s="112"/>
      <c r="BY967" s="112"/>
      <c r="BZ967" s="112"/>
    </row>
    <row r="968" spans="30:78" x14ac:dyDescent="0.2">
      <c r="AD968" s="112"/>
      <c r="AE968" s="112"/>
      <c r="AF968" s="112"/>
      <c r="AG968" s="112"/>
      <c r="AH968" s="112"/>
      <c r="AI968" s="112"/>
      <c r="AJ968" s="112"/>
      <c r="AK968" s="112"/>
      <c r="AL968" s="112"/>
      <c r="AM968" s="112"/>
      <c r="AN968" s="112"/>
      <c r="AO968" s="112"/>
      <c r="AP968" s="112"/>
      <c r="AQ968" s="112"/>
      <c r="AR968" s="112"/>
      <c r="AS968" s="112"/>
      <c r="AT968" s="112"/>
      <c r="AU968" s="112"/>
      <c r="AV968" s="112"/>
      <c r="AW968" s="112"/>
      <c r="AX968" s="112"/>
      <c r="AY968" s="112"/>
      <c r="AZ968" s="112"/>
      <c r="BA968" s="112"/>
      <c r="BB968" s="112"/>
      <c r="BC968" s="112"/>
      <c r="BD968" s="112"/>
      <c r="BE968" s="112"/>
      <c r="BF968" s="112"/>
      <c r="BG968" s="112"/>
      <c r="BH968" s="112"/>
      <c r="BI968" s="112"/>
      <c r="BJ968" s="112"/>
      <c r="BK968" s="112"/>
      <c r="BL968" s="112"/>
      <c r="BM968" s="112"/>
      <c r="BN968" s="112"/>
      <c r="BO968" s="112"/>
      <c r="BP968" s="112"/>
      <c r="BQ968" s="112"/>
      <c r="BR968" s="112"/>
      <c r="BS968" s="112"/>
      <c r="BT968" s="112"/>
      <c r="BU968" s="112"/>
      <c r="BV968" s="112"/>
      <c r="BW968" s="112"/>
      <c r="BX968" s="112"/>
      <c r="BY968" s="112"/>
      <c r="BZ968" s="112"/>
    </row>
    <row r="969" spans="30:78" x14ac:dyDescent="0.2">
      <c r="AD969" s="112"/>
      <c r="AE969" s="112"/>
      <c r="AF969" s="112"/>
      <c r="AG969" s="112"/>
      <c r="AH969" s="112"/>
      <c r="AI969" s="112"/>
      <c r="AJ969" s="112"/>
      <c r="AK969" s="112"/>
      <c r="AL969" s="112"/>
      <c r="AM969" s="112"/>
      <c r="AN969" s="112"/>
      <c r="AO969" s="112"/>
      <c r="AP969" s="112"/>
      <c r="AQ969" s="112"/>
      <c r="AR969" s="112"/>
      <c r="AS969" s="112"/>
      <c r="AT969" s="112"/>
      <c r="AU969" s="112"/>
      <c r="AV969" s="112"/>
      <c r="AW969" s="112"/>
      <c r="AX969" s="112"/>
      <c r="AY969" s="112"/>
      <c r="AZ969" s="112"/>
      <c r="BA969" s="112"/>
      <c r="BB969" s="112"/>
      <c r="BC969" s="112"/>
      <c r="BD969" s="112"/>
      <c r="BE969" s="112"/>
      <c r="BF969" s="112"/>
      <c r="BG969" s="112"/>
      <c r="BH969" s="112"/>
      <c r="BI969" s="112"/>
      <c r="BJ969" s="112"/>
      <c r="BK969" s="112"/>
      <c r="BL969" s="112"/>
      <c r="BM969" s="112"/>
      <c r="BN969" s="112"/>
      <c r="BO969" s="112"/>
      <c r="BP969" s="112"/>
      <c r="BQ969" s="112"/>
      <c r="BR969" s="112"/>
      <c r="BS969" s="112"/>
      <c r="BT969" s="112"/>
      <c r="BU969" s="112"/>
      <c r="BV969" s="112"/>
      <c r="BW969" s="112"/>
      <c r="BX969" s="112"/>
      <c r="BY969" s="112"/>
      <c r="BZ969" s="112"/>
    </row>
    <row r="970" spans="30:78" x14ac:dyDescent="0.2">
      <c r="AD970" s="112"/>
      <c r="AE970" s="112"/>
      <c r="AF970" s="112"/>
      <c r="AG970" s="112"/>
      <c r="AH970" s="112"/>
      <c r="AI970" s="112"/>
      <c r="AJ970" s="112"/>
      <c r="AK970" s="112"/>
      <c r="AL970" s="112"/>
      <c r="AM970" s="112"/>
      <c r="AN970" s="112"/>
      <c r="AO970" s="112"/>
      <c r="AP970" s="112"/>
      <c r="AQ970" s="112"/>
      <c r="AR970" s="112"/>
      <c r="AS970" s="112"/>
      <c r="AT970" s="112"/>
      <c r="AU970" s="112"/>
      <c r="AV970" s="112"/>
      <c r="AW970" s="112"/>
      <c r="AX970" s="112"/>
      <c r="AY970" s="112"/>
      <c r="AZ970" s="112"/>
      <c r="BA970" s="112"/>
      <c r="BB970" s="112"/>
      <c r="BC970" s="112"/>
      <c r="BD970" s="112"/>
      <c r="BE970" s="112"/>
      <c r="BF970" s="112"/>
      <c r="BG970" s="112"/>
      <c r="BH970" s="112"/>
      <c r="BI970" s="112"/>
      <c r="BJ970" s="112"/>
      <c r="BK970" s="112"/>
      <c r="BL970" s="112"/>
      <c r="BM970" s="112"/>
      <c r="BN970" s="112"/>
      <c r="BO970" s="112"/>
      <c r="BP970" s="112"/>
      <c r="BQ970" s="112"/>
      <c r="BR970" s="112"/>
      <c r="BS970" s="112"/>
      <c r="BT970" s="112"/>
      <c r="BU970" s="112"/>
      <c r="BV970" s="112"/>
      <c r="BW970" s="112"/>
      <c r="BX970" s="112"/>
      <c r="BY970" s="112"/>
      <c r="BZ970" s="112"/>
    </row>
    <row r="971" spans="30:78" x14ac:dyDescent="0.2">
      <c r="AD971" s="112"/>
      <c r="AE971" s="112"/>
      <c r="AF971" s="112"/>
      <c r="AG971" s="112"/>
      <c r="AH971" s="112"/>
      <c r="AI971" s="112"/>
      <c r="AJ971" s="112"/>
      <c r="AK971" s="112"/>
      <c r="AL971" s="112"/>
      <c r="AM971" s="112"/>
      <c r="AN971" s="112"/>
      <c r="AO971" s="112"/>
      <c r="AP971" s="112"/>
      <c r="AQ971" s="112"/>
      <c r="AR971" s="112"/>
      <c r="AS971" s="112"/>
      <c r="AT971" s="112"/>
      <c r="AU971" s="112"/>
      <c r="AV971" s="112"/>
      <c r="AW971" s="112"/>
      <c r="AX971" s="112"/>
      <c r="AY971" s="112"/>
      <c r="AZ971" s="112"/>
      <c r="BA971" s="112"/>
      <c r="BB971" s="112"/>
      <c r="BC971" s="112"/>
      <c r="BD971" s="112"/>
      <c r="BE971" s="112"/>
      <c r="BF971" s="112"/>
      <c r="BG971" s="112"/>
      <c r="BH971" s="112"/>
      <c r="BI971" s="112"/>
      <c r="BJ971" s="112"/>
      <c r="BK971" s="112"/>
      <c r="BL971" s="112"/>
      <c r="BM971" s="112"/>
      <c r="BN971" s="112"/>
      <c r="BO971" s="112"/>
      <c r="BP971" s="112"/>
      <c r="BQ971" s="112"/>
      <c r="BR971" s="112"/>
      <c r="BS971" s="112"/>
      <c r="BT971" s="112"/>
      <c r="BU971" s="112"/>
      <c r="BV971" s="112"/>
      <c r="BW971" s="112"/>
      <c r="BX971" s="112"/>
      <c r="BY971" s="112"/>
      <c r="BZ971" s="112"/>
    </row>
    <row r="972" spans="30:78" x14ac:dyDescent="0.2">
      <c r="AD972" s="112"/>
      <c r="AE972" s="112"/>
      <c r="AF972" s="112"/>
      <c r="AG972" s="112"/>
      <c r="AH972" s="112"/>
      <c r="AI972" s="112"/>
      <c r="AJ972" s="112"/>
      <c r="AK972" s="112"/>
      <c r="AL972" s="112"/>
      <c r="AM972" s="112"/>
      <c r="AN972" s="112"/>
      <c r="AO972" s="112"/>
      <c r="AP972" s="112"/>
      <c r="AQ972" s="112"/>
      <c r="AR972" s="112"/>
      <c r="AS972" s="112"/>
      <c r="AT972" s="112"/>
      <c r="AU972" s="112"/>
      <c r="AV972" s="112"/>
      <c r="AW972" s="112"/>
      <c r="AX972" s="112"/>
      <c r="AY972" s="112"/>
      <c r="AZ972" s="112"/>
      <c r="BA972" s="112"/>
      <c r="BB972" s="112"/>
      <c r="BC972" s="112"/>
      <c r="BD972" s="112"/>
      <c r="BE972" s="112"/>
      <c r="BF972" s="112"/>
      <c r="BG972" s="112"/>
      <c r="BH972" s="112"/>
      <c r="BI972" s="112"/>
      <c r="BJ972" s="112"/>
      <c r="BK972" s="112"/>
      <c r="BL972" s="112"/>
      <c r="BM972" s="112"/>
      <c r="BN972" s="112"/>
      <c r="BO972" s="112"/>
      <c r="BP972" s="112"/>
      <c r="BQ972" s="112"/>
      <c r="BR972" s="112"/>
      <c r="BS972" s="112"/>
      <c r="BT972" s="112"/>
      <c r="BU972" s="112"/>
      <c r="BV972" s="112"/>
      <c r="BW972" s="112"/>
      <c r="BX972" s="112"/>
      <c r="BY972" s="112"/>
      <c r="BZ972" s="112"/>
    </row>
    <row r="973" spans="30:78" x14ac:dyDescent="0.2">
      <c r="AD973" s="112"/>
      <c r="AE973" s="112"/>
      <c r="AF973" s="112"/>
      <c r="AG973" s="112"/>
      <c r="AH973" s="112"/>
      <c r="AI973" s="112"/>
      <c r="AJ973" s="112"/>
      <c r="AK973" s="112"/>
      <c r="AL973" s="112"/>
      <c r="AM973" s="112"/>
      <c r="AN973" s="112"/>
      <c r="AO973" s="112"/>
      <c r="AP973" s="112"/>
      <c r="AQ973" s="112"/>
      <c r="AR973" s="112"/>
      <c r="AS973" s="112"/>
      <c r="AT973" s="112"/>
      <c r="AU973" s="112"/>
      <c r="AV973" s="112"/>
      <c r="AW973" s="112"/>
      <c r="AX973" s="112"/>
      <c r="AY973" s="112"/>
      <c r="AZ973" s="112"/>
      <c r="BA973" s="112"/>
      <c r="BB973" s="112"/>
      <c r="BC973" s="112"/>
      <c r="BD973" s="112"/>
      <c r="BE973" s="112"/>
      <c r="BF973" s="112"/>
      <c r="BG973" s="112"/>
      <c r="BH973" s="112"/>
      <c r="BI973" s="112"/>
      <c r="BJ973" s="112"/>
      <c r="BK973" s="112"/>
      <c r="BL973" s="112"/>
      <c r="BM973" s="112"/>
      <c r="BN973" s="112"/>
      <c r="BO973" s="112"/>
      <c r="BP973" s="112"/>
      <c r="BQ973" s="112"/>
      <c r="BR973" s="112"/>
      <c r="BS973" s="112"/>
      <c r="BT973" s="112"/>
      <c r="BU973" s="112"/>
      <c r="BV973" s="112"/>
      <c r="BW973" s="112"/>
      <c r="BX973" s="112"/>
      <c r="BY973" s="112"/>
      <c r="BZ973" s="112"/>
    </row>
    <row r="974" spans="30:78" x14ac:dyDescent="0.2">
      <c r="AD974" s="112"/>
      <c r="AE974" s="112"/>
      <c r="AF974" s="112"/>
      <c r="AG974" s="112"/>
      <c r="AH974" s="112"/>
      <c r="AI974" s="112"/>
      <c r="AJ974" s="112"/>
      <c r="AK974" s="112"/>
      <c r="AL974" s="112"/>
      <c r="AM974" s="112"/>
      <c r="AN974" s="112"/>
      <c r="AO974" s="112"/>
      <c r="AP974" s="112"/>
      <c r="AQ974" s="112"/>
      <c r="AR974" s="112"/>
      <c r="AS974" s="112"/>
      <c r="AT974" s="112"/>
      <c r="AU974" s="112"/>
      <c r="AV974" s="112"/>
      <c r="AW974" s="112"/>
      <c r="AX974" s="112"/>
      <c r="AY974" s="112"/>
      <c r="AZ974" s="112"/>
      <c r="BA974" s="112"/>
      <c r="BB974" s="112"/>
      <c r="BC974" s="112"/>
      <c r="BD974" s="112"/>
      <c r="BE974" s="112"/>
      <c r="BF974" s="112"/>
      <c r="BG974" s="112"/>
      <c r="BH974" s="112"/>
      <c r="BI974" s="112"/>
      <c r="BJ974" s="112"/>
      <c r="BK974" s="112"/>
      <c r="BL974" s="112"/>
      <c r="BM974" s="112"/>
      <c r="BN974" s="112"/>
      <c r="BO974" s="112"/>
      <c r="BP974" s="112"/>
      <c r="BQ974" s="112"/>
      <c r="BR974" s="112"/>
      <c r="BS974" s="112"/>
      <c r="BT974" s="112"/>
      <c r="BU974" s="112"/>
      <c r="BV974" s="112"/>
      <c r="BW974" s="112"/>
      <c r="BX974" s="112"/>
      <c r="BY974" s="112"/>
      <c r="BZ974" s="112"/>
    </row>
    <row r="975" spans="30:78" x14ac:dyDescent="0.2">
      <c r="AD975" s="112"/>
      <c r="AE975" s="112"/>
      <c r="AF975" s="112"/>
      <c r="AG975" s="112"/>
      <c r="AH975" s="112"/>
      <c r="AI975" s="112"/>
      <c r="AJ975" s="112"/>
      <c r="AK975" s="112"/>
      <c r="AL975" s="112"/>
      <c r="AM975" s="112"/>
      <c r="AN975" s="112"/>
      <c r="AO975" s="112"/>
      <c r="AP975" s="112"/>
      <c r="AQ975" s="112"/>
      <c r="AR975" s="112"/>
      <c r="AS975" s="112"/>
      <c r="AT975" s="112"/>
      <c r="AU975" s="112"/>
      <c r="AV975" s="112"/>
      <c r="AW975" s="112"/>
      <c r="AX975" s="112"/>
      <c r="AY975" s="112"/>
      <c r="AZ975" s="112"/>
      <c r="BA975" s="112"/>
      <c r="BB975" s="112"/>
      <c r="BC975" s="112"/>
      <c r="BD975" s="112"/>
      <c r="BE975" s="112"/>
      <c r="BF975" s="112"/>
      <c r="BG975" s="112"/>
      <c r="BH975" s="112"/>
      <c r="BI975" s="112"/>
      <c r="BJ975" s="112"/>
      <c r="BK975" s="112"/>
      <c r="BL975" s="112"/>
      <c r="BM975" s="112"/>
      <c r="BN975" s="112"/>
      <c r="BO975" s="112"/>
      <c r="BP975" s="112"/>
      <c r="BQ975" s="112"/>
      <c r="BR975" s="112"/>
      <c r="BS975" s="112"/>
      <c r="BT975" s="112"/>
      <c r="BU975" s="112"/>
      <c r="BV975" s="112"/>
      <c r="BW975" s="112"/>
      <c r="BX975" s="112"/>
      <c r="BY975" s="112"/>
      <c r="BZ975" s="112"/>
    </row>
    <row r="976" spans="30:78" x14ac:dyDescent="0.2">
      <c r="AD976" s="112"/>
      <c r="AE976" s="112"/>
      <c r="AF976" s="112"/>
      <c r="AG976" s="112"/>
      <c r="AH976" s="112"/>
      <c r="AI976" s="112"/>
      <c r="AJ976" s="112"/>
      <c r="AK976" s="112"/>
      <c r="AL976" s="112"/>
      <c r="AM976" s="112"/>
      <c r="AN976" s="112"/>
      <c r="AO976" s="112"/>
      <c r="AP976" s="112"/>
      <c r="AQ976" s="112"/>
      <c r="AR976" s="112"/>
      <c r="AS976" s="112"/>
      <c r="AT976" s="112"/>
      <c r="AU976" s="112"/>
      <c r="AV976" s="112"/>
      <c r="AW976" s="112"/>
      <c r="AX976" s="112"/>
      <c r="AY976" s="112"/>
      <c r="AZ976" s="112"/>
      <c r="BA976" s="112"/>
      <c r="BB976" s="112"/>
      <c r="BC976" s="112"/>
      <c r="BD976" s="112"/>
      <c r="BE976" s="112"/>
      <c r="BF976" s="112"/>
      <c r="BG976" s="112"/>
      <c r="BH976" s="112"/>
      <c r="BI976" s="112"/>
      <c r="BJ976" s="112"/>
      <c r="BK976" s="112"/>
      <c r="BL976" s="112"/>
      <c r="BM976" s="112"/>
      <c r="BN976" s="112"/>
      <c r="BO976" s="112"/>
      <c r="BP976" s="112"/>
      <c r="BQ976" s="112"/>
      <c r="BR976" s="112"/>
      <c r="BS976" s="112"/>
      <c r="BT976" s="112"/>
      <c r="BU976" s="112"/>
      <c r="BV976" s="112"/>
      <c r="BW976" s="112"/>
      <c r="BX976" s="112"/>
      <c r="BY976" s="112"/>
      <c r="BZ976" s="112"/>
    </row>
    <row r="977" spans="30:78" x14ac:dyDescent="0.2">
      <c r="AD977" s="112"/>
      <c r="AE977" s="112"/>
      <c r="AF977" s="112"/>
      <c r="AG977" s="112"/>
      <c r="AH977" s="112"/>
      <c r="AI977" s="112"/>
      <c r="AJ977" s="112"/>
      <c r="AK977" s="112"/>
      <c r="AL977" s="112"/>
      <c r="AM977" s="112"/>
      <c r="AN977" s="112"/>
      <c r="AO977" s="112"/>
      <c r="AP977" s="112"/>
      <c r="AQ977" s="112"/>
      <c r="AR977" s="112"/>
      <c r="AS977" s="112"/>
      <c r="AT977" s="112"/>
      <c r="AU977" s="112"/>
      <c r="AV977" s="112"/>
      <c r="AW977" s="112"/>
      <c r="AX977" s="112"/>
      <c r="AY977" s="112"/>
      <c r="AZ977" s="112"/>
      <c r="BA977" s="112"/>
      <c r="BB977" s="112"/>
      <c r="BC977" s="112"/>
      <c r="BD977" s="112"/>
      <c r="BE977" s="112"/>
      <c r="BF977" s="112"/>
      <c r="BG977" s="112"/>
      <c r="BH977" s="112"/>
      <c r="BI977" s="112"/>
      <c r="BJ977" s="112"/>
      <c r="BK977" s="112"/>
      <c r="BL977" s="112"/>
      <c r="BM977" s="112"/>
      <c r="BN977" s="112"/>
      <c r="BO977" s="112"/>
      <c r="BP977" s="112"/>
      <c r="BQ977" s="112"/>
      <c r="BR977" s="112"/>
      <c r="BS977" s="112"/>
      <c r="BT977" s="112"/>
      <c r="BU977" s="112"/>
      <c r="BV977" s="112"/>
      <c r="BW977" s="112"/>
      <c r="BX977" s="112"/>
      <c r="BY977" s="112"/>
      <c r="BZ977" s="112"/>
    </row>
    <row r="978" spans="30:78" x14ac:dyDescent="0.2">
      <c r="AD978" s="112"/>
      <c r="AE978" s="112"/>
      <c r="AF978" s="112"/>
      <c r="AG978" s="112"/>
      <c r="AH978" s="112"/>
      <c r="AI978" s="112"/>
      <c r="AJ978" s="112"/>
      <c r="AK978" s="112"/>
      <c r="AL978" s="112"/>
      <c r="AM978" s="112"/>
      <c r="AN978" s="112"/>
      <c r="AO978" s="112"/>
      <c r="AP978" s="112"/>
      <c r="AQ978" s="112"/>
      <c r="AR978" s="112"/>
      <c r="AS978" s="112"/>
      <c r="AT978" s="112"/>
      <c r="AU978" s="112"/>
      <c r="AV978" s="112"/>
      <c r="AW978" s="112"/>
      <c r="AX978" s="112"/>
      <c r="AY978" s="112"/>
      <c r="AZ978" s="112"/>
      <c r="BA978" s="112"/>
      <c r="BB978" s="112"/>
      <c r="BC978" s="112"/>
      <c r="BD978" s="112"/>
      <c r="BE978" s="112"/>
      <c r="BF978" s="112"/>
      <c r="BG978" s="112"/>
      <c r="BH978" s="112"/>
      <c r="BI978" s="112"/>
      <c r="BJ978" s="112"/>
      <c r="BK978" s="112"/>
      <c r="BL978" s="112"/>
      <c r="BM978" s="112"/>
      <c r="BN978" s="112"/>
      <c r="BO978" s="112"/>
      <c r="BP978" s="112"/>
      <c r="BQ978" s="112"/>
      <c r="BR978" s="112"/>
      <c r="BS978" s="112"/>
      <c r="BT978" s="112"/>
      <c r="BU978" s="112"/>
      <c r="BV978" s="112"/>
      <c r="BW978" s="112"/>
      <c r="BX978" s="112"/>
      <c r="BY978" s="112"/>
      <c r="BZ978" s="112"/>
    </row>
    <row r="979" spans="30:78" x14ac:dyDescent="0.2">
      <c r="AD979" s="112"/>
      <c r="AE979" s="112"/>
      <c r="AF979" s="112"/>
      <c r="AG979" s="112"/>
      <c r="AH979" s="112"/>
      <c r="AI979" s="112"/>
      <c r="AJ979" s="112"/>
      <c r="AK979" s="112"/>
      <c r="AL979" s="112"/>
      <c r="AM979" s="112"/>
      <c r="AN979" s="112"/>
      <c r="AO979" s="112"/>
      <c r="AP979" s="112"/>
      <c r="AQ979" s="112"/>
      <c r="AR979" s="112"/>
      <c r="AS979" s="112"/>
      <c r="AT979" s="112"/>
      <c r="AU979" s="112"/>
      <c r="AV979" s="112"/>
      <c r="AW979" s="112"/>
      <c r="AX979" s="112"/>
      <c r="AY979" s="112"/>
      <c r="AZ979" s="112"/>
      <c r="BA979" s="112"/>
      <c r="BB979" s="112"/>
      <c r="BC979" s="112"/>
      <c r="BD979" s="112"/>
      <c r="BE979" s="112"/>
      <c r="BF979" s="112"/>
      <c r="BG979" s="112"/>
      <c r="BH979" s="112"/>
      <c r="BI979" s="112"/>
      <c r="BJ979" s="112"/>
      <c r="BK979" s="112"/>
      <c r="BL979" s="112"/>
      <c r="BM979" s="112"/>
      <c r="BN979" s="112"/>
      <c r="BO979" s="112"/>
      <c r="BP979" s="112"/>
      <c r="BQ979" s="112"/>
      <c r="BR979" s="112"/>
      <c r="BS979" s="112"/>
      <c r="BT979" s="112"/>
      <c r="BU979" s="112"/>
      <c r="BV979" s="112"/>
      <c r="BW979" s="112"/>
      <c r="BX979" s="112"/>
      <c r="BY979" s="112"/>
      <c r="BZ979" s="112"/>
    </row>
    <row r="980" spans="30:78" x14ac:dyDescent="0.2">
      <c r="AD980" s="112"/>
      <c r="AE980" s="112"/>
      <c r="AF980" s="112"/>
      <c r="AG980" s="112"/>
      <c r="AH980" s="112"/>
      <c r="AI980" s="112"/>
      <c r="AJ980" s="112"/>
      <c r="AK980" s="112"/>
      <c r="AL980" s="112"/>
      <c r="AM980" s="112"/>
      <c r="AN980" s="112"/>
      <c r="AO980" s="112"/>
      <c r="AP980" s="112"/>
      <c r="AQ980" s="112"/>
      <c r="AR980" s="112"/>
      <c r="AS980" s="112"/>
      <c r="AT980" s="112"/>
      <c r="AU980" s="112"/>
      <c r="AV980" s="112"/>
      <c r="AW980" s="112"/>
      <c r="AX980" s="112"/>
      <c r="AY980" s="112"/>
      <c r="AZ980" s="112"/>
      <c r="BA980" s="112"/>
      <c r="BB980" s="112"/>
      <c r="BC980" s="112"/>
      <c r="BD980" s="112"/>
      <c r="BE980" s="112"/>
      <c r="BF980" s="112"/>
      <c r="BG980" s="112"/>
      <c r="BH980" s="112"/>
      <c r="BI980" s="112"/>
      <c r="BJ980" s="112"/>
      <c r="BK980" s="112"/>
      <c r="BL980" s="112"/>
      <c r="BM980" s="112"/>
      <c r="BN980" s="112"/>
      <c r="BO980" s="112"/>
      <c r="BP980" s="112"/>
      <c r="BQ980" s="112"/>
      <c r="BR980" s="112"/>
      <c r="BS980" s="112"/>
      <c r="BT980" s="112"/>
      <c r="BU980" s="112"/>
      <c r="BV980" s="112"/>
      <c r="BW980" s="112"/>
      <c r="BX980" s="112"/>
      <c r="BY980" s="112"/>
      <c r="BZ980" s="112"/>
    </row>
    <row r="981" spans="30:78" x14ac:dyDescent="0.2">
      <c r="AD981" s="112"/>
      <c r="AE981" s="112"/>
      <c r="AF981" s="112"/>
      <c r="AG981" s="112"/>
      <c r="AH981" s="112"/>
      <c r="AI981" s="112"/>
      <c r="AJ981" s="112"/>
      <c r="AK981" s="112"/>
      <c r="AL981" s="112"/>
      <c r="AM981" s="112"/>
      <c r="AN981" s="112"/>
      <c r="AO981" s="112"/>
      <c r="AP981" s="112"/>
      <c r="AQ981" s="112"/>
      <c r="AR981" s="112"/>
      <c r="AS981" s="112"/>
      <c r="AT981" s="112"/>
      <c r="AU981" s="112"/>
      <c r="AV981" s="112"/>
      <c r="AW981" s="112"/>
      <c r="AX981" s="112"/>
      <c r="AY981" s="112"/>
      <c r="AZ981" s="112"/>
      <c r="BA981" s="112"/>
      <c r="BB981" s="112"/>
      <c r="BC981" s="112"/>
      <c r="BD981" s="112"/>
      <c r="BE981" s="112"/>
      <c r="BF981" s="112"/>
      <c r="BG981" s="112"/>
      <c r="BH981" s="112"/>
      <c r="BI981" s="112"/>
      <c r="BJ981" s="112"/>
      <c r="BK981" s="112"/>
      <c r="BL981" s="112"/>
      <c r="BM981" s="112"/>
      <c r="BN981" s="112"/>
      <c r="BO981" s="112"/>
      <c r="BP981" s="112"/>
      <c r="BQ981" s="112"/>
      <c r="BR981" s="112"/>
      <c r="BS981" s="112"/>
      <c r="BT981" s="112"/>
      <c r="BU981" s="112"/>
      <c r="BV981" s="112"/>
      <c r="BW981" s="112"/>
      <c r="BX981" s="112"/>
      <c r="BY981" s="112"/>
      <c r="BZ981" s="112"/>
    </row>
    <row r="982" spans="30:78" x14ac:dyDescent="0.2">
      <c r="AD982" s="112"/>
      <c r="AE982" s="112"/>
      <c r="AF982" s="112"/>
      <c r="AG982" s="112"/>
      <c r="AH982" s="112"/>
      <c r="AI982" s="112"/>
      <c r="AJ982" s="112"/>
      <c r="AK982" s="112"/>
      <c r="AL982" s="112"/>
      <c r="AM982" s="112"/>
      <c r="AN982" s="112"/>
      <c r="AO982" s="112"/>
      <c r="AP982" s="112"/>
      <c r="AQ982" s="112"/>
      <c r="AR982" s="112"/>
      <c r="AS982" s="112"/>
      <c r="AT982" s="112"/>
      <c r="AU982" s="112"/>
      <c r="AV982" s="112"/>
      <c r="AW982" s="112"/>
      <c r="AX982" s="112"/>
      <c r="AY982" s="112"/>
      <c r="AZ982" s="112"/>
      <c r="BA982" s="112"/>
      <c r="BB982" s="112"/>
      <c r="BC982" s="112"/>
      <c r="BD982" s="112"/>
      <c r="BE982" s="112"/>
      <c r="BF982" s="112"/>
      <c r="BG982" s="112"/>
      <c r="BH982" s="112"/>
      <c r="BI982" s="112"/>
      <c r="BJ982" s="112"/>
      <c r="BK982" s="112"/>
      <c r="BL982" s="112"/>
      <c r="BM982" s="112"/>
      <c r="BN982" s="112"/>
      <c r="BO982" s="112"/>
      <c r="BP982" s="112"/>
      <c r="BQ982" s="112"/>
      <c r="BR982" s="112"/>
      <c r="BS982" s="112"/>
      <c r="BT982" s="112"/>
      <c r="BU982" s="112"/>
      <c r="BV982" s="112"/>
      <c r="BW982" s="112"/>
      <c r="BX982" s="112"/>
      <c r="BY982" s="112"/>
      <c r="BZ982" s="112"/>
    </row>
    <row r="983" spans="30:78" x14ac:dyDescent="0.2">
      <c r="AD983" s="112"/>
      <c r="AE983" s="112"/>
      <c r="AF983" s="112"/>
      <c r="AG983" s="112"/>
      <c r="AH983" s="112"/>
      <c r="AI983" s="112"/>
      <c r="AJ983" s="112"/>
      <c r="AK983" s="112"/>
      <c r="AL983" s="112"/>
      <c r="AM983" s="112"/>
      <c r="AN983" s="112"/>
      <c r="AO983" s="112"/>
      <c r="AP983" s="112"/>
      <c r="AQ983" s="112"/>
      <c r="AR983" s="112"/>
      <c r="AS983" s="112"/>
      <c r="AT983" s="112"/>
      <c r="AU983" s="112"/>
      <c r="AV983" s="112"/>
      <c r="AW983" s="112"/>
      <c r="AX983" s="112"/>
      <c r="AY983" s="112"/>
      <c r="AZ983" s="112"/>
      <c r="BA983" s="112"/>
      <c r="BB983" s="112"/>
      <c r="BC983" s="112"/>
      <c r="BD983" s="112"/>
      <c r="BE983" s="112"/>
      <c r="BF983" s="112"/>
      <c r="BG983" s="112"/>
      <c r="BH983" s="112"/>
      <c r="BI983" s="112"/>
      <c r="BJ983" s="112"/>
      <c r="BK983" s="112"/>
      <c r="BL983" s="112"/>
      <c r="BM983" s="112"/>
      <c r="BN983" s="112"/>
      <c r="BO983" s="112"/>
      <c r="BP983" s="112"/>
      <c r="BQ983" s="112"/>
      <c r="BR983" s="112"/>
      <c r="BS983" s="112"/>
      <c r="BT983" s="112"/>
      <c r="BU983" s="112"/>
      <c r="BV983" s="112"/>
      <c r="BW983" s="112"/>
      <c r="BX983" s="112"/>
      <c r="BY983" s="112"/>
      <c r="BZ983" s="112"/>
    </row>
    <row r="984" spans="30:78" x14ac:dyDescent="0.2">
      <c r="AD984" s="112"/>
      <c r="AE984" s="112"/>
      <c r="AF984" s="112"/>
      <c r="AG984" s="112"/>
      <c r="AH984" s="112"/>
      <c r="AI984" s="112"/>
      <c r="AJ984" s="112"/>
      <c r="AK984" s="112"/>
      <c r="AL984" s="112"/>
      <c r="AM984" s="112"/>
      <c r="AN984" s="112"/>
      <c r="AO984" s="112"/>
      <c r="AP984" s="112"/>
      <c r="AQ984" s="112"/>
      <c r="AR984" s="112"/>
      <c r="AS984" s="112"/>
      <c r="AT984" s="112"/>
      <c r="AU984" s="112"/>
      <c r="AV984" s="112"/>
      <c r="AW984" s="112"/>
      <c r="AX984" s="112"/>
      <c r="AY984" s="112"/>
      <c r="AZ984" s="112"/>
      <c r="BA984" s="112"/>
      <c r="BB984" s="112"/>
      <c r="BC984" s="112"/>
      <c r="BD984" s="112"/>
      <c r="BE984" s="112"/>
      <c r="BF984" s="112"/>
      <c r="BG984" s="112"/>
      <c r="BH984" s="112"/>
      <c r="BI984" s="112"/>
      <c r="BJ984" s="112"/>
      <c r="BK984" s="112"/>
      <c r="BL984" s="112"/>
      <c r="BM984" s="112"/>
      <c r="BN984" s="112"/>
      <c r="BO984" s="112"/>
      <c r="BP984" s="112"/>
      <c r="BQ984" s="112"/>
      <c r="BR984" s="112"/>
      <c r="BS984" s="112"/>
      <c r="BT984" s="112"/>
      <c r="BU984" s="112"/>
      <c r="BV984" s="112"/>
      <c r="BW984" s="112"/>
      <c r="BX984" s="112"/>
      <c r="BY984" s="112"/>
      <c r="BZ984" s="112"/>
    </row>
    <row r="985" spans="30:78" x14ac:dyDescent="0.2">
      <c r="AD985" s="112"/>
      <c r="AE985" s="112"/>
      <c r="AF985" s="112"/>
      <c r="AG985" s="112"/>
      <c r="AH985" s="112"/>
      <c r="AI985" s="112"/>
      <c r="AJ985" s="112"/>
      <c r="AK985" s="112"/>
      <c r="AL985" s="112"/>
      <c r="AM985" s="112"/>
      <c r="AN985" s="112"/>
      <c r="AO985" s="112"/>
      <c r="AP985" s="112"/>
      <c r="AQ985" s="112"/>
      <c r="AR985" s="112"/>
      <c r="AS985" s="112"/>
      <c r="AT985" s="112"/>
      <c r="AU985" s="112"/>
      <c r="AV985" s="112"/>
      <c r="AW985" s="112"/>
      <c r="AX985" s="112"/>
      <c r="AY985" s="112"/>
      <c r="AZ985" s="112"/>
      <c r="BA985" s="112"/>
      <c r="BB985" s="112"/>
      <c r="BC985" s="112"/>
      <c r="BD985" s="112"/>
      <c r="BE985" s="112"/>
      <c r="BF985" s="112"/>
      <c r="BG985" s="112"/>
      <c r="BH985" s="112"/>
      <c r="BI985" s="112"/>
      <c r="BJ985" s="112"/>
      <c r="BK985" s="112"/>
      <c r="BL985" s="112"/>
      <c r="BM985" s="112"/>
      <c r="BN985" s="112"/>
      <c r="BO985" s="112"/>
      <c r="BP985" s="112"/>
      <c r="BQ985" s="112"/>
      <c r="BR985" s="112"/>
      <c r="BS985" s="112"/>
      <c r="BT985" s="112"/>
      <c r="BU985" s="112"/>
      <c r="BV985" s="112"/>
      <c r="BW985" s="112"/>
      <c r="BX985" s="112"/>
      <c r="BY985" s="112"/>
      <c r="BZ985" s="112"/>
    </row>
    <row r="986" spans="30:78" x14ac:dyDescent="0.2">
      <c r="AD986" s="112"/>
      <c r="AE986" s="112"/>
      <c r="AF986" s="112"/>
      <c r="AG986" s="112"/>
      <c r="AH986" s="112"/>
      <c r="AI986" s="112"/>
      <c r="AJ986" s="112"/>
      <c r="AK986" s="112"/>
      <c r="AL986" s="112"/>
      <c r="AM986" s="112"/>
      <c r="AN986" s="112"/>
      <c r="AO986" s="112"/>
      <c r="AP986" s="112"/>
      <c r="AQ986" s="112"/>
      <c r="AR986" s="112"/>
      <c r="AS986" s="112"/>
      <c r="AT986" s="112"/>
      <c r="AU986" s="112"/>
      <c r="AV986" s="112"/>
      <c r="AW986" s="112"/>
      <c r="AX986" s="112"/>
      <c r="AY986" s="112"/>
      <c r="AZ986" s="112"/>
      <c r="BA986" s="112"/>
      <c r="BB986" s="112"/>
      <c r="BC986" s="112"/>
      <c r="BD986" s="112"/>
      <c r="BE986" s="112"/>
      <c r="BF986" s="112"/>
      <c r="BG986" s="112"/>
      <c r="BH986" s="112"/>
      <c r="BI986" s="112"/>
      <c r="BJ986" s="112"/>
      <c r="BK986" s="112"/>
      <c r="BL986" s="112"/>
      <c r="BM986" s="112"/>
      <c r="BN986" s="112"/>
      <c r="BO986" s="112"/>
      <c r="BP986" s="112"/>
      <c r="BQ986" s="112"/>
      <c r="BR986" s="112"/>
      <c r="BS986" s="112"/>
      <c r="BT986" s="112"/>
      <c r="BU986" s="112"/>
      <c r="BV986" s="112"/>
      <c r="BW986" s="112"/>
      <c r="BX986" s="112"/>
      <c r="BY986" s="112"/>
      <c r="BZ986" s="112"/>
    </row>
    <row r="987" spans="30:78" x14ac:dyDescent="0.2">
      <c r="AD987" s="112"/>
      <c r="AE987" s="112"/>
      <c r="AF987" s="112"/>
      <c r="AG987" s="112"/>
      <c r="AH987" s="112"/>
      <c r="AI987" s="112"/>
      <c r="AJ987" s="112"/>
      <c r="AK987" s="112"/>
      <c r="AL987" s="112"/>
      <c r="AM987" s="112"/>
      <c r="AN987" s="112"/>
      <c r="AO987" s="112"/>
      <c r="AP987" s="112"/>
      <c r="AQ987" s="112"/>
      <c r="AR987" s="112"/>
      <c r="AS987" s="112"/>
      <c r="AT987" s="112"/>
      <c r="AU987" s="112"/>
      <c r="AV987" s="112"/>
      <c r="AW987" s="112"/>
      <c r="AX987" s="112"/>
      <c r="AY987" s="112"/>
      <c r="AZ987" s="112"/>
      <c r="BA987" s="112"/>
      <c r="BB987" s="112"/>
      <c r="BC987" s="112"/>
      <c r="BD987" s="112"/>
      <c r="BE987" s="112"/>
      <c r="BF987" s="112"/>
      <c r="BG987" s="112"/>
      <c r="BH987" s="112"/>
      <c r="BI987" s="112"/>
      <c r="BJ987" s="112"/>
      <c r="BK987" s="112"/>
      <c r="BL987" s="112"/>
      <c r="BM987" s="112"/>
      <c r="BN987" s="112"/>
      <c r="BO987" s="112"/>
      <c r="BP987" s="112"/>
      <c r="BQ987" s="112"/>
      <c r="BR987" s="112"/>
      <c r="BS987" s="112"/>
      <c r="BT987" s="112"/>
      <c r="BU987" s="112"/>
      <c r="BV987" s="112"/>
      <c r="BW987" s="112"/>
      <c r="BX987" s="112"/>
      <c r="BY987" s="112"/>
      <c r="BZ987" s="112"/>
    </row>
    <row r="988" spans="30:78" x14ac:dyDescent="0.2">
      <c r="AD988" s="112"/>
      <c r="AE988" s="112"/>
      <c r="AF988" s="112"/>
      <c r="AG988" s="112"/>
      <c r="AH988" s="112"/>
      <c r="AI988" s="112"/>
      <c r="AJ988" s="112"/>
      <c r="AK988" s="112"/>
      <c r="AL988" s="112"/>
      <c r="AM988" s="112"/>
      <c r="AN988" s="112"/>
      <c r="AO988" s="112"/>
      <c r="AP988" s="112"/>
      <c r="AQ988" s="112"/>
      <c r="AR988" s="112"/>
      <c r="AS988" s="112"/>
      <c r="AT988" s="112"/>
      <c r="AU988" s="112"/>
      <c r="AV988" s="112"/>
      <c r="AW988" s="112"/>
      <c r="AX988" s="112"/>
      <c r="AY988" s="112"/>
      <c r="AZ988" s="112"/>
      <c r="BA988" s="112"/>
      <c r="BB988" s="112"/>
      <c r="BC988" s="112"/>
      <c r="BD988" s="112"/>
      <c r="BE988" s="112"/>
      <c r="BF988" s="112"/>
      <c r="BG988" s="112"/>
      <c r="BH988" s="112"/>
      <c r="BI988" s="112"/>
      <c r="BJ988" s="112"/>
      <c r="BK988" s="112"/>
      <c r="BL988" s="112"/>
      <c r="BM988" s="112"/>
      <c r="BN988" s="112"/>
      <c r="BO988" s="112"/>
      <c r="BP988" s="112"/>
      <c r="BQ988" s="112"/>
      <c r="BR988" s="112"/>
      <c r="BS988" s="112"/>
      <c r="BT988" s="112"/>
      <c r="BU988" s="112"/>
      <c r="BV988" s="112"/>
      <c r="BW988" s="112"/>
      <c r="BX988" s="112"/>
      <c r="BY988" s="112"/>
      <c r="BZ988" s="112"/>
    </row>
    <row r="989" spans="30:78" x14ac:dyDescent="0.2">
      <c r="AD989" s="112"/>
      <c r="AE989" s="112"/>
      <c r="AF989" s="112"/>
      <c r="AG989" s="112"/>
      <c r="AH989" s="112"/>
      <c r="AI989" s="112"/>
      <c r="AJ989" s="112"/>
      <c r="AK989" s="112"/>
      <c r="AL989" s="112"/>
      <c r="AM989" s="112"/>
      <c r="AN989" s="112"/>
      <c r="AO989" s="112"/>
      <c r="AP989" s="112"/>
      <c r="AQ989" s="112"/>
      <c r="AR989" s="112"/>
      <c r="AS989" s="112"/>
      <c r="AT989" s="112"/>
      <c r="AU989" s="112"/>
      <c r="AV989" s="112"/>
      <c r="AW989" s="112"/>
      <c r="AX989" s="112"/>
      <c r="AY989" s="112"/>
      <c r="AZ989" s="112"/>
      <c r="BA989" s="112"/>
      <c r="BB989" s="112"/>
      <c r="BC989" s="112"/>
      <c r="BD989" s="112"/>
      <c r="BE989" s="112"/>
      <c r="BF989" s="112"/>
      <c r="BG989" s="112"/>
      <c r="BH989" s="112"/>
      <c r="BI989" s="112"/>
      <c r="BJ989" s="112"/>
      <c r="BK989" s="112"/>
      <c r="BL989" s="112"/>
      <c r="BM989" s="112"/>
      <c r="BN989" s="112"/>
      <c r="BO989" s="112"/>
      <c r="BP989" s="112"/>
      <c r="BQ989" s="112"/>
      <c r="BR989" s="112"/>
      <c r="BS989" s="112"/>
      <c r="BT989" s="112"/>
      <c r="BU989" s="112"/>
      <c r="BV989" s="112"/>
      <c r="BW989" s="112"/>
      <c r="BX989" s="112"/>
      <c r="BY989" s="112"/>
      <c r="BZ989" s="112"/>
    </row>
    <row r="990" spans="30:78" x14ac:dyDescent="0.2">
      <c r="AD990" s="112"/>
      <c r="AE990" s="112"/>
      <c r="AF990" s="112"/>
      <c r="AG990" s="112"/>
      <c r="AH990" s="112"/>
      <c r="AI990" s="112"/>
      <c r="AJ990" s="112"/>
      <c r="AK990" s="112"/>
      <c r="AL990" s="112"/>
      <c r="AM990" s="112"/>
      <c r="AN990" s="112"/>
      <c r="AO990" s="112"/>
      <c r="AP990" s="112"/>
      <c r="AQ990" s="112"/>
      <c r="AR990" s="112"/>
      <c r="AS990" s="112"/>
      <c r="AT990" s="112"/>
      <c r="AU990" s="112"/>
      <c r="AV990" s="112"/>
      <c r="AW990" s="112"/>
      <c r="AX990" s="112"/>
      <c r="AY990" s="112"/>
      <c r="AZ990" s="112"/>
      <c r="BA990" s="112"/>
      <c r="BB990" s="112"/>
      <c r="BC990" s="112"/>
      <c r="BD990" s="112"/>
      <c r="BE990" s="112"/>
      <c r="BF990" s="112"/>
      <c r="BG990" s="112"/>
      <c r="BH990" s="112"/>
      <c r="BI990" s="112"/>
      <c r="BJ990" s="112"/>
      <c r="BK990" s="112"/>
      <c r="BL990" s="112"/>
      <c r="BM990" s="112"/>
      <c r="BN990" s="112"/>
      <c r="BO990" s="112"/>
      <c r="BP990" s="112"/>
      <c r="BQ990" s="112"/>
      <c r="BR990" s="112"/>
      <c r="BS990" s="112"/>
      <c r="BT990" s="112"/>
      <c r="BU990" s="112"/>
      <c r="BV990" s="112"/>
      <c r="BW990" s="112"/>
      <c r="BX990" s="112"/>
      <c r="BY990" s="112"/>
      <c r="BZ990" s="112"/>
    </row>
    <row r="991" spans="30:78" x14ac:dyDescent="0.2">
      <c r="AD991" s="112"/>
      <c r="AE991" s="112"/>
      <c r="AF991" s="112"/>
      <c r="AG991" s="112"/>
      <c r="AH991" s="112"/>
      <c r="AI991" s="112"/>
      <c r="AJ991" s="112"/>
      <c r="AK991" s="112"/>
      <c r="AL991" s="112"/>
      <c r="AM991" s="112"/>
      <c r="AN991" s="112"/>
      <c r="AO991" s="112"/>
      <c r="AP991" s="112"/>
      <c r="AQ991" s="112"/>
      <c r="AR991" s="112"/>
      <c r="AS991" s="112"/>
      <c r="AT991" s="112"/>
      <c r="AU991" s="112"/>
      <c r="AV991" s="112"/>
      <c r="AW991" s="112"/>
      <c r="AX991" s="112"/>
      <c r="AY991" s="112"/>
      <c r="AZ991" s="112"/>
      <c r="BA991" s="112"/>
      <c r="BB991" s="112"/>
      <c r="BC991" s="112"/>
      <c r="BD991" s="112"/>
      <c r="BE991" s="112"/>
      <c r="BF991" s="112"/>
      <c r="BG991" s="112"/>
      <c r="BH991" s="112"/>
      <c r="BI991" s="112"/>
      <c r="BJ991" s="112"/>
      <c r="BK991" s="112"/>
      <c r="BL991" s="112"/>
      <c r="BM991" s="112"/>
      <c r="BN991" s="112"/>
      <c r="BO991" s="112"/>
      <c r="BP991" s="112"/>
      <c r="BQ991" s="112"/>
      <c r="BR991" s="112"/>
      <c r="BS991" s="112"/>
      <c r="BT991" s="112"/>
      <c r="BU991" s="112"/>
      <c r="BV991" s="112"/>
      <c r="BW991" s="112"/>
      <c r="BX991" s="112"/>
      <c r="BY991" s="112"/>
      <c r="BZ991" s="112"/>
    </row>
    <row r="992" spans="30:78" x14ac:dyDescent="0.2">
      <c r="AD992" s="112"/>
      <c r="AE992" s="112"/>
      <c r="AF992" s="112"/>
      <c r="AG992" s="112"/>
      <c r="AH992" s="112"/>
      <c r="AI992" s="112"/>
      <c r="AJ992" s="112"/>
      <c r="AK992" s="112"/>
      <c r="AL992" s="112"/>
      <c r="AM992" s="112"/>
      <c r="AN992" s="112"/>
      <c r="AO992" s="112"/>
      <c r="AP992" s="112"/>
      <c r="AQ992" s="112"/>
      <c r="AR992" s="112"/>
      <c r="AS992" s="112"/>
      <c r="AT992" s="112"/>
      <c r="AU992" s="112"/>
      <c r="AV992" s="112"/>
      <c r="AW992" s="112"/>
      <c r="AX992" s="112"/>
      <c r="AY992" s="112"/>
      <c r="AZ992" s="112"/>
      <c r="BA992" s="112"/>
      <c r="BB992" s="112"/>
      <c r="BC992" s="112"/>
      <c r="BD992" s="112"/>
      <c r="BE992" s="112"/>
      <c r="BF992" s="112"/>
      <c r="BG992" s="112"/>
      <c r="BH992" s="112"/>
      <c r="BI992" s="112"/>
      <c r="BJ992" s="112"/>
      <c r="BK992" s="112"/>
      <c r="BL992" s="112"/>
      <c r="BM992" s="112"/>
      <c r="BN992" s="112"/>
      <c r="BO992" s="112"/>
      <c r="BP992" s="112"/>
      <c r="BQ992" s="112"/>
      <c r="BR992" s="112"/>
      <c r="BS992" s="112"/>
      <c r="BT992" s="112"/>
      <c r="BU992" s="112"/>
      <c r="BV992" s="112"/>
      <c r="BW992" s="112"/>
      <c r="BX992" s="112"/>
      <c r="BY992" s="112"/>
      <c r="BZ992" s="112"/>
    </row>
    <row r="993" spans="30:78" x14ac:dyDescent="0.2">
      <c r="AD993" s="112"/>
      <c r="AE993" s="112"/>
      <c r="AF993" s="112"/>
      <c r="AG993" s="112"/>
      <c r="AH993" s="112"/>
      <c r="AI993" s="112"/>
      <c r="AJ993" s="112"/>
      <c r="AK993" s="112"/>
      <c r="AL993" s="112"/>
      <c r="AM993" s="112"/>
      <c r="AN993" s="112"/>
      <c r="AO993" s="112"/>
      <c r="AP993" s="112"/>
      <c r="AQ993" s="112"/>
      <c r="AR993" s="112"/>
      <c r="AS993" s="112"/>
      <c r="AT993" s="112"/>
      <c r="AU993" s="112"/>
      <c r="AV993" s="112"/>
      <c r="AW993" s="112"/>
      <c r="AX993" s="112"/>
      <c r="AY993" s="112"/>
      <c r="AZ993" s="112"/>
      <c r="BA993" s="112"/>
      <c r="BB993" s="112"/>
      <c r="BC993" s="112"/>
      <c r="BD993" s="112"/>
      <c r="BE993" s="112"/>
      <c r="BF993" s="112"/>
      <c r="BG993" s="112"/>
      <c r="BH993" s="112"/>
      <c r="BI993" s="112"/>
      <c r="BJ993" s="112"/>
      <c r="BK993" s="112"/>
      <c r="BL993" s="112"/>
      <c r="BM993" s="112"/>
      <c r="BN993" s="112"/>
      <c r="BO993" s="112"/>
      <c r="BP993" s="112"/>
      <c r="BQ993" s="112"/>
      <c r="BR993" s="112"/>
      <c r="BS993" s="112"/>
      <c r="BT993" s="112"/>
      <c r="BU993" s="112"/>
      <c r="BV993" s="112"/>
      <c r="BW993" s="112"/>
      <c r="BX993" s="112"/>
      <c r="BY993" s="112"/>
      <c r="BZ993" s="112"/>
    </row>
    <row r="994" spans="30:78" x14ac:dyDescent="0.2">
      <c r="AD994" s="112"/>
      <c r="AE994" s="112"/>
      <c r="AF994" s="112"/>
      <c r="AG994" s="112"/>
      <c r="AH994" s="112"/>
      <c r="AI994" s="112"/>
      <c r="AJ994" s="112"/>
      <c r="AK994" s="112"/>
      <c r="AL994" s="112"/>
      <c r="AM994" s="112"/>
      <c r="AN994" s="112"/>
      <c r="AO994" s="112"/>
      <c r="AP994" s="112"/>
      <c r="AQ994" s="112"/>
      <c r="AR994" s="112"/>
      <c r="AS994" s="112"/>
      <c r="AT994" s="112"/>
      <c r="AU994" s="112"/>
      <c r="AV994" s="112"/>
      <c r="AW994" s="112"/>
      <c r="AX994" s="112"/>
      <c r="AY994" s="112"/>
      <c r="AZ994" s="112"/>
      <c r="BA994" s="112"/>
      <c r="BB994" s="112"/>
      <c r="BC994" s="112"/>
      <c r="BD994" s="112"/>
      <c r="BE994" s="112"/>
      <c r="BF994" s="112"/>
      <c r="BG994" s="112"/>
      <c r="BH994" s="112"/>
      <c r="BI994" s="112"/>
      <c r="BJ994" s="112"/>
      <c r="BK994" s="112"/>
      <c r="BL994" s="112"/>
      <c r="BM994" s="112"/>
      <c r="BN994" s="112"/>
      <c r="BO994" s="112"/>
      <c r="BP994" s="112"/>
      <c r="BQ994" s="112"/>
      <c r="BR994" s="112"/>
      <c r="BS994" s="112"/>
      <c r="BT994" s="112"/>
      <c r="BU994" s="112"/>
      <c r="BV994" s="112"/>
      <c r="BW994" s="112"/>
      <c r="BX994" s="112"/>
      <c r="BY994" s="112"/>
      <c r="BZ994" s="112"/>
    </row>
    <row r="995" spans="30:78" x14ac:dyDescent="0.2">
      <c r="AD995" s="112"/>
      <c r="AE995" s="112"/>
      <c r="AF995" s="112"/>
      <c r="AG995" s="112"/>
      <c r="AH995" s="112"/>
      <c r="AI995" s="112"/>
      <c r="AJ995" s="112"/>
      <c r="AK995" s="112"/>
      <c r="AL995" s="112"/>
      <c r="AM995" s="112"/>
      <c r="AN995" s="112"/>
      <c r="AO995" s="112"/>
      <c r="AP995" s="112"/>
      <c r="AQ995" s="112"/>
      <c r="AR995" s="112"/>
      <c r="AS995" s="112"/>
      <c r="AT995" s="112"/>
      <c r="AU995" s="112"/>
      <c r="AV995" s="112"/>
      <c r="AW995" s="112"/>
      <c r="AX995" s="112"/>
      <c r="AY995" s="112"/>
      <c r="AZ995" s="112"/>
      <c r="BA995" s="112"/>
      <c r="BB995" s="112"/>
      <c r="BC995" s="112"/>
      <c r="BD995" s="112"/>
      <c r="BE995" s="112"/>
      <c r="BF995" s="112"/>
      <c r="BG995" s="112"/>
      <c r="BH995" s="112"/>
      <c r="BI995" s="112"/>
      <c r="BJ995" s="112"/>
      <c r="BK995" s="112"/>
      <c r="BL995" s="112"/>
      <c r="BM995" s="112"/>
      <c r="BN995" s="112"/>
      <c r="BO995" s="112"/>
      <c r="BP995" s="112"/>
      <c r="BQ995" s="112"/>
      <c r="BR995" s="112"/>
      <c r="BS995" s="112"/>
      <c r="BT995" s="112"/>
      <c r="BU995" s="112"/>
      <c r="BV995" s="112"/>
      <c r="BW995" s="112"/>
      <c r="BX995" s="112"/>
      <c r="BY995" s="112"/>
      <c r="BZ995" s="112"/>
    </row>
    <row r="996" spans="30:78" x14ac:dyDescent="0.2">
      <c r="AD996" s="112"/>
      <c r="AE996" s="112"/>
      <c r="AF996" s="112"/>
      <c r="AG996" s="112"/>
      <c r="AH996" s="112"/>
      <c r="AI996" s="112"/>
      <c r="AJ996" s="112"/>
      <c r="AK996" s="112"/>
      <c r="AL996" s="112"/>
      <c r="AM996" s="112"/>
      <c r="AN996" s="112"/>
      <c r="AO996" s="112"/>
      <c r="AP996" s="112"/>
      <c r="AQ996" s="112"/>
      <c r="AR996" s="112"/>
      <c r="AS996" s="112"/>
      <c r="AT996" s="112"/>
      <c r="AU996" s="112"/>
      <c r="AV996" s="112"/>
      <c r="AW996" s="112"/>
      <c r="AX996" s="112"/>
      <c r="AY996" s="112"/>
      <c r="AZ996" s="112"/>
      <c r="BA996" s="112"/>
      <c r="BB996" s="112"/>
      <c r="BC996" s="112"/>
      <c r="BD996" s="112"/>
      <c r="BE996" s="112"/>
      <c r="BF996" s="112"/>
      <c r="BG996" s="112"/>
      <c r="BH996" s="112"/>
      <c r="BI996" s="112"/>
      <c r="BJ996" s="112"/>
      <c r="BK996" s="112"/>
      <c r="BL996" s="112"/>
      <c r="BM996" s="112"/>
      <c r="BN996" s="112"/>
      <c r="BO996" s="112"/>
      <c r="BP996" s="112"/>
      <c r="BQ996" s="112"/>
      <c r="BR996" s="112"/>
      <c r="BS996" s="112"/>
      <c r="BT996" s="112"/>
      <c r="BU996" s="112"/>
      <c r="BV996" s="112"/>
      <c r="BW996" s="112"/>
      <c r="BX996" s="112"/>
      <c r="BY996" s="112"/>
      <c r="BZ996" s="112"/>
    </row>
    <row r="997" spans="30:78" x14ac:dyDescent="0.2">
      <c r="AD997" s="112"/>
      <c r="AE997" s="112"/>
      <c r="AF997" s="112"/>
      <c r="AG997" s="112"/>
      <c r="AH997" s="112"/>
      <c r="AI997" s="112"/>
      <c r="AJ997" s="112"/>
      <c r="AK997" s="112"/>
      <c r="AL997" s="112"/>
      <c r="AM997" s="112"/>
      <c r="AN997" s="112"/>
      <c r="AO997" s="112"/>
      <c r="AP997" s="112"/>
      <c r="AQ997" s="112"/>
      <c r="AR997" s="112"/>
      <c r="AS997" s="112"/>
      <c r="AT997" s="112"/>
      <c r="AU997" s="112"/>
      <c r="AV997" s="112"/>
      <c r="AW997" s="112"/>
      <c r="AX997" s="112"/>
      <c r="AY997" s="112"/>
      <c r="AZ997" s="112"/>
      <c r="BA997" s="112"/>
      <c r="BB997" s="112"/>
      <c r="BC997" s="112"/>
      <c r="BD997" s="112"/>
      <c r="BE997" s="112"/>
      <c r="BF997" s="112"/>
      <c r="BG997" s="112"/>
      <c r="BH997" s="112"/>
      <c r="BI997" s="112"/>
      <c r="BJ997" s="112"/>
      <c r="BK997" s="112"/>
      <c r="BL997" s="112"/>
      <c r="BM997" s="112"/>
      <c r="BN997" s="112"/>
      <c r="BO997" s="112"/>
      <c r="BP997" s="112"/>
      <c r="BQ997" s="112"/>
      <c r="BR997" s="112"/>
      <c r="BS997" s="112"/>
      <c r="BT997" s="112"/>
      <c r="BU997" s="112"/>
      <c r="BV997" s="112"/>
      <c r="BW997" s="112"/>
      <c r="BX997" s="112"/>
      <c r="BY997" s="112"/>
      <c r="BZ997" s="112"/>
    </row>
    <row r="998" spans="30:78" x14ac:dyDescent="0.2">
      <c r="AD998" s="112"/>
      <c r="AE998" s="112"/>
      <c r="AF998" s="112"/>
      <c r="AG998" s="112"/>
      <c r="AH998" s="112"/>
      <c r="AI998" s="112"/>
      <c r="AJ998" s="112"/>
      <c r="AK998" s="112"/>
      <c r="AL998" s="112"/>
      <c r="AM998" s="112"/>
      <c r="AN998" s="112"/>
      <c r="AO998" s="112"/>
      <c r="AP998" s="112"/>
      <c r="AQ998" s="112"/>
      <c r="AR998" s="112"/>
      <c r="AS998" s="112"/>
      <c r="AT998" s="112"/>
      <c r="AU998" s="112"/>
      <c r="AV998" s="112"/>
      <c r="AW998" s="112"/>
      <c r="AX998" s="112"/>
      <c r="AY998" s="112"/>
      <c r="AZ998" s="112"/>
      <c r="BA998" s="112"/>
      <c r="BB998" s="112"/>
      <c r="BC998" s="112"/>
      <c r="BD998" s="112"/>
      <c r="BE998" s="112"/>
      <c r="BF998" s="112"/>
      <c r="BG998" s="112"/>
      <c r="BH998" s="112"/>
      <c r="BI998" s="112"/>
      <c r="BJ998" s="112"/>
      <c r="BK998" s="112"/>
      <c r="BL998" s="112"/>
      <c r="BM998" s="112"/>
      <c r="BN998" s="112"/>
      <c r="BO998" s="112"/>
      <c r="BP998" s="112"/>
      <c r="BQ998" s="112"/>
      <c r="BR998" s="112"/>
      <c r="BS998" s="112"/>
      <c r="BT998" s="112"/>
      <c r="BU998" s="112"/>
      <c r="BV998" s="112"/>
      <c r="BW998" s="112"/>
      <c r="BX998" s="112"/>
      <c r="BY998" s="112"/>
      <c r="BZ998" s="112"/>
    </row>
    <row r="999" spans="30:78" x14ac:dyDescent="0.2">
      <c r="AD999" s="112"/>
      <c r="AE999" s="112"/>
      <c r="AF999" s="112"/>
      <c r="AG999" s="112"/>
      <c r="AH999" s="112"/>
      <c r="AI999" s="112"/>
      <c r="AJ999" s="112"/>
      <c r="AK999" s="112"/>
      <c r="AL999" s="112"/>
      <c r="AM999" s="112"/>
      <c r="AN999" s="112"/>
      <c r="AO999" s="112"/>
      <c r="AP999" s="112"/>
      <c r="AQ999" s="112"/>
      <c r="AR999" s="112"/>
      <c r="AS999" s="112"/>
      <c r="AT999" s="112"/>
      <c r="AU999" s="112"/>
      <c r="AV999" s="112"/>
      <c r="AW999" s="112"/>
      <c r="AX999" s="112"/>
      <c r="AY999" s="112"/>
      <c r="AZ999" s="112"/>
      <c r="BA999" s="112"/>
      <c r="BB999" s="112"/>
      <c r="BC999" s="112"/>
      <c r="BD999" s="112"/>
      <c r="BE999" s="112"/>
      <c r="BF999" s="112"/>
      <c r="BG999" s="112"/>
      <c r="BH999" s="112"/>
      <c r="BI999" s="112"/>
      <c r="BJ999" s="112"/>
      <c r="BK999" s="112"/>
      <c r="BL999" s="112"/>
      <c r="BM999" s="112"/>
      <c r="BN999" s="112"/>
      <c r="BO999" s="112"/>
      <c r="BP999" s="112"/>
      <c r="BQ999" s="112"/>
      <c r="BR999" s="112"/>
      <c r="BS999" s="112"/>
      <c r="BT999" s="112"/>
      <c r="BU999" s="112"/>
      <c r="BV999" s="112"/>
      <c r="BW999" s="112"/>
      <c r="BX999" s="112"/>
      <c r="BY999" s="112"/>
      <c r="BZ999" s="112"/>
    </row>
    <row r="1000" spans="30:78" x14ac:dyDescent="0.2">
      <c r="AD1000" s="112"/>
      <c r="AE1000" s="112"/>
      <c r="AF1000" s="112"/>
      <c r="AG1000" s="112"/>
      <c r="AH1000" s="112"/>
      <c r="AI1000" s="112"/>
      <c r="AJ1000" s="112"/>
      <c r="AK1000" s="112"/>
      <c r="AL1000" s="112"/>
      <c r="AM1000" s="112"/>
      <c r="AN1000" s="112"/>
      <c r="AO1000" s="112"/>
      <c r="AP1000" s="112"/>
      <c r="AQ1000" s="112"/>
      <c r="AR1000" s="112"/>
      <c r="AS1000" s="112"/>
      <c r="AT1000" s="112"/>
      <c r="AU1000" s="112"/>
      <c r="AV1000" s="112"/>
      <c r="AW1000" s="112"/>
      <c r="AX1000" s="112"/>
      <c r="AY1000" s="112"/>
      <c r="AZ1000" s="112"/>
      <c r="BA1000" s="112"/>
      <c r="BB1000" s="112"/>
      <c r="BC1000" s="112"/>
      <c r="BD1000" s="112"/>
      <c r="BE1000" s="112"/>
      <c r="BF1000" s="112"/>
      <c r="BG1000" s="112"/>
      <c r="BH1000" s="112"/>
      <c r="BI1000" s="112"/>
      <c r="BJ1000" s="112"/>
      <c r="BK1000" s="112"/>
      <c r="BL1000" s="112"/>
      <c r="BM1000" s="112"/>
      <c r="BN1000" s="112"/>
      <c r="BO1000" s="112"/>
      <c r="BP1000" s="112"/>
      <c r="BQ1000" s="112"/>
      <c r="BR1000" s="112"/>
      <c r="BS1000" s="112"/>
      <c r="BT1000" s="112"/>
      <c r="BU1000" s="112"/>
      <c r="BV1000" s="112"/>
      <c r="BW1000" s="112"/>
      <c r="BX1000" s="112"/>
      <c r="BY1000" s="112"/>
      <c r="BZ1000" s="112"/>
    </row>
    <row r="1001" spans="30:78" x14ac:dyDescent="0.2">
      <c r="AD1001" s="112"/>
      <c r="AE1001" s="112"/>
      <c r="AF1001" s="112"/>
      <c r="AG1001" s="112"/>
      <c r="AH1001" s="112"/>
      <c r="AI1001" s="112"/>
      <c r="AJ1001" s="112"/>
      <c r="AK1001" s="112"/>
      <c r="AL1001" s="112"/>
      <c r="AM1001" s="112"/>
      <c r="AN1001" s="112"/>
      <c r="AO1001" s="112"/>
      <c r="AP1001" s="112"/>
      <c r="AQ1001" s="112"/>
      <c r="AR1001" s="112"/>
      <c r="AS1001" s="112"/>
      <c r="AT1001" s="112"/>
      <c r="AU1001" s="112"/>
      <c r="AV1001" s="112"/>
      <c r="AW1001" s="112"/>
      <c r="AX1001" s="112"/>
      <c r="AY1001" s="112"/>
      <c r="AZ1001" s="112"/>
      <c r="BA1001" s="112"/>
      <c r="BB1001" s="112"/>
      <c r="BC1001" s="112"/>
      <c r="BD1001" s="112"/>
      <c r="BE1001" s="112"/>
      <c r="BF1001" s="112"/>
      <c r="BG1001" s="112"/>
      <c r="BH1001" s="112"/>
      <c r="BI1001" s="112"/>
      <c r="BJ1001" s="112"/>
      <c r="BK1001" s="112"/>
      <c r="BL1001" s="112"/>
      <c r="BM1001" s="112"/>
      <c r="BN1001" s="112"/>
      <c r="BO1001" s="112"/>
      <c r="BP1001" s="112"/>
      <c r="BQ1001" s="112"/>
      <c r="BR1001" s="112"/>
      <c r="BS1001" s="112"/>
      <c r="BT1001" s="112"/>
      <c r="BU1001" s="112"/>
      <c r="BV1001" s="112"/>
      <c r="BW1001" s="112"/>
      <c r="BX1001" s="112"/>
      <c r="BY1001" s="112"/>
      <c r="BZ1001" s="112"/>
    </row>
    <row r="1002" spans="30:78" x14ac:dyDescent="0.2">
      <c r="AD1002" s="112"/>
      <c r="AE1002" s="112"/>
      <c r="AF1002" s="112"/>
      <c r="AG1002" s="112"/>
      <c r="AH1002" s="112"/>
      <c r="AI1002" s="112"/>
      <c r="AJ1002" s="112"/>
      <c r="AK1002" s="112"/>
      <c r="AL1002" s="112"/>
      <c r="AM1002" s="112"/>
      <c r="AN1002" s="112"/>
      <c r="AO1002" s="112"/>
      <c r="AP1002" s="112"/>
      <c r="AQ1002" s="112"/>
      <c r="AR1002" s="112"/>
      <c r="AS1002" s="112"/>
      <c r="AT1002" s="112"/>
      <c r="AU1002" s="112"/>
      <c r="AV1002" s="112"/>
      <c r="AW1002" s="112"/>
      <c r="AX1002" s="112"/>
      <c r="AY1002" s="112"/>
      <c r="AZ1002" s="112"/>
      <c r="BA1002" s="112"/>
      <c r="BB1002" s="112"/>
      <c r="BC1002" s="112"/>
      <c r="BD1002" s="112"/>
      <c r="BE1002" s="112"/>
      <c r="BF1002" s="112"/>
      <c r="BG1002" s="112"/>
      <c r="BH1002" s="112"/>
      <c r="BI1002" s="112"/>
      <c r="BJ1002" s="112"/>
      <c r="BK1002" s="112"/>
      <c r="BL1002" s="112"/>
      <c r="BM1002" s="112"/>
      <c r="BN1002" s="112"/>
      <c r="BO1002" s="112"/>
      <c r="BP1002" s="112"/>
      <c r="BQ1002" s="112"/>
      <c r="BR1002" s="112"/>
      <c r="BS1002" s="112"/>
      <c r="BT1002" s="112"/>
      <c r="BU1002" s="112"/>
      <c r="BV1002" s="112"/>
      <c r="BW1002" s="112"/>
      <c r="BX1002" s="112"/>
      <c r="BY1002" s="112"/>
      <c r="BZ1002" s="112"/>
    </row>
    <row r="1003" spans="30:78" x14ac:dyDescent="0.2">
      <c r="AD1003" s="112"/>
      <c r="AE1003" s="112"/>
      <c r="AF1003" s="112"/>
      <c r="AG1003" s="112"/>
      <c r="AH1003" s="112"/>
      <c r="AI1003" s="112"/>
      <c r="AJ1003" s="112"/>
      <c r="AK1003" s="112"/>
      <c r="AL1003" s="112"/>
      <c r="AM1003" s="112"/>
      <c r="AN1003" s="112"/>
      <c r="AO1003" s="112"/>
      <c r="AP1003" s="112"/>
      <c r="AQ1003" s="112"/>
      <c r="AR1003" s="112"/>
      <c r="AS1003" s="112"/>
      <c r="AT1003" s="112"/>
      <c r="AU1003" s="112"/>
      <c r="AV1003" s="112"/>
      <c r="AW1003" s="112"/>
      <c r="AX1003" s="112"/>
      <c r="AY1003" s="112"/>
      <c r="AZ1003" s="112"/>
      <c r="BA1003" s="112"/>
      <c r="BB1003" s="112"/>
      <c r="BC1003" s="112"/>
      <c r="BD1003" s="112"/>
      <c r="BE1003" s="112"/>
      <c r="BF1003" s="112"/>
      <c r="BG1003" s="112"/>
      <c r="BH1003" s="112"/>
      <c r="BI1003" s="112"/>
      <c r="BJ1003" s="112"/>
      <c r="BK1003" s="112"/>
      <c r="BL1003" s="112"/>
      <c r="BM1003" s="112"/>
      <c r="BN1003" s="112"/>
      <c r="BO1003" s="112"/>
      <c r="BP1003" s="112"/>
      <c r="BQ1003" s="112"/>
      <c r="BR1003" s="112"/>
      <c r="BS1003" s="112"/>
      <c r="BT1003" s="112"/>
      <c r="BU1003" s="112"/>
      <c r="BV1003" s="112"/>
      <c r="BW1003" s="112"/>
      <c r="BX1003" s="112"/>
      <c r="BY1003" s="112"/>
      <c r="BZ1003" s="112"/>
    </row>
    <row r="1004" spans="30:78" x14ac:dyDescent="0.2">
      <c r="AD1004" s="112"/>
      <c r="AE1004" s="112"/>
      <c r="AF1004" s="112"/>
      <c r="AG1004" s="112"/>
      <c r="AH1004" s="112"/>
      <c r="AI1004" s="112"/>
      <c r="AJ1004" s="112"/>
      <c r="AK1004" s="112"/>
      <c r="AL1004" s="112"/>
      <c r="AM1004" s="112"/>
      <c r="AN1004" s="112"/>
      <c r="AO1004" s="112"/>
      <c r="AP1004" s="112"/>
      <c r="AQ1004" s="112"/>
      <c r="AR1004" s="112"/>
      <c r="AS1004" s="112"/>
      <c r="AT1004" s="112"/>
      <c r="AU1004" s="112"/>
      <c r="AV1004" s="112"/>
      <c r="AW1004" s="112"/>
      <c r="AX1004" s="112"/>
      <c r="AY1004" s="112"/>
      <c r="AZ1004" s="112"/>
      <c r="BA1004" s="112"/>
      <c r="BB1004" s="112"/>
      <c r="BC1004" s="112"/>
      <c r="BD1004" s="112"/>
      <c r="BE1004" s="112"/>
      <c r="BF1004" s="112"/>
      <c r="BG1004" s="112"/>
      <c r="BH1004" s="112"/>
      <c r="BI1004" s="112"/>
      <c r="BJ1004" s="112"/>
      <c r="BK1004" s="112"/>
      <c r="BL1004" s="112"/>
      <c r="BM1004" s="112"/>
      <c r="BN1004" s="112"/>
      <c r="BO1004" s="112"/>
      <c r="BP1004" s="112"/>
      <c r="BQ1004" s="112"/>
      <c r="BR1004" s="112"/>
      <c r="BS1004" s="112"/>
      <c r="BT1004" s="112"/>
      <c r="BU1004" s="112"/>
      <c r="BV1004" s="112"/>
      <c r="BW1004" s="112"/>
      <c r="BX1004" s="112"/>
      <c r="BY1004" s="112"/>
      <c r="BZ1004" s="112"/>
    </row>
    <row r="1005" spans="30:78" x14ac:dyDescent="0.2">
      <c r="AD1005" s="112"/>
      <c r="AE1005" s="112"/>
      <c r="AF1005" s="112"/>
      <c r="AG1005" s="112"/>
      <c r="AH1005" s="112"/>
      <c r="AI1005" s="112"/>
      <c r="AJ1005" s="112"/>
      <c r="AK1005" s="112"/>
      <c r="AL1005" s="112"/>
      <c r="AM1005" s="112"/>
      <c r="AN1005" s="112"/>
      <c r="AO1005" s="112"/>
      <c r="AP1005" s="112"/>
      <c r="AQ1005" s="112"/>
      <c r="AR1005" s="112"/>
      <c r="AS1005" s="112"/>
      <c r="AT1005" s="112"/>
      <c r="AU1005" s="112"/>
      <c r="AV1005" s="112"/>
      <c r="AW1005" s="112"/>
      <c r="AX1005" s="112"/>
      <c r="AY1005" s="112"/>
      <c r="AZ1005" s="112"/>
      <c r="BA1005" s="112"/>
      <c r="BB1005" s="112"/>
      <c r="BC1005" s="112"/>
      <c r="BD1005" s="112"/>
      <c r="BE1005" s="112"/>
      <c r="BF1005" s="112"/>
      <c r="BG1005" s="112"/>
      <c r="BH1005" s="112"/>
      <c r="BI1005" s="112"/>
      <c r="BJ1005" s="112"/>
      <c r="BK1005" s="112"/>
      <c r="BL1005" s="112"/>
      <c r="BM1005" s="112"/>
      <c r="BN1005" s="112"/>
      <c r="BO1005" s="112"/>
      <c r="BP1005" s="112"/>
      <c r="BQ1005" s="112"/>
      <c r="BR1005" s="112"/>
      <c r="BS1005" s="112"/>
      <c r="BT1005" s="112"/>
      <c r="BU1005" s="112"/>
      <c r="BV1005" s="112"/>
      <c r="BW1005" s="112"/>
      <c r="BX1005" s="112"/>
      <c r="BY1005" s="112"/>
      <c r="BZ1005" s="112"/>
    </row>
    <row r="1006" spans="30:78" x14ac:dyDescent="0.2">
      <c r="AD1006" s="112"/>
      <c r="AE1006" s="112"/>
      <c r="AF1006" s="112"/>
      <c r="AG1006" s="112"/>
      <c r="AH1006" s="112"/>
      <c r="AI1006" s="112"/>
      <c r="AJ1006" s="112"/>
      <c r="AK1006" s="112"/>
      <c r="AL1006" s="112"/>
      <c r="AM1006" s="112"/>
      <c r="AN1006" s="112"/>
      <c r="AO1006" s="112"/>
      <c r="AP1006" s="112"/>
      <c r="AQ1006" s="112"/>
      <c r="AR1006" s="112"/>
      <c r="AS1006" s="112"/>
      <c r="AT1006" s="112"/>
      <c r="AU1006" s="112"/>
      <c r="AV1006" s="112"/>
      <c r="AW1006" s="112"/>
      <c r="AX1006" s="112"/>
      <c r="AY1006" s="112"/>
      <c r="AZ1006" s="112"/>
      <c r="BA1006" s="112"/>
      <c r="BB1006" s="112"/>
      <c r="BC1006" s="112"/>
      <c r="BD1006" s="112"/>
      <c r="BE1006" s="112"/>
      <c r="BF1006" s="112"/>
      <c r="BG1006" s="112"/>
      <c r="BH1006" s="112"/>
      <c r="BI1006" s="112"/>
      <c r="BJ1006" s="112"/>
      <c r="BK1006" s="112"/>
      <c r="BL1006" s="112"/>
      <c r="BM1006" s="112"/>
      <c r="BN1006" s="112"/>
      <c r="BO1006" s="112"/>
      <c r="BP1006" s="112"/>
      <c r="BQ1006" s="112"/>
      <c r="BR1006" s="112"/>
      <c r="BS1006" s="112"/>
      <c r="BT1006" s="112"/>
      <c r="BU1006" s="112"/>
      <c r="BV1006" s="112"/>
      <c r="BW1006" s="112"/>
      <c r="BX1006" s="112"/>
      <c r="BY1006" s="112"/>
      <c r="BZ1006" s="112"/>
    </row>
    <row r="1007" spans="30:78" x14ac:dyDescent="0.2">
      <c r="AD1007" s="112"/>
      <c r="AE1007" s="112"/>
      <c r="AF1007" s="112"/>
      <c r="AG1007" s="112"/>
      <c r="AH1007" s="112"/>
      <c r="AI1007" s="112"/>
      <c r="AJ1007" s="112"/>
      <c r="AK1007" s="112"/>
      <c r="AL1007" s="112"/>
      <c r="AM1007" s="112"/>
      <c r="AN1007" s="112"/>
      <c r="AO1007" s="112"/>
      <c r="AP1007" s="112"/>
      <c r="AQ1007" s="112"/>
      <c r="AR1007" s="112"/>
      <c r="AS1007" s="112"/>
      <c r="AT1007" s="112"/>
      <c r="AU1007" s="112"/>
      <c r="AV1007" s="112"/>
      <c r="AW1007" s="112"/>
      <c r="AX1007" s="112"/>
      <c r="AY1007" s="112"/>
      <c r="AZ1007" s="112"/>
      <c r="BA1007" s="112"/>
      <c r="BB1007" s="112"/>
      <c r="BC1007" s="112"/>
      <c r="BD1007" s="112"/>
      <c r="BE1007" s="112"/>
      <c r="BF1007" s="112"/>
      <c r="BG1007" s="112"/>
      <c r="BH1007" s="112"/>
      <c r="BI1007" s="112"/>
      <c r="BJ1007" s="112"/>
      <c r="BK1007" s="112"/>
      <c r="BL1007" s="112"/>
      <c r="BM1007" s="112"/>
      <c r="BN1007" s="112"/>
      <c r="BO1007" s="112"/>
      <c r="BP1007" s="112"/>
      <c r="BQ1007" s="112"/>
      <c r="BR1007" s="112"/>
      <c r="BS1007" s="112"/>
      <c r="BT1007" s="112"/>
      <c r="BU1007" s="112"/>
      <c r="BV1007" s="112"/>
      <c r="BW1007" s="112"/>
      <c r="BX1007" s="112"/>
      <c r="BY1007" s="112"/>
      <c r="BZ1007" s="112"/>
    </row>
    <row r="1008" spans="30:78" x14ac:dyDescent="0.2">
      <c r="AD1008" s="112"/>
      <c r="AE1008" s="112"/>
      <c r="AF1008" s="112"/>
      <c r="AG1008" s="112"/>
      <c r="AH1008" s="112"/>
      <c r="AI1008" s="112"/>
      <c r="AJ1008" s="112"/>
      <c r="AK1008" s="112"/>
      <c r="AL1008" s="112"/>
      <c r="AM1008" s="112"/>
      <c r="AN1008" s="112"/>
      <c r="AO1008" s="112"/>
      <c r="AP1008" s="112"/>
      <c r="AQ1008" s="112"/>
      <c r="AR1008" s="112"/>
      <c r="AS1008" s="112"/>
      <c r="AT1008" s="112"/>
      <c r="AU1008" s="112"/>
      <c r="AV1008" s="112"/>
      <c r="AW1008" s="112"/>
      <c r="AX1008" s="112"/>
      <c r="AY1008" s="112"/>
      <c r="AZ1008" s="112"/>
      <c r="BA1008" s="112"/>
      <c r="BB1008" s="112"/>
      <c r="BC1008" s="112"/>
      <c r="BD1008" s="112"/>
      <c r="BE1008" s="112"/>
      <c r="BF1008" s="112"/>
      <c r="BG1008" s="112"/>
      <c r="BH1008" s="112"/>
      <c r="BI1008" s="112"/>
      <c r="BJ1008" s="112"/>
      <c r="BK1008" s="112"/>
      <c r="BL1008" s="112"/>
      <c r="BM1008" s="112"/>
      <c r="BN1008" s="112"/>
      <c r="BO1008" s="112"/>
      <c r="BP1008" s="112"/>
      <c r="BQ1008" s="112"/>
      <c r="BR1008" s="112"/>
      <c r="BS1008" s="112"/>
      <c r="BT1008" s="112"/>
      <c r="BU1008" s="112"/>
      <c r="BV1008" s="112"/>
      <c r="BW1008" s="112"/>
      <c r="BX1008" s="112"/>
      <c r="BY1008" s="112"/>
      <c r="BZ1008" s="112"/>
    </row>
    <row r="1009" spans="30:78" x14ac:dyDescent="0.2">
      <c r="AD1009" s="112"/>
      <c r="AE1009" s="112"/>
      <c r="AF1009" s="112"/>
      <c r="AG1009" s="112"/>
      <c r="AH1009" s="112"/>
      <c r="AI1009" s="112"/>
      <c r="AJ1009" s="112"/>
      <c r="AK1009" s="112"/>
      <c r="AL1009" s="112"/>
      <c r="AM1009" s="112"/>
      <c r="AN1009" s="112"/>
      <c r="AO1009" s="112"/>
      <c r="AP1009" s="112"/>
      <c r="AQ1009" s="112"/>
      <c r="AR1009" s="112"/>
      <c r="AS1009" s="112"/>
      <c r="AT1009" s="112"/>
      <c r="AU1009" s="112"/>
      <c r="AV1009" s="112"/>
      <c r="AW1009" s="112"/>
      <c r="AX1009" s="112"/>
      <c r="AY1009" s="112"/>
      <c r="AZ1009" s="112"/>
      <c r="BA1009" s="112"/>
      <c r="BB1009" s="112"/>
      <c r="BC1009" s="112"/>
      <c r="BD1009" s="112"/>
      <c r="BE1009" s="112"/>
      <c r="BF1009" s="112"/>
      <c r="BG1009" s="112"/>
      <c r="BH1009" s="112"/>
      <c r="BI1009" s="112"/>
      <c r="BJ1009" s="112"/>
      <c r="BK1009" s="112"/>
      <c r="BL1009" s="112"/>
      <c r="BM1009" s="112"/>
      <c r="BN1009" s="112"/>
      <c r="BO1009" s="112"/>
      <c r="BP1009" s="112"/>
      <c r="BQ1009" s="112"/>
      <c r="BR1009" s="112"/>
      <c r="BS1009" s="112"/>
      <c r="BT1009" s="112"/>
      <c r="BU1009" s="112"/>
      <c r="BV1009" s="112"/>
      <c r="BW1009" s="112"/>
      <c r="BX1009" s="112"/>
      <c r="BY1009" s="112"/>
      <c r="BZ1009" s="112"/>
    </row>
    <row r="1010" spans="30:78" x14ac:dyDescent="0.2">
      <c r="AD1010" s="112"/>
      <c r="AE1010" s="112"/>
      <c r="AF1010" s="112"/>
      <c r="AG1010" s="112"/>
      <c r="AH1010" s="112"/>
      <c r="AI1010" s="112"/>
      <c r="AJ1010" s="112"/>
      <c r="AK1010" s="112"/>
      <c r="AL1010" s="112"/>
      <c r="AM1010" s="112"/>
      <c r="AN1010" s="112"/>
      <c r="AO1010" s="112"/>
      <c r="AP1010" s="112"/>
      <c r="AQ1010" s="112"/>
      <c r="AR1010" s="112"/>
      <c r="AS1010" s="112"/>
      <c r="AT1010" s="112"/>
      <c r="AU1010" s="112"/>
      <c r="AV1010" s="112"/>
      <c r="AW1010" s="112"/>
      <c r="AX1010" s="112"/>
      <c r="AY1010" s="112"/>
      <c r="AZ1010" s="112"/>
      <c r="BA1010" s="112"/>
      <c r="BB1010" s="112"/>
      <c r="BC1010" s="112"/>
      <c r="BD1010" s="112"/>
      <c r="BE1010" s="112"/>
      <c r="BF1010" s="112"/>
      <c r="BG1010" s="112"/>
      <c r="BH1010" s="112"/>
      <c r="BI1010" s="112"/>
      <c r="BJ1010" s="112"/>
      <c r="BK1010" s="112"/>
      <c r="BL1010" s="112"/>
      <c r="BM1010" s="112"/>
      <c r="BN1010" s="112"/>
      <c r="BO1010" s="112"/>
      <c r="BP1010" s="112"/>
      <c r="BQ1010" s="112"/>
      <c r="BR1010" s="112"/>
      <c r="BS1010" s="112"/>
      <c r="BT1010" s="112"/>
      <c r="BU1010" s="112"/>
      <c r="BV1010" s="112"/>
      <c r="BW1010" s="112"/>
      <c r="BX1010" s="112"/>
      <c r="BY1010" s="112"/>
      <c r="BZ1010" s="112"/>
    </row>
    <row r="1011" spans="30:78" x14ac:dyDescent="0.2">
      <c r="AD1011" s="112"/>
      <c r="AE1011" s="112"/>
      <c r="AF1011" s="112"/>
      <c r="AG1011" s="112"/>
      <c r="AH1011" s="112"/>
      <c r="AI1011" s="112"/>
      <c r="AJ1011" s="112"/>
      <c r="AK1011" s="112"/>
      <c r="AL1011" s="112"/>
      <c r="AM1011" s="112"/>
      <c r="AN1011" s="112"/>
      <c r="AO1011" s="112"/>
      <c r="AP1011" s="112"/>
      <c r="AQ1011" s="112"/>
      <c r="AR1011" s="112"/>
      <c r="AS1011" s="112"/>
      <c r="AT1011" s="112"/>
      <c r="AU1011" s="112"/>
      <c r="AV1011" s="112"/>
      <c r="AW1011" s="112"/>
      <c r="AX1011" s="112"/>
      <c r="AY1011" s="112"/>
      <c r="AZ1011" s="112"/>
      <c r="BA1011" s="112"/>
      <c r="BB1011" s="112"/>
      <c r="BC1011" s="112"/>
      <c r="BD1011" s="112"/>
      <c r="BE1011" s="112"/>
      <c r="BF1011" s="112"/>
      <c r="BG1011" s="112"/>
      <c r="BH1011" s="112"/>
      <c r="BI1011" s="112"/>
      <c r="BJ1011" s="112"/>
      <c r="BK1011" s="112"/>
      <c r="BL1011" s="112"/>
      <c r="BM1011" s="112"/>
      <c r="BN1011" s="112"/>
      <c r="BO1011" s="112"/>
      <c r="BP1011" s="112"/>
      <c r="BQ1011" s="112"/>
      <c r="BR1011" s="112"/>
      <c r="BS1011" s="112"/>
      <c r="BT1011" s="112"/>
      <c r="BU1011" s="112"/>
      <c r="BV1011" s="112"/>
      <c r="BW1011" s="112"/>
      <c r="BX1011" s="112"/>
      <c r="BY1011" s="112"/>
      <c r="BZ1011" s="112"/>
    </row>
    <row r="1012" spans="30:78" x14ac:dyDescent="0.2">
      <c r="AD1012" s="112"/>
      <c r="AE1012" s="112"/>
      <c r="AF1012" s="112"/>
      <c r="AG1012" s="112"/>
      <c r="AH1012" s="112"/>
      <c r="AI1012" s="112"/>
      <c r="AJ1012" s="112"/>
      <c r="AK1012" s="112"/>
      <c r="AL1012" s="112"/>
      <c r="AM1012" s="112"/>
      <c r="AN1012" s="112"/>
      <c r="AO1012" s="112"/>
      <c r="AP1012" s="112"/>
      <c r="AQ1012" s="112"/>
      <c r="AR1012" s="112"/>
      <c r="AS1012" s="112"/>
      <c r="AT1012" s="112"/>
      <c r="AU1012" s="112"/>
      <c r="AV1012" s="112"/>
      <c r="AW1012" s="112"/>
      <c r="AX1012" s="112"/>
      <c r="AY1012" s="112"/>
      <c r="AZ1012" s="112"/>
      <c r="BA1012" s="112"/>
      <c r="BB1012" s="112"/>
      <c r="BC1012" s="112"/>
      <c r="BD1012" s="112"/>
      <c r="BE1012" s="112"/>
      <c r="BF1012" s="112"/>
      <c r="BG1012" s="112"/>
      <c r="BH1012" s="112"/>
      <c r="BI1012" s="112"/>
      <c r="BJ1012" s="112"/>
      <c r="BK1012" s="112"/>
      <c r="BL1012" s="112"/>
      <c r="BM1012" s="112"/>
      <c r="BN1012" s="112"/>
      <c r="BO1012" s="112"/>
      <c r="BP1012" s="112"/>
      <c r="BQ1012" s="112"/>
      <c r="BR1012" s="112"/>
      <c r="BS1012" s="112"/>
      <c r="BT1012" s="112"/>
      <c r="BU1012" s="112"/>
      <c r="BV1012" s="112"/>
      <c r="BW1012" s="112"/>
      <c r="BX1012" s="112"/>
      <c r="BY1012" s="112"/>
      <c r="BZ1012" s="112"/>
    </row>
    <row r="1013" spans="30:78" x14ac:dyDescent="0.2">
      <c r="AD1013" s="112"/>
      <c r="AE1013" s="112"/>
      <c r="AF1013" s="112"/>
      <c r="AG1013" s="112"/>
      <c r="AH1013" s="112"/>
      <c r="AI1013" s="112"/>
      <c r="AJ1013" s="112"/>
      <c r="AK1013" s="112"/>
      <c r="AL1013" s="112"/>
      <c r="AM1013" s="112"/>
      <c r="AN1013" s="112"/>
      <c r="AO1013" s="112"/>
      <c r="AP1013" s="112"/>
      <c r="AQ1013" s="112"/>
      <c r="AR1013" s="112"/>
      <c r="AS1013" s="112"/>
      <c r="AT1013" s="112"/>
      <c r="AU1013" s="112"/>
      <c r="AV1013" s="112"/>
      <c r="AW1013" s="112"/>
      <c r="AX1013" s="112"/>
      <c r="AY1013" s="112"/>
      <c r="AZ1013" s="112"/>
      <c r="BA1013" s="112"/>
      <c r="BB1013" s="112"/>
      <c r="BC1013" s="112"/>
      <c r="BD1013" s="112"/>
      <c r="BE1013" s="112"/>
      <c r="BF1013" s="112"/>
      <c r="BG1013" s="112"/>
      <c r="BH1013" s="112"/>
      <c r="BI1013" s="112"/>
      <c r="BJ1013" s="112"/>
      <c r="BK1013" s="112"/>
      <c r="BL1013" s="112"/>
      <c r="BM1013" s="112"/>
      <c r="BN1013" s="112"/>
      <c r="BO1013" s="112"/>
      <c r="BP1013" s="112"/>
      <c r="BQ1013" s="112"/>
      <c r="BR1013" s="112"/>
      <c r="BS1013" s="112"/>
      <c r="BT1013" s="112"/>
      <c r="BU1013" s="112"/>
      <c r="BV1013" s="112"/>
      <c r="BW1013" s="112"/>
      <c r="BX1013" s="112"/>
      <c r="BY1013" s="112"/>
      <c r="BZ1013" s="112"/>
    </row>
    <row r="1014" spans="30:78" x14ac:dyDescent="0.2">
      <c r="AD1014" s="112"/>
      <c r="AE1014" s="112"/>
      <c r="AF1014" s="112"/>
      <c r="AG1014" s="112"/>
      <c r="AH1014" s="112"/>
      <c r="AI1014" s="112"/>
      <c r="AJ1014" s="112"/>
      <c r="AK1014" s="112"/>
      <c r="AL1014" s="112"/>
      <c r="AM1014" s="112"/>
      <c r="AN1014" s="112"/>
      <c r="AO1014" s="112"/>
      <c r="AP1014" s="112"/>
      <c r="AQ1014" s="112"/>
      <c r="AR1014" s="112"/>
      <c r="AS1014" s="112"/>
      <c r="AT1014" s="112"/>
      <c r="AU1014" s="112"/>
      <c r="AV1014" s="112"/>
      <c r="AW1014" s="112"/>
      <c r="AX1014" s="112"/>
      <c r="AY1014" s="112"/>
      <c r="AZ1014" s="112"/>
      <c r="BA1014" s="112"/>
      <c r="BB1014" s="112"/>
      <c r="BC1014" s="112"/>
      <c r="BD1014" s="112"/>
      <c r="BE1014" s="112"/>
      <c r="BF1014" s="112"/>
      <c r="BG1014" s="112"/>
      <c r="BH1014" s="112"/>
      <c r="BI1014" s="112"/>
      <c r="BJ1014" s="112"/>
      <c r="BK1014" s="112"/>
      <c r="BL1014" s="112"/>
      <c r="BM1014" s="112"/>
      <c r="BN1014" s="112"/>
      <c r="BO1014" s="112"/>
      <c r="BP1014" s="112"/>
      <c r="BQ1014" s="112"/>
      <c r="BR1014" s="112"/>
      <c r="BS1014" s="112"/>
      <c r="BT1014" s="112"/>
      <c r="BU1014" s="112"/>
      <c r="BV1014" s="112"/>
      <c r="BW1014" s="112"/>
      <c r="BX1014" s="112"/>
      <c r="BY1014" s="112"/>
      <c r="BZ1014" s="112"/>
    </row>
    <row r="1015" spans="30:78" x14ac:dyDescent="0.2">
      <c r="AD1015" s="112"/>
      <c r="AE1015" s="112"/>
      <c r="AF1015" s="112"/>
      <c r="AG1015" s="112"/>
      <c r="AH1015" s="112"/>
      <c r="AI1015" s="112"/>
      <c r="AJ1015" s="112"/>
      <c r="AK1015" s="112"/>
      <c r="AL1015" s="112"/>
      <c r="AM1015" s="112"/>
      <c r="AN1015" s="112"/>
      <c r="AO1015" s="112"/>
      <c r="AP1015" s="112"/>
      <c r="AQ1015" s="112"/>
      <c r="AR1015" s="112"/>
      <c r="AS1015" s="112"/>
      <c r="AT1015" s="112"/>
      <c r="AU1015" s="112"/>
      <c r="AV1015" s="112"/>
      <c r="AW1015" s="112"/>
      <c r="AX1015" s="112"/>
      <c r="AY1015" s="112"/>
      <c r="AZ1015" s="112"/>
      <c r="BA1015" s="112"/>
      <c r="BB1015" s="112"/>
      <c r="BC1015" s="112"/>
      <c r="BD1015" s="112"/>
      <c r="BE1015" s="112"/>
      <c r="BF1015" s="112"/>
      <c r="BG1015" s="112"/>
      <c r="BH1015" s="112"/>
      <c r="BI1015" s="112"/>
      <c r="BJ1015" s="112"/>
      <c r="BK1015" s="112"/>
      <c r="BL1015" s="112"/>
      <c r="BM1015" s="112"/>
      <c r="BN1015" s="112"/>
      <c r="BO1015" s="112"/>
      <c r="BP1015" s="112"/>
      <c r="BQ1015" s="112"/>
      <c r="BR1015" s="112"/>
      <c r="BS1015" s="112"/>
      <c r="BT1015" s="112"/>
      <c r="BU1015" s="112"/>
      <c r="BV1015" s="112"/>
      <c r="BW1015" s="112"/>
      <c r="BX1015" s="112"/>
      <c r="BY1015" s="112"/>
      <c r="BZ1015" s="112"/>
    </row>
    <row r="1016" spans="30:78" x14ac:dyDescent="0.2">
      <c r="AD1016" s="112"/>
      <c r="AE1016" s="112"/>
      <c r="AF1016" s="112"/>
      <c r="AG1016" s="112"/>
      <c r="AH1016" s="112"/>
      <c r="AI1016" s="112"/>
      <c r="AJ1016" s="112"/>
      <c r="AK1016" s="112"/>
      <c r="AL1016" s="112"/>
      <c r="AM1016" s="112"/>
      <c r="AN1016" s="112"/>
      <c r="AO1016" s="112"/>
      <c r="AP1016" s="112"/>
      <c r="AQ1016" s="112"/>
      <c r="AR1016" s="112"/>
      <c r="AS1016" s="112"/>
      <c r="AT1016" s="112"/>
      <c r="AU1016" s="112"/>
      <c r="AV1016" s="112"/>
      <c r="AW1016" s="112"/>
      <c r="AX1016" s="112"/>
      <c r="AY1016" s="112"/>
      <c r="AZ1016" s="112"/>
      <c r="BA1016" s="112"/>
      <c r="BB1016" s="112"/>
      <c r="BC1016" s="112"/>
      <c r="BD1016" s="112"/>
      <c r="BE1016" s="112"/>
      <c r="BF1016" s="112"/>
      <c r="BG1016" s="112"/>
      <c r="BH1016" s="112"/>
      <c r="BI1016" s="112"/>
      <c r="BJ1016" s="112"/>
      <c r="BK1016" s="112"/>
      <c r="BL1016" s="112"/>
      <c r="BM1016" s="112"/>
      <c r="BN1016" s="112"/>
      <c r="BO1016" s="112"/>
      <c r="BP1016" s="112"/>
      <c r="BQ1016" s="112"/>
      <c r="BR1016" s="112"/>
      <c r="BS1016" s="112"/>
      <c r="BT1016" s="112"/>
      <c r="BU1016" s="112"/>
      <c r="BV1016" s="112"/>
      <c r="BW1016" s="112"/>
      <c r="BX1016" s="112"/>
      <c r="BY1016" s="112"/>
      <c r="BZ1016" s="112"/>
    </row>
    <row r="1017" spans="30:78" x14ac:dyDescent="0.2">
      <c r="AD1017" s="112"/>
      <c r="AE1017" s="112"/>
      <c r="AF1017" s="112"/>
      <c r="AG1017" s="112"/>
      <c r="AH1017" s="112"/>
      <c r="AI1017" s="112"/>
      <c r="AJ1017" s="112"/>
      <c r="AK1017" s="112"/>
      <c r="AL1017" s="112"/>
      <c r="AM1017" s="112"/>
      <c r="AN1017" s="112"/>
      <c r="AO1017" s="112"/>
      <c r="AP1017" s="112"/>
      <c r="AQ1017" s="112"/>
      <c r="AR1017" s="112"/>
      <c r="AS1017" s="112"/>
      <c r="AT1017" s="112"/>
      <c r="AU1017" s="112"/>
      <c r="AV1017" s="112"/>
      <c r="AW1017" s="112"/>
      <c r="AX1017" s="112"/>
      <c r="AY1017" s="112"/>
      <c r="AZ1017" s="112"/>
      <c r="BA1017" s="112"/>
      <c r="BB1017" s="112"/>
      <c r="BC1017" s="112"/>
      <c r="BD1017" s="112"/>
      <c r="BE1017" s="112"/>
      <c r="BF1017" s="112"/>
      <c r="BG1017" s="112"/>
      <c r="BH1017" s="112"/>
      <c r="BI1017" s="112"/>
      <c r="BJ1017" s="112"/>
      <c r="BK1017" s="112"/>
      <c r="BL1017" s="112"/>
      <c r="BM1017" s="112"/>
      <c r="BN1017" s="112"/>
      <c r="BO1017" s="112"/>
      <c r="BP1017" s="112"/>
      <c r="BQ1017" s="112"/>
      <c r="BR1017" s="112"/>
      <c r="BS1017" s="112"/>
      <c r="BT1017" s="112"/>
      <c r="BU1017" s="112"/>
      <c r="BV1017" s="112"/>
      <c r="BW1017" s="112"/>
      <c r="BX1017" s="112"/>
      <c r="BY1017" s="112"/>
      <c r="BZ1017" s="112"/>
    </row>
    <row r="1018" spans="30:78" x14ac:dyDescent="0.2">
      <c r="AD1018" s="112"/>
      <c r="AE1018" s="112"/>
      <c r="AF1018" s="112"/>
      <c r="AG1018" s="112"/>
      <c r="AH1018" s="112"/>
      <c r="AI1018" s="112"/>
      <c r="AJ1018" s="112"/>
      <c r="AK1018" s="112"/>
      <c r="AL1018" s="112"/>
      <c r="AM1018" s="112"/>
      <c r="AN1018" s="112"/>
      <c r="AO1018" s="112"/>
      <c r="AP1018" s="112"/>
      <c r="AQ1018" s="112"/>
      <c r="AR1018" s="112"/>
      <c r="AS1018" s="112"/>
      <c r="AT1018" s="112"/>
      <c r="AU1018" s="112"/>
      <c r="AV1018" s="112"/>
      <c r="AW1018" s="112"/>
      <c r="AX1018" s="112"/>
      <c r="AY1018" s="112"/>
      <c r="AZ1018" s="112"/>
      <c r="BA1018" s="112"/>
      <c r="BB1018" s="112"/>
      <c r="BC1018" s="112"/>
      <c r="BD1018" s="112"/>
      <c r="BE1018" s="112"/>
      <c r="BF1018" s="112"/>
      <c r="BG1018" s="112"/>
      <c r="BH1018" s="112"/>
      <c r="BI1018" s="112"/>
      <c r="BJ1018" s="112"/>
      <c r="BK1018" s="112"/>
      <c r="BL1018" s="112"/>
      <c r="BM1018" s="112"/>
      <c r="BN1018" s="112"/>
      <c r="BO1018" s="112"/>
      <c r="BP1018" s="112"/>
      <c r="BQ1018" s="112"/>
      <c r="BR1018" s="112"/>
      <c r="BS1018" s="112"/>
      <c r="BT1018" s="112"/>
      <c r="BU1018" s="112"/>
      <c r="BV1018" s="112"/>
      <c r="BW1018" s="112"/>
      <c r="BX1018" s="112"/>
      <c r="BY1018" s="112"/>
      <c r="BZ1018" s="112"/>
    </row>
    <row r="1019" spans="30:78" x14ac:dyDescent="0.2">
      <c r="AD1019" s="112"/>
      <c r="AE1019" s="112"/>
      <c r="AF1019" s="112"/>
      <c r="AG1019" s="112"/>
      <c r="AH1019" s="112"/>
      <c r="AI1019" s="112"/>
      <c r="AJ1019" s="112"/>
      <c r="AK1019" s="112"/>
      <c r="AL1019" s="112"/>
      <c r="AM1019" s="112"/>
      <c r="AN1019" s="112"/>
      <c r="AO1019" s="112"/>
      <c r="AP1019" s="112"/>
      <c r="AQ1019" s="112"/>
      <c r="AR1019" s="112"/>
      <c r="AS1019" s="112"/>
      <c r="AT1019" s="112"/>
      <c r="AU1019" s="112"/>
      <c r="AV1019" s="112"/>
      <c r="AW1019" s="112"/>
      <c r="AX1019" s="112"/>
      <c r="AY1019" s="112"/>
      <c r="AZ1019" s="112"/>
      <c r="BA1019" s="112"/>
      <c r="BB1019" s="112"/>
      <c r="BC1019" s="112"/>
      <c r="BD1019" s="112"/>
      <c r="BE1019" s="112"/>
      <c r="BF1019" s="112"/>
      <c r="BG1019" s="112"/>
      <c r="BH1019" s="112"/>
      <c r="BI1019" s="112"/>
      <c r="BJ1019" s="112"/>
      <c r="BK1019" s="112"/>
      <c r="BL1019" s="112"/>
      <c r="BM1019" s="112"/>
      <c r="BN1019" s="112"/>
      <c r="BO1019" s="112"/>
      <c r="BP1019" s="112"/>
      <c r="BQ1019" s="112"/>
      <c r="BR1019" s="112"/>
      <c r="BS1019" s="112"/>
      <c r="BT1019" s="112"/>
      <c r="BU1019" s="112"/>
      <c r="BV1019" s="112"/>
      <c r="BW1019" s="112"/>
      <c r="BX1019" s="112"/>
      <c r="BY1019" s="112"/>
      <c r="BZ1019" s="112"/>
    </row>
    <row r="1020" spans="30:78" x14ac:dyDescent="0.2">
      <c r="AD1020" s="112"/>
      <c r="AE1020" s="112"/>
      <c r="AF1020" s="112"/>
      <c r="AG1020" s="112"/>
      <c r="AH1020" s="112"/>
      <c r="AI1020" s="112"/>
      <c r="AJ1020" s="112"/>
      <c r="AK1020" s="112"/>
      <c r="AL1020" s="112"/>
      <c r="AM1020" s="112"/>
      <c r="AN1020" s="112"/>
      <c r="AO1020" s="112"/>
      <c r="AP1020" s="112"/>
      <c r="AQ1020" s="112"/>
      <c r="AR1020" s="112"/>
      <c r="AS1020" s="112"/>
      <c r="AT1020" s="112"/>
      <c r="AU1020" s="112"/>
      <c r="AV1020" s="112"/>
      <c r="AW1020" s="112"/>
      <c r="AX1020" s="112"/>
      <c r="AY1020" s="112"/>
      <c r="AZ1020" s="112"/>
      <c r="BA1020" s="112"/>
      <c r="BB1020" s="112"/>
      <c r="BC1020" s="112"/>
      <c r="BD1020" s="112"/>
      <c r="BE1020" s="112"/>
      <c r="BF1020" s="112"/>
      <c r="BG1020" s="112"/>
      <c r="BH1020" s="112"/>
      <c r="BI1020" s="112"/>
      <c r="BJ1020" s="112"/>
      <c r="BK1020" s="112"/>
      <c r="BL1020" s="112"/>
      <c r="BM1020" s="112"/>
      <c r="BN1020" s="112"/>
      <c r="BO1020" s="112"/>
      <c r="BP1020" s="112"/>
      <c r="BQ1020" s="112"/>
      <c r="BR1020" s="112"/>
      <c r="BS1020" s="112"/>
      <c r="BT1020" s="112"/>
      <c r="BU1020" s="112"/>
      <c r="BV1020" s="112"/>
      <c r="BW1020" s="112"/>
      <c r="BX1020" s="112"/>
      <c r="BY1020" s="112"/>
      <c r="BZ1020" s="112"/>
    </row>
    <row r="1021" spans="30:78" x14ac:dyDescent="0.2">
      <c r="AD1021" s="112"/>
      <c r="AE1021" s="112"/>
      <c r="AF1021" s="112"/>
      <c r="AG1021" s="112"/>
      <c r="AH1021" s="112"/>
      <c r="AI1021" s="112"/>
      <c r="AJ1021" s="112"/>
      <c r="AK1021" s="112"/>
      <c r="AL1021" s="112"/>
      <c r="AM1021" s="112"/>
      <c r="AN1021" s="112"/>
      <c r="AO1021" s="112"/>
      <c r="AP1021" s="112"/>
      <c r="AQ1021" s="112"/>
      <c r="AR1021" s="112"/>
      <c r="AS1021" s="112"/>
      <c r="AT1021" s="112"/>
      <c r="AU1021" s="112"/>
      <c r="AV1021" s="112"/>
      <c r="AW1021" s="112"/>
      <c r="AX1021" s="112"/>
      <c r="AY1021" s="112"/>
      <c r="AZ1021" s="112"/>
      <c r="BA1021" s="112"/>
      <c r="BB1021" s="112"/>
      <c r="BC1021" s="112"/>
      <c r="BD1021" s="112"/>
      <c r="BE1021" s="112"/>
      <c r="BF1021" s="112"/>
      <c r="BG1021" s="112"/>
      <c r="BH1021" s="112"/>
      <c r="BI1021" s="112"/>
      <c r="BJ1021" s="112"/>
      <c r="BK1021" s="112"/>
      <c r="BL1021" s="112"/>
      <c r="BM1021" s="112"/>
      <c r="BN1021" s="112"/>
      <c r="BO1021" s="112"/>
      <c r="BP1021" s="112"/>
      <c r="BQ1021" s="112"/>
      <c r="BR1021" s="112"/>
      <c r="BS1021" s="112"/>
      <c r="BT1021" s="112"/>
      <c r="BU1021" s="112"/>
      <c r="BV1021" s="112"/>
      <c r="BW1021" s="112"/>
      <c r="BX1021" s="112"/>
      <c r="BY1021" s="112"/>
      <c r="BZ1021" s="112"/>
    </row>
    <row r="1022" spans="30:78" x14ac:dyDescent="0.2">
      <c r="AD1022" s="112"/>
      <c r="AE1022" s="112"/>
      <c r="AF1022" s="112"/>
      <c r="AG1022" s="112"/>
      <c r="AH1022" s="112"/>
      <c r="AI1022" s="112"/>
      <c r="AJ1022" s="112"/>
      <c r="AK1022" s="112"/>
      <c r="AL1022" s="112"/>
      <c r="AM1022" s="112"/>
      <c r="AN1022" s="112"/>
      <c r="AO1022" s="112"/>
      <c r="AP1022" s="112"/>
      <c r="AQ1022" s="112"/>
      <c r="AR1022" s="112"/>
      <c r="AS1022" s="112"/>
      <c r="AT1022" s="112"/>
      <c r="AU1022" s="112"/>
      <c r="AV1022" s="112"/>
      <c r="AW1022" s="112"/>
      <c r="AX1022" s="112"/>
      <c r="AY1022" s="112"/>
      <c r="AZ1022" s="112"/>
      <c r="BA1022" s="112"/>
      <c r="BB1022" s="112"/>
      <c r="BC1022" s="112"/>
      <c r="BD1022" s="112"/>
      <c r="BE1022" s="112"/>
      <c r="BF1022" s="112"/>
      <c r="BG1022" s="112"/>
      <c r="BH1022" s="112"/>
      <c r="BI1022" s="112"/>
      <c r="BJ1022" s="112"/>
      <c r="BK1022" s="112"/>
      <c r="BL1022" s="112"/>
      <c r="BM1022" s="112"/>
      <c r="BN1022" s="112"/>
      <c r="BO1022" s="112"/>
      <c r="BP1022" s="112"/>
      <c r="BQ1022" s="112"/>
      <c r="BR1022" s="112"/>
      <c r="BS1022" s="112"/>
      <c r="BT1022" s="112"/>
      <c r="BU1022" s="112"/>
      <c r="BV1022" s="112"/>
      <c r="BW1022" s="112"/>
      <c r="BX1022" s="112"/>
      <c r="BY1022" s="112"/>
      <c r="BZ1022" s="112"/>
    </row>
    <row r="1023" spans="30:78" x14ac:dyDescent="0.2">
      <c r="AD1023" s="112"/>
      <c r="AE1023" s="112"/>
      <c r="AF1023" s="112"/>
      <c r="AG1023" s="112"/>
      <c r="AH1023" s="112"/>
      <c r="AI1023" s="112"/>
      <c r="AJ1023" s="112"/>
      <c r="AK1023" s="112"/>
      <c r="AL1023" s="112"/>
      <c r="AM1023" s="112"/>
      <c r="AN1023" s="112"/>
      <c r="AO1023" s="112"/>
      <c r="AP1023" s="112"/>
      <c r="AQ1023" s="112"/>
      <c r="AR1023" s="112"/>
      <c r="AS1023" s="112"/>
      <c r="AT1023" s="112"/>
      <c r="AU1023" s="112"/>
      <c r="AV1023" s="112"/>
      <c r="AW1023" s="112"/>
      <c r="AX1023" s="112"/>
      <c r="AY1023" s="112"/>
      <c r="AZ1023" s="112"/>
      <c r="BA1023" s="112"/>
      <c r="BB1023" s="112"/>
      <c r="BC1023" s="112"/>
      <c r="BD1023" s="112"/>
      <c r="BE1023" s="112"/>
      <c r="BF1023" s="112"/>
      <c r="BG1023" s="112"/>
      <c r="BH1023" s="112"/>
      <c r="BI1023" s="112"/>
      <c r="BJ1023" s="112"/>
      <c r="BK1023" s="112"/>
      <c r="BL1023" s="112"/>
      <c r="BM1023" s="112"/>
      <c r="BN1023" s="112"/>
      <c r="BO1023" s="112"/>
      <c r="BP1023" s="112"/>
      <c r="BQ1023" s="112"/>
      <c r="BR1023" s="112"/>
      <c r="BS1023" s="112"/>
      <c r="BT1023" s="112"/>
      <c r="BU1023" s="112"/>
      <c r="BV1023" s="112"/>
      <c r="BW1023" s="112"/>
      <c r="BX1023" s="112"/>
      <c r="BY1023" s="112"/>
      <c r="BZ1023" s="112"/>
    </row>
    <row r="1024" spans="30:78" x14ac:dyDescent="0.2">
      <c r="AD1024" s="112"/>
      <c r="AE1024" s="112"/>
      <c r="AF1024" s="112"/>
      <c r="AG1024" s="112"/>
      <c r="AH1024" s="112"/>
      <c r="AI1024" s="112"/>
      <c r="AJ1024" s="112"/>
      <c r="AK1024" s="112"/>
      <c r="AL1024" s="112"/>
      <c r="AM1024" s="112"/>
      <c r="AN1024" s="112"/>
      <c r="AO1024" s="112"/>
      <c r="AP1024" s="112"/>
      <c r="AQ1024" s="112"/>
      <c r="AR1024" s="112"/>
      <c r="AS1024" s="112"/>
      <c r="AT1024" s="112"/>
      <c r="AU1024" s="112"/>
      <c r="AV1024" s="112"/>
      <c r="AW1024" s="112"/>
      <c r="AX1024" s="112"/>
      <c r="AY1024" s="112"/>
      <c r="AZ1024" s="112"/>
      <c r="BA1024" s="112"/>
      <c r="BB1024" s="112"/>
      <c r="BC1024" s="112"/>
      <c r="BD1024" s="112"/>
      <c r="BE1024" s="112"/>
      <c r="BF1024" s="112"/>
      <c r="BG1024" s="112"/>
      <c r="BH1024" s="112"/>
      <c r="BI1024" s="112"/>
      <c r="BJ1024" s="112"/>
      <c r="BK1024" s="112"/>
      <c r="BL1024" s="112"/>
      <c r="BM1024" s="112"/>
      <c r="BN1024" s="112"/>
      <c r="BO1024" s="112"/>
      <c r="BP1024" s="112"/>
      <c r="BQ1024" s="112"/>
      <c r="BR1024" s="112"/>
      <c r="BS1024" s="112"/>
      <c r="BT1024" s="112"/>
      <c r="BU1024" s="112"/>
      <c r="BV1024" s="112"/>
      <c r="BW1024" s="112"/>
      <c r="BX1024" s="112"/>
      <c r="BY1024" s="112"/>
      <c r="BZ1024" s="112"/>
    </row>
    <row r="1025" spans="30:78" x14ac:dyDescent="0.2">
      <c r="AD1025" s="112"/>
      <c r="AE1025" s="112"/>
      <c r="AF1025" s="112"/>
      <c r="AG1025" s="112"/>
      <c r="AH1025" s="112"/>
      <c r="AI1025" s="112"/>
      <c r="AJ1025" s="112"/>
      <c r="AK1025" s="112"/>
      <c r="AL1025" s="112"/>
      <c r="AM1025" s="112"/>
      <c r="AN1025" s="112"/>
      <c r="AO1025" s="112"/>
      <c r="AP1025" s="112"/>
      <c r="AQ1025" s="112"/>
      <c r="AR1025" s="112"/>
      <c r="AS1025" s="112"/>
      <c r="AT1025" s="112"/>
      <c r="AU1025" s="112"/>
      <c r="AV1025" s="112"/>
      <c r="AW1025" s="112"/>
      <c r="AX1025" s="112"/>
      <c r="AY1025" s="112"/>
      <c r="AZ1025" s="112"/>
      <c r="BA1025" s="112"/>
      <c r="BB1025" s="112"/>
      <c r="BC1025" s="112"/>
      <c r="BD1025" s="112"/>
      <c r="BE1025" s="112"/>
      <c r="BF1025" s="112"/>
      <c r="BG1025" s="112"/>
      <c r="BH1025" s="112"/>
      <c r="BI1025" s="112"/>
      <c r="BJ1025" s="112"/>
      <c r="BK1025" s="112"/>
      <c r="BL1025" s="112"/>
      <c r="BM1025" s="112"/>
      <c r="BN1025" s="112"/>
      <c r="BO1025" s="112"/>
      <c r="BP1025" s="112"/>
      <c r="BQ1025" s="112"/>
      <c r="BR1025" s="112"/>
      <c r="BS1025" s="112"/>
      <c r="BT1025" s="112"/>
      <c r="BU1025" s="112"/>
      <c r="BV1025" s="112"/>
      <c r="BW1025" s="112"/>
      <c r="BX1025" s="112"/>
      <c r="BY1025" s="112"/>
      <c r="BZ1025" s="112"/>
    </row>
    <row r="1026" spans="30:78" x14ac:dyDescent="0.2">
      <c r="AD1026" s="112"/>
      <c r="AE1026" s="112"/>
      <c r="AF1026" s="112"/>
      <c r="AG1026" s="112"/>
      <c r="AH1026" s="112"/>
      <c r="AI1026" s="112"/>
      <c r="AJ1026" s="112"/>
      <c r="AK1026" s="112"/>
      <c r="AL1026" s="112"/>
      <c r="AM1026" s="112"/>
      <c r="AN1026" s="112"/>
      <c r="AO1026" s="112"/>
      <c r="AP1026" s="112"/>
      <c r="AQ1026" s="112"/>
      <c r="AR1026" s="112"/>
      <c r="AS1026" s="112"/>
      <c r="AT1026" s="112"/>
      <c r="AU1026" s="112"/>
      <c r="AV1026" s="112"/>
      <c r="AW1026" s="112"/>
      <c r="AX1026" s="112"/>
      <c r="AY1026" s="112"/>
      <c r="AZ1026" s="112"/>
      <c r="BA1026" s="112"/>
      <c r="BB1026" s="112"/>
      <c r="BC1026" s="112"/>
      <c r="BD1026" s="112"/>
      <c r="BE1026" s="112"/>
      <c r="BF1026" s="112"/>
      <c r="BG1026" s="112"/>
      <c r="BH1026" s="112"/>
      <c r="BI1026" s="112"/>
      <c r="BJ1026" s="112"/>
      <c r="BK1026" s="112"/>
      <c r="BL1026" s="112"/>
      <c r="BM1026" s="112"/>
      <c r="BN1026" s="112"/>
      <c r="BO1026" s="112"/>
      <c r="BP1026" s="112"/>
      <c r="BQ1026" s="112"/>
      <c r="BR1026" s="112"/>
      <c r="BS1026" s="112"/>
      <c r="BT1026" s="112"/>
      <c r="BU1026" s="112"/>
      <c r="BV1026" s="112"/>
      <c r="BW1026" s="112"/>
      <c r="BX1026" s="112"/>
      <c r="BY1026" s="112"/>
      <c r="BZ1026" s="112"/>
    </row>
    <row r="1027" spans="30:78" x14ac:dyDescent="0.2">
      <c r="AD1027" s="112"/>
      <c r="AE1027" s="112"/>
      <c r="AF1027" s="112"/>
      <c r="AG1027" s="112"/>
      <c r="AH1027" s="112"/>
      <c r="AI1027" s="112"/>
      <c r="AJ1027" s="112"/>
      <c r="AK1027" s="112"/>
      <c r="AL1027" s="112"/>
      <c r="AM1027" s="112"/>
      <c r="AN1027" s="112"/>
      <c r="AO1027" s="112"/>
      <c r="AP1027" s="112"/>
      <c r="AQ1027" s="112"/>
      <c r="AR1027" s="112"/>
      <c r="AS1027" s="112"/>
      <c r="AT1027" s="112"/>
      <c r="AU1027" s="112"/>
      <c r="AV1027" s="112"/>
      <c r="AW1027" s="112"/>
      <c r="AX1027" s="112"/>
      <c r="AY1027" s="112"/>
      <c r="AZ1027" s="112"/>
      <c r="BA1027" s="112"/>
      <c r="BB1027" s="112"/>
      <c r="BC1027" s="112"/>
      <c r="BD1027" s="112"/>
      <c r="BE1027" s="112"/>
      <c r="BF1027" s="112"/>
      <c r="BG1027" s="112"/>
      <c r="BH1027" s="112"/>
      <c r="BI1027" s="112"/>
      <c r="BJ1027" s="112"/>
      <c r="BK1027" s="112"/>
      <c r="BL1027" s="112"/>
      <c r="BM1027" s="112"/>
      <c r="BN1027" s="112"/>
      <c r="BO1027" s="112"/>
      <c r="BP1027" s="112"/>
      <c r="BQ1027" s="112"/>
      <c r="BR1027" s="112"/>
      <c r="BS1027" s="112"/>
      <c r="BT1027" s="112"/>
      <c r="BU1027" s="112"/>
      <c r="BV1027" s="112"/>
      <c r="BW1027" s="112"/>
      <c r="BX1027" s="112"/>
      <c r="BY1027" s="112"/>
      <c r="BZ1027" s="112"/>
    </row>
    <row r="1028" spans="30:78" x14ac:dyDescent="0.2">
      <c r="AD1028" s="112"/>
      <c r="AE1028" s="112"/>
      <c r="AF1028" s="112"/>
      <c r="AG1028" s="112"/>
      <c r="AH1028" s="112"/>
      <c r="AI1028" s="112"/>
      <c r="AJ1028" s="112"/>
      <c r="AK1028" s="112"/>
      <c r="AL1028" s="112"/>
      <c r="AM1028" s="112"/>
      <c r="AN1028" s="112"/>
      <c r="AO1028" s="112"/>
      <c r="AP1028" s="112"/>
      <c r="AQ1028" s="112"/>
      <c r="AR1028" s="112"/>
      <c r="AS1028" s="112"/>
      <c r="AT1028" s="112"/>
      <c r="AU1028" s="112"/>
      <c r="AV1028" s="112"/>
      <c r="AW1028" s="112"/>
      <c r="AX1028" s="112"/>
      <c r="AY1028" s="112"/>
      <c r="AZ1028" s="112"/>
      <c r="BA1028" s="112"/>
      <c r="BB1028" s="112"/>
      <c r="BC1028" s="112"/>
      <c r="BD1028" s="112"/>
      <c r="BE1028" s="112"/>
      <c r="BF1028" s="112"/>
      <c r="BG1028" s="112"/>
      <c r="BH1028" s="112"/>
      <c r="BI1028" s="112"/>
      <c r="BJ1028" s="112"/>
      <c r="BK1028" s="112"/>
      <c r="BL1028" s="112"/>
      <c r="BM1028" s="112"/>
      <c r="BN1028" s="112"/>
      <c r="BO1028" s="112"/>
      <c r="BP1028" s="112"/>
      <c r="BQ1028" s="112"/>
      <c r="BR1028" s="112"/>
      <c r="BS1028" s="112"/>
      <c r="BT1028" s="112"/>
      <c r="BU1028" s="112"/>
      <c r="BV1028" s="112"/>
      <c r="BW1028" s="112"/>
      <c r="BX1028" s="112"/>
      <c r="BY1028" s="112"/>
      <c r="BZ1028" s="112"/>
    </row>
    <row r="1029" spans="30:78" x14ac:dyDescent="0.2">
      <c r="AD1029" s="112"/>
      <c r="AE1029" s="112"/>
      <c r="AF1029" s="112"/>
      <c r="AG1029" s="112"/>
      <c r="AH1029" s="112"/>
      <c r="AI1029" s="112"/>
      <c r="AJ1029" s="112"/>
      <c r="AK1029" s="112"/>
      <c r="AL1029" s="112"/>
      <c r="AM1029" s="112"/>
      <c r="AN1029" s="112"/>
      <c r="AO1029" s="112"/>
      <c r="AP1029" s="112"/>
      <c r="AQ1029" s="112"/>
      <c r="AR1029" s="112"/>
      <c r="AS1029" s="112"/>
      <c r="AT1029" s="112"/>
      <c r="AU1029" s="112"/>
      <c r="AV1029" s="112"/>
      <c r="AW1029" s="112"/>
      <c r="AX1029" s="112"/>
      <c r="AY1029" s="112"/>
      <c r="AZ1029" s="112"/>
      <c r="BA1029" s="112"/>
      <c r="BB1029" s="112"/>
      <c r="BC1029" s="112"/>
      <c r="BD1029" s="112"/>
      <c r="BE1029" s="112"/>
      <c r="BF1029" s="112"/>
      <c r="BG1029" s="112"/>
      <c r="BH1029" s="112"/>
      <c r="BI1029" s="112"/>
      <c r="BJ1029" s="112"/>
      <c r="BK1029" s="112"/>
      <c r="BL1029" s="112"/>
      <c r="BM1029" s="112"/>
      <c r="BN1029" s="112"/>
      <c r="BO1029" s="112"/>
      <c r="BP1029" s="112"/>
      <c r="BQ1029" s="112"/>
      <c r="BR1029" s="112"/>
      <c r="BS1029" s="112"/>
      <c r="BT1029" s="112"/>
      <c r="BU1029" s="112"/>
      <c r="BV1029" s="112"/>
      <c r="BW1029" s="112"/>
      <c r="BX1029" s="112"/>
      <c r="BY1029" s="112"/>
      <c r="BZ1029" s="112"/>
    </row>
    <row r="1030" spans="30:78" x14ac:dyDescent="0.2">
      <c r="AD1030" s="112"/>
      <c r="AE1030" s="112"/>
      <c r="AF1030" s="112"/>
      <c r="AG1030" s="112"/>
      <c r="AH1030" s="112"/>
      <c r="AI1030" s="112"/>
      <c r="AJ1030" s="112"/>
      <c r="AK1030" s="112"/>
      <c r="AL1030" s="112"/>
      <c r="AM1030" s="112"/>
      <c r="AN1030" s="112"/>
      <c r="AO1030" s="112"/>
      <c r="AP1030" s="112"/>
      <c r="AQ1030" s="112"/>
      <c r="AR1030" s="112"/>
      <c r="AS1030" s="112"/>
      <c r="AT1030" s="112"/>
      <c r="AU1030" s="112"/>
      <c r="AV1030" s="112"/>
      <c r="AW1030" s="112"/>
      <c r="AX1030" s="112"/>
      <c r="AY1030" s="112"/>
      <c r="AZ1030" s="112"/>
      <c r="BA1030" s="112"/>
      <c r="BB1030" s="112"/>
      <c r="BC1030" s="112"/>
      <c r="BD1030" s="112"/>
      <c r="BE1030" s="112"/>
      <c r="BF1030" s="112"/>
      <c r="BG1030" s="112"/>
      <c r="BH1030" s="112"/>
      <c r="BI1030" s="112"/>
      <c r="BJ1030" s="112"/>
      <c r="BK1030" s="112"/>
      <c r="BL1030" s="112"/>
      <c r="BM1030" s="112"/>
      <c r="BN1030" s="112"/>
      <c r="BO1030" s="112"/>
      <c r="BP1030" s="112"/>
      <c r="BQ1030" s="112"/>
      <c r="BR1030" s="112"/>
      <c r="BS1030" s="112"/>
      <c r="BT1030" s="112"/>
      <c r="BU1030" s="112"/>
      <c r="BV1030" s="112"/>
      <c r="BW1030" s="112"/>
      <c r="BX1030" s="112"/>
      <c r="BY1030" s="112"/>
      <c r="BZ1030" s="112"/>
    </row>
    <row r="1031" spans="30:78" x14ac:dyDescent="0.2">
      <c r="AD1031" s="112"/>
      <c r="AE1031" s="112"/>
      <c r="AF1031" s="112"/>
      <c r="AG1031" s="112"/>
      <c r="AH1031" s="112"/>
      <c r="AI1031" s="112"/>
      <c r="AJ1031" s="112"/>
      <c r="AK1031" s="112"/>
      <c r="AL1031" s="112"/>
      <c r="AM1031" s="112"/>
      <c r="AN1031" s="112"/>
      <c r="AO1031" s="112"/>
      <c r="AP1031" s="112"/>
      <c r="AQ1031" s="112"/>
      <c r="AR1031" s="112"/>
      <c r="AS1031" s="112"/>
      <c r="AT1031" s="112"/>
      <c r="AU1031" s="112"/>
      <c r="AV1031" s="112"/>
      <c r="AW1031" s="112"/>
      <c r="AX1031" s="112"/>
      <c r="AY1031" s="112"/>
      <c r="AZ1031" s="112"/>
      <c r="BA1031" s="112"/>
      <c r="BB1031" s="112"/>
      <c r="BC1031" s="112"/>
      <c r="BD1031" s="112"/>
      <c r="BE1031" s="112"/>
      <c r="BF1031" s="112"/>
      <c r="BG1031" s="112"/>
      <c r="BH1031" s="112"/>
      <c r="BI1031" s="112"/>
      <c r="BJ1031" s="112"/>
      <c r="BK1031" s="112"/>
      <c r="BL1031" s="112"/>
      <c r="BM1031" s="112"/>
      <c r="BN1031" s="112"/>
      <c r="BO1031" s="112"/>
      <c r="BP1031" s="112"/>
      <c r="BQ1031" s="112"/>
      <c r="BR1031" s="112"/>
      <c r="BS1031" s="112"/>
      <c r="BT1031" s="112"/>
      <c r="BU1031" s="112"/>
      <c r="BV1031" s="112"/>
      <c r="BW1031" s="112"/>
      <c r="BX1031" s="112"/>
      <c r="BY1031" s="112"/>
      <c r="BZ1031" s="112"/>
    </row>
    <row r="1032" spans="30:78" x14ac:dyDescent="0.2">
      <c r="AD1032" s="112"/>
      <c r="AE1032" s="112"/>
      <c r="AF1032" s="112"/>
      <c r="AG1032" s="112"/>
      <c r="AH1032" s="112"/>
      <c r="AI1032" s="112"/>
      <c r="AJ1032" s="112"/>
      <c r="AK1032" s="112"/>
      <c r="AL1032" s="112"/>
      <c r="AM1032" s="112"/>
      <c r="AN1032" s="112"/>
      <c r="AO1032" s="112"/>
      <c r="AP1032" s="112"/>
      <c r="AQ1032" s="112"/>
      <c r="AR1032" s="112"/>
      <c r="AS1032" s="112"/>
      <c r="AT1032" s="112"/>
      <c r="AU1032" s="112"/>
      <c r="AV1032" s="112"/>
      <c r="AW1032" s="112"/>
      <c r="AX1032" s="112"/>
      <c r="AY1032" s="112"/>
      <c r="AZ1032" s="112"/>
      <c r="BA1032" s="112"/>
      <c r="BB1032" s="112"/>
      <c r="BC1032" s="112"/>
      <c r="BD1032" s="112"/>
      <c r="BE1032" s="112"/>
      <c r="BF1032" s="112"/>
      <c r="BG1032" s="112"/>
      <c r="BH1032" s="112"/>
      <c r="BI1032" s="112"/>
      <c r="BJ1032" s="112"/>
      <c r="BK1032" s="112"/>
      <c r="BL1032" s="112"/>
      <c r="BM1032" s="112"/>
      <c r="BN1032" s="112"/>
      <c r="BO1032" s="112"/>
      <c r="BP1032" s="112"/>
      <c r="BQ1032" s="112"/>
      <c r="BR1032" s="112"/>
      <c r="BS1032" s="112"/>
      <c r="BT1032" s="112"/>
      <c r="BU1032" s="112"/>
      <c r="BV1032" s="112"/>
      <c r="BW1032" s="112"/>
      <c r="BX1032" s="112"/>
      <c r="BY1032" s="112"/>
      <c r="BZ1032" s="112"/>
    </row>
  </sheetData>
  <pageMargins left="0.7" right="0.7" top="0.75" bottom="0.75" header="0.3" footer="0.3"/>
  <pageSetup paperSize="173" orientation="portrait"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2060"/>
  </sheetPr>
  <dimension ref="A1:BX45"/>
  <sheetViews>
    <sheetView showGridLines="0" tabSelected="1" workbookViewId="0">
      <selection activeCell="L28" sqref="L28"/>
    </sheetView>
  </sheetViews>
  <sheetFormatPr defaultRowHeight="12" x14ac:dyDescent="0.2"/>
  <cols>
    <col min="1" max="1" width="12.1640625" customWidth="1"/>
    <col min="2" max="2" width="22.5" customWidth="1"/>
    <col min="14" max="14" width="11.5" customWidth="1"/>
    <col min="15" max="15" width="1.83203125" customWidth="1"/>
    <col min="30" max="47" width="13" customWidth="1"/>
  </cols>
  <sheetData>
    <row r="1" spans="1:76" ht="19.5" x14ac:dyDescent="0.3">
      <c r="A1" s="655" t="s">
        <v>561</v>
      </c>
    </row>
    <row r="2" spans="1:76" ht="14.25" customHeight="1" x14ac:dyDescent="0.3">
      <c r="A2" s="655"/>
    </row>
    <row r="3" spans="1:76" ht="12.75" customHeight="1" x14ac:dyDescent="0.2">
      <c r="A3" s="656" t="s">
        <v>268</v>
      </c>
      <c r="B3" s="90" t="s">
        <v>263</v>
      </c>
      <c r="C3" s="657"/>
      <c r="D3" s="658">
        <v>400</v>
      </c>
      <c r="E3" s="658">
        <v>400</v>
      </c>
      <c r="F3" s="658">
        <v>400</v>
      </c>
      <c r="G3" s="658">
        <v>400</v>
      </c>
      <c r="H3" s="658">
        <v>400</v>
      </c>
      <c r="I3" s="658">
        <v>400</v>
      </c>
      <c r="J3" s="659"/>
      <c r="K3" s="660"/>
      <c r="L3" s="660"/>
      <c r="M3" s="661"/>
      <c r="N3" s="662"/>
    </row>
    <row r="4" spans="1:76" x14ac:dyDescent="0.2">
      <c r="A4" s="663"/>
      <c r="B4" s="90" t="s">
        <v>315</v>
      </c>
      <c r="C4" s="664" t="s">
        <v>404</v>
      </c>
      <c r="D4" s="659">
        <v>64</v>
      </c>
      <c r="E4" s="659">
        <v>64</v>
      </c>
      <c r="F4" s="659">
        <v>64</v>
      </c>
      <c r="G4" s="659">
        <v>64</v>
      </c>
      <c r="H4" s="659">
        <v>64</v>
      </c>
      <c r="I4" s="659">
        <v>64</v>
      </c>
      <c r="J4" s="659"/>
      <c r="K4" s="660"/>
      <c r="L4" s="660"/>
      <c r="M4" s="661"/>
      <c r="N4" s="417"/>
    </row>
    <row r="5" spans="1:76" x14ac:dyDescent="0.2">
      <c r="A5" s="49" t="s">
        <v>560</v>
      </c>
    </row>
    <row r="6" spans="1:76" x14ac:dyDescent="0.2">
      <c r="A6" s="438" t="s">
        <v>84</v>
      </c>
      <c r="B6" s="439" t="s">
        <v>81</v>
      </c>
      <c r="C6" s="494" t="s">
        <v>83</v>
      </c>
      <c r="D6" s="440" t="s">
        <v>389</v>
      </c>
      <c r="E6" s="440" t="s">
        <v>390</v>
      </c>
      <c r="F6" s="440" t="s">
        <v>391</v>
      </c>
      <c r="G6" s="440" t="s">
        <v>392</v>
      </c>
      <c r="H6" s="440" t="s">
        <v>393</v>
      </c>
      <c r="I6" s="440" t="s">
        <v>394</v>
      </c>
      <c r="J6" s="440" t="s">
        <v>395</v>
      </c>
      <c r="K6" s="440" t="s">
        <v>396</v>
      </c>
      <c r="L6" s="440" t="s">
        <v>397</v>
      </c>
      <c r="M6" s="441" t="s">
        <v>398</v>
      </c>
      <c r="N6" s="689" t="s">
        <v>569</v>
      </c>
    </row>
    <row r="7" spans="1:76" x14ac:dyDescent="0.2">
      <c r="A7" s="653" t="s">
        <v>556</v>
      </c>
      <c r="B7" s="49" t="s">
        <v>51</v>
      </c>
      <c r="C7" s="496"/>
      <c r="D7" s="649">
        <v>0</v>
      </c>
      <c r="E7" s="649">
        <v>10</v>
      </c>
      <c r="F7" s="649">
        <v>20</v>
      </c>
      <c r="G7" s="649">
        <v>50</v>
      </c>
      <c r="H7" s="649">
        <v>100</v>
      </c>
      <c r="I7" s="649">
        <v>500</v>
      </c>
      <c r="J7" s="477"/>
      <c r="K7" s="478"/>
      <c r="L7" s="478"/>
      <c r="M7" s="479"/>
      <c r="N7" s="666">
        <v>50</v>
      </c>
    </row>
    <row r="8" spans="1:76" x14ac:dyDescent="0.2">
      <c r="A8" s="653" t="s">
        <v>244</v>
      </c>
      <c r="B8" s="49" t="s">
        <v>244</v>
      </c>
      <c r="C8" s="496"/>
      <c r="D8" s="649">
        <v>12000</v>
      </c>
      <c r="E8" s="649">
        <v>12000</v>
      </c>
      <c r="F8" s="649">
        <v>12000</v>
      </c>
      <c r="G8" s="649">
        <v>12000</v>
      </c>
      <c r="H8" s="649">
        <v>12000</v>
      </c>
      <c r="I8" s="649">
        <v>12000</v>
      </c>
      <c r="J8" s="477"/>
      <c r="K8" s="478"/>
      <c r="L8" s="478"/>
      <c r="M8" s="479"/>
      <c r="N8" s="666">
        <v>12000</v>
      </c>
      <c r="AD8" s="2" t="s">
        <v>399</v>
      </c>
      <c r="AE8" s="3" t="s">
        <v>352</v>
      </c>
      <c r="AF8" s="3" t="s">
        <v>353</v>
      </c>
      <c r="AG8" s="2" t="s">
        <v>400</v>
      </c>
      <c r="AH8" s="3" t="s">
        <v>354</v>
      </c>
      <c r="AI8" s="4" t="s">
        <v>355</v>
      </c>
      <c r="AJ8" s="2" t="s">
        <v>402</v>
      </c>
      <c r="AK8" s="3" t="s">
        <v>356</v>
      </c>
      <c r="AL8" s="4" t="s">
        <v>357</v>
      </c>
      <c r="AM8" s="2" t="s">
        <v>477</v>
      </c>
      <c r="AN8" s="3" t="s">
        <v>358</v>
      </c>
      <c r="AO8" s="4" t="s">
        <v>359</v>
      </c>
      <c r="AP8" s="2" t="s">
        <v>584</v>
      </c>
      <c r="AQ8" s="3" t="s">
        <v>494</v>
      </c>
      <c r="AR8" s="4" t="s">
        <v>495</v>
      </c>
      <c r="AS8" s="2" t="s">
        <v>585</v>
      </c>
      <c r="AT8" s="3" t="s">
        <v>522</v>
      </c>
      <c r="AU8" s="4" t="s">
        <v>523</v>
      </c>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4"/>
    </row>
    <row r="9" spans="1:76" x14ac:dyDescent="0.2">
      <c r="A9" s="653" t="s">
        <v>557</v>
      </c>
      <c r="B9" s="49" t="s">
        <v>547</v>
      </c>
      <c r="C9" s="498" t="s">
        <v>45</v>
      </c>
      <c r="D9" s="477">
        <v>2750</v>
      </c>
      <c r="E9" s="477">
        <v>2200</v>
      </c>
      <c r="F9" s="477">
        <v>2000</v>
      </c>
      <c r="G9" s="477">
        <v>1900</v>
      </c>
      <c r="H9" s="477">
        <v>1800</v>
      </c>
      <c r="I9" s="477">
        <v>1500</v>
      </c>
      <c r="J9" s="477"/>
      <c r="K9" s="478"/>
      <c r="L9" s="478"/>
      <c r="M9" s="479"/>
      <c r="N9" s="666">
        <v>1900</v>
      </c>
      <c r="AD9" s="318" t="s">
        <v>125</v>
      </c>
      <c r="AE9" s="319" t="s">
        <v>67</v>
      </c>
      <c r="AF9" s="319" t="s">
        <v>67</v>
      </c>
      <c r="AG9" s="318" t="s">
        <v>125</v>
      </c>
      <c r="AH9" s="319" t="s">
        <v>67</v>
      </c>
      <c r="AI9" s="445" t="s">
        <v>67</v>
      </c>
      <c r="AJ9" s="318" t="s">
        <v>125</v>
      </c>
      <c r="AK9" s="319" t="s">
        <v>67</v>
      </c>
      <c r="AL9" s="445" t="s">
        <v>67</v>
      </c>
      <c r="AM9" s="318" t="s">
        <v>125</v>
      </c>
      <c r="AN9" s="319" t="s">
        <v>67</v>
      </c>
      <c r="AO9" s="445" t="s">
        <v>67</v>
      </c>
      <c r="AP9" s="318" t="s">
        <v>125</v>
      </c>
      <c r="AQ9" s="319" t="s">
        <v>67</v>
      </c>
      <c r="AR9" s="445" t="s">
        <v>67</v>
      </c>
      <c r="AS9" s="318" t="s">
        <v>125</v>
      </c>
      <c r="AT9" s="319" t="s">
        <v>67</v>
      </c>
      <c r="AU9" s="445" t="s">
        <v>67</v>
      </c>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W9" s="319"/>
      <c r="BX9" s="445"/>
    </row>
    <row r="10" spans="1:76" x14ac:dyDescent="0.2">
      <c r="A10" s="653" t="s">
        <v>558</v>
      </c>
      <c r="B10" s="49" t="s">
        <v>548</v>
      </c>
      <c r="C10" s="498" t="s">
        <v>0</v>
      </c>
      <c r="D10" s="650">
        <v>20</v>
      </c>
      <c r="E10" s="650">
        <v>20</v>
      </c>
      <c r="F10" s="650">
        <v>20</v>
      </c>
      <c r="G10" s="650">
        <v>20</v>
      </c>
      <c r="H10" s="650">
        <v>20</v>
      </c>
      <c r="I10" s="650">
        <v>20</v>
      </c>
      <c r="J10" s="650"/>
      <c r="K10" s="651"/>
      <c r="L10" s="651"/>
      <c r="M10" s="652"/>
      <c r="N10" s="666">
        <v>20</v>
      </c>
      <c r="AD10" s="446">
        <v>3.6800800000000002E-2</v>
      </c>
      <c r="AE10" s="431">
        <v>4126.93</v>
      </c>
      <c r="AF10" s="461">
        <v>1907.97</v>
      </c>
      <c r="AG10" s="464">
        <v>7.4400099999999997E-2</v>
      </c>
      <c r="AH10" s="431">
        <v>4332.67</v>
      </c>
      <c r="AI10" s="461">
        <v>1906.23</v>
      </c>
      <c r="AJ10" s="464">
        <v>7.5891799999999995E-2</v>
      </c>
      <c r="AK10" s="431">
        <v>4502.08</v>
      </c>
      <c r="AL10" s="461">
        <v>1903.56</v>
      </c>
      <c r="AM10" s="431">
        <v>7.8896800000000003E-2</v>
      </c>
      <c r="AN10" s="431">
        <v>4792.6099999999997</v>
      </c>
      <c r="AO10" s="431">
        <v>1899</v>
      </c>
      <c r="AP10" s="464">
        <v>8.1255400000000005E-2</v>
      </c>
      <c r="AQ10" s="431">
        <v>4785.16</v>
      </c>
      <c r="AR10" s="461">
        <v>1886.81</v>
      </c>
      <c r="AS10" s="431">
        <v>8.2846900000000001E-2</v>
      </c>
      <c r="AT10" s="431">
        <v>4785.17</v>
      </c>
      <c r="AU10" s="431">
        <v>1826.92</v>
      </c>
      <c r="AV10" s="464"/>
      <c r="AW10" s="431"/>
      <c r="AX10" s="461"/>
      <c r="AY10" s="431"/>
      <c r="AZ10" s="432"/>
      <c r="BA10" s="432"/>
      <c r="BB10" s="432"/>
      <c r="BC10" s="432"/>
      <c r="BD10" s="432"/>
      <c r="BE10" s="432"/>
      <c r="BF10" s="432"/>
      <c r="BG10" s="432"/>
      <c r="BH10" s="432"/>
      <c r="BI10" s="432"/>
      <c r="BJ10" s="432"/>
      <c r="BK10" s="432"/>
      <c r="BL10" s="432"/>
      <c r="BM10" s="432"/>
      <c r="BN10" s="432"/>
      <c r="BO10" s="432"/>
      <c r="BP10" s="432"/>
      <c r="BQ10" s="432"/>
      <c r="BR10" s="432"/>
      <c r="BS10" s="432"/>
      <c r="BT10" s="432"/>
      <c r="BU10" s="432"/>
      <c r="BV10" s="432"/>
      <c r="BW10" s="432"/>
      <c r="BX10" s="449"/>
    </row>
    <row r="11" spans="1:76" x14ac:dyDescent="0.2">
      <c r="A11" s="653" t="s">
        <v>559</v>
      </c>
      <c r="B11" s="49" t="s">
        <v>549</v>
      </c>
      <c r="C11" s="498" t="s">
        <v>404</v>
      </c>
      <c r="D11" s="477">
        <v>7</v>
      </c>
      <c r="E11" s="477">
        <v>7</v>
      </c>
      <c r="F11" s="477">
        <v>7</v>
      </c>
      <c r="G11" s="477">
        <v>7</v>
      </c>
      <c r="H11" s="477">
        <v>7</v>
      </c>
      <c r="I11" s="477">
        <v>7</v>
      </c>
      <c r="J11" s="477"/>
      <c r="K11" s="478"/>
      <c r="L11" s="478"/>
      <c r="M11" s="479"/>
      <c r="N11" s="666">
        <v>7</v>
      </c>
      <c r="AD11" s="447">
        <v>1.9702</v>
      </c>
      <c r="AE11" s="429">
        <v>1145.78</v>
      </c>
      <c r="AF11" s="462">
        <v>1854.5</v>
      </c>
      <c r="AG11" s="465">
        <v>3.9831500000000002</v>
      </c>
      <c r="AH11" s="429">
        <v>1692.65</v>
      </c>
      <c r="AI11" s="462">
        <v>1852.88</v>
      </c>
      <c r="AJ11" s="465">
        <v>4.0630100000000002</v>
      </c>
      <c r="AK11" s="429">
        <v>1712.96</v>
      </c>
      <c r="AL11" s="462">
        <v>1850.3</v>
      </c>
      <c r="AM11" s="429">
        <v>4.2238899999999999</v>
      </c>
      <c r="AN11" s="429">
        <v>1747.57</v>
      </c>
      <c r="AO11" s="429">
        <v>1845.91</v>
      </c>
      <c r="AP11" s="465">
        <v>4.3501500000000002</v>
      </c>
      <c r="AQ11" s="429">
        <v>1753.34</v>
      </c>
      <c r="AR11" s="462">
        <v>1834.19</v>
      </c>
      <c r="AS11" s="429">
        <v>4.4353600000000002</v>
      </c>
      <c r="AT11" s="429">
        <v>1759.98</v>
      </c>
      <c r="AU11" s="429">
        <v>1776.43</v>
      </c>
      <c r="AV11" s="465"/>
      <c r="AW11" s="429"/>
      <c r="AX11" s="462"/>
      <c r="AY11" s="429"/>
      <c r="AZ11" s="394"/>
      <c r="BA11" s="394"/>
      <c r="BB11" s="394"/>
      <c r="BC11" s="394"/>
      <c r="BD11" s="394"/>
      <c r="BE11" s="394"/>
      <c r="BF11" s="394"/>
      <c r="BG11" s="394"/>
      <c r="BH11" s="394"/>
      <c r="BI11" s="394"/>
      <c r="BJ11" s="394"/>
      <c r="BK11" s="394"/>
      <c r="BL11" s="394"/>
      <c r="BM11" s="394"/>
      <c r="BN11" s="394"/>
      <c r="BO11" s="394"/>
      <c r="BP11" s="394"/>
      <c r="BQ11" s="394"/>
      <c r="BR11" s="394"/>
      <c r="BS11" s="394"/>
      <c r="BT11" s="394"/>
      <c r="BU11" s="394"/>
      <c r="BV11" s="394"/>
      <c r="BW11" s="394"/>
      <c r="BX11" s="450"/>
    </row>
    <row r="12" spans="1:76" x14ac:dyDescent="0.2">
      <c r="A12" s="653" t="s">
        <v>552</v>
      </c>
      <c r="B12" s="49" t="s">
        <v>550</v>
      </c>
      <c r="D12" s="665">
        <v>1</v>
      </c>
      <c r="E12">
        <v>5</v>
      </c>
      <c r="F12">
        <v>10</v>
      </c>
      <c r="G12">
        <v>20</v>
      </c>
      <c r="H12">
        <v>30</v>
      </c>
      <c r="I12">
        <v>50</v>
      </c>
      <c r="M12" s="299"/>
      <c r="N12" s="667">
        <v>20</v>
      </c>
      <c r="AD12" s="447">
        <v>3.9035899999999999</v>
      </c>
      <c r="AE12" s="429">
        <v>1694.35</v>
      </c>
      <c r="AF12" s="462">
        <v>1799.74</v>
      </c>
      <c r="AG12" s="465">
        <v>7.8918999999999997</v>
      </c>
      <c r="AH12" s="429">
        <v>2082.61</v>
      </c>
      <c r="AI12" s="462">
        <v>1798.24</v>
      </c>
      <c r="AJ12" s="465">
        <v>8.0501199999999997</v>
      </c>
      <c r="AK12" s="429">
        <v>2111.86</v>
      </c>
      <c r="AL12" s="462">
        <v>1795.75</v>
      </c>
      <c r="AM12" s="429">
        <v>8.3688699999999994</v>
      </c>
      <c r="AN12" s="429">
        <v>2176.6799999999998</v>
      </c>
      <c r="AO12" s="429">
        <v>1791.53</v>
      </c>
      <c r="AP12" s="465">
        <v>8.6190499999999997</v>
      </c>
      <c r="AQ12" s="429">
        <v>2218.38</v>
      </c>
      <c r="AR12" s="462">
        <v>1780.23</v>
      </c>
      <c r="AS12" s="429">
        <v>8.7878699999999998</v>
      </c>
      <c r="AT12" s="429">
        <v>2230.56</v>
      </c>
      <c r="AU12" s="429">
        <v>1724.63</v>
      </c>
      <c r="AV12" s="465"/>
      <c r="AW12" s="429"/>
      <c r="AX12" s="462"/>
      <c r="AY12" s="429"/>
      <c r="AZ12" s="394"/>
      <c r="BA12" s="394"/>
      <c r="BB12" s="394"/>
      <c r="BC12" s="394"/>
      <c r="BD12" s="394"/>
      <c r="BE12" s="394"/>
      <c r="BF12" s="394"/>
      <c r="BG12" s="394"/>
      <c r="BH12" s="394"/>
      <c r="BI12" s="394"/>
      <c r="BJ12" s="394"/>
      <c r="BK12" s="394"/>
      <c r="BL12" s="394"/>
      <c r="BM12" s="394"/>
      <c r="BN12" s="394"/>
      <c r="BO12" s="394"/>
      <c r="BP12" s="394"/>
      <c r="BQ12" s="394"/>
      <c r="BR12" s="394"/>
      <c r="BS12" s="394"/>
      <c r="BT12" s="394"/>
      <c r="BU12" s="394"/>
      <c r="BV12" s="394"/>
      <c r="BW12" s="394"/>
      <c r="BX12" s="450"/>
    </row>
    <row r="13" spans="1:76" x14ac:dyDescent="0.2">
      <c r="A13" s="653" t="s">
        <v>553</v>
      </c>
      <c r="B13" s="49" t="s">
        <v>551</v>
      </c>
      <c r="D13" s="665">
        <v>500</v>
      </c>
      <c r="E13">
        <v>500</v>
      </c>
      <c r="F13">
        <v>500</v>
      </c>
      <c r="G13">
        <v>500</v>
      </c>
      <c r="H13">
        <v>500</v>
      </c>
      <c r="I13">
        <v>500</v>
      </c>
      <c r="M13" s="299"/>
      <c r="N13" s="667">
        <v>500</v>
      </c>
      <c r="AD13" s="447">
        <v>5.8369900000000001</v>
      </c>
      <c r="AE13" s="429">
        <v>1857.12</v>
      </c>
      <c r="AF13" s="462">
        <v>1743.58</v>
      </c>
      <c r="AG13" s="465">
        <v>11.800599999999999</v>
      </c>
      <c r="AH13" s="429">
        <v>2695.53</v>
      </c>
      <c r="AI13" s="462">
        <v>1742.18</v>
      </c>
      <c r="AJ13" s="465">
        <v>12.0372</v>
      </c>
      <c r="AK13" s="429">
        <v>2742.01</v>
      </c>
      <c r="AL13" s="462">
        <v>1739.79</v>
      </c>
      <c r="AM13" s="429">
        <v>12.5139</v>
      </c>
      <c r="AN13" s="429">
        <v>2847.74</v>
      </c>
      <c r="AO13" s="429">
        <v>1735.74</v>
      </c>
      <c r="AP13" s="465">
        <v>12.888</v>
      </c>
      <c r="AQ13" s="429">
        <v>2942.57</v>
      </c>
      <c r="AR13" s="462">
        <v>1724.87</v>
      </c>
      <c r="AS13" s="429">
        <v>13.1404</v>
      </c>
      <c r="AT13" s="429">
        <v>2950.02</v>
      </c>
      <c r="AU13" s="429">
        <v>1671.41</v>
      </c>
      <c r="AV13" s="465"/>
      <c r="AW13" s="429"/>
      <c r="AX13" s="462"/>
      <c r="AY13" s="429"/>
      <c r="AZ13" s="394"/>
      <c r="BA13" s="394"/>
      <c r="BB13" s="394"/>
      <c r="BC13" s="394"/>
      <c r="BD13" s="394"/>
      <c r="BE13" s="394"/>
      <c r="BF13" s="394"/>
      <c r="BG13" s="394"/>
      <c r="BH13" s="394"/>
      <c r="BI13" s="394"/>
      <c r="BJ13" s="394"/>
      <c r="BK13" s="394"/>
      <c r="BL13" s="394"/>
      <c r="BM13" s="394"/>
      <c r="BN13" s="394"/>
      <c r="BO13" s="394"/>
      <c r="BP13" s="394"/>
      <c r="BQ13" s="394"/>
      <c r="BR13" s="394"/>
      <c r="BS13" s="394"/>
      <c r="BT13" s="394"/>
      <c r="BU13" s="394"/>
      <c r="BV13" s="394"/>
      <c r="BW13" s="394"/>
      <c r="BX13" s="450"/>
    </row>
    <row r="14" spans="1:76" x14ac:dyDescent="0.2">
      <c r="A14" s="653" t="s">
        <v>554</v>
      </c>
      <c r="B14" s="49" t="s">
        <v>257</v>
      </c>
      <c r="D14" s="665">
        <v>31.6</v>
      </c>
      <c r="E14">
        <v>31.6</v>
      </c>
      <c r="F14">
        <v>31.6</v>
      </c>
      <c r="G14">
        <v>31.6</v>
      </c>
      <c r="H14">
        <v>31.6</v>
      </c>
      <c r="I14">
        <v>31.6</v>
      </c>
      <c r="M14" s="299"/>
      <c r="N14" s="667">
        <v>31.600000381000001</v>
      </c>
      <c r="AD14" s="447">
        <v>7.7703899999999999</v>
      </c>
      <c r="AE14" s="429">
        <v>2074.62</v>
      </c>
      <c r="AF14" s="462">
        <v>1685.86</v>
      </c>
      <c r="AG14" s="465">
        <v>15.7094</v>
      </c>
      <c r="AH14" s="429">
        <v>3368.66</v>
      </c>
      <c r="AI14" s="462">
        <v>1684.58</v>
      </c>
      <c r="AJ14" s="465">
        <v>16.0243</v>
      </c>
      <c r="AK14" s="429">
        <v>3425.6</v>
      </c>
      <c r="AL14" s="462">
        <v>1682.28</v>
      </c>
      <c r="AM14" s="429">
        <v>16.658799999999999</v>
      </c>
      <c r="AN14" s="429">
        <v>3557.76</v>
      </c>
      <c r="AO14" s="429">
        <v>1678.4</v>
      </c>
      <c r="AP14" s="465">
        <v>17.1569</v>
      </c>
      <c r="AQ14" s="429">
        <v>3688.41</v>
      </c>
      <c r="AR14" s="462">
        <v>1667.96</v>
      </c>
      <c r="AS14" s="429">
        <v>17.492899999999999</v>
      </c>
      <c r="AT14" s="429">
        <v>3691.49</v>
      </c>
      <c r="AU14" s="429">
        <v>1616.64</v>
      </c>
      <c r="AV14" s="465"/>
      <c r="AW14" s="429"/>
      <c r="AX14" s="462"/>
      <c r="AY14" s="429"/>
      <c r="AZ14" s="394"/>
      <c r="BA14" s="394"/>
      <c r="BB14" s="394"/>
      <c r="BC14" s="394"/>
      <c r="BD14" s="394"/>
      <c r="BE14" s="394"/>
      <c r="BF14" s="394"/>
      <c r="BG14" s="394"/>
      <c r="BH14" s="394"/>
      <c r="BI14" s="394"/>
      <c r="BJ14" s="394"/>
      <c r="BK14" s="394"/>
      <c r="BL14" s="394"/>
      <c r="BM14" s="394"/>
      <c r="BN14" s="394"/>
      <c r="BO14" s="394"/>
      <c r="BP14" s="394"/>
      <c r="BQ14" s="394"/>
      <c r="BR14" s="394"/>
      <c r="BS14" s="394"/>
      <c r="BT14" s="394"/>
      <c r="BU14" s="394"/>
      <c r="BV14" s="394"/>
      <c r="BW14" s="394"/>
      <c r="BX14" s="450"/>
    </row>
    <row r="15" spans="1:76" x14ac:dyDescent="0.2">
      <c r="A15" s="654" t="s">
        <v>555</v>
      </c>
      <c r="B15" s="436" t="s">
        <v>258</v>
      </c>
      <c r="C15" s="300"/>
      <c r="D15" s="300">
        <v>3</v>
      </c>
      <c r="E15" s="300">
        <v>3</v>
      </c>
      <c r="F15" s="300">
        <v>3</v>
      </c>
      <c r="G15" s="300">
        <v>3</v>
      </c>
      <c r="H15" s="300">
        <v>3</v>
      </c>
      <c r="I15" s="300">
        <v>3</v>
      </c>
      <c r="J15" s="300"/>
      <c r="K15" s="300"/>
      <c r="L15" s="300"/>
      <c r="M15" s="301"/>
      <c r="N15" s="668">
        <v>3</v>
      </c>
      <c r="AD15" s="447">
        <v>9.7037800000000001</v>
      </c>
      <c r="AE15" s="429">
        <v>2353.21</v>
      </c>
      <c r="AF15" s="462">
        <v>1626.43</v>
      </c>
      <c r="AG15" s="465">
        <v>19.618099999999998</v>
      </c>
      <c r="AH15" s="429">
        <v>4027.12</v>
      </c>
      <c r="AI15" s="462">
        <v>1625.25</v>
      </c>
      <c r="AJ15" s="465">
        <v>20.011500000000002</v>
      </c>
      <c r="AK15" s="429">
        <v>4096.3900000000003</v>
      </c>
      <c r="AL15" s="462">
        <v>1623.05</v>
      </c>
      <c r="AM15" s="429">
        <v>20.803799999999999</v>
      </c>
      <c r="AN15" s="429">
        <v>4258.91</v>
      </c>
      <c r="AO15" s="429">
        <v>1619.35</v>
      </c>
      <c r="AP15" s="465">
        <v>21.425799999999999</v>
      </c>
      <c r="AQ15" s="429">
        <v>4427.54</v>
      </c>
      <c r="AR15" s="462">
        <v>1609.34</v>
      </c>
      <c r="AS15" s="429">
        <v>21.845400000000001</v>
      </c>
      <c r="AT15" s="429">
        <v>4428.09</v>
      </c>
      <c r="AU15" s="429">
        <v>1560.16</v>
      </c>
      <c r="AV15" s="465"/>
      <c r="AW15" s="429"/>
      <c r="AX15" s="462"/>
      <c r="AY15" s="429"/>
      <c r="AZ15" s="394"/>
      <c r="BA15" s="394"/>
      <c r="BB15" s="394"/>
      <c r="BC15" s="394"/>
      <c r="BD15" s="394"/>
      <c r="BE15" s="394"/>
      <c r="BF15" s="394"/>
      <c r="BG15" s="394"/>
      <c r="BH15" s="394"/>
      <c r="BI15" s="394"/>
      <c r="BJ15" s="394"/>
      <c r="BK15" s="394"/>
      <c r="BL15" s="394"/>
      <c r="BM15" s="394"/>
      <c r="BN15" s="394"/>
      <c r="BO15" s="394"/>
      <c r="BP15" s="394"/>
      <c r="BQ15" s="394"/>
      <c r="BR15" s="394"/>
      <c r="BS15" s="394"/>
      <c r="BT15" s="394"/>
      <c r="BU15" s="394"/>
      <c r="BV15" s="394"/>
      <c r="BW15" s="394"/>
      <c r="BX15" s="450"/>
    </row>
    <row r="16" spans="1:76" x14ac:dyDescent="0.2">
      <c r="AD16" s="447">
        <v>11.6372</v>
      </c>
      <c r="AE16" s="429">
        <v>2673.8</v>
      </c>
      <c r="AF16" s="462">
        <v>1565.09</v>
      </c>
      <c r="AG16" s="465">
        <v>23.526900000000001</v>
      </c>
      <c r="AH16" s="429">
        <v>4691.8900000000003</v>
      </c>
      <c r="AI16" s="462">
        <v>1564.02</v>
      </c>
      <c r="AJ16" s="465">
        <v>23.9986</v>
      </c>
      <c r="AK16" s="429">
        <v>4775</v>
      </c>
      <c r="AL16" s="462">
        <v>1561.91</v>
      </c>
      <c r="AM16" s="429">
        <v>24.948799999999999</v>
      </c>
      <c r="AN16" s="429">
        <v>4973.46</v>
      </c>
      <c r="AO16" s="429">
        <v>1558.38</v>
      </c>
      <c r="AP16" s="465">
        <v>25.694700000000001</v>
      </c>
      <c r="AQ16" s="429">
        <v>5181.6099999999997</v>
      </c>
      <c r="AR16" s="462">
        <v>1548.81</v>
      </c>
      <c r="AS16" s="429">
        <v>26.197900000000001</v>
      </c>
      <c r="AT16" s="429">
        <v>5182.8999999999996</v>
      </c>
      <c r="AU16" s="429">
        <v>1501.75</v>
      </c>
      <c r="AV16" s="465"/>
      <c r="AW16" s="429"/>
      <c r="AX16" s="462"/>
      <c r="AY16" s="429"/>
      <c r="AZ16" s="394"/>
      <c r="BA16" s="394"/>
      <c r="BB16" s="394"/>
      <c r="BC16" s="394"/>
      <c r="BD16" s="394"/>
      <c r="BE16" s="394"/>
      <c r="BF16" s="394"/>
      <c r="BG16" s="394"/>
      <c r="BH16" s="394"/>
      <c r="BI16" s="394"/>
      <c r="BJ16" s="394"/>
      <c r="BK16" s="394"/>
      <c r="BL16" s="394"/>
      <c r="BM16" s="394"/>
      <c r="BN16" s="394"/>
      <c r="BO16" s="394"/>
      <c r="BP16" s="394"/>
      <c r="BQ16" s="394"/>
      <c r="BR16" s="394"/>
      <c r="BS16" s="394"/>
      <c r="BT16" s="394"/>
      <c r="BU16" s="394"/>
      <c r="BV16" s="394"/>
      <c r="BW16" s="394"/>
      <c r="BX16" s="450"/>
    </row>
    <row r="17" spans="1:76" x14ac:dyDescent="0.2">
      <c r="A17" s="49" t="s">
        <v>562</v>
      </c>
      <c r="AD17" s="447">
        <v>13.570600000000001</v>
      </c>
      <c r="AE17" s="429">
        <v>3008.11</v>
      </c>
      <c r="AF17" s="462">
        <v>1501.6</v>
      </c>
      <c r="AG17" s="465">
        <v>27.435600000000001</v>
      </c>
      <c r="AH17" s="429">
        <v>5374.69</v>
      </c>
      <c r="AI17" s="462">
        <v>1500.63</v>
      </c>
      <c r="AJ17" s="465">
        <v>27.985700000000001</v>
      </c>
      <c r="AK17" s="429">
        <v>5474.38</v>
      </c>
      <c r="AL17" s="462">
        <v>1498.62</v>
      </c>
      <c r="AM17" s="429">
        <v>29.093800000000002</v>
      </c>
      <c r="AN17" s="429">
        <v>5714.26</v>
      </c>
      <c r="AO17" s="429">
        <v>1495.28</v>
      </c>
      <c r="AP17" s="465">
        <v>29.9636</v>
      </c>
      <c r="AQ17" s="429">
        <v>5974.82</v>
      </c>
      <c r="AR17" s="462">
        <v>1486.16</v>
      </c>
      <c r="AS17" s="429">
        <v>30.5504</v>
      </c>
      <c r="AT17" s="429">
        <v>6235.06</v>
      </c>
      <c r="AU17" s="429">
        <v>1441.23</v>
      </c>
      <c r="AV17" s="465"/>
      <c r="AW17" s="429"/>
      <c r="AX17" s="462"/>
      <c r="AY17" s="429"/>
      <c r="AZ17" s="394"/>
      <c r="BA17" s="394"/>
      <c r="BB17" s="394"/>
      <c r="BC17" s="394"/>
      <c r="BD17" s="394"/>
      <c r="BE17" s="394"/>
      <c r="BF17" s="394"/>
      <c r="BG17" s="394"/>
      <c r="BH17" s="394"/>
      <c r="BI17" s="394"/>
      <c r="BJ17" s="394"/>
      <c r="BK17" s="394"/>
      <c r="BL17" s="394"/>
      <c r="BM17" s="394"/>
      <c r="BN17" s="394"/>
      <c r="BO17" s="394"/>
      <c r="BP17" s="394"/>
      <c r="BQ17" s="394"/>
      <c r="BR17" s="394"/>
      <c r="BS17" s="394"/>
      <c r="BT17" s="394"/>
      <c r="BU17" s="394"/>
      <c r="BV17" s="394"/>
      <c r="BW17" s="394"/>
      <c r="BX17" s="450"/>
    </row>
    <row r="18" spans="1:76" x14ac:dyDescent="0.2">
      <c r="A18" s="438" t="s">
        <v>84</v>
      </c>
      <c r="B18" s="439" t="s">
        <v>81</v>
      </c>
      <c r="C18" s="494" t="s">
        <v>83</v>
      </c>
      <c r="D18" s="440" t="s">
        <v>389</v>
      </c>
      <c r="E18" s="440" t="s">
        <v>390</v>
      </c>
      <c r="F18" s="440" t="s">
        <v>391</v>
      </c>
      <c r="G18" s="440" t="s">
        <v>392</v>
      </c>
      <c r="H18" s="440" t="s">
        <v>393</v>
      </c>
      <c r="I18" s="440" t="s">
        <v>394</v>
      </c>
      <c r="J18" s="440" t="s">
        <v>395</v>
      </c>
      <c r="K18" s="440" t="s">
        <v>396</v>
      </c>
      <c r="L18" s="440" t="s">
        <v>397</v>
      </c>
      <c r="M18" s="441" t="s">
        <v>398</v>
      </c>
      <c r="N18" s="689" t="s">
        <v>569</v>
      </c>
      <c r="AD18" s="447">
        <v>15.504</v>
      </c>
      <c r="AE18" s="429">
        <v>3340.9</v>
      </c>
      <c r="AF18" s="462">
        <v>1435.69</v>
      </c>
      <c r="AG18" s="465">
        <v>31.3444</v>
      </c>
      <c r="AH18" s="429">
        <v>6099.98</v>
      </c>
      <c r="AI18" s="462">
        <v>1434.82</v>
      </c>
      <c r="AJ18" s="465">
        <v>31.972799999999999</v>
      </c>
      <c r="AK18" s="429">
        <v>6225.7</v>
      </c>
      <c r="AL18" s="462">
        <v>1432.91</v>
      </c>
      <c r="AM18" s="429">
        <v>33.238799999999998</v>
      </c>
      <c r="AN18" s="429">
        <v>6530.18</v>
      </c>
      <c r="AO18" s="429">
        <v>1429.74</v>
      </c>
      <c r="AP18" s="465">
        <v>34.232500000000002</v>
      </c>
      <c r="AQ18" s="429">
        <v>6832.62</v>
      </c>
      <c r="AR18" s="462">
        <v>1421.08</v>
      </c>
      <c r="AS18" s="429">
        <v>34.902900000000002</v>
      </c>
      <c r="AT18" s="429">
        <v>7300.05</v>
      </c>
      <c r="AU18" s="429">
        <v>1378.34</v>
      </c>
      <c r="AV18" s="465"/>
      <c r="AW18" s="429"/>
      <c r="AX18" s="462"/>
      <c r="AY18" s="429"/>
      <c r="AZ18" s="394"/>
      <c r="BA18" s="394"/>
      <c r="BB18" s="394"/>
      <c r="BC18" s="394"/>
      <c r="BD18" s="394"/>
      <c r="BE18" s="394"/>
      <c r="BF18" s="394"/>
      <c r="BG18" s="394"/>
      <c r="BH18" s="394"/>
      <c r="BI18" s="394"/>
      <c r="BJ18" s="394"/>
      <c r="BK18" s="394"/>
      <c r="BL18" s="394"/>
      <c r="BM18" s="394"/>
      <c r="BN18" s="394"/>
      <c r="BO18" s="394"/>
      <c r="BP18" s="394"/>
      <c r="BQ18" s="394"/>
      <c r="BR18" s="394"/>
      <c r="BS18" s="394"/>
      <c r="BT18" s="394"/>
      <c r="BU18" s="394"/>
      <c r="BV18" s="394"/>
      <c r="BW18" s="394"/>
      <c r="BX18" s="450"/>
    </row>
    <row r="19" spans="1:76" x14ac:dyDescent="0.2">
      <c r="A19" s="653" t="s">
        <v>556</v>
      </c>
      <c r="B19" s="49" t="s">
        <v>51</v>
      </c>
      <c r="C19" s="496"/>
      <c r="D19" s="649">
        <v>44</v>
      </c>
      <c r="E19" s="477">
        <v>44</v>
      </c>
      <c r="F19" s="477">
        <v>44</v>
      </c>
      <c r="G19" s="477">
        <v>44</v>
      </c>
      <c r="H19" s="477">
        <v>44</v>
      </c>
      <c r="I19" s="477">
        <v>44</v>
      </c>
      <c r="J19" s="477"/>
      <c r="K19" s="478"/>
      <c r="L19" s="478"/>
      <c r="M19" s="479"/>
      <c r="N19" s="666">
        <v>44</v>
      </c>
      <c r="AD19" s="447">
        <v>17.4374</v>
      </c>
      <c r="AE19" s="429">
        <v>3666.75</v>
      </c>
      <c r="AF19" s="462">
        <v>1366.99</v>
      </c>
      <c r="AG19" s="465">
        <v>35.253100000000003</v>
      </c>
      <c r="AH19" s="429">
        <v>6871.34</v>
      </c>
      <c r="AI19" s="462">
        <v>1366.21</v>
      </c>
      <c r="AJ19" s="465">
        <v>35.959899999999998</v>
      </c>
      <c r="AK19" s="429">
        <v>7003.35</v>
      </c>
      <c r="AL19" s="462">
        <v>1364.41</v>
      </c>
      <c r="AM19" s="429">
        <v>37.383800000000001</v>
      </c>
      <c r="AN19" s="429">
        <v>7315.95</v>
      </c>
      <c r="AO19" s="429">
        <v>1361.43</v>
      </c>
      <c r="AP19" s="465">
        <v>38.501399999999997</v>
      </c>
      <c r="AQ19" s="429">
        <v>7654.88</v>
      </c>
      <c r="AR19" s="462">
        <v>1353.24</v>
      </c>
      <c r="AS19" s="429">
        <v>39.255499999999998</v>
      </c>
      <c r="AT19" s="429">
        <v>8366.66</v>
      </c>
      <c r="AU19" s="429">
        <v>1312.75</v>
      </c>
      <c r="AV19" s="465"/>
      <c r="AW19" s="429"/>
      <c r="AX19" s="462"/>
      <c r="AY19" s="429"/>
      <c r="AZ19" s="394"/>
      <c r="BA19" s="394"/>
      <c r="BB19" s="394"/>
      <c r="BC19" s="394"/>
      <c r="BD19" s="394"/>
      <c r="BE19" s="394"/>
      <c r="BF19" s="394"/>
      <c r="BG19" s="394"/>
      <c r="BH19" s="394"/>
      <c r="BI19" s="394"/>
      <c r="BJ19" s="394"/>
      <c r="BK19" s="394"/>
      <c r="BL19" s="394"/>
      <c r="BM19" s="394"/>
      <c r="BN19" s="394"/>
      <c r="BO19" s="394"/>
      <c r="BP19" s="394"/>
      <c r="BQ19" s="394"/>
      <c r="BR19" s="394"/>
      <c r="BS19" s="394"/>
      <c r="BT19" s="394"/>
      <c r="BU19" s="394"/>
      <c r="BV19" s="394"/>
      <c r="BW19" s="394"/>
      <c r="BX19" s="450"/>
    </row>
    <row r="20" spans="1:76" x14ac:dyDescent="0.2">
      <c r="A20" s="653" t="s">
        <v>244</v>
      </c>
      <c r="B20" s="49" t="s">
        <v>244</v>
      </c>
      <c r="C20" s="496"/>
      <c r="D20" s="649">
        <v>12000</v>
      </c>
      <c r="E20" s="649">
        <v>12000</v>
      </c>
      <c r="F20" s="649">
        <v>12000</v>
      </c>
      <c r="G20" s="649">
        <v>12000</v>
      </c>
      <c r="H20" s="649">
        <v>12000</v>
      </c>
      <c r="I20" s="649">
        <v>12000</v>
      </c>
      <c r="J20" s="477"/>
      <c r="K20" s="478"/>
      <c r="L20" s="478"/>
      <c r="M20" s="479"/>
      <c r="N20" s="666">
        <v>12000</v>
      </c>
      <c r="AD20" s="447">
        <v>19.370799999999999</v>
      </c>
      <c r="AE20" s="429">
        <v>3992.79</v>
      </c>
      <c r="AF20" s="462">
        <v>1295.07</v>
      </c>
      <c r="AG20" s="465">
        <v>39.161900000000003</v>
      </c>
      <c r="AH20" s="429">
        <v>7612.92</v>
      </c>
      <c r="AI20" s="462">
        <v>1294.3900000000001</v>
      </c>
      <c r="AJ20" s="465">
        <v>39.947000000000003</v>
      </c>
      <c r="AK20" s="429">
        <v>7764.36</v>
      </c>
      <c r="AL20" s="462">
        <v>1292.69</v>
      </c>
      <c r="AM20" s="429">
        <v>41.528799999999997</v>
      </c>
      <c r="AN20" s="429">
        <v>8122.2</v>
      </c>
      <c r="AO20" s="429">
        <v>1289.8900000000001</v>
      </c>
      <c r="AP20" s="465">
        <v>42.770200000000003</v>
      </c>
      <c r="AQ20" s="429">
        <v>8512.36</v>
      </c>
      <c r="AR20" s="462">
        <v>1282.19</v>
      </c>
      <c r="AS20" s="429">
        <v>43.607999999999997</v>
      </c>
      <c r="AT20" s="429">
        <v>9477.7000000000007</v>
      </c>
      <c r="AU20" s="429">
        <v>1244.03</v>
      </c>
      <c r="AV20" s="465"/>
      <c r="AW20" s="429"/>
      <c r="AX20" s="462"/>
      <c r="AY20" s="429"/>
      <c r="AZ20" s="394"/>
      <c r="BA20" s="394"/>
      <c r="BB20" s="394"/>
      <c r="BC20" s="394"/>
      <c r="BD20" s="394"/>
      <c r="BE20" s="394"/>
      <c r="BF20" s="394"/>
      <c r="BG20" s="394"/>
      <c r="BH20" s="394"/>
      <c r="BI20" s="394"/>
      <c r="BJ20" s="394"/>
      <c r="BK20" s="394"/>
      <c r="BL20" s="394"/>
      <c r="BM20" s="394"/>
      <c r="BN20" s="394"/>
      <c r="BO20" s="394"/>
      <c r="BP20" s="394"/>
      <c r="BQ20" s="394"/>
      <c r="BR20" s="394"/>
      <c r="BS20" s="394"/>
      <c r="BT20" s="394"/>
      <c r="BU20" s="394"/>
      <c r="BV20" s="394"/>
      <c r="BW20" s="394"/>
      <c r="BX20" s="450"/>
    </row>
    <row r="21" spans="1:76" x14ac:dyDescent="0.2">
      <c r="A21" s="653" t="s">
        <v>557</v>
      </c>
      <c r="B21" s="49" t="s">
        <v>547</v>
      </c>
      <c r="C21" s="498"/>
      <c r="D21" s="477">
        <v>1900</v>
      </c>
      <c r="E21" s="477">
        <v>1900</v>
      </c>
      <c r="F21" s="477">
        <v>1900</v>
      </c>
      <c r="G21" s="477">
        <v>1900</v>
      </c>
      <c r="H21" s="477">
        <v>1900</v>
      </c>
      <c r="I21" s="477">
        <v>1900</v>
      </c>
      <c r="J21" s="477"/>
      <c r="K21" s="478"/>
      <c r="L21" s="478"/>
      <c r="M21" s="479"/>
      <c r="N21" s="666">
        <v>1900</v>
      </c>
      <c r="AD21" s="447">
        <v>21.304200000000002</v>
      </c>
      <c r="AE21" s="429">
        <v>4320.24</v>
      </c>
      <c r="AF21" s="462">
        <v>1219.3599999999999</v>
      </c>
      <c r="AG21" s="465">
        <v>43.070599999999999</v>
      </c>
      <c r="AH21" s="429">
        <v>8383.69</v>
      </c>
      <c r="AI21" s="462">
        <v>1218.76</v>
      </c>
      <c r="AJ21" s="465">
        <v>43.934100000000001</v>
      </c>
      <c r="AK21" s="429">
        <v>8554.42</v>
      </c>
      <c r="AL21" s="462">
        <v>1217.18</v>
      </c>
      <c r="AM21" s="429">
        <v>45.6738</v>
      </c>
      <c r="AN21" s="429">
        <v>8958.98</v>
      </c>
      <c r="AO21" s="429">
        <v>1214.57</v>
      </c>
      <c r="AP21" s="465">
        <v>47.039099999999998</v>
      </c>
      <c r="AQ21" s="429">
        <v>9403.48</v>
      </c>
      <c r="AR21" s="462">
        <v>1207.3699999999999</v>
      </c>
      <c r="AS21" s="429">
        <v>47.960500000000003</v>
      </c>
      <c r="AT21" s="429">
        <v>10633.8</v>
      </c>
      <c r="AU21" s="429">
        <v>1171.6300000000001</v>
      </c>
      <c r="AV21" s="465"/>
      <c r="AW21" s="429"/>
      <c r="AX21" s="462"/>
      <c r="AY21" s="429"/>
      <c r="AZ21" s="394"/>
      <c r="BA21" s="394"/>
      <c r="BB21" s="394"/>
      <c r="BC21" s="394"/>
      <c r="BD21" s="394"/>
      <c r="BE21" s="394"/>
      <c r="BF21" s="394"/>
      <c r="BG21" s="394"/>
      <c r="BH21" s="394"/>
      <c r="BI21" s="394"/>
      <c r="BJ21" s="394"/>
      <c r="BK21" s="394"/>
      <c r="BL21" s="394"/>
      <c r="BM21" s="394"/>
      <c r="BN21" s="394"/>
      <c r="BO21" s="394"/>
      <c r="BP21" s="394"/>
      <c r="BQ21" s="394"/>
      <c r="BR21" s="394"/>
      <c r="BS21" s="394"/>
      <c r="BT21" s="394"/>
      <c r="BU21" s="394"/>
      <c r="BV21" s="394"/>
      <c r="BW21" s="394"/>
      <c r="BX21" s="450"/>
    </row>
    <row r="22" spans="1:76" x14ac:dyDescent="0.2">
      <c r="A22" s="653" t="s">
        <v>558</v>
      </c>
      <c r="B22" s="49" t="s">
        <v>548</v>
      </c>
      <c r="C22" s="498"/>
      <c r="D22" s="650">
        <v>391.99999833999999</v>
      </c>
      <c r="E22" s="650">
        <v>391.99999833999999</v>
      </c>
      <c r="F22" s="650">
        <v>391.99999833999999</v>
      </c>
      <c r="G22" s="650">
        <v>391.99999833999999</v>
      </c>
      <c r="H22" s="650">
        <v>391.99999833999999</v>
      </c>
      <c r="I22" s="650">
        <v>391.99999833999999</v>
      </c>
      <c r="J22" s="650"/>
      <c r="K22" s="651"/>
      <c r="L22" s="651"/>
      <c r="M22" s="652"/>
      <c r="N22" s="666">
        <v>392</v>
      </c>
      <c r="AD22" s="447">
        <v>23.2376</v>
      </c>
      <c r="AE22" s="429">
        <v>4650.34</v>
      </c>
      <c r="AF22" s="462">
        <v>1139.0999999999999</v>
      </c>
      <c r="AG22" s="465">
        <v>46.979399999999998</v>
      </c>
      <c r="AH22" s="429">
        <v>9178.0300000000007</v>
      </c>
      <c r="AI22" s="462">
        <v>1138.5899999999999</v>
      </c>
      <c r="AJ22" s="465">
        <v>47.921300000000002</v>
      </c>
      <c r="AK22" s="429">
        <v>9370.91</v>
      </c>
      <c r="AL22" s="462">
        <v>1137.1199999999999</v>
      </c>
      <c r="AM22" s="429">
        <v>49.818800000000003</v>
      </c>
      <c r="AN22" s="429">
        <v>9827.01</v>
      </c>
      <c r="AO22" s="429">
        <v>1134.71</v>
      </c>
      <c r="AP22" s="465">
        <v>51.308</v>
      </c>
      <c r="AQ22" s="429">
        <v>10330.5</v>
      </c>
      <c r="AR22" s="462">
        <v>1128.03</v>
      </c>
      <c r="AS22" s="429">
        <v>52.313000000000002</v>
      </c>
      <c r="AT22" s="429">
        <v>11842.4</v>
      </c>
      <c r="AU22" s="429">
        <v>1094.82</v>
      </c>
      <c r="AV22" s="465"/>
      <c r="AW22" s="429"/>
      <c r="AX22" s="462"/>
      <c r="AY22" s="429"/>
      <c r="AZ22" s="394"/>
      <c r="BA22" s="394"/>
      <c r="BB22" s="394"/>
      <c r="BC22" s="394"/>
      <c r="BD22" s="394"/>
      <c r="BE22" s="394"/>
      <c r="BF22" s="394"/>
      <c r="BG22" s="394"/>
      <c r="BH22" s="394"/>
      <c r="BI22" s="394"/>
      <c r="BJ22" s="394"/>
      <c r="BK22" s="394"/>
      <c r="BL22" s="394"/>
      <c r="BM22" s="394"/>
      <c r="BN22" s="394"/>
      <c r="BO22" s="394"/>
      <c r="BP22" s="394"/>
      <c r="BQ22" s="394"/>
      <c r="BR22" s="394"/>
      <c r="BS22" s="394"/>
      <c r="BT22" s="394"/>
      <c r="BU22" s="394"/>
      <c r="BV22" s="394"/>
      <c r="BW22" s="394"/>
      <c r="BX22" s="450"/>
    </row>
    <row r="23" spans="1:76" x14ac:dyDescent="0.2">
      <c r="A23" s="653" t="s">
        <v>559</v>
      </c>
      <c r="B23" s="49" t="s">
        <v>549</v>
      </c>
      <c r="C23" s="498"/>
      <c r="D23" s="477">
        <v>18</v>
      </c>
      <c r="E23" s="477">
        <v>18</v>
      </c>
      <c r="F23" s="477">
        <v>18</v>
      </c>
      <c r="G23" s="477">
        <v>18</v>
      </c>
      <c r="H23" s="477">
        <v>18</v>
      </c>
      <c r="I23" s="477">
        <v>18</v>
      </c>
      <c r="J23" s="477"/>
      <c r="K23" s="478"/>
      <c r="L23" s="478"/>
      <c r="M23" s="479"/>
      <c r="N23" s="666">
        <v>18</v>
      </c>
      <c r="AD23" s="447">
        <v>25.170999999999999</v>
      </c>
      <c r="AE23" s="429">
        <v>4984.55</v>
      </c>
      <c r="AF23" s="462">
        <v>1053.25</v>
      </c>
      <c r="AG23" s="465">
        <v>50.888100000000001</v>
      </c>
      <c r="AH23" s="429">
        <v>10001.6</v>
      </c>
      <c r="AI23" s="462">
        <v>1052.82</v>
      </c>
      <c r="AJ23" s="465">
        <v>51.9084</v>
      </c>
      <c r="AK23" s="429">
        <v>10218.200000000001</v>
      </c>
      <c r="AL23" s="462">
        <v>1051.47</v>
      </c>
      <c r="AM23" s="429">
        <v>53.963700000000003</v>
      </c>
      <c r="AN23" s="429">
        <v>10732.5</v>
      </c>
      <c r="AO23" s="429">
        <v>1049.27</v>
      </c>
      <c r="AP23" s="465">
        <v>55.576900000000002</v>
      </c>
      <c r="AQ23" s="429">
        <v>11299.3</v>
      </c>
      <c r="AR23" s="462">
        <v>1043.1400000000001</v>
      </c>
      <c r="AS23" s="429">
        <v>56.665500000000002</v>
      </c>
      <c r="AT23" s="429"/>
      <c r="AU23" s="429">
        <v>1012.59</v>
      </c>
      <c r="AV23" s="465"/>
      <c r="AW23" s="429"/>
      <c r="AX23" s="462"/>
      <c r="AY23" s="429"/>
      <c r="AZ23" s="394"/>
      <c r="BA23" s="394"/>
      <c r="BB23" s="394"/>
      <c r="BC23" s="394"/>
      <c r="BD23" s="394"/>
      <c r="BE23" s="394"/>
      <c r="BF23" s="394"/>
      <c r="BG23" s="394"/>
      <c r="BH23" s="394"/>
      <c r="BI23" s="394"/>
      <c r="BJ23" s="394"/>
      <c r="BK23" s="394"/>
      <c r="BL23" s="394"/>
      <c r="BM23" s="394"/>
      <c r="BN23" s="394"/>
      <c r="BO23" s="394"/>
      <c r="BP23" s="394"/>
      <c r="BQ23" s="394"/>
      <c r="BR23" s="394"/>
      <c r="BS23" s="394"/>
      <c r="BT23" s="394"/>
      <c r="BU23" s="394"/>
      <c r="BV23" s="394"/>
      <c r="BW23" s="394"/>
      <c r="BX23" s="450"/>
    </row>
    <row r="24" spans="1:76" x14ac:dyDescent="0.2">
      <c r="A24" s="653" t="s">
        <v>552</v>
      </c>
      <c r="B24" s="49" t="s">
        <v>550</v>
      </c>
      <c r="D24">
        <v>10</v>
      </c>
      <c r="E24">
        <v>20</v>
      </c>
      <c r="F24">
        <v>20</v>
      </c>
      <c r="G24">
        <v>20</v>
      </c>
      <c r="H24">
        <v>20</v>
      </c>
      <c r="I24">
        <v>20</v>
      </c>
      <c r="M24" s="299"/>
      <c r="N24" s="667">
        <v>50</v>
      </c>
      <c r="AD24" s="447">
        <v>27.104399999999998</v>
      </c>
      <c r="AE24" s="429">
        <v>5324.71</v>
      </c>
      <c r="AF24" s="462">
        <v>960.31600000000003</v>
      </c>
      <c r="AG24" s="465">
        <v>54.796900000000001</v>
      </c>
      <c r="AH24" s="429">
        <v>10860.8</v>
      </c>
      <c r="AI24" s="462">
        <v>959.96299999999997</v>
      </c>
      <c r="AJ24" s="465">
        <v>55.895499999999998</v>
      </c>
      <c r="AK24" s="429">
        <v>11103.9</v>
      </c>
      <c r="AL24" s="462">
        <v>958.73900000000003</v>
      </c>
      <c r="AM24" s="429">
        <v>58.108699999999999</v>
      </c>
      <c r="AN24" s="429">
        <v>11673.8</v>
      </c>
      <c r="AO24" s="429">
        <v>956.75699999999995</v>
      </c>
      <c r="AP24" s="465">
        <v>59.845799999999997</v>
      </c>
      <c r="AQ24" s="429">
        <v>12308</v>
      </c>
      <c r="AR24" s="462">
        <v>951.21</v>
      </c>
      <c r="AS24" s="429">
        <v>61.018000000000001</v>
      </c>
      <c r="AT24" s="429"/>
      <c r="AU24" s="429">
        <v>923.505</v>
      </c>
      <c r="AV24" s="465"/>
      <c r="AW24" s="429"/>
      <c r="AX24" s="462"/>
      <c r="AY24" s="429"/>
      <c r="AZ24" s="394"/>
      <c r="BA24" s="394"/>
      <c r="BB24" s="394"/>
      <c r="BC24" s="394"/>
      <c r="BD24" s="394"/>
      <c r="BE24" s="394"/>
      <c r="BF24" s="394"/>
      <c r="BG24" s="394"/>
      <c r="BH24" s="394"/>
      <c r="BI24" s="394"/>
      <c r="BJ24" s="394"/>
      <c r="BK24" s="394"/>
      <c r="BL24" s="394"/>
      <c r="BM24" s="394"/>
      <c r="BN24" s="394"/>
      <c r="BO24" s="394"/>
      <c r="BP24" s="394"/>
      <c r="BQ24" s="394"/>
      <c r="BR24" s="394"/>
      <c r="BS24" s="394"/>
      <c r="BT24" s="394"/>
      <c r="BU24" s="394"/>
      <c r="BV24" s="394"/>
      <c r="BW24" s="394"/>
      <c r="BX24" s="450"/>
    </row>
    <row r="25" spans="1:76" x14ac:dyDescent="0.2">
      <c r="A25" s="653" t="s">
        <v>553</v>
      </c>
      <c r="B25" s="49" t="s">
        <v>551</v>
      </c>
      <c r="D25">
        <v>500</v>
      </c>
      <c r="E25">
        <v>500</v>
      </c>
      <c r="F25">
        <v>500</v>
      </c>
      <c r="G25">
        <v>500</v>
      </c>
      <c r="H25">
        <v>500</v>
      </c>
      <c r="I25">
        <v>500</v>
      </c>
      <c r="M25" s="299"/>
      <c r="N25" s="667">
        <v>500</v>
      </c>
      <c r="AD25" s="447">
        <v>29.037800000000001</v>
      </c>
      <c r="AE25" s="429">
        <v>5673.7</v>
      </c>
      <c r="AF25" s="462">
        <v>857.99599999999998</v>
      </c>
      <c r="AG25" s="465">
        <v>58.705599999999997</v>
      </c>
      <c r="AH25" s="429">
        <v>11746.6</v>
      </c>
      <c r="AI25" s="462">
        <v>857.71500000000003</v>
      </c>
      <c r="AJ25" s="465">
        <v>59.882599999999996</v>
      </c>
      <c r="AK25" s="429">
        <v>12014.5</v>
      </c>
      <c r="AL25" s="462">
        <v>856.63</v>
      </c>
      <c r="AM25" s="429">
        <v>62.253700000000002</v>
      </c>
      <c r="AN25" s="429">
        <v>12649</v>
      </c>
      <c r="AO25" s="429">
        <v>854.87900000000002</v>
      </c>
      <c r="AP25" s="465">
        <v>64.114699999999999</v>
      </c>
      <c r="AQ25" s="429"/>
      <c r="AR25" s="462">
        <v>849.96</v>
      </c>
      <c r="AS25" s="429">
        <v>65.370500000000007</v>
      </c>
      <c r="AT25" s="429"/>
      <c r="AU25" s="429">
        <v>825.34100000000001</v>
      </c>
      <c r="AV25" s="465"/>
      <c r="AW25" s="429"/>
      <c r="AX25" s="462"/>
      <c r="AY25" s="429"/>
      <c r="AZ25" s="394"/>
      <c r="BA25" s="394"/>
      <c r="BB25" s="394"/>
      <c r="BC25" s="394"/>
      <c r="BD25" s="394"/>
      <c r="BE25" s="394"/>
      <c r="BF25" s="394"/>
      <c r="BG25" s="394"/>
      <c r="BH25" s="394"/>
      <c r="BI25" s="394"/>
      <c r="BJ25" s="394"/>
      <c r="BK25" s="394"/>
      <c r="BL25" s="394"/>
      <c r="BM25" s="394"/>
      <c r="BN25" s="394"/>
      <c r="BO25" s="394"/>
      <c r="BP25" s="394"/>
      <c r="BQ25" s="394"/>
      <c r="BR25" s="394"/>
      <c r="BS25" s="394"/>
      <c r="BT25" s="394"/>
      <c r="BU25" s="394"/>
      <c r="BV25" s="394"/>
      <c r="BW25" s="394"/>
      <c r="BX25" s="450"/>
    </row>
    <row r="26" spans="1:76" x14ac:dyDescent="0.2">
      <c r="A26" s="653" t="s">
        <v>554</v>
      </c>
      <c r="B26" s="49" t="s">
        <v>257</v>
      </c>
      <c r="D26">
        <v>31.600000381000001</v>
      </c>
      <c r="E26">
        <v>31.600000381000001</v>
      </c>
      <c r="F26">
        <v>31.600000381000001</v>
      </c>
      <c r="G26">
        <v>31.600000381000001</v>
      </c>
      <c r="H26">
        <v>31.600000381000001</v>
      </c>
      <c r="I26">
        <v>31.600000381000001</v>
      </c>
      <c r="M26" s="299"/>
      <c r="N26" s="667">
        <v>31.600000381000001</v>
      </c>
      <c r="AD26" s="447">
        <v>30.9712</v>
      </c>
      <c r="AE26" s="429">
        <v>6037.5</v>
      </c>
      <c r="AF26" s="462">
        <v>742.41899999999998</v>
      </c>
      <c r="AG26" s="465">
        <v>62.614400000000003</v>
      </c>
      <c r="AH26" s="429">
        <v>12665.6</v>
      </c>
      <c r="AI26" s="462">
        <v>742.20699999999999</v>
      </c>
      <c r="AJ26" s="465">
        <v>63.869700000000002</v>
      </c>
      <c r="AK26" s="429">
        <v>12961.1</v>
      </c>
      <c r="AL26" s="462">
        <v>741.27599999999995</v>
      </c>
      <c r="AM26" s="429">
        <v>66.398700000000005</v>
      </c>
      <c r="AN26" s="429"/>
      <c r="AO26" s="429">
        <v>739.77800000000002</v>
      </c>
      <c r="AP26" s="465">
        <v>68.383600000000001</v>
      </c>
      <c r="AQ26" s="429"/>
      <c r="AR26" s="462">
        <v>735.55399999999997</v>
      </c>
      <c r="AS26" s="429">
        <v>69.723100000000002</v>
      </c>
      <c r="AT26" s="429"/>
      <c r="AU26" s="429">
        <v>714.36800000000005</v>
      </c>
      <c r="AV26" s="465"/>
      <c r="AW26" s="429"/>
      <c r="AX26" s="462"/>
      <c r="AY26" s="429"/>
      <c r="AZ26" s="394"/>
      <c r="BA26" s="394"/>
      <c r="BB26" s="394"/>
      <c r="BC26" s="394"/>
      <c r="BD26" s="394"/>
      <c r="BE26" s="394"/>
      <c r="BF26" s="394"/>
      <c r="BG26" s="394"/>
      <c r="BH26" s="394"/>
      <c r="BI26" s="394"/>
      <c r="BJ26" s="394"/>
      <c r="BK26" s="394"/>
      <c r="BL26" s="394"/>
      <c r="BM26" s="394"/>
      <c r="BN26" s="394"/>
      <c r="BO26" s="394"/>
      <c r="BP26" s="394"/>
      <c r="BQ26" s="394"/>
      <c r="BR26" s="394"/>
      <c r="BS26" s="394"/>
      <c r="BT26" s="394"/>
      <c r="BU26" s="394"/>
      <c r="BV26" s="394"/>
      <c r="BW26" s="394"/>
      <c r="BX26" s="450"/>
    </row>
    <row r="27" spans="1:76" x14ac:dyDescent="0.2">
      <c r="A27" s="654" t="s">
        <v>555</v>
      </c>
      <c r="B27" s="436" t="s">
        <v>258</v>
      </c>
      <c r="C27" s="300"/>
      <c r="D27" s="300">
        <v>3</v>
      </c>
      <c r="E27" s="300">
        <v>3</v>
      </c>
      <c r="F27" s="300">
        <v>3</v>
      </c>
      <c r="G27" s="300">
        <v>3</v>
      </c>
      <c r="H27" s="300">
        <v>3</v>
      </c>
      <c r="I27" s="300">
        <v>3</v>
      </c>
      <c r="J27" s="300"/>
      <c r="K27" s="300"/>
      <c r="L27" s="300"/>
      <c r="M27" s="301"/>
      <c r="N27" s="668">
        <v>3</v>
      </c>
      <c r="AD27" s="447">
        <v>32.904600000000002</v>
      </c>
      <c r="AE27" s="429">
        <v>6429.58</v>
      </c>
      <c r="AF27" s="462">
        <v>606.05100000000004</v>
      </c>
      <c r="AG27" s="465">
        <v>66.523099999999999</v>
      </c>
      <c r="AH27" s="429"/>
      <c r="AI27" s="462">
        <v>605.90200000000004</v>
      </c>
      <c r="AJ27" s="465">
        <v>67.856800000000007</v>
      </c>
      <c r="AK27" s="429"/>
      <c r="AL27" s="462">
        <v>605.14800000000002</v>
      </c>
      <c r="AM27" s="429">
        <v>70.543700000000001</v>
      </c>
      <c r="AN27" s="429"/>
      <c r="AO27" s="429">
        <v>603.94000000000005</v>
      </c>
      <c r="AP27" s="465">
        <v>72.652500000000003</v>
      </c>
      <c r="AQ27" s="429"/>
      <c r="AR27" s="462">
        <v>600.51800000000003</v>
      </c>
      <c r="AS27" s="429">
        <v>74.075599999999994</v>
      </c>
      <c r="AT27" s="429"/>
      <c r="AU27" s="429">
        <v>583.31899999999996</v>
      </c>
      <c r="AV27" s="465"/>
      <c r="AW27" s="429"/>
      <c r="AX27" s="462"/>
      <c r="AY27" s="429"/>
      <c r="AZ27" s="394"/>
      <c r="BA27" s="394"/>
      <c r="BB27" s="394"/>
      <c r="BC27" s="394"/>
      <c r="BD27" s="394"/>
      <c r="BE27" s="394"/>
      <c r="BF27" s="394"/>
      <c r="BG27" s="394"/>
      <c r="BH27" s="394"/>
      <c r="BI27" s="394"/>
      <c r="BJ27" s="394"/>
      <c r="BK27" s="394"/>
      <c r="BL27" s="394"/>
      <c r="BM27" s="394"/>
      <c r="BN27" s="394"/>
      <c r="BO27" s="394"/>
      <c r="BP27" s="394"/>
      <c r="BQ27" s="394"/>
      <c r="BR27" s="394"/>
      <c r="BS27" s="394"/>
      <c r="BT27" s="394"/>
      <c r="BU27" s="394"/>
      <c r="BV27" s="394"/>
      <c r="BW27" s="394"/>
      <c r="BX27" s="450"/>
    </row>
    <row r="28" spans="1:76" x14ac:dyDescent="0.2">
      <c r="AD28" s="447">
        <v>34.837899999999998</v>
      </c>
      <c r="AE28" s="429">
        <v>6804.52</v>
      </c>
      <c r="AF28" s="462">
        <v>429.52199999999999</v>
      </c>
      <c r="AG28" s="465">
        <v>70.431899999999999</v>
      </c>
      <c r="AH28" s="429"/>
      <c r="AI28" s="462">
        <v>429.43200000000002</v>
      </c>
      <c r="AJ28" s="465">
        <v>71.843900000000005</v>
      </c>
      <c r="AK28" s="429"/>
      <c r="AL28" s="462">
        <v>428.904</v>
      </c>
      <c r="AM28" s="429">
        <v>74.688699999999997</v>
      </c>
      <c r="AN28" s="429"/>
      <c r="AO28" s="429">
        <v>428.05799999999999</v>
      </c>
      <c r="AP28" s="465">
        <v>76.921400000000006</v>
      </c>
      <c r="AQ28" s="429"/>
      <c r="AR28" s="462">
        <v>425.65100000000001</v>
      </c>
      <c r="AS28" s="429">
        <v>78.428100000000001</v>
      </c>
      <c r="AT28" s="429"/>
      <c r="AU28" s="429">
        <v>413.52800000000002</v>
      </c>
      <c r="AV28" s="465"/>
      <c r="AW28" s="429"/>
      <c r="AX28" s="462"/>
      <c r="AY28" s="429"/>
      <c r="AZ28" s="394"/>
      <c r="BA28" s="394"/>
      <c r="BB28" s="394"/>
      <c r="BC28" s="394"/>
      <c r="BD28" s="394"/>
      <c r="BE28" s="394"/>
      <c r="BF28" s="394"/>
      <c r="BG28" s="394"/>
      <c r="BH28" s="394"/>
      <c r="BI28" s="394"/>
      <c r="BJ28" s="394"/>
      <c r="BK28" s="394"/>
      <c r="BL28" s="394"/>
      <c r="BM28" s="394"/>
      <c r="BN28" s="394"/>
      <c r="BO28" s="394"/>
      <c r="BP28" s="394"/>
      <c r="BQ28" s="394"/>
      <c r="BR28" s="394"/>
      <c r="BS28" s="394"/>
      <c r="BT28" s="394"/>
      <c r="BU28" s="394"/>
      <c r="BV28" s="394"/>
      <c r="BW28" s="394"/>
      <c r="BX28" s="450"/>
    </row>
    <row r="29" spans="1:76" x14ac:dyDescent="0.2">
      <c r="C29" s="442"/>
      <c r="D29" s="1"/>
      <c r="E29" s="1"/>
      <c r="F29" s="1"/>
      <c r="G29" s="1"/>
      <c r="H29" s="1"/>
      <c r="I29" s="1"/>
      <c r="J29" s="1"/>
      <c r="AD29" s="448">
        <v>36.771299999999997</v>
      </c>
      <c r="AE29" s="451">
        <v>7166.31</v>
      </c>
      <c r="AF29" s="463">
        <v>52.55</v>
      </c>
      <c r="AG29" s="466">
        <v>74.340599999999995</v>
      </c>
      <c r="AH29" s="451"/>
      <c r="AI29" s="463">
        <v>52.514299999999999</v>
      </c>
      <c r="AJ29" s="466">
        <v>75.831100000000006</v>
      </c>
      <c r="AK29" s="451"/>
      <c r="AL29" s="463">
        <v>52.476199999999999</v>
      </c>
      <c r="AM29" s="451">
        <v>78.833699999999993</v>
      </c>
      <c r="AN29" s="451"/>
      <c r="AO29" s="451">
        <v>52.361699999999999</v>
      </c>
      <c r="AP29" s="466">
        <v>81.190299999999993</v>
      </c>
      <c r="AQ29" s="451"/>
      <c r="AR29" s="463">
        <v>52.048099999999998</v>
      </c>
      <c r="AS29" s="451">
        <v>82.780600000000007</v>
      </c>
      <c r="AT29" s="451"/>
      <c r="AU29" s="451">
        <v>50.566800000000001</v>
      </c>
      <c r="AV29" s="466"/>
      <c r="AW29" s="451"/>
      <c r="AX29" s="463"/>
      <c r="AY29" s="451"/>
      <c r="AZ29" s="398"/>
      <c r="BA29" s="398"/>
      <c r="BB29" s="398"/>
      <c r="BC29" s="398"/>
      <c r="BD29" s="398"/>
      <c r="BE29" s="398"/>
      <c r="BF29" s="398"/>
      <c r="BG29" s="398"/>
      <c r="BH29" s="398"/>
      <c r="BI29" s="398"/>
      <c r="BJ29" s="398"/>
      <c r="BK29" s="398"/>
      <c r="BL29" s="398"/>
      <c r="BM29" s="398"/>
      <c r="BN29" s="398"/>
      <c r="BO29" s="398"/>
      <c r="BP29" s="398"/>
      <c r="BQ29" s="398"/>
      <c r="BR29" s="398"/>
      <c r="BS29" s="398"/>
      <c r="BT29" s="398"/>
      <c r="BU29" s="398"/>
      <c r="BV29" s="398"/>
      <c r="BW29" s="398"/>
      <c r="BX29" s="452"/>
    </row>
    <row r="30" spans="1:76" x14ac:dyDescent="0.2">
      <c r="C30" s="442"/>
      <c r="D30" s="1"/>
      <c r="E30" s="1"/>
      <c r="F30" s="1"/>
      <c r="G30" s="1"/>
      <c r="H30" s="1"/>
      <c r="I30" s="1"/>
      <c r="J30" s="1"/>
    </row>
    <row r="31" spans="1:76" x14ac:dyDescent="0.2">
      <c r="B31" s="489" t="s">
        <v>405</v>
      </c>
      <c r="C31" s="500" t="s">
        <v>83</v>
      </c>
      <c r="D31" s="490" t="s">
        <v>382</v>
      </c>
      <c r="E31" s="490" t="s">
        <v>383</v>
      </c>
      <c r="F31" s="490" t="s">
        <v>384</v>
      </c>
      <c r="G31" s="490" t="s">
        <v>385</v>
      </c>
      <c r="H31" s="490" t="s">
        <v>496</v>
      </c>
      <c r="I31" s="490" t="s">
        <v>524</v>
      </c>
      <c r="J31" s="490"/>
      <c r="K31" s="491"/>
      <c r="L31" s="491"/>
      <c r="M31" s="492"/>
    </row>
    <row r="32" spans="1:76" x14ac:dyDescent="0.2">
      <c r="A32" s="498" t="s">
        <v>583</v>
      </c>
      <c r="B32" s="52" t="s">
        <v>262</v>
      </c>
      <c r="C32" s="501" t="s">
        <v>67</v>
      </c>
      <c r="D32" s="468">
        <v>1772.9128417970001</v>
      </c>
      <c r="E32" s="468">
        <v>1833.327514648</v>
      </c>
      <c r="F32" s="468">
        <v>1833.9184570309999</v>
      </c>
      <c r="G32" s="468">
        <v>1834.9575195309999</v>
      </c>
      <c r="H32" s="468">
        <v>1825.857421875</v>
      </c>
      <c r="I32" s="468">
        <v>1774.8125</v>
      </c>
      <c r="J32" s="468"/>
      <c r="K32" s="468"/>
      <c r="L32" s="468"/>
      <c r="M32" s="469"/>
    </row>
    <row r="33" spans="1:13" x14ac:dyDescent="0.2">
      <c r="A33" s="498" t="s">
        <v>570</v>
      </c>
      <c r="B33" s="32" t="s">
        <v>170</v>
      </c>
      <c r="C33" s="502" t="s">
        <v>125</v>
      </c>
      <c r="D33" s="470">
        <v>4.8335013389999997</v>
      </c>
      <c r="E33" s="470">
        <v>5.3926196099999997</v>
      </c>
      <c r="F33" s="470">
        <v>5.2704620359999996</v>
      </c>
      <c r="G33" s="470">
        <v>5.0670261380000001</v>
      </c>
      <c r="H33" s="470">
        <v>5.0159664150000003</v>
      </c>
      <c r="I33" s="470">
        <v>4.5726232529999997</v>
      </c>
      <c r="J33" s="470"/>
      <c r="K33" s="470"/>
      <c r="L33" s="470"/>
      <c r="M33" s="471"/>
    </row>
    <row r="34" spans="1:13" x14ac:dyDescent="0.2">
      <c r="A34" s="498" t="s">
        <v>571</v>
      </c>
      <c r="B34" s="32" t="s">
        <v>368</v>
      </c>
      <c r="C34" s="502" t="s">
        <v>401</v>
      </c>
      <c r="D34" s="403">
        <v>402.7918396</v>
      </c>
      <c r="E34" s="403">
        <v>449.385009766</v>
      </c>
      <c r="F34" s="403">
        <v>439.20523071299999</v>
      </c>
      <c r="G34" s="403">
        <v>422.25222778300002</v>
      </c>
      <c r="H34" s="403">
        <v>417.9972229</v>
      </c>
      <c r="I34" s="403">
        <v>381.05194091800001</v>
      </c>
      <c r="J34" s="403"/>
      <c r="K34" s="403"/>
      <c r="L34" s="403"/>
      <c r="M34" s="456"/>
    </row>
    <row r="35" spans="1:13" x14ac:dyDescent="0.2">
      <c r="A35" s="498" t="s">
        <v>572</v>
      </c>
      <c r="B35" s="32" t="s">
        <v>369</v>
      </c>
      <c r="C35" s="502" t="s">
        <v>401</v>
      </c>
      <c r="D35" s="403">
        <v>198.89682006800001</v>
      </c>
      <c r="E35" s="403">
        <v>220.95437622099999</v>
      </c>
      <c r="F35" s="403">
        <v>221.07341003400001</v>
      </c>
      <c r="G35" s="403">
        <v>225.555908203</v>
      </c>
      <c r="H35" s="403">
        <v>226.95411682100001</v>
      </c>
      <c r="I35" s="403">
        <v>201.19541931200001</v>
      </c>
      <c r="J35" s="403"/>
      <c r="K35" s="403"/>
      <c r="L35" s="403"/>
      <c r="M35" s="456"/>
    </row>
    <row r="36" spans="1:13" x14ac:dyDescent="0.2">
      <c r="A36" s="498" t="s">
        <v>573</v>
      </c>
      <c r="B36" s="467" t="s">
        <v>47</v>
      </c>
      <c r="C36" s="503" t="s">
        <v>67</v>
      </c>
      <c r="D36" s="408">
        <v>439.29064941399997</v>
      </c>
      <c r="E36" s="408">
        <v>455.30340576200001</v>
      </c>
      <c r="F36" s="408">
        <v>453.04025268599997</v>
      </c>
      <c r="G36" s="408">
        <v>448.80334472700002</v>
      </c>
      <c r="H36" s="408">
        <v>447.04315185500002</v>
      </c>
      <c r="I36" s="408">
        <v>435.06146240200002</v>
      </c>
      <c r="J36" s="408"/>
      <c r="K36" s="408"/>
      <c r="L36" s="408"/>
      <c r="M36" s="457"/>
    </row>
    <row r="37" spans="1:13" x14ac:dyDescent="0.2">
      <c r="A37" s="498" t="s">
        <v>574</v>
      </c>
      <c r="B37" s="454" t="s">
        <v>371</v>
      </c>
      <c r="C37" s="504" t="s">
        <v>67</v>
      </c>
      <c r="D37" s="394">
        <v>400</v>
      </c>
      <c r="E37" s="394">
        <v>400</v>
      </c>
      <c r="F37" s="394">
        <v>400</v>
      </c>
      <c r="G37" s="394">
        <v>400</v>
      </c>
      <c r="H37" s="394">
        <v>400</v>
      </c>
      <c r="I37" s="394">
        <v>400</v>
      </c>
      <c r="J37" s="394"/>
      <c r="K37" s="394"/>
      <c r="L37" s="394"/>
      <c r="M37" s="458"/>
    </row>
    <row r="38" spans="1:13" x14ac:dyDescent="0.2">
      <c r="A38" s="498" t="s">
        <v>575</v>
      </c>
      <c r="B38" s="454" t="s">
        <v>372</v>
      </c>
      <c r="C38" s="504" t="s">
        <v>45</v>
      </c>
      <c r="D38" s="394">
        <v>173.44493102999999</v>
      </c>
      <c r="E38" s="394">
        <v>217.77105712900001</v>
      </c>
      <c r="F38" s="394">
        <v>208.87094116200001</v>
      </c>
      <c r="G38" s="394">
        <v>193.46554565400001</v>
      </c>
      <c r="H38" s="394">
        <v>188.163162231</v>
      </c>
      <c r="I38" s="394">
        <v>154.86869812</v>
      </c>
      <c r="J38" s="394"/>
      <c r="K38" s="394"/>
      <c r="L38" s="394"/>
      <c r="M38" s="458"/>
    </row>
    <row r="39" spans="1:13" x14ac:dyDescent="0.2">
      <c r="A39" s="498" t="s">
        <v>576</v>
      </c>
      <c r="B39" s="454" t="s">
        <v>373</v>
      </c>
      <c r="C39" s="504" t="s">
        <v>45</v>
      </c>
      <c r="D39" s="394">
        <v>1160.4865722659999</v>
      </c>
      <c r="E39" s="394">
        <v>1160.7570800779999</v>
      </c>
      <c r="F39" s="394">
        <v>1172.4846191409999</v>
      </c>
      <c r="G39" s="394">
        <v>1193.1551513669999</v>
      </c>
      <c r="H39" s="394">
        <v>1191.136352539</v>
      </c>
      <c r="I39" s="394">
        <v>1185.329101563</v>
      </c>
      <c r="J39" s="394"/>
      <c r="K39" s="394"/>
      <c r="L39" s="394"/>
      <c r="M39" s="458"/>
    </row>
    <row r="40" spans="1:13" x14ac:dyDescent="0.2">
      <c r="A40" s="498" t="s">
        <v>577</v>
      </c>
      <c r="B40" s="669" t="s">
        <v>563</v>
      </c>
      <c r="C40" s="670" t="s">
        <v>125</v>
      </c>
      <c r="D40" s="671">
        <v>0.36894431700000002</v>
      </c>
      <c r="E40" s="671">
        <v>0.64567476499999998</v>
      </c>
      <c r="F40" s="671">
        <v>0.56495010899999998</v>
      </c>
      <c r="G40" s="671">
        <v>0.43445894099999999</v>
      </c>
      <c r="H40" s="671">
        <v>-0.25416719900000001</v>
      </c>
      <c r="I40" s="671">
        <v>-4.2252378459999997</v>
      </c>
      <c r="J40" s="671"/>
      <c r="K40" s="671"/>
      <c r="L40" s="671"/>
      <c r="M40" s="672"/>
    </row>
    <row r="41" spans="1:13" x14ac:dyDescent="0.2">
      <c r="A41" s="498" t="s">
        <v>578</v>
      </c>
      <c r="B41" s="673" t="s">
        <v>564</v>
      </c>
      <c r="C41" s="674" t="s">
        <v>401</v>
      </c>
      <c r="D41" s="675">
        <v>0</v>
      </c>
      <c r="E41" s="675">
        <v>6.4567475319999996</v>
      </c>
      <c r="F41" s="675">
        <v>11.299001693999999</v>
      </c>
      <c r="G41" s="675">
        <v>21.722946167</v>
      </c>
      <c r="H41" s="675">
        <v>-11.500135422</v>
      </c>
      <c r="I41" s="675">
        <v>-185.91046142600001</v>
      </c>
      <c r="J41" s="675"/>
      <c r="K41" s="675"/>
      <c r="L41" s="675"/>
      <c r="M41" s="676"/>
    </row>
    <row r="42" spans="1:13" x14ac:dyDescent="0.2">
      <c r="A42" s="498" t="s">
        <v>579</v>
      </c>
      <c r="B42" s="677" t="s">
        <v>565</v>
      </c>
      <c r="C42" s="678" t="s">
        <v>401</v>
      </c>
      <c r="D42" s="679">
        <v>30.745359421</v>
      </c>
      <c r="E42" s="679">
        <v>53.806228638</v>
      </c>
      <c r="F42" s="679">
        <v>47.079174041999998</v>
      </c>
      <c r="G42" s="679">
        <v>36.204910278</v>
      </c>
      <c r="H42" s="679">
        <v>-21.180601119999999</v>
      </c>
      <c r="I42" s="679">
        <v>-352.10314941399997</v>
      </c>
      <c r="J42" s="679"/>
      <c r="K42" s="679"/>
      <c r="L42" s="679"/>
      <c r="M42" s="680"/>
    </row>
    <row r="43" spans="1:13" x14ac:dyDescent="0.2">
      <c r="A43" s="498" t="s">
        <v>580</v>
      </c>
      <c r="B43" s="681" t="s">
        <v>566</v>
      </c>
      <c r="C43" s="682" t="s">
        <v>125</v>
      </c>
      <c r="D43" s="683">
        <v>4.464557171</v>
      </c>
      <c r="E43" s="683">
        <v>4.7469449040000002</v>
      </c>
      <c r="F43" s="683">
        <v>4.705512047</v>
      </c>
      <c r="G43" s="683">
        <v>4.6325674059999997</v>
      </c>
      <c r="H43" s="683">
        <v>5.2701334949999996</v>
      </c>
      <c r="I43" s="683">
        <v>8.7978610990000004</v>
      </c>
      <c r="J43" s="683"/>
      <c r="K43" s="683"/>
      <c r="L43" s="683"/>
      <c r="M43" s="684"/>
    </row>
    <row r="44" spans="1:13" x14ac:dyDescent="0.2">
      <c r="A44" s="498" t="s">
        <v>581</v>
      </c>
      <c r="B44" s="681" t="s">
        <v>567</v>
      </c>
      <c r="C44" s="682" t="s">
        <v>401</v>
      </c>
      <c r="D44" s="683">
        <v>196.44052124000001</v>
      </c>
      <c r="E44" s="683">
        <v>208.86557006800001</v>
      </c>
      <c r="F44" s="683">
        <v>207.042526245</v>
      </c>
      <c r="G44" s="683">
        <v>203.832962036</v>
      </c>
      <c r="H44" s="683">
        <v>231.88587951700001</v>
      </c>
      <c r="I44" s="683">
        <v>387.10589599600002</v>
      </c>
      <c r="J44" s="683"/>
      <c r="K44" s="683"/>
      <c r="L44" s="683"/>
      <c r="M44" s="684"/>
    </row>
    <row r="45" spans="1:13" x14ac:dyDescent="0.2">
      <c r="A45" s="498" t="s">
        <v>582</v>
      </c>
      <c r="B45" s="685" t="s">
        <v>568</v>
      </c>
      <c r="C45" s="686" t="s">
        <v>401</v>
      </c>
      <c r="D45" s="687">
        <v>372.04641723600002</v>
      </c>
      <c r="E45" s="687">
        <v>395.57873535200002</v>
      </c>
      <c r="F45" s="687">
        <v>392.12600708000002</v>
      </c>
      <c r="G45" s="687">
        <v>386.04727172899999</v>
      </c>
      <c r="H45" s="687">
        <v>439.17779540999999</v>
      </c>
      <c r="I45" s="687">
        <v>733.15509033199999</v>
      </c>
      <c r="J45" s="687"/>
      <c r="K45" s="687"/>
      <c r="L45" s="687"/>
      <c r="M45" s="688"/>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40961" r:id="rId4" name="CommandButton1">
          <controlPr defaultSize="0" autoLine="0" r:id="rId5">
            <anchor moveWithCells="1">
              <from>
                <xdr:col>5</xdr:col>
                <xdr:colOff>66675</xdr:colOff>
                <xdr:row>0</xdr:row>
                <xdr:rowOff>38100</xdr:rowOff>
              </from>
              <to>
                <xdr:col>8</xdr:col>
                <xdr:colOff>428625</xdr:colOff>
                <xdr:row>1</xdr:row>
                <xdr:rowOff>161925</xdr:rowOff>
              </to>
            </anchor>
          </controlPr>
        </control>
      </mc:Choice>
      <mc:Fallback>
        <control shapeId="40961" r:id="rId4"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92D050"/>
  </sheetPr>
  <dimension ref="B1:CW36"/>
  <sheetViews>
    <sheetView showGridLines="0" workbookViewId="0">
      <selection activeCell="D32" sqref="D32"/>
    </sheetView>
  </sheetViews>
  <sheetFormatPr defaultColWidth="9.33203125" defaultRowHeight="12" x14ac:dyDescent="0.2"/>
  <cols>
    <col min="2" max="3" width="11.6640625" style="28" customWidth="1"/>
    <col min="4" max="4" width="46.83203125" customWidth="1"/>
    <col min="12" max="12" width="25.83203125" customWidth="1"/>
    <col min="15" max="15" width="24.33203125" customWidth="1"/>
    <col min="51" max="51" width="12.5" customWidth="1"/>
    <col min="52" max="53" width="13" customWidth="1"/>
    <col min="61" max="70" width="11.33203125" customWidth="1"/>
    <col min="100" max="100" width="15.33203125" customWidth="1"/>
  </cols>
  <sheetData>
    <row r="1" spans="2:101" x14ac:dyDescent="0.2">
      <c r="AM1" s="584" t="s">
        <v>84</v>
      </c>
      <c r="AN1" s="585" t="s">
        <v>11</v>
      </c>
      <c r="AO1" s="586" t="s">
        <v>455</v>
      </c>
      <c r="AP1" s="586" t="s">
        <v>2</v>
      </c>
      <c r="AQ1" s="586" t="s">
        <v>268</v>
      </c>
      <c r="AR1" s="586" t="s">
        <v>456</v>
      </c>
      <c r="AS1" s="586" t="s">
        <v>198</v>
      </c>
      <c r="AT1" s="586" t="s">
        <v>199</v>
      </c>
      <c r="AU1" s="586" t="s">
        <v>457</v>
      </c>
      <c r="AV1" s="586" t="s">
        <v>458</v>
      </c>
      <c r="AW1" s="586" t="s">
        <v>459</v>
      </c>
      <c r="AX1" s="586" t="s">
        <v>460</v>
      </c>
      <c r="AY1" s="586" t="s">
        <v>461</v>
      </c>
      <c r="AZ1" s="586" t="s">
        <v>462</v>
      </c>
      <c r="BA1" s="586" t="s">
        <v>463</v>
      </c>
      <c r="BB1" s="586" t="s">
        <v>464</v>
      </c>
      <c r="BC1" s="586" t="s">
        <v>465</v>
      </c>
      <c r="BD1" s="586" t="s">
        <v>466</v>
      </c>
      <c r="BE1" s="586" t="s">
        <v>467</v>
      </c>
      <c r="BF1" s="586" t="s">
        <v>468</v>
      </c>
      <c r="BG1" s="586" t="s">
        <v>469</v>
      </c>
      <c r="BH1" s="586" t="s">
        <v>470</v>
      </c>
      <c r="BI1" s="586" t="s">
        <v>471</v>
      </c>
      <c r="BJ1" s="586" t="s">
        <v>472</v>
      </c>
      <c r="BK1" s="586" t="s">
        <v>473</v>
      </c>
      <c r="BL1" s="586" t="s">
        <v>474</v>
      </c>
      <c r="BM1" s="587" t="s">
        <v>475</v>
      </c>
      <c r="CV1" s="216" t="s">
        <v>480</v>
      </c>
      <c r="CW1" s="216" t="s">
        <v>184</v>
      </c>
    </row>
    <row r="2" spans="2:101" x14ac:dyDescent="0.2">
      <c r="B2" s="28" t="s">
        <v>304</v>
      </c>
      <c r="J2" t="s">
        <v>319</v>
      </c>
      <c r="T2" t="s">
        <v>339</v>
      </c>
      <c r="AN2" s="370"/>
      <c r="AO2" s="594" t="s">
        <v>155</v>
      </c>
      <c r="AP2" s="595" t="s">
        <v>440</v>
      </c>
      <c r="AQ2" s="594"/>
      <c r="AR2" s="594"/>
      <c r="AS2" s="594"/>
      <c r="AT2" s="594"/>
      <c r="AU2" s="594" t="s">
        <v>434</v>
      </c>
      <c r="AV2" s="594" t="s">
        <v>436</v>
      </c>
      <c r="AW2" s="594" t="s">
        <v>437</v>
      </c>
      <c r="AX2" s="594" t="s">
        <v>437</v>
      </c>
      <c r="AY2" s="594" t="s">
        <v>441</v>
      </c>
      <c r="AZ2" s="594" t="s">
        <v>441</v>
      </c>
      <c r="BA2" s="594" t="s">
        <v>441</v>
      </c>
      <c r="BB2" s="594"/>
      <c r="BC2" s="594"/>
      <c r="BD2" s="594"/>
      <c r="BE2" s="594"/>
      <c r="BF2" s="594"/>
      <c r="BG2" s="594"/>
      <c r="BH2" s="594"/>
      <c r="BI2" s="594" t="s">
        <v>449</v>
      </c>
      <c r="BJ2" s="594" t="s">
        <v>452</v>
      </c>
      <c r="BK2" s="594" t="s">
        <v>453</v>
      </c>
      <c r="BL2" s="594" t="s">
        <v>454</v>
      </c>
      <c r="BM2" s="596" t="s">
        <v>6</v>
      </c>
      <c r="CV2" t="s">
        <v>481</v>
      </c>
      <c r="CW2">
        <v>1</v>
      </c>
    </row>
    <row r="3" spans="2:101" x14ac:dyDescent="0.2">
      <c r="B3" s="28" t="s">
        <v>12</v>
      </c>
      <c r="C3" s="28" t="s">
        <v>10</v>
      </c>
      <c r="D3" t="s">
        <v>305</v>
      </c>
      <c r="AN3" s="588"/>
      <c r="AO3" s="597" t="s">
        <v>19</v>
      </c>
      <c r="AP3" s="597" t="s">
        <v>439</v>
      </c>
      <c r="AQ3" s="597"/>
      <c r="AR3" s="597"/>
      <c r="AS3" s="597"/>
      <c r="AT3" s="597"/>
      <c r="AU3" s="597" t="s">
        <v>58</v>
      </c>
      <c r="AV3" s="597" t="s">
        <v>58</v>
      </c>
      <c r="AW3" s="597" t="s">
        <v>438</v>
      </c>
      <c r="AX3" s="597" t="s">
        <v>54</v>
      </c>
      <c r="AY3" s="597" t="s">
        <v>438</v>
      </c>
      <c r="AZ3" s="597" t="s">
        <v>54</v>
      </c>
      <c r="BA3" s="597" t="s">
        <v>442</v>
      </c>
      <c r="BB3" s="597" t="s">
        <v>443</v>
      </c>
      <c r="BC3" s="597" t="s">
        <v>444</v>
      </c>
      <c r="BD3" s="597"/>
      <c r="BE3" s="597" t="s">
        <v>446</v>
      </c>
      <c r="BF3" s="597" t="s">
        <v>54</v>
      </c>
      <c r="BG3" s="597" t="s">
        <v>442</v>
      </c>
      <c r="BH3" s="597" t="s">
        <v>448</v>
      </c>
      <c r="BI3" s="597" t="s">
        <v>450</v>
      </c>
      <c r="BJ3" s="597" t="s">
        <v>450</v>
      </c>
      <c r="BK3" s="597" t="s">
        <v>450</v>
      </c>
      <c r="BL3" s="597" t="s">
        <v>450</v>
      </c>
      <c r="BM3" s="598" t="s">
        <v>438</v>
      </c>
      <c r="CV3" t="s">
        <v>482</v>
      </c>
      <c r="CW3">
        <v>1</v>
      </c>
    </row>
    <row r="4" spans="2:101" x14ac:dyDescent="0.2">
      <c r="B4" s="28" t="s">
        <v>306</v>
      </c>
      <c r="C4" s="28" t="s">
        <v>306</v>
      </c>
      <c r="D4" t="s">
        <v>306</v>
      </c>
      <c r="J4" t="s">
        <v>320</v>
      </c>
      <c r="AN4" s="588" t="s">
        <v>11</v>
      </c>
      <c r="AO4" s="597" t="s">
        <v>20</v>
      </c>
      <c r="AP4" s="597" t="s">
        <v>20</v>
      </c>
      <c r="AQ4" s="597" t="s">
        <v>58</v>
      </c>
      <c r="AR4" s="597" t="s">
        <v>196</v>
      </c>
      <c r="AS4" s="597" t="s">
        <v>198</v>
      </c>
      <c r="AT4" s="597" t="s">
        <v>199</v>
      </c>
      <c r="AU4" s="597" t="s">
        <v>435</v>
      </c>
      <c r="AV4" s="597" t="s">
        <v>435</v>
      </c>
      <c r="AW4" s="597" t="s">
        <v>140</v>
      </c>
      <c r="AX4" s="597" t="s">
        <v>140</v>
      </c>
      <c r="AY4" s="597" t="s">
        <v>140</v>
      </c>
      <c r="AZ4" s="597" t="s">
        <v>140</v>
      </c>
      <c r="BA4" s="597" t="s">
        <v>140</v>
      </c>
      <c r="BB4" s="597" t="s">
        <v>140</v>
      </c>
      <c r="BC4" s="597" t="s">
        <v>140</v>
      </c>
      <c r="BD4" s="597" t="s">
        <v>445</v>
      </c>
      <c r="BE4" s="597" t="s">
        <v>447</v>
      </c>
      <c r="BF4" s="597" t="s">
        <v>447</v>
      </c>
      <c r="BG4" s="597" t="s">
        <v>447</v>
      </c>
      <c r="BH4" s="597" t="s">
        <v>447</v>
      </c>
      <c r="BI4" s="597" t="s">
        <v>451</v>
      </c>
      <c r="BJ4" s="597" t="s">
        <v>451</v>
      </c>
      <c r="BK4" s="597" t="s">
        <v>451</v>
      </c>
      <c r="BL4" s="597" t="s">
        <v>451</v>
      </c>
      <c r="BM4" s="598" t="s">
        <v>198</v>
      </c>
      <c r="CV4" t="s">
        <v>407</v>
      </c>
      <c r="CW4">
        <v>0</v>
      </c>
    </row>
    <row r="5" spans="2:101" x14ac:dyDescent="0.2">
      <c r="D5" s="49" t="s">
        <v>347</v>
      </c>
      <c r="AN5" s="589"/>
      <c r="AO5" s="330"/>
      <c r="AP5" s="330"/>
      <c r="AQ5" s="330"/>
      <c r="AR5" s="330"/>
      <c r="AS5" s="330"/>
      <c r="AT5" s="330"/>
      <c r="AU5" s="330"/>
      <c r="AV5" s="330"/>
      <c r="AW5" s="330"/>
      <c r="AX5" s="330"/>
      <c r="AY5" s="330"/>
      <c r="AZ5" s="330"/>
      <c r="BA5" s="330"/>
      <c r="BB5" s="330"/>
      <c r="BC5" s="330"/>
      <c r="BD5" s="330"/>
      <c r="BE5" s="330"/>
      <c r="BF5" s="330"/>
      <c r="BG5" s="330"/>
      <c r="BH5" s="330"/>
      <c r="BI5" s="330"/>
      <c r="BJ5" s="330"/>
      <c r="BK5" s="330"/>
      <c r="BL5" s="330"/>
      <c r="BM5" s="599"/>
      <c r="CV5" t="s">
        <v>483</v>
      </c>
      <c r="CW5">
        <v>1</v>
      </c>
    </row>
    <row r="6" spans="2:101" x14ac:dyDescent="0.2">
      <c r="B6" s="28">
        <v>18</v>
      </c>
      <c r="C6" s="28">
        <v>152</v>
      </c>
      <c r="D6" t="s">
        <v>307</v>
      </c>
      <c r="E6" t="s">
        <v>351</v>
      </c>
      <c r="J6" t="s">
        <v>321</v>
      </c>
      <c r="U6" s="49" t="s">
        <v>296</v>
      </c>
    </row>
    <row r="7" spans="2:101" x14ac:dyDescent="0.2">
      <c r="B7" s="28">
        <v>19</v>
      </c>
      <c r="C7" s="28">
        <v>153</v>
      </c>
      <c r="D7" t="s">
        <v>308</v>
      </c>
      <c r="E7" t="s">
        <v>351</v>
      </c>
      <c r="K7" s="297" t="s">
        <v>10</v>
      </c>
      <c r="L7" s="297" t="s">
        <v>11</v>
      </c>
      <c r="N7" s="297" t="s">
        <v>10</v>
      </c>
      <c r="O7" s="297" t="s">
        <v>11</v>
      </c>
      <c r="U7" s="297" t="s">
        <v>10</v>
      </c>
      <c r="V7" s="297" t="s">
        <v>11</v>
      </c>
    </row>
    <row r="8" spans="2:101" x14ac:dyDescent="0.2">
      <c r="B8" s="28">
        <v>1</v>
      </c>
      <c r="C8" s="28">
        <v>1</v>
      </c>
      <c r="D8" t="s">
        <v>73</v>
      </c>
      <c r="E8" t="s">
        <v>363</v>
      </c>
      <c r="K8" s="28">
        <v>0</v>
      </c>
      <c r="L8" s="28" t="s">
        <v>322</v>
      </c>
      <c r="N8">
        <v>0</v>
      </c>
      <c r="O8" t="s">
        <v>348</v>
      </c>
      <c r="U8">
        <v>4</v>
      </c>
      <c r="V8" t="s">
        <v>325</v>
      </c>
    </row>
    <row r="9" spans="2:101" x14ac:dyDescent="0.2">
      <c r="B9" s="28">
        <v>53</v>
      </c>
      <c r="C9" s="28">
        <v>2</v>
      </c>
      <c r="D9" t="s">
        <v>72</v>
      </c>
      <c r="K9" s="28">
        <v>1</v>
      </c>
      <c r="L9" s="28" t="s">
        <v>323</v>
      </c>
      <c r="N9">
        <v>1</v>
      </c>
      <c r="O9" t="s">
        <v>349</v>
      </c>
      <c r="U9">
        <v>5</v>
      </c>
      <c r="V9" t="s">
        <v>326</v>
      </c>
    </row>
    <row r="10" spans="2:101" x14ac:dyDescent="0.2">
      <c r="B10" s="28">
        <v>51</v>
      </c>
      <c r="C10" s="28">
        <v>7</v>
      </c>
      <c r="D10" t="s">
        <v>254</v>
      </c>
      <c r="E10" t="s">
        <v>363</v>
      </c>
      <c r="K10" s="28">
        <v>2</v>
      </c>
      <c r="L10" s="28" t="s">
        <v>324</v>
      </c>
      <c r="N10">
        <v>2</v>
      </c>
      <c r="O10" t="s">
        <v>301</v>
      </c>
      <c r="U10">
        <v>6</v>
      </c>
      <c r="V10" t="s">
        <v>340</v>
      </c>
    </row>
    <row r="11" spans="2:101" x14ac:dyDescent="0.2">
      <c r="B11" s="28">
        <v>56</v>
      </c>
      <c r="C11" s="28">
        <v>8</v>
      </c>
      <c r="D11" t="s">
        <v>255</v>
      </c>
      <c r="E11" t="s">
        <v>363</v>
      </c>
      <c r="K11" s="28">
        <v>4</v>
      </c>
      <c r="L11" s="28" t="s">
        <v>325</v>
      </c>
      <c r="U11">
        <v>7</v>
      </c>
      <c r="V11" t="s">
        <v>341</v>
      </c>
    </row>
    <row r="12" spans="2:101" x14ac:dyDescent="0.2">
      <c r="B12" s="28">
        <v>57</v>
      </c>
      <c r="C12" s="28">
        <v>9</v>
      </c>
      <c r="D12" t="s">
        <v>256</v>
      </c>
      <c r="E12" t="s">
        <v>363</v>
      </c>
      <c r="K12" s="28">
        <v>5</v>
      </c>
      <c r="L12" s="28" t="s">
        <v>326</v>
      </c>
      <c r="U12">
        <v>13</v>
      </c>
      <c r="V12" t="s">
        <v>342</v>
      </c>
    </row>
    <row r="13" spans="2:101" x14ac:dyDescent="0.2">
      <c r="B13" s="28">
        <v>58</v>
      </c>
      <c r="C13" s="28">
        <v>10</v>
      </c>
      <c r="D13" t="s">
        <v>257</v>
      </c>
      <c r="E13" t="s">
        <v>363</v>
      </c>
      <c r="K13" s="28">
        <v>8</v>
      </c>
      <c r="L13" s="28" t="s">
        <v>327</v>
      </c>
      <c r="U13">
        <v>14</v>
      </c>
      <c r="V13" t="s">
        <v>330</v>
      </c>
    </row>
    <row r="14" spans="2:101" x14ac:dyDescent="0.2">
      <c r="B14" s="28">
        <v>59</v>
      </c>
      <c r="C14" s="28">
        <v>11</v>
      </c>
      <c r="D14" t="s">
        <v>258</v>
      </c>
      <c r="E14" t="s">
        <v>363</v>
      </c>
      <c r="K14" s="28">
        <v>9</v>
      </c>
      <c r="L14" s="28" t="s">
        <v>186</v>
      </c>
      <c r="U14">
        <v>15</v>
      </c>
      <c r="V14" t="s">
        <v>343</v>
      </c>
    </row>
    <row r="15" spans="2:101" x14ac:dyDescent="0.2">
      <c r="B15" s="28">
        <v>61</v>
      </c>
      <c r="C15" s="28">
        <v>13</v>
      </c>
      <c r="D15" t="s">
        <v>259</v>
      </c>
      <c r="E15" t="s">
        <v>363</v>
      </c>
      <c r="K15" s="28">
        <v>10</v>
      </c>
      <c r="L15" s="28" t="s">
        <v>271</v>
      </c>
      <c r="U15">
        <v>16</v>
      </c>
      <c r="V15" t="s">
        <v>344</v>
      </c>
    </row>
    <row r="16" spans="2:101" x14ac:dyDescent="0.2">
      <c r="B16" s="28">
        <v>2</v>
      </c>
      <c r="C16" s="28">
        <v>27</v>
      </c>
      <c r="D16" t="s">
        <v>130</v>
      </c>
      <c r="E16" t="s">
        <v>363</v>
      </c>
      <c r="K16" s="28">
        <v>11</v>
      </c>
      <c r="L16" s="28" t="s">
        <v>328</v>
      </c>
      <c r="U16">
        <v>17</v>
      </c>
      <c r="V16" t="s">
        <v>345</v>
      </c>
    </row>
    <row r="17" spans="2:22" x14ac:dyDescent="0.2">
      <c r="B17" s="28">
        <v>16</v>
      </c>
      <c r="C17" s="28">
        <v>6</v>
      </c>
      <c r="D17" t="s">
        <v>309</v>
      </c>
      <c r="E17" t="s">
        <v>351</v>
      </c>
      <c r="K17" s="28">
        <v>12</v>
      </c>
      <c r="L17" s="28" t="s">
        <v>329</v>
      </c>
      <c r="U17">
        <v>18</v>
      </c>
      <c r="V17" t="s">
        <v>331</v>
      </c>
    </row>
    <row r="18" spans="2:22" x14ac:dyDescent="0.2">
      <c r="B18" s="28">
        <v>40</v>
      </c>
      <c r="C18" s="28">
        <v>155</v>
      </c>
      <c r="D18" t="s">
        <v>310</v>
      </c>
      <c r="E18" t="s">
        <v>351</v>
      </c>
      <c r="K18" s="28">
        <v>14</v>
      </c>
      <c r="L18" s="28" t="s">
        <v>330</v>
      </c>
      <c r="U18">
        <v>19</v>
      </c>
      <c r="V18" t="s">
        <v>332</v>
      </c>
    </row>
    <row r="19" spans="2:22" x14ac:dyDescent="0.2">
      <c r="B19" s="28">
        <v>27</v>
      </c>
      <c r="C19" s="28">
        <v>145</v>
      </c>
      <c r="D19" t="s">
        <v>263</v>
      </c>
      <c r="E19" t="s">
        <v>351</v>
      </c>
      <c r="K19" s="28">
        <v>18</v>
      </c>
      <c r="L19" s="28" t="s">
        <v>331</v>
      </c>
      <c r="U19">
        <v>20</v>
      </c>
      <c r="V19" t="s">
        <v>333</v>
      </c>
    </row>
    <row r="20" spans="2:22" x14ac:dyDescent="0.2">
      <c r="B20" s="28">
        <v>26</v>
      </c>
      <c r="C20" s="28">
        <v>144</v>
      </c>
      <c r="D20" t="s">
        <v>311</v>
      </c>
      <c r="E20" t="s">
        <v>351</v>
      </c>
      <c r="K20" s="28">
        <v>19</v>
      </c>
      <c r="L20" s="28" t="s">
        <v>332</v>
      </c>
      <c r="U20">
        <v>25</v>
      </c>
      <c r="V20" t="s">
        <v>269</v>
      </c>
    </row>
    <row r="21" spans="2:22" x14ac:dyDescent="0.2">
      <c r="B21" s="28">
        <v>307</v>
      </c>
      <c r="C21" s="28">
        <v>168</v>
      </c>
      <c r="D21" t="s">
        <v>312</v>
      </c>
      <c r="E21" t="s">
        <v>351</v>
      </c>
      <c r="K21" s="28">
        <v>20</v>
      </c>
      <c r="L21" s="28" t="s">
        <v>333</v>
      </c>
      <c r="U21">
        <v>27</v>
      </c>
      <c r="V21" t="s">
        <v>346</v>
      </c>
    </row>
    <row r="22" spans="2:22" x14ac:dyDescent="0.2">
      <c r="B22" s="28">
        <v>28</v>
      </c>
      <c r="C22" s="28">
        <v>146</v>
      </c>
      <c r="D22" t="s">
        <v>315</v>
      </c>
      <c r="E22" t="s">
        <v>351</v>
      </c>
      <c r="K22" s="28">
        <v>25</v>
      </c>
      <c r="L22" s="28" t="s">
        <v>334</v>
      </c>
      <c r="U22">
        <v>28</v>
      </c>
      <c r="V22" t="s">
        <v>334</v>
      </c>
    </row>
    <row r="23" spans="2:22" x14ac:dyDescent="0.2">
      <c r="B23" s="28">
        <v>21</v>
      </c>
      <c r="C23" s="28">
        <v>147</v>
      </c>
      <c r="D23" t="s">
        <v>316</v>
      </c>
      <c r="E23" t="s">
        <v>351</v>
      </c>
      <c r="K23" s="28">
        <v>26</v>
      </c>
      <c r="L23" s="28" t="s">
        <v>335</v>
      </c>
      <c r="U23">
        <v>29</v>
      </c>
      <c r="V23" t="s">
        <v>335</v>
      </c>
    </row>
    <row r="24" spans="2:22" x14ac:dyDescent="0.2">
      <c r="B24" s="28">
        <v>341</v>
      </c>
      <c r="C24" s="28">
        <v>202</v>
      </c>
      <c r="D24" t="s">
        <v>317</v>
      </c>
      <c r="K24" s="28">
        <v>27</v>
      </c>
      <c r="L24" s="28" t="s">
        <v>336</v>
      </c>
      <c r="U24">
        <v>30</v>
      </c>
      <c r="V24" t="s">
        <v>336</v>
      </c>
    </row>
    <row r="25" spans="2:22" x14ac:dyDescent="0.2">
      <c r="B25" s="28">
        <v>342</v>
      </c>
      <c r="C25" s="28">
        <v>203</v>
      </c>
      <c r="D25" t="s">
        <v>27</v>
      </c>
      <c r="K25" s="28">
        <v>28</v>
      </c>
      <c r="L25" s="28" t="s">
        <v>337</v>
      </c>
      <c r="U25">
        <v>31</v>
      </c>
      <c r="V25" t="s">
        <v>337</v>
      </c>
    </row>
    <row r="26" spans="2:22" x14ac:dyDescent="0.2">
      <c r="B26" s="28">
        <v>367</v>
      </c>
      <c r="C26" s="28">
        <v>242</v>
      </c>
      <c r="D26" t="s">
        <v>489</v>
      </c>
      <c r="E26" t="s">
        <v>351</v>
      </c>
      <c r="K26" s="28">
        <v>29</v>
      </c>
      <c r="L26" s="28" t="s">
        <v>338</v>
      </c>
      <c r="U26">
        <v>32</v>
      </c>
      <c r="V26" t="s">
        <v>338</v>
      </c>
    </row>
    <row r="27" spans="2:22" x14ac:dyDescent="0.2">
      <c r="B27" s="28">
        <v>82</v>
      </c>
      <c r="C27" s="28">
        <v>46</v>
      </c>
      <c r="D27" t="s">
        <v>490</v>
      </c>
    </row>
    <row r="28" spans="2:22" x14ac:dyDescent="0.2">
      <c r="B28" s="28">
        <v>83</v>
      </c>
      <c r="C28" s="28">
        <v>47</v>
      </c>
      <c r="D28" t="s">
        <v>491</v>
      </c>
    </row>
    <row r="29" spans="2:22" x14ac:dyDescent="0.2">
      <c r="B29" s="28">
        <v>334</v>
      </c>
      <c r="C29" s="28">
        <v>195</v>
      </c>
      <c r="D29" t="s">
        <v>313</v>
      </c>
    </row>
    <row r="30" spans="2:22" x14ac:dyDescent="0.2">
      <c r="B30" s="28">
        <v>335</v>
      </c>
      <c r="C30" s="28">
        <v>196</v>
      </c>
      <c r="D30" t="s">
        <v>314</v>
      </c>
    </row>
    <row r="36" spans="2:2" x14ac:dyDescent="0.2">
      <c r="B36" s="28" t="s">
        <v>318</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B1:CW202"/>
  <sheetViews>
    <sheetView showGridLines="0" topLeftCell="BQ1" workbookViewId="0"/>
  </sheetViews>
  <sheetFormatPr defaultColWidth="9.33203125" defaultRowHeight="12" x14ac:dyDescent="0.2"/>
  <cols>
    <col min="1" max="1" width="2.5" customWidth="1"/>
    <col min="2" max="2" width="9.1640625" style="1" customWidth="1"/>
    <col min="3" max="3" width="9.83203125" style="1" customWidth="1"/>
    <col min="4" max="5" width="14.33203125" style="1" customWidth="1"/>
    <col min="6" max="6" width="11" style="1" customWidth="1"/>
    <col min="7" max="9" width="3" customWidth="1"/>
    <col min="10" max="13" width="14" style="15" customWidth="1"/>
  </cols>
  <sheetData>
    <row r="1" spans="2:101" x14ac:dyDescent="0.2">
      <c r="CV1">
        <v>1</v>
      </c>
      <c r="CW1">
        <v>1</v>
      </c>
    </row>
    <row r="4" spans="2:101" x14ac:dyDescent="0.2">
      <c r="CV4">
        <v>0</v>
      </c>
    </row>
    <row r="6" spans="2:101" x14ac:dyDescent="0.2">
      <c r="B6" s="13" t="s">
        <v>8</v>
      </c>
      <c r="J6" s="14" t="s">
        <v>7</v>
      </c>
    </row>
    <row r="7" spans="2:101" x14ac:dyDescent="0.2">
      <c r="B7" s="2"/>
      <c r="C7" s="3"/>
      <c r="D7" s="3"/>
      <c r="E7" s="3" t="s">
        <v>6</v>
      </c>
      <c r="F7" s="4"/>
      <c r="J7" s="16"/>
      <c r="K7" s="17"/>
      <c r="L7" s="17" t="s">
        <v>6</v>
      </c>
      <c r="M7" s="18"/>
    </row>
    <row r="8" spans="2:101" x14ac:dyDescent="0.2">
      <c r="B8" s="5" t="s">
        <v>1</v>
      </c>
      <c r="C8" s="6" t="s">
        <v>2</v>
      </c>
      <c r="D8" s="6" t="s">
        <v>3</v>
      </c>
      <c r="E8" s="6" t="s">
        <v>3</v>
      </c>
      <c r="F8" s="7" t="s">
        <v>4</v>
      </c>
      <c r="J8" s="19" t="s">
        <v>1</v>
      </c>
      <c r="K8" s="20" t="s">
        <v>2</v>
      </c>
      <c r="L8" s="20" t="s">
        <v>3</v>
      </c>
      <c r="M8" s="21" t="s">
        <v>4</v>
      </c>
    </row>
    <row r="9" spans="2:101" x14ac:dyDescent="0.2">
      <c r="B9" s="10" t="s">
        <v>0</v>
      </c>
      <c r="C9" s="11" t="s">
        <v>0</v>
      </c>
      <c r="D9" s="11" t="s">
        <v>0</v>
      </c>
      <c r="E9" s="11" t="s">
        <v>0</v>
      </c>
      <c r="F9" s="12" t="s">
        <v>5</v>
      </c>
      <c r="J9" s="22" t="s">
        <v>0</v>
      </c>
      <c r="K9" s="23" t="s">
        <v>0</v>
      </c>
      <c r="L9" s="23" t="s">
        <v>0</v>
      </c>
      <c r="M9" s="24" t="s">
        <v>5</v>
      </c>
    </row>
    <row r="10" spans="2:101" x14ac:dyDescent="0.2">
      <c r="B10" s="9">
        <v>0</v>
      </c>
      <c r="C10" s="9">
        <v>0</v>
      </c>
      <c r="D10" s="9">
        <v>0</v>
      </c>
      <c r="E10" s="9">
        <v>0</v>
      </c>
      <c r="F10" s="9"/>
      <c r="J10" s="73">
        <v>0</v>
      </c>
      <c r="K10" s="74">
        <v>0</v>
      </c>
      <c r="L10" s="74">
        <v>0</v>
      </c>
      <c r="M10" s="75">
        <v>0</v>
      </c>
    </row>
    <row r="11" spans="2:101" x14ac:dyDescent="0.2">
      <c r="B11" s="9">
        <v>200</v>
      </c>
      <c r="C11" s="9">
        <v>200</v>
      </c>
      <c r="D11" s="9">
        <v>0</v>
      </c>
      <c r="E11" s="9">
        <v>0</v>
      </c>
      <c r="F11" s="8">
        <v>0</v>
      </c>
      <c r="J11" s="25">
        <v>1712.2</v>
      </c>
      <c r="K11" s="26">
        <v>1711.67</v>
      </c>
      <c r="L11" s="26">
        <v>42.598721811809106</v>
      </c>
      <c r="M11" s="27">
        <v>1.4256388509111604</v>
      </c>
    </row>
    <row r="12" spans="2:101" x14ac:dyDescent="0.2">
      <c r="B12" s="9">
        <v>326</v>
      </c>
      <c r="C12" s="9">
        <v>325.99799999999999</v>
      </c>
      <c r="D12" s="9">
        <v>0.70992675678513539</v>
      </c>
      <c r="E12" s="9">
        <v>0.70992675678513539</v>
      </c>
      <c r="F12" s="8">
        <v>0.32282557257519767</v>
      </c>
      <c r="H12" s="1"/>
      <c r="J12" s="25">
        <v>3142.9</v>
      </c>
      <c r="K12" s="26">
        <v>3140.13</v>
      </c>
      <c r="L12" s="26">
        <v>122.62695682920889</v>
      </c>
      <c r="M12" s="27">
        <v>3.2065944052103807</v>
      </c>
    </row>
    <row r="13" spans="2:101" x14ac:dyDescent="0.2">
      <c r="B13" s="9">
        <v>354</v>
      </c>
      <c r="C13" s="9">
        <v>353.99599999999998</v>
      </c>
      <c r="D13" s="9">
        <v>0.334658034417189</v>
      </c>
      <c r="E13" s="9">
        <v>1.0445847912023245</v>
      </c>
      <c r="F13" s="8">
        <v>0.68481962502998384</v>
      </c>
      <c r="H13" s="1"/>
      <c r="J13" s="25">
        <v>4026.27</v>
      </c>
      <c r="K13" s="26">
        <v>3978.95</v>
      </c>
      <c r="L13" s="26">
        <v>399.61714528360136</v>
      </c>
      <c r="M13" s="27">
        <v>18.273951395999131</v>
      </c>
    </row>
    <row r="14" spans="2:101" x14ac:dyDescent="0.2">
      <c r="B14" s="9">
        <v>383</v>
      </c>
      <c r="C14" s="9">
        <v>382.99099999999999</v>
      </c>
      <c r="D14" s="9">
        <v>0.53849326829581912</v>
      </c>
      <c r="E14" s="9">
        <v>1.5830780594981437</v>
      </c>
      <c r="F14" s="8">
        <v>1.0639712025957742</v>
      </c>
      <c r="I14" s="1"/>
      <c r="J14" s="25">
        <v>4700</v>
      </c>
      <c r="K14" s="26">
        <v>4543.5</v>
      </c>
      <c r="L14" s="26">
        <v>767.30643041440317</v>
      </c>
      <c r="M14" s="27">
        <v>33.076046375320146</v>
      </c>
    </row>
    <row r="15" spans="2:101" x14ac:dyDescent="0.2">
      <c r="B15" s="9">
        <v>416</v>
      </c>
      <c r="C15" s="9">
        <v>415.98599999999999</v>
      </c>
      <c r="D15" s="9">
        <v>0.57443450453476774</v>
      </c>
      <c r="E15" s="9">
        <v>2.1575125640329116</v>
      </c>
      <c r="F15" s="8">
        <v>0.99740409313569456</v>
      </c>
      <c r="J15" s="25">
        <v>4846.5</v>
      </c>
      <c r="K15" s="26">
        <v>4643.63</v>
      </c>
      <c r="L15" s="26">
        <v>874.24675536247878</v>
      </c>
      <c r="M15" s="27">
        <v>46.883718857624778</v>
      </c>
    </row>
    <row r="16" spans="2:101" x14ac:dyDescent="0.2">
      <c r="B16" s="9">
        <v>445</v>
      </c>
      <c r="C16" s="9">
        <v>444.98500000000001</v>
      </c>
      <c r="D16" s="9">
        <v>0.2408298154301268</v>
      </c>
      <c r="E16" s="9">
        <v>2.3983423794630383</v>
      </c>
      <c r="F16" s="8">
        <v>0.47581691762292044</v>
      </c>
      <c r="H16" s="1"/>
      <c r="J16" s="25">
        <v>4933.79</v>
      </c>
      <c r="K16" s="26">
        <v>4697.8</v>
      </c>
      <c r="L16" s="26">
        <v>942.6949489105923</v>
      </c>
      <c r="M16" s="27">
        <v>51.641856906157962</v>
      </c>
    </row>
    <row r="17" spans="2:13" x14ac:dyDescent="0.2">
      <c r="B17" s="9">
        <v>474</v>
      </c>
      <c r="C17" s="9">
        <v>473.983</v>
      </c>
      <c r="D17" s="9">
        <v>0.34058185506553612</v>
      </c>
      <c r="E17" s="9">
        <v>2.7389242345285743</v>
      </c>
      <c r="F17" s="8">
        <v>0.67290867178742464</v>
      </c>
      <c r="H17" s="1"/>
      <c r="J17" s="25">
        <v>5270</v>
      </c>
      <c r="K17" s="26">
        <v>4872.54</v>
      </c>
      <c r="L17" s="26">
        <v>1229.9284715015322</v>
      </c>
      <c r="M17" s="27">
        <v>58.685543314217767</v>
      </c>
    </row>
    <row r="18" spans="2:13" x14ac:dyDescent="0.2">
      <c r="B18" s="9">
        <v>502</v>
      </c>
      <c r="C18" s="9">
        <v>501.98</v>
      </c>
      <c r="D18" s="9">
        <v>0.40986705161555631</v>
      </c>
      <c r="E18" s="9">
        <v>3.1487912861441307</v>
      </c>
      <c r="F18" s="8">
        <v>0.83873181988760903</v>
      </c>
      <c r="I18" s="1"/>
      <c r="J18" s="25">
        <v>5370</v>
      </c>
      <c r="K18" s="26">
        <v>4909.74</v>
      </c>
      <c r="L18" s="26">
        <v>1322.7517444453365</v>
      </c>
      <c r="M18" s="27">
        <v>68.160984551582303</v>
      </c>
    </row>
    <row r="19" spans="2:13" x14ac:dyDescent="0.2">
      <c r="B19" s="9">
        <v>531</v>
      </c>
      <c r="C19" s="9">
        <v>530.97900000000004</v>
      </c>
      <c r="D19" s="9">
        <v>0.2408298154301268</v>
      </c>
      <c r="E19" s="9">
        <v>3.3896211015742574</v>
      </c>
      <c r="F19" s="8">
        <v>0.47581691762292044</v>
      </c>
      <c r="J19" s="25">
        <v>5610</v>
      </c>
      <c r="K19" s="26">
        <v>4933.33</v>
      </c>
      <c r="L19" s="26">
        <v>1561.5895804345282</v>
      </c>
      <c r="M19" s="27">
        <v>84.359194477727826</v>
      </c>
    </row>
    <row r="20" spans="2:13" x14ac:dyDescent="0.2">
      <c r="B20" s="9">
        <v>560</v>
      </c>
      <c r="C20" s="9">
        <v>559.97900000000004</v>
      </c>
      <c r="D20" s="9">
        <v>0</v>
      </c>
      <c r="E20" s="9">
        <v>3.3896211015742574</v>
      </c>
      <c r="F20" s="8">
        <v>0</v>
      </c>
      <c r="J20" s="25">
        <v>5710</v>
      </c>
      <c r="K20" s="26">
        <v>4937.6099999999997</v>
      </c>
      <c r="L20" s="26">
        <v>1661.4979464505932</v>
      </c>
      <c r="M20" s="27">
        <v>87.546991327867332</v>
      </c>
    </row>
    <row r="21" spans="2:13" x14ac:dyDescent="0.2">
      <c r="B21" s="9">
        <v>588</v>
      </c>
      <c r="C21" s="9">
        <v>587.97799999999995</v>
      </c>
      <c r="D21" s="9">
        <v>0.23664107842900509</v>
      </c>
      <c r="E21" s="9">
        <v>3.6262621800032626</v>
      </c>
      <c r="F21" s="8">
        <v>0.48423915953013602</v>
      </c>
      <c r="J21" s="25">
        <v>5720</v>
      </c>
      <c r="K21" s="26">
        <v>4938.3900000000003</v>
      </c>
      <c r="L21" s="26">
        <v>1671.467480040486</v>
      </c>
      <c r="M21" s="27">
        <v>85.526385108351519</v>
      </c>
    </row>
    <row r="22" spans="2:13" x14ac:dyDescent="0.2">
      <c r="B22" s="9">
        <v>617</v>
      </c>
      <c r="C22" s="9">
        <v>616.976</v>
      </c>
      <c r="D22" s="9">
        <v>0.34058185506553612</v>
      </c>
      <c r="E22" s="9">
        <v>3.9668440350687986</v>
      </c>
      <c r="F22" s="8">
        <v>0.67290867178742464</v>
      </c>
      <c r="J22" s="25">
        <v>5740</v>
      </c>
      <c r="K22" s="26">
        <v>4939.8999999999996</v>
      </c>
      <c r="L22" s="26">
        <v>1691.410396076011</v>
      </c>
      <c r="M22" s="27">
        <v>85.670048348931559</v>
      </c>
    </row>
    <row r="23" spans="2:13" x14ac:dyDescent="0.2">
      <c r="B23" s="9">
        <v>627</v>
      </c>
      <c r="C23" s="9">
        <v>626.97500000000002</v>
      </c>
      <c r="D23" s="9">
        <v>0.1414178206591529</v>
      </c>
      <c r="E23" s="9">
        <v>4.1082618557279513</v>
      </c>
      <c r="F23" s="8">
        <v>0.81029143706538287</v>
      </c>
      <c r="J23" s="25">
        <v>5760</v>
      </c>
      <c r="K23" s="26">
        <v>4941.21</v>
      </c>
      <c r="L23" s="26">
        <v>1711.3674474614236</v>
      </c>
      <c r="M23" s="27">
        <v>86.24443778693724</v>
      </c>
    </row>
    <row r="24" spans="2:13" x14ac:dyDescent="0.2">
      <c r="B24" s="9">
        <v>644</v>
      </c>
      <c r="C24" s="9">
        <v>643.97199999999998</v>
      </c>
      <c r="D24" s="9">
        <v>0.31936029809605038</v>
      </c>
      <c r="E24" s="9">
        <v>4.4276221538240019</v>
      </c>
      <c r="F24" s="8">
        <v>1.07641609727677</v>
      </c>
      <c r="J24" s="25">
        <v>5770</v>
      </c>
      <c r="K24" s="26">
        <v>4941.87</v>
      </c>
      <c r="L24" s="26">
        <v>1721.3456436912038</v>
      </c>
      <c r="M24" s="27">
        <v>86.215727772067638</v>
      </c>
    </row>
    <row r="25" spans="2:13" x14ac:dyDescent="0.2">
      <c r="B25" s="9">
        <v>673</v>
      </c>
      <c r="C25" s="9">
        <v>672.96500000000003</v>
      </c>
      <c r="D25" s="9">
        <v>0.63714284112753927</v>
      </c>
      <c r="E25" s="9">
        <v>5.064764994951541</v>
      </c>
      <c r="F25" s="8">
        <v>1.2589149399671702</v>
      </c>
      <c r="J25" s="25">
        <v>5810</v>
      </c>
      <c r="K25" s="26">
        <v>4944.7</v>
      </c>
      <c r="L25" s="26">
        <v>1761.2454068483955</v>
      </c>
      <c r="M25" s="27">
        <v>85.942934137348388</v>
      </c>
    </row>
    <row r="26" spans="2:13" x14ac:dyDescent="0.2">
      <c r="B26" s="9">
        <v>701</v>
      </c>
      <c r="C26" s="9">
        <v>700.95699999999999</v>
      </c>
      <c r="D26" s="9">
        <v>0.66928021037523089</v>
      </c>
      <c r="E26" s="9">
        <v>5.7340452053267716</v>
      </c>
      <c r="F26" s="8">
        <v>1.3696637097236726</v>
      </c>
      <c r="J26" s="25">
        <v>5820</v>
      </c>
      <c r="K26" s="26">
        <v>4945.42</v>
      </c>
      <c r="L26" s="26">
        <v>1771.2194531687212</v>
      </c>
      <c r="M26" s="27">
        <v>85.871131278762533</v>
      </c>
    </row>
    <row r="27" spans="2:13" x14ac:dyDescent="0.2">
      <c r="B27" s="9">
        <v>730</v>
      </c>
      <c r="C27" s="9">
        <v>729.94899999999996</v>
      </c>
      <c r="D27" s="9">
        <v>0.68112847539945776</v>
      </c>
      <c r="E27" s="9">
        <v>6.4151736807262294</v>
      </c>
      <c r="F27" s="8">
        <v>1.3458405489899026</v>
      </c>
      <c r="J27" s="25">
        <v>5860</v>
      </c>
      <c r="K27" s="26">
        <v>4948.33</v>
      </c>
      <c r="L27" s="26">
        <v>1811.1134614907737</v>
      </c>
      <c r="M27" s="27">
        <v>85.828046452751352</v>
      </c>
    </row>
    <row r="28" spans="2:13" x14ac:dyDescent="0.2">
      <c r="B28" s="9">
        <v>759</v>
      </c>
      <c r="C28" s="9">
        <v>758.94299999999998</v>
      </c>
      <c r="D28" s="9">
        <v>0.58988473450331569</v>
      </c>
      <c r="E28" s="9">
        <v>7.005058415229545</v>
      </c>
      <c r="F28" s="8">
        <v>1.1655254058345101</v>
      </c>
      <c r="J28" s="25">
        <v>5880</v>
      </c>
      <c r="K28" s="26">
        <v>4949.96</v>
      </c>
      <c r="L28" s="26">
        <v>1831.0469283242173</v>
      </c>
      <c r="M28" s="27">
        <v>85.325209008326723</v>
      </c>
    </row>
    <row r="29" spans="2:13" x14ac:dyDescent="0.2">
      <c r="B29" s="9">
        <v>787</v>
      </c>
      <c r="C29" s="9">
        <v>786.94</v>
      </c>
      <c r="D29" s="9">
        <v>0.40986705161555631</v>
      </c>
      <c r="E29" s="9">
        <v>7.4149254668451015</v>
      </c>
      <c r="F29" s="8">
        <v>0.83873181988760903</v>
      </c>
      <c r="J29" s="642">
        <v>6030</v>
      </c>
      <c r="K29" s="203">
        <v>4961</v>
      </c>
      <c r="L29" s="203">
        <v>1980.6401046391816</v>
      </c>
      <c r="M29" s="643">
        <v>85.77921412486684</v>
      </c>
    </row>
    <row r="30" spans="2:13" x14ac:dyDescent="0.2">
      <c r="B30" s="9">
        <v>816</v>
      </c>
      <c r="C30" s="9">
        <v>815.93899999999996</v>
      </c>
      <c r="D30" s="9">
        <v>0.2408298154301268</v>
      </c>
      <c r="E30" s="9">
        <v>7.6557552822752282</v>
      </c>
      <c r="F30" s="8">
        <v>0.47581691762292044</v>
      </c>
      <c r="J30" s="26"/>
      <c r="K30" s="26"/>
      <c r="L30" s="26"/>
      <c r="M30" s="644"/>
    </row>
    <row r="31" spans="2:13" x14ac:dyDescent="0.2">
      <c r="B31" s="9">
        <v>845</v>
      </c>
      <c r="C31" s="9">
        <v>844.93799999999999</v>
      </c>
      <c r="D31" s="9">
        <v>0.2408298154301268</v>
      </c>
      <c r="E31" s="9">
        <v>7.8965850977053549</v>
      </c>
      <c r="F31" s="8">
        <v>0.47581691762292044</v>
      </c>
    </row>
    <row r="32" spans="2:13" x14ac:dyDescent="0.2">
      <c r="B32" s="9">
        <v>874</v>
      </c>
      <c r="C32" s="9">
        <v>873.93700000000001</v>
      </c>
      <c r="D32" s="9">
        <v>0.2408298154301268</v>
      </c>
      <c r="E32" s="9">
        <v>8.1374149131354816</v>
      </c>
      <c r="F32" s="8">
        <v>0.47581691762292044</v>
      </c>
    </row>
    <row r="33" spans="2:6" x14ac:dyDescent="0.2">
      <c r="B33" s="9">
        <v>902</v>
      </c>
      <c r="C33" s="9">
        <v>901.93700000000001</v>
      </c>
      <c r="D33" s="9">
        <v>0</v>
      </c>
      <c r="E33" s="9">
        <v>8.1374149131354816</v>
      </c>
      <c r="F33" s="8">
        <v>0</v>
      </c>
    </row>
    <row r="34" spans="2:6" x14ac:dyDescent="0.2">
      <c r="B34" s="9">
        <v>931</v>
      </c>
      <c r="C34" s="9">
        <v>930.93600000000004</v>
      </c>
      <c r="D34" s="9">
        <v>0.2408298154301268</v>
      </c>
      <c r="E34" s="9">
        <v>8.3782447285656083</v>
      </c>
      <c r="F34" s="8">
        <v>0.47581691762292044</v>
      </c>
    </row>
    <row r="35" spans="2:6" x14ac:dyDescent="0.2">
      <c r="B35" s="9">
        <v>960</v>
      </c>
      <c r="C35" s="9">
        <v>959.93499999999995</v>
      </c>
      <c r="D35" s="9">
        <v>0.2408298154301268</v>
      </c>
      <c r="E35" s="9">
        <v>8.619074543995735</v>
      </c>
      <c r="F35" s="8">
        <v>0.47581691762292044</v>
      </c>
    </row>
    <row r="36" spans="2:6" x14ac:dyDescent="0.2">
      <c r="B36" s="9">
        <v>988</v>
      </c>
      <c r="C36" s="9">
        <v>987.93399999999997</v>
      </c>
      <c r="D36" s="9">
        <v>0.23664107842900509</v>
      </c>
      <c r="E36" s="9">
        <v>8.8557156224247393</v>
      </c>
      <c r="F36" s="8">
        <v>0.48423915953013602</v>
      </c>
    </row>
    <row r="37" spans="2:6" x14ac:dyDescent="0.2">
      <c r="B37" s="9">
        <v>1017</v>
      </c>
      <c r="C37" s="9">
        <v>1016.93</v>
      </c>
      <c r="D37" s="9">
        <v>0.48164717376947719</v>
      </c>
      <c r="E37" s="9">
        <v>9.3373627961942169</v>
      </c>
      <c r="F37" s="8">
        <v>0.95164203927984981</v>
      </c>
    </row>
    <row r="38" spans="2:6" x14ac:dyDescent="0.2">
      <c r="B38" s="9">
        <v>1046</v>
      </c>
      <c r="C38" s="9">
        <v>1045.93</v>
      </c>
      <c r="D38" s="9">
        <v>0</v>
      </c>
      <c r="E38" s="9">
        <v>9.3373627961942169</v>
      </c>
      <c r="F38" s="8">
        <v>0</v>
      </c>
    </row>
    <row r="39" spans="2:6" x14ac:dyDescent="0.2">
      <c r="B39" s="9">
        <v>1074</v>
      </c>
      <c r="C39" s="9">
        <v>1073.93</v>
      </c>
      <c r="D39" s="9">
        <v>0</v>
      </c>
      <c r="E39" s="9">
        <v>9.3373627961942169</v>
      </c>
      <c r="F39" s="8">
        <v>0</v>
      </c>
    </row>
    <row r="40" spans="2:6" x14ac:dyDescent="0.2">
      <c r="B40" s="9">
        <v>1103</v>
      </c>
      <c r="C40" s="9">
        <v>1102.93</v>
      </c>
      <c r="D40" s="9">
        <v>0</v>
      </c>
      <c r="E40" s="9">
        <v>9.3373627961942169</v>
      </c>
      <c r="F40" s="8">
        <v>0</v>
      </c>
    </row>
    <row r="41" spans="2:6" x14ac:dyDescent="0.2">
      <c r="B41" s="9">
        <v>1131</v>
      </c>
      <c r="C41" s="9">
        <v>1130.92</v>
      </c>
      <c r="D41" s="9">
        <v>0.74826465906127371</v>
      </c>
      <c r="E41" s="9">
        <v>10.085627455255491</v>
      </c>
      <c r="F41" s="8">
        <v>1.5313396967931323</v>
      </c>
    </row>
    <row r="42" spans="2:6" x14ac:dyDescent="0.2">
      <c r="B42" s="9">
        <v>1160</v>
      </c>
      <c r="C42" s="9">
        <v>1159.92</v>
      </c>
      <c r="D42" s="9">
        <v>0</v>
      </c>
      <c r="E42" s="9">
        <v>10.085627455255491</v>
      </c>
      <c r="F42" s="8">
        <v>0</v>
      </c>
    </row>
    <row r="43" spans="2:6" x14ac:dyDescent="0.2">
      <c r="B43" s="9">
        <v>1189</v>
      </c>
      <c r="C43" s="9">
        <v>1188.92</v>
      </c>
      <c r="D43" s="9">
        <v>0</v>
      </c>
      <c r="E43" s="9">
        <v>10.085627455255491</v>
      </c>
      <c r="F43" s="8">
        <v>0</v>
      </c>
    </row>
    <row r="44" spans="2:6" x14ac:dyDescent="0.2">
      <c r="B44" s="9">
        <v>1217</v>
      </c>
      <c r="C44" s="9">
        <v>1216.92</v>
      </c>
      <c r="D44" s="9">
        <v>0</v>
      </c>
      <c r="E44" s="9">
        <v>10.085627455255491</v>
      </c>
      <c r="F44" s="8">
        <v>0</v>
      </c>
    </row>
    <row r="45" spans="2:6" x14ac:dyDescent="0.2">
      <c r="B45" s="9">
        <v>1246</v>
      </c>
      <c r="C45" s="9">
        <v>1245.92</v>
      </c>
      <c r="D45" s="9">
        <v>0</v>
      </c>
      <c r="E45" s="9">
        <v>10.085627455255491</v>
      </c>
      <c r="F45" s="8">
        <v>0</v>
      </c>
    </row>
    <row r="46" spans="2:6" x14ac:dyDescent="0.2">
      <c r="B46" s="9">
        <v>1275</v>
      </c>
      <c r="C46" s="9">
        <v>1274.92</v>
      </c>
      <c r="D46" s="9">
        <v>0</v>
      </c>
      <c r="E46" s="9">
        <v>10.085627455255491</v>
      </c>
      <c r="F46" s="8">
        <v>0</v>
      </c>
    </row>
    <row r="47" spans="2:6" x14ac:dyDescent="0.2">
      <c r="B47" s="9">
        <v>1303</v>
      </c>
      <c r="C47" s="9">
        <v>1302.92</v>
      </c>
      <c r="D47" s="9">
        <v>0</v>
      </c>
      <c r="E47" s="9">
        <v>10.085627455255491</v>
      </c>
      <c r="F47" s="8">
        <v>0</v>
      </c>
    </row>
    <row r="48" spans="2:6" x14ac:dyDescent="0.2">
      <c r="B48" s="9">
        <v>1332</v>
      </c>
      <c r="C48" s="9">
        <v>1331.92</v>
      </c>
      <c r="D48" s="9">
        <v>0</v>
      </c>
      <c r="E48" s="9">
        <v>10.085627455255491</v>
      </c>
      <c r="F48" s="8">
        <v>0</v>
      </c>
    </row>
    <row r="49" spans="2:6" x14ac:dyDescent="0.2">
      <c r="B49" s="9">
        <v>1361</v>
      </c>
      <c r="C49" s="9">
        <v>1360.92</v>
      </c>
      <c r="D49" s="9">
        <v>0</v>
      </c>
      <c r="E49" s="9">
        <v>10.085627455255491</v>
      </c>
      <c r="F49" s="8">
        <v>0</v>
      </c>
    </row>
    <row r="50" spans="2:6" x14ac:dyDescent="0.2">
      <c r="B50" s="9">
        <v>1390</v>
      </c>
      <c r="C50" s="9">
        <v>1389.92</v>
      </c>
      <c r="D50" s="9">
        <v>0</v>
      </c>
      <c r="E50" s="9">
        <v>10.085627455255491</v>
      </c>
      <c r="F50" s="8">
        <v>0</v>
      </c>
    </row>
    <row r="51" spans="2:6" x14ac:dyDescent="0.2">
      <c r="B51" s="9">
        <v>1418</v>
      </c>
      <c r="C51" s="9">
        <v>1417.91</v>
      </c>
      <c r="D51" s="9">
        <v>0.74826465906127371</v>
      </c>
      <c r="E51" s="9">
        <v>10.833892114316765</v>
      </c>
      <c r="F51" s="8">
        <v>1.5313396967931323</v>
      </c>
    </row>
    <row r="52" spans="2:6" x14ac:dyDescent="0.2">
      <c r="B52" s="9">
        <v>1447</v>
      </c>
      <c r="C52" s="9">
        <v>1446.91</v>
      </c>
      <c r="D52" s="9">
        <v>0</v>
      </c>
      <c r="E52" s="9">
        <v>10.833892114316765</v>
      </c>
      <c r="F52" s="8">
        <v>0</v>
      </c>
    </row>
    <row r="53" spans="2:6" x14ac:dyDescent="0.2">
      <c r="B53" s="9">
        <v>1476</v>
      </c>
      <c r="C53" s="9">
        <v>1475.91</v>
      </c>
      <c r="D53" s="9">
        <v>0</v>
      </c>
      <c r="E53" s="9">
        <v>10.833892114316765</v>
      </c>
      <c r="F53" s="8">
        <v>0</v>
      </c>
    </row>
    <row r="54" spans="2:6" x14ac:dyDescent="0.2">
      <c r="B54" s="9">
        <v>1504</v>
      </c>
      <c r="C54" s="9">
        <v>1503.91</v>
      </c>
      <c r="D54" s="9">
        <v>0</v>
      </c>
      <c r="E54" s="9">
        <v>10.833892114316765</v>
      </c>
      <c r="F54" s="8">
        <v>0</v>
      </c>
    </row>
    <row r="55" spans="2:6" x14ac:dyDescent="0.2">
      <c r="B55" s="9">
        <v>1538</v>
      </c>
      <c r="C55" s="9">
        <v>1537.91</v>
      </c>
      <c r="D55" s="9">
        <v>0</v>
      </c>
      <c r="E55" s="9">
        <v>10.833892114316765</v>
      </c>
      <c r="F55" s="8">
        <v>0</v>
      </c>
    </row>
    <row r="56" spans="2:6" x14ac:dyDescent="0.2">
      <c r="B56" s="9">
        <v>1567</v>
      </c>
      <c r="C56" s="9">
        <v>1566.91</v>
      </c>
      <c r="D56" s="9">
        <v>0</v>
      </c>
      <c r="E56" s="9">
        <v>10.833892114316765</v>
      </c>
      <c r="F56" s="8">
        <v>0</v>
      </c>
    </row>
    <row r="57" spans="2:6" x14ac:dyDescent="0.2">
      <c r="B57" s="9">
        <v>1595</v>
      </c>
      <c r="C57" s="9">
        <v>1594.91</v>
      </c>
      <c r="D57" s="9">
        <v>0</v>
      </c>
      <c r="E57" s="9">
        <v>10.833892114316765</v>
      </c>
      <c r="F57" s="8">
        <v>0</v>
      </c>
    </row>
    <row r="58" spans="2:6" x14ac:dyDescent="0.2">
      <c r="B58" s="9">
        <v>1619</v>
      </c>
      <c r="C58" s="9">
        <v>1618.91</v>
      </c>
      <c r="D58" s="9">
        <v>0</v>
      </c>
      <c r="E58" s="9">
        <v>10.833892114316765</v>
      </c>
      <c r="F58" s="8">
        <v>0</v>
      </c>
    </row>
    <row r="59" spans="2:6" x14ac:dyDescent="0.2">
      <c r="B59" s="9">
        <v>1648</v>
      </c>
      <c r="C59" s="9">
        <v>1647.91</v>
      </c>
      <c r="D59" s="9">
        <v>0</v>
      </c>
      <c r="E59" s="9">
        <v>10.833892114316765</v>
      </c>
      <c r="F59" s="8">
        <v>0</v>
      </c>
    </row>
    <row r="60" spans="2:6" x14ac:dyDescent="0.2">
      <c r="B60" s="9">
        <v>1676</v>
      </c>
      <c r="C60" s="9">
        <v>1675.91</v>
      </c>
      <c r="D60" s="9">
        <v>0</v>
      </c>
      <c r="E60" s="9">
        <v>10.833892114316765</v>
      </c>
      <c r="F60" s="8">
        <v>0</v>
      </c>
    </row>
    <row r="61" spans="2:6" x14ac:dyDescent="0.2">
      <c r="B61" s="9">
        <v>1705</v>
      </c>
      <c r="C61" s="9">
        <v>1704.91</v>
      </c>
      <c r="D61" s="9">
        <v>0</v>
      </c>
      <c r="E61" s="9">
        <v>10.833892114316765</v>
      </c>
      <c r="F61" s="8">
        <v>0</v>
      </c>
    </row>
    <row r="62" spans="2:6" x14ac:dyDescent="0.2">
      <c r="B62" s="9">
        <v>1734</v>
      </c>
      <c r="C62" s="9">
        <v>1733.91</v>
      </c>
      <c r="D62" s="9">
        <v>0</v>
      </c>
      <c r="E62" s="9">
        <v>10.833892114316765</v>
      </c>
      <c r="F62" s="8">
        <v>0</v>
      </c>
    </row>
    <row r="63" spans="2:6" x14ac:dyDescent="0.2">
      <c r="B63" s="9">
        <v>1763</v>
      </c>
      <c r="C63" s="9">
        <v>1762.91</v>
      </c>
      <c r="D63" s="9">
        <v>0</v>
      </c>
      <c r="E63" s="9">
        <v>10.833892114316765</v>
      </c>
      <c r="F63" s="8">
        <v>0</v>
      </c>
    </row>
    <row r="64" spans="2:6" x14ac:dyDescent="0.2">
      <c r="B64" s="9">
        <v>1791</v>
      </c>
      <c r="C64" s="9">
        <v>1790.91</v>
      </c>
      <c r="D64" s="9">
        <v>0</v>
      </c>
      <c r="E64" s="9">
        <v>10.833892114316765</v>
      </c>
      <c r="F64" s="8">
        <v>0</v>
      </c>
    </row>
    <row r="65" spans="2:6" x14ac:dyDescent="0.2">
      <c r="B65" s="9">
        <v>1819</v>
      </c>
      <c r="C65" s="9">
        <v>1818.91</v>
      </c>
      <c r="D65" s="9">
        <v>0</v>
      </c>
      <c r="E65" s="9">
        <v>10.833892114316765</v>
      </c>
      <c r="F65" s="8">
        <v>0</v>
      </c>
    </row>
    <row r="66" spans="2:6" x14ac:dyDescent="0.2">
      <c r="B66" s="9">
        <v>1848</v>
      </c>
      <c r="C66" s="9">
        <v>1847.91</v>
      </c>
      <c r="D66" s="9">
        <v>0</v>
      </c>
      <c r="E66" s="9">
        <v>10.833892114316765</v>
      </c>
      <c r="F66" s="8">
        <v>0</v>
      </c>
    </row>
    <row r="67" spans="2:6" x14ac:dyDescent="0.2">
      <c r="B67" s="9">
        <v>1877</v>
      </c>
      <c r="C67" s="9">
        <v>1876.9</v>
      </c>
      <c r="D67" s="9">
        <v>0.76151165453988034</v>
      </c>
      <c r="E67" s="9">
        <v>11.595403768856645</v>
      </c>
      <c r="F67" s="8">
        <v>1.5047041258928155</v>
      </c>
    </row>
    <row r="68" spans="2:6" x14ac:dyDescent="0.2">
      <c r="B68" s="9">
        <v>1905</v>
      </c>
      <c r="C68" s="9">
        <v>1904.89</v>
      </c>
      <c r="D68" s="9">
        <v>0.74826465906127371</v>
      </c>
      <c r="E68" s="9">
        <v>12.343668427917919</v>
      </c>
      <c r="F68" s="8">
        <v>1.5313396967931323</v>
      </c>
    </row>
    <row r="69" spans="2:6" x14ac:dyDescent="0.2">
      <c r="B69" s="9">
        <v>1929</v>
      </c>
      <c r="C69" s="9">
        <v>1928.88</v>
      </c>
      <c r="D69" s="9">
        <v>0.69274815048475102</v>
      </c>
      <c r="E69" s="9">
        <v>13.036416578402671</v>
      </c>
      <c r="F69" s="8">
        <v>1.6540441217434647</v>
      </c>
    </row>
    <row r="70" spans="2:6" x14ac:dyDescent="0.2">
      <c r="B70" s="9">
        <v>1990</v>
      </c>
      <c r="C70" s="9">
        <v>1989.86</v>
      </c>
      <c r="D70" s="9">
        <v>1.5619218930536043</v>
      </c>
      <c r="E70" s="9">
        <v>14.598338471456275</v>
      </c>
      <c r="F70" s="8">
        <v>1.4672346586765264</v>
      </c>
    </row>
    <row r="71" spans="2:6" x14ac:dyDescent="0.2">
      <c r="B71" s="9">
        <v>2017</v>
      </c>
      <c r="C71" s="9">
        <v>2016.85</v>
      </c>
      <c r="D71" s="9">
        <v>0.73477887830292343</v>
      </c>
      <c r="E71" s="9">
        <v>15.333117349759199</v>
      </c>
      <c r="F71" s="8">
        <v>1.5594417359109047</v>
      </c>
    </row>
    <row r="72" spans="2:6" x14ac:dyDescent="0.2">
      <c r="B72" s="9">
        <v>2046</v>
      </c>
      <c r="C72" s="9">
        <v>2045.85</v>
      </c>
      <c r="D72" s="9">
        <v>0</v>
      </c>
      <c r="E72" s="9">
        <v>15.333117349759199</v>
      </c>
      <c r="F72" s="8">
        <v>0</v>
      </c>
    </row>
    <row r="73" spans="2:6" x14ac:dyDescent="0.2">
      <c r="B73" s="9">
        <v>2075</v>
      </c>
      <c r="C73" s="9">
        <v>2074.84</v>
      </c>
      <c r="D73" s="9">
        <v>0.76151165453988034</v>
      </c>
      <c r="E73" s="9">
        <v>16.09462900429908</v>
      </c>
      <c r="F73" s="8">
        <v>1.5047041258928155</v>
      </c>
    </row>
    <row r="74" spans="2:6" x14ac:dyDescent="0.2">
      <c r="B74" s="9">
        <v>2104</v>
      </c>
      <c r="C74" s="9">
        <v>2103.84</v>
      </c>
      <c r="D74" s="9">
        <v>0</v>
      </c>
      <c r="E74" s="9">
        <v>16.09462900429908</v>
      </c>
      <c r="F74" s="8">
        <v>0</v>
      </c>
    </row>
    <row r="75" spans="2:6" x14ac:dyDescent="0.2">
      <c r="B75" s="9">
        <v>2132</v>
      </c>
      <c r="C75" s="9">
        <v>2131.83</v>
      </c>
      <c r="D75" s="9">
        <v>0.74826465906127371</v>
      </c>
      <c r="E75" s="9">
        <v>16.842893663360353</v>
      </c>
      <c r="F75" s="8">
        <v>1.5313396967931323</v>
      </c>
    </row>
    <row r="76" spans="2:6" x14ac:dyDescent="0.2">
      <c r="B76" s="9">
        <v>2161</v>
      </c>
      <c r="C76" s="9">
        <v>2160.83</v>
      </c>
      <c r="D76" s="9">
        <v>0</v>
      </c>
      <c r="E76" s="9">
        <v>16.842893663360353</v>
      </c>
      <c r="F76" s="8">
        <v>0</v>
      </c>
    </row>
    <row r="77" spans="2:6" x14ac:dyDescent="0.2">
      <c r="B77" s="9">
        <v>2190</v>
      </c>
      <c r="C77" s="9">
        <v>2189.83</v>
      </c>
      <c r="D77" s="9">
        <v>0</v>
      </c>
      <c r="E77" s="9">
        <v>16.842893663360353</v>
      </c>
      <c r="F77" s="8">
        <v>0</v>
      </c>
    </row>
    <row r="78" spans="2:6" x14ac:dyDescent="0.2">
      <c r="B78" s="9">
        <v>2218</v>
      </c>
      <c r="C78" s="9">
        <v>2217.83</v>
      </c>
      <c r="D78" s="9">
        <v>0</v>
      </c>
      <c r="E78" s="9">
        <v>16.842893663360353</v>
      </c>
      <c r="F78" s="8">
        <v>0</v>
      </c>
    </row>
    <row r="79" spans="2:6" x14ac:dyDescent="0.2">
      <c r="B79" s="9">
        <v>2247</v>
      </c>
      <c r="C79" s="9">
        <v>2246.83</v>
      </c>
      <c r="D79" s="9">
        <v>0</v>
      </c>
      <c r="E79" s="9">
        <v>16.842893663360353</v>
      </c>
      <c r="F79" s="8">
        <v>0</v>
      </c>
    </row>
    <row r="80" spans="2:6" x14ac:dyDescent="0.2">
      <c r="B80" s="9">
        <v>2275</v>
      </c>
      <c r="C80" s="9">
        <v>2274.83</v>
      </c>
      <c r="D80" s="9">
        <v>0</v>
      </c>
      <c r="E80" s="9">
        <v>16.842893663360353</v>
      </c>
      <c r="F80" s="8">
        <v>0</v>
      </c>
    </row>
    <row r="81" spans="2:6" x14ac:dyDescent="0.2">
      <c r="B81" s="9">
        <v>2289</v>
      </c>
      <c r="C81" s="9">
        <v>2288.83</v>
      </c>
      <c r="D81" s="9">
        <v>0</v>
      </c>
      <c r="E81" s="9">
        <v>16.842893663360353</v>
      </c>
      <c r="F81" s="8">
        <v>0</v>
      </c>
    </row>
    <row r="82" spans="2:6" x14ac:dyDescent="0.2">
      <c r="B82" s="9">
        <v>2320</v>
      </c>
      <c r="C82" s="9">
        <v>2319.83</v>
      </c>
      <c r="D82" s="9">
        <v>0</v>
      </c>
      <c r="E82" s="9">
        <v>16.842893663360353</v>
      </c>
      <c r="F82" s="8">
        <v>0</v>
      </c>
    </row>
    <row r="83" spans="2:6" x14ac:dyDescent="0.2">
      <c r="B83" s="9">
        <v>2335</v>
      </c>
      <c r="C83" s="9">
        <v>2334.83</v>
      </c>
      <c r="D83" s="9">
        <v>0</v>
      </c>
      <c r="E83" s="9">
        <v>16.842893663360353</v>
      </c>
      <c r="F83" s="8">
        <v>0</v>
      </c>
    </row>
    <row r="84" spans="2:6" x14ac:dyDescent="0.2">
      <c r="B84" s="9">
        <v>2363</v>
      </c>
      <c r="C84" s="9">
        <v>2362.83</v>
      </c>
      <c r="D84" s="9">
        <v>0</v>
      </c>
      <c r="E84" s="9">
        <v>16.842893663360353</v>
      </c>
      <c r="F84" s="8">
        <v>0</v>
      </c>
    </row>
    <row r="85" spans="2:6" x14ac:dyDescent="0.2">
      <c r="B85" s="9">
        <v>2392</v>
      </c>
      <c r="C85" s="9">
        <v>2391.83</v>
      </c>
      <c r="D85" s="9">
        <v>0</v>
      </c>
      <c r="E85" s="9">
        <v>16.842893663360353</v>
      </c>
      <c r="F85" s="8">
        <v>0</v>
      </c>
    </row>
    <row r="86" spans="2:6" x14ac:dyDescent="0.2">
      <c r="B86" s="9">
        <v>2421</v>
      </c>
      <c r="C86" s="9">
        <v>2420.8200000000002</v>
      </c>
      <c r="D86" s="9">
        <v>0.76151165453988034</v>
      </c>
      <c r="E86" s="9">
        <v>17.604405317900234</v>
      </c>
      <c r="F86" s="8">
        <v>1.5047041258928155</v>
      </c>
    </row>
    <row r="87" spans="2:6" x14ac:dyDescent="0.2">
      <c r="B87" s="9">
        <v>2449</v>
      </c>
      <c r="C87" s="9">
        <v>2448.8200000000002</v>
      </c>
      <c r="D87" s="9">
        <v>0</v>
      </c>
      <c r="E87" s="9">
        <v>17.604405317900234</v>
      </c>
      <c r="F87" s="8">
        <v>0</v>
      </c>
    </row>
    <row r="88" spans="2:6" x14ac:dyDescent="0.2">
      <c r="B88" s="9">
        <v>2478</v>
      </c>
      <c r="C88" s="9">
        <v>2477.81</v>
      </c>
      <c r="D88" s="9">
        <v>0.76151165453988034</v>
      </c>
      <c r="E88" s="9">
        <v>18.365916972440115</v>
      </c>
      <c r="F88" s="8">
        <v>1.5047041258928155</v>
      </c>
    </row>
    <row r="89" spans="2:6" x14ac:dyDescent="0.2">
      <c r="B89" s="9">
        <v>2507</v>
      </c>
      <c r="C89" s="9">
        <v>2506.8000000000002</v>
      </c>
      <c r="D89" s="9">
        <v>0.76151165453988034</v>
      </c>
      <c r="E89" s="9">
        <v>19.127428626979995</v>
      </c>
      <c r="F89" s="8">
        <v>1.5047041258928155</v>
      </c>
    </row>
    <row r="90" spans="2:6" x14ac:dyDescent="0.2">
      <c r="B90" s="9">
        <v>2535</v>
      </c>
      <c r="C90" s="9">
        <v>2534.79</v>
      </c>
      <c r="D90" s="9">
        <v>0.74826465906127371</v>
      </c>
      <c r="E90" s="9">
        <v>19.875693286041269</v>
      </c>
      <c r="F90" s="8">
        <v>1.5313396967931323</v>
      </c>
    </row>
    <row r="91" spans="2:6" x14ac:dyDescent="0.2">
      <c r="B91" s="9">
        <v>2564</v>
      </c>
      <c r="C91" s="9">
        <v>2563.79</v>
      </c>
      <c r="D91" s="9">
        <v>0</v>
      </c>
      <c r="E91" s="9">
        <v>19.875693286041269</v>
      </c>
      <c r="F91" s="8">
        <v>0</v>
      </c>
    </row>
    <row r="92" spans="2:6" x14ac:dyDescent="0.2">
      <c r="B92" s="9">
        <v>2593</v>
      </c>
      <c r="C92" s="9">
        <v>2592.7800000000002</v>
      </c>
      <c r="D92" s="9">
        <v>0.76151165453988034</v>
      </c>
      <c r="E92" s="9">
        <v>20.63720494058115</v>
      </c>
      <c r="F92" s="8">
        <v>1.5047041258928155</v>
      </c>
    </row>
    <row r="93" spans="2:6" x14ac:dyDescent="0.2">
      <c r="B93" s="9">
        <v>2621</v>
      </c>
      <c r="C93" s="9">
        <v>2620.77</v>
      </c>
      <c r="D93" s="9">
        <v>0.74826465906127371</v>
      </c>
      <c r="E93" s="9">
        <v>21.385469599642423</v>
      </c>
      <c r="F93" s="8">
        <v>1.5313396967931323</v>
      </c>
    </row>
    <row r="94" spans="2:6" x14ac:dyDescent="0.2">
      <c r="B94" s="9">
        <v>2650</v>
      </c>
      <c r="C94" s="9">
        <v>2649.77</v>
      </c>
      <c r="D94" s="9">
        <v>0</v>
      </c>
      <c r="E94" s="9">
        <v>21.385469599642423</v>
      </c>
      <c r="F94" s="8">
        <v>0</v>
      </c>
    </row>
    <row r="95" spans="2:6" x14ac:dyDescent="0.2">
      <c r="B95" s="9">
        <v>2679</v>
      </c>
      <c r="C95" s="9">
        <v>2678.76</v>
      </c>
      <c r="D95" s="9">
        <v>0.76151165453988034</v>
      </c>
      <c r="E95" s="9">
        <v>22.146981254182304</v>
      </c>
      <c r="F95" s="8">
        <v>1.5047041258928155</v>
      </c>
    </row>
    <row r="96" spans="2:6" x14ac:dyDescent="0.2">
      <c r="B96" s="9">
        <v>2708</v>
      </c>
      <c r="C96" s="9">
        <v>2707.75</v>
      </c>
      <c r="D96" s="9">
        <v>0.76151165453988034</v>
      </c>
      <c r="E96" s="9">
        <v>22.908492908722184</v>
      </c>
      <c r="F96" s="8">
        <v>1.5047041258928155</v>
      </c>
    </row>
    <row r="97" spans="2:6" x14ac:dyDescent="0.2">
      <c r="B97" s="9">
        <v>2736</v>
      </c>
      <c r="C97" s="9">
        <v>2735.75</v>
      </c>
      <c r="D97" s="9">
        <v>0</v>
      </c>
      <c r="E97" s="9">
        <v>22.908492908722184</v>
      </c>
      <c r="F97" s="8">
        <v>0</v>
      </c>
    </row>
    <row r="98" spans="2:6" x14ac:dyDescent="0.2">
      <c r="B98" s="9">
        <v>2765</v>
      </c>
      <c r="C98" s="9">
        <v>2764.74</v>
      </c>
      <c r="D98" s="9">
        <v>0.76151165453988034</v>
      </c>
      <c r="E98" s="9">
        <v>23.670004563262065</v>
      </c>
      <c r="F98" s="8">
        <v>1.5047041258928155</v>
      </c>
    </row>
    <row r="99" spans="2:6" x14ac:dyDescent="0.2">
      <c r="B99" s="9">
        <v>2793</v>
      </c>
      <c r="C99" s="9">
        <v>2792.73</v>
      </c>
      <c r="D99" s="9">
        <v>0.74826465906127371</v>
      </c>
      <c r="E99" s="9">
        <v>24.418269222323339</v>
      </c>
      <c r="F99" s="8">
        <v>1.5313396967931323</v>
      </c>
    </row>
    <row r="100" spans="2:6" x14ac:dyDescent="0.2">
      <c r="B100" s="9">
        <v>2822</v>
      </c>
      <c r="C100" s="9">
        <v>2821.73</v>
      </c>
      <c r="D100" s="9">
        <v>0</v>
      </c>
      <c r="E100" s="9">
        <v>24.418269222323339</v>
      </c>
      <c r="F100" s="8">
        <v>0</v>
      </c>
    </row>
    <row r="101" spans="2:6" x14ac:dyDescent="0.2">
      <c r="B101" s="9">
        <v>2851</v>
      </c>
      <c r="C101" s="9">
        <v>2850.72</v>
      </c>
      <c r="D101" s="9">
        <v>0.76151165453988034</v>
      </c>
      <c r="E101" s="9">
        <v>25.179780876863219</v>
      </c>
      <c r="F101" s="8">
        <v>1.5047041258928155</v>
      </c>
    </row>
    <row r="102" spans="2:6" x14ac:dyDescent="0.2">
      <c r="B102" s="9">
        <v>2879</v>
      </c>
      <c r="C102" s="9">
        <v>2878.72</v>
      </c>
      <c r="D102" s="9">
        <v>0</v>
      </c>
      <c r="E102" s="9">
        <v>25.179780876863219</v>
      </c>
      <c r="F102" s="8">
        <v>0</v>
      </c>
    </row>
    <row r="103" spans="2:6" x14ac:dyDescent="0.2">
      <c r="B103" s="9">
        <v>2908</v>
      </c>
      <c r="C103" s="9">
        <v>2907.72</v>
      </c>
      <c r="D103" s="9">
        <v>0</v>
      </c>
      <c r="E103" s="9">
        <v>25.179780876863219</v>
      </c>
      <c r="F103" s="8">
        <v>0</v>
      </c>
    </row>
    <row r="104" spans="2:6" x14ac:dyDescent="0.2">
      <c r="B104" s="9">
        <v>2929</v>
      </c>
      <c r="C104" s="9">
        <v>2928.72</v>
      </c>
      <c r="D104" s="9">
        <v>0</v>
      </c>
      <c r="E104" s="9">
        <v>25.179780876863219</v>
      </c>
      <c r="F104" s="8">
        <v>0</v>
      </c>
    </row>
    <row r="105" spans="2:6" x14ac:dyDescent="0.2">
      <c r="B105" s="9">
        <v>2935</v>
      </c>
      <c r="C105" s="9">
        <v>2934.72</v>
      </c>
      <c r="D105" s="9">
        <v>0</v>
      </c>
      <c r="E105" s="9">
        <v>25.179780876863219</v>
      </c>
      <c r="F105" s="8">
        <v>0</v>
      </c>
    </row>
    <row r="106" spans="2:6" x14ac:dyDescent="0.2">
      <c r="B106" s="9">
        <v>2963</v>
      </c>
      <c r="C106" s="9">
        <v>2962.71</v>
      </c>
      <c r="D106" s="9">
        <v>0.74826465906127371</v>
      </c>
      <c r="E106" s="9">
        <v>25.928045535924493</v>
      </c>
      <c r="F106" s="8">
        <v>1.5313396967931323</v>
      </c>
    </row>
    <row r="107" spans="2:6" x14ac:dyDescent="0.2">
      <c r="B107" s="9">
        <v>2992</v>
      </c>
      <c r="C107" s="9">
        <v>2991.71</v>
      </c>
      <c r="D107" s="9">
        <v>0</v>
      </c>
      <c r="E107" s="9">
        <v>25.928045535924493</v>
      </c>
      <c r="F107" s="8">
        <v>0</v>
      </c>
    </row>
    <row r="108" spans="2:6" x14ac:dyDescent="0.2">
      <c r="B108" s="9">
        <v>3021</v>
      </c>
      <c r="C108" s="9">
        <v>3020.71</v>
      </c>
      <c r="D108" s="9">
        <v>0</v>
      </c>
      <c r="E108" s="9">
        <v>25.928045535924493</v>
      </c>
      <c r="F108" s="8">
        <v>0</v>
      </c>
    </row>
    <row r="109" spans="2:6" x14ac:dyDescent="0.2">
      <c r="B109" s="9">
        <v>3049</v>
      </c>
      <c r="C109" s="9">
        <v>3048.71</v>
      </c>
      <c r="D109" s="9">
        <v>0</v>
      </c>
      <c r="E109" s="9">
        <v>25.928045535924493</v>
      </c>
      <c r="F109" s="8">
        <v>0</v>
      </c>
    </row>
    <row r="110" spans="2:6" x14ac:dyDescent="0.2">
      <c r="B110" s="9">
        <v>3078</v>
      </c>
      <c r="C110" s="9">
        <v>3077.71</v>
      </c>
      <c r="D110" s="9">
        <v>0</v>
      </c>
      <c r="E110" s="9">
        <v>25.928045535924493</v>
      </c>
      <c r="F110" s="8">
        <v>0</v>
      </c>
    </row>
    <row r="111" spans="2:6" x14ac:dyDescent="0.2">
      <c r="B111" s="9">
        <v>3107</v>
      </c>
      <c r="C111" s="9">
        <v>3106.7</v>
      </c>
      <c r="D111" s="9">
        <v>0.76151165453988034</v>
      </c>
      <c r="E111" s="9">
        <v>26.689557190464374</v>
      </c>
      <c r="F111" s="8">
        <v>1.5047041258928155</v>
      </c>
    </row>
    <row r="112" spans="2:6" x14ac:dyDescent="0.2">
      <c r="B112" s="9">
        <v>3135</v>
      </c>
      <c r="C112" s="9">
        <v>3134.69</v>
      </c>
      <c r="D112" s="9">
        <v>0.74826465906127371</v>
      </c>
      <c r="E112" s="9">
        <v>27.437821849525648</v>
      </c>
      <c r="F112" s="8">
        <v>1.5313396967931323</v>
      </c>
    </row>
    <row r="113" spans="2:6" x14ac:dyDescent="0.2">
      <c r="B113" s="9">
        <v>3164</v>
      </c>
      <c r="C113" s="9">
        <v>3163.68</v>
      </c>
      <c r="D113" s="9">
        <v>0.76151165453988034</v>
      </c>
      <c r="E113" s="9">
        <v>28.199333504065528</v>
      </c>
      <c r="F113" s="8">
        <v>1.5047041258928155</v>
      </c>
    </row>
    <row r="114" spans="2:6" x14ac:dyDescent="0.2">
      <c r="B114" s="9">
        <v>3193</v>
      </c>
      <c r="C114" s="9">
        <v>3192.67</v>
      </c>
      <c r="D114" s="9">
        <v>0.76151165453988034</v>
      </c>
      <c r="E114" s="9">
        <v>28.960845158605409</v>
      </c>
      <c r="F114" s="8">
        <v>1.5047041258928155</v>
      </c>
    </row>
    <row r="115" spans="2:6" x14ac:dyDescent="0.2">
      <c r="B115" s="9">
        <v>3221</v>
      </c>
      <c r="C115" s="9">
        <v>3220.66</v>
      </c>
      <c r="D115" s="9">
        <v>0.74826465906127371</v>
      </c>
      <c r="E115" s="9">
        <v>29.709109817666683</v>
      </c>
      <c r="F115" s="8">
        <v>1.5313396967931323</v>
      </c>
    </row>
    <row r="116" spans="2:6" x14ac:dyDescent="0.2">
      <c r="B116" s="9">
        <v>3250</v>
      </c>
      <c r="C116" s="9">
        <v>3249.65</v>
      </c>
      <c r="D116" s="9">
        <v>0.76151165453988034</v>
      </c>
      <c r="E116" s="9">
        <v>30.470621472206563</v>
      </c>
      <c r="F116" s="8">
        <v>1.5047041258928155</v>
      </c>
    </row>
    <row r="117" spans="2:6" x14ac:dyDescent="0.2">
      <c r="B117" s="9">
        <v>3279</v>
      </c>
      <c r="C117" s="9">
        <v>3278.65</v>
      </c>
      <c r="D117" s="9">
        <v>0</v>
      </c>
      <c r="E117" s="9">
        <v>30.470621472206563</v>
      </c>
      <c r="F117" s="8">
        <v>0</v>
      </c>
    </row>
    <row r="118" spans="2:6" x14ac:dyDescent="0.2">
      <c r="B118" s="9">
        <v>3308</v>
      </c>
      <c r="C118" s="9">
        <v>3307.64</v>
      </c>
      <c r="D118" s="9">
        <v>0.76151165453988034</v>
      </c>
      <c r="E118" s="9">
        <v>31.232133126746444</v>
      </c>
      <c r="F118" s="8">
        <v>1.5047041258928155</v>
      </c>
    </row>
    <row r="119" spans="2:6" x14ac:dyDescent="0.2">
      <c r="B119" s="9">
        <v>3337</v>
      </c>
      <c r="C119" s="9">
        <v>3336.64</v>
      </c>
      <c r="D119" s="9">
        <v>0</v>
      </c>
      <c r="E119" s="9">
        <v>31.232133126746444</v>
      </c>
      <c r="F119" s="8">
        <v>0</v>
      </c>
    </row>
    <row r="120" spans="2:6" x14ac:dyDescent="0.2">
      <c r="B120" s="9">
        <v>3366</v>
      </c>
      <c r="C120" s="9">
        <v>3365.64</v>
      </c>
      <c r="D120" s="9">
        <v>0</v>
      </c>
      <c r="E120" s="9">
        <v>31.232133126746444</v>
      </c>
      <c r="F120" s="8">
        <v>0</v>
      </c>
    </row>
    <row r="121" spans="2:6" x14ac:dyDescent="0.2">
      <c r="B121" s="9">
        <v>3394</v>
      </c>
      <c r="C121" s="9">
        <v>3393.64</v>
      </c>
      <c r="D121" s="9">
        <v>0</v>
      </c>
      <c r="E121" s="9">
        <v>31.232133126746444</v>
      </c>
      <c r="F121" s="8">
        <v>0</v>
      </c>
    </row>
    <row r="122" spans="2:6" x14ac:dyDescent="0.2">
      <c r="B122" s="9">
        <v>3423</v>
      </c>
      <c r="C122" s="9">
        <v>3422.63</v>
      </c>
      <c r="D122" s="9">
        <v>0.76151165453988034</v>
      </c>
      <c r="E122" s="9">
        <v>31.993644781286324</v>
      </c>
      <c r="F122" s="8">
        <v>1.5047041258928155</v>
      </c>
    </row>
    <row r="123" spans="2:6" x14ac:dyDescent="0.2">
      <c r="B123" s="9">
        <v>3456</v>
      </c>
      <c r="C123" s="9">
        <v>3455.63</v>
      </c>
      <c r="D123" s="9">
        <v>0</v>
      </c>
      <c r="E123" s="9">
        <v>31.993644781286324</v>
      </c>
      <c r="F123" s="8">
        <v>0</v>
      </c>
    </row>
    <row r="124" spans="2:6" x14ac:dyDescent="0.2">
      <c r="B124" s="9">
        <v>3484</v>
      </c>
      <c r="C124" s="9">
        <v>3483.63</v>
      </c>
      <c r="D124" s="9">
        <v>0</v>
      </c>
      <c r="E124" s="9">
        <v>31.993644781286324</v>
      </c>
      <c r="F124" s="8">
        <v>0</v>
      </c>
    </row>
    <row r="125" spans="2:6" x14ac:dyDescent="0.2">
      <c r="B125" s="9">
        <v>3513</v>
      </c>
      <c r="C125" s="9">
        <v>3512.63</v>
      </c>
      <c r="D125" s="9">
        <v>0</v>
      </c>
      <c r="E125" s="9">
        <v>31.993644781286324</v>
      </c>
      <c r="F125" s="8">
        <v>0</v>
      </c>
    </row>
    <row r="126" spans="2:6" x14ac:dyDescent="0.2">
      <c r="B126" s="9">
        <v>3542</v>
      </c>
      <c r="C126" s="9">
        <v>3541.63</v>
      </c>
      <c r="D126" s="9">
        <v>0</v>
      </c>
      <c r="E126" s="9">
        <v>31.993644781286324</v>
      </c>
      <c r="F126" s="8">
        <v>0</v>
      </c>
    </row>
    <row r="127" spans="2:6" x14ac:dyDescent="0.2">
      <c r="B127" s="9">
        <v>3570</v>
      </c>
      <c r="C127" s="9">
        <v>3569.63</v>
      </c>
      <c r="D127" s="9">
        <v>0</v>
      </c>
      <c r="E127" s="9">
        <v>31.993644781286324</v>
      </c>
      <c r="F127" s="8">
        <v>0</v>
      </c>
    </row>
    <row r="128" spans="2:6" x14ac:dyDescent="0.2">
      <c r="B128" s="9">
        <v>3599</v>
      </c>
      <c r="C128" s="9">
        <v>3598.62</v>
      </c>
      <c r="D128" s="9">
        <v>0.76151165453988034</v>
      </c>
      <c r="E128" s="9">
        <v>32.755156435826201</v>
      </c>
      <c r="F128" s="8">
        <v>1.5047041258928155</v>
      </c>
    </row>
    <row r="129" spans="2:6" x14ac:dyDescent="0.2">
      <c r="B129" s="9">
        <v>3628</v>
      </c>
      <c r="C129" s="9">
        <v>3627.61</v>
      </c>
      <c r="D129" s="9">
        <v>0.76151165453988034</v>
      </c>
      <c r="E129" s="9">
        <v>33.516668090366082</v>
      </c>
      <c r="F129" s="8">
        <v>1.5047041258928155</v>
      </c>
    </row>
    <row r="130" spans="2:6" x14ac:dyDescent="0.2">
      <c r="B130" s="9">
        <v>3657</v>
      </c>
      <c r="C130" s="9">
        <v>3656.6</v>
      </c>
      <c r="D130" s="9">
        <v>0.76151165453988034</v>
      </c>
      <c r="E130" s="9">
        <v>34.278179744905962</v>
      </c>
      <c r="F130" s="8">
        <v>1.5047041258928155</v>
      </c>
    </row>
    <row r="131" spans="2:6" x14ac:dyDescent="0.2">
      <c r="B131" s="9">
        <v>3679</v>
      </c>
      <c r="C131" s="9">
        <v>3678.58</v>
      </c>
      <c r="D131" s="9">
        <v>0.9378699270154589</v>
      </c>
      <c r="E131" s="9">
        <v>35.216049671921418</v>
      </c>
      <c r="F131" s="8">
        <v>2.4432853684886995</v>
      </c>
    </row>
    <row r="132" spans="2:6" x14ac:dyDescent="0.2">
      <c r="B132" s="9">
        <v>3707</v>
      </c>
      <c r="C132" s="9">
        <v>3706.56</v>
      </c>
      <c r="D132" s="9">
        <v>1.0581115253128996</v>
      </c>
      <c r="E132" s="9">
        <v>36.274161197234321</v>
      </c>
      <c r="F132" s="8">
        <v>2.1657058350400735</v>
      </c>
    </row>
    <row r="133" spans="2:6" x14ac:dyDescent="0.2">
      <c r="B133" s="9">
        <v>3736</v>
      </c>
      <c r="C133" s="9">
        <v>3735.53</v>
      </c>
      <c r="D133" s="9">
        <v>1.3187494075828514</v>
      </c>
      <c r="E133" s="9">
        <v>37.59291060481717</v>
      </c>
      <c r="F133" s="8">
        <v>2.6063738215873449</v>
      </c>
    </row>
    <row r="134" spans="2:6" x14ac:dyDescent="0.2">
      <c r="B134" s="9">
        <v>3765</v>
      </c>
      <c r="C134" s="9">
        <v>3764.5</v>
      </c>
      <c r="D134" s="9">
        <v>1.3187494075828514</v>
      </c>
      <c r="E134" s="9">
        <v>38.91166001240002</v>
      </c>
      <c r="F134" s="8">
        <v>2.6063738215873449</v>
      </c>
    </row>
    <row r="135" spans="2:6" x14ac:dyDescent="0.2">
      <c r="B135" s="9">
        <v>3794</v>
      </c>
      <c r="C135" s="9">
        <v>3793.47</v>
      </c>
      <c r="D135" s="9">
        <v>1.3187494075828514</v>
      </c>
      <c r="E135" s="9">
        <v>40.23040941998287</v>
      </c>
      <c r="F135" s="8">
        <v>2.6063738215873449</v>
      </c>
    </row>
    <row r="136" spans="2:6" x14ac:dyDescent="0.2">
      <c r="B136" s="9">
        <v>3822</v>
      </c>
      <c r="C136" s="9">
        <v>3821.43</v>
      </c>
      <c r="D136" s="9">
        <v>1.4961283367411888</v>
      </c>
      <c r="E136" s="9">
        <v>41.726537756724056</v>
      </c>
      <c r="F136" s="8">
        <v>3.0629529488798983</v>
      </c>
    </row>
    <row r="137" spans="2:6" x14ac:dyDescent="0.2">
      <c r="B137" s="9">
        <v>3855</v>
      </c>
      <c r="C137" s="9">
        <v>3854.37</v>
      </c>
      <c r="D137" s="9">
        <v>1.989070134510158</v>
      </c>
      <c r="E137" s="9">
        <v>43.715607891234214</v>
      </c>
      <c r="F137" s="8">
        <v>3.4555892129704553</v>
      </c>
    </row>
    <row r="138" spans="2:6" x14ac:dyDescent="0.2">
      <c r="B138" s="9">
        <v>3883</v>
      </c>
      <c r="C138" s="9">
        <v>3882.3</v>
      </c>
      <c r="D138" s="9">
        <v>1.9786611635143729</v>
      </c>
      <c r="E138" s="9">
        <v>45.694269054748588</v>
      </c>
      <c r="F138" s="8">
        <v>4.0522679443831446</v>
      </c>
    </row>
    <row r="139" spans="2:6" x14ac:dyDescent="0.2">
      <c r="B139" s="9">
        <v>3904</v>
      </c>
      <c r="C139" s="9">
        <v>3903.25</v>
      </c>
      <c r="D139" s="9">
        <v>1.4482748357960324</v>
      </c>
      <c r="E139" s="9">
        <v>47.142543890544623</v>
      </c>
      <c r="F139" s="8">
        <v>3.9545693153553803</v>
      </c>
    </row>
    <row r="140" spans="2:6" x14ac:dyDescent="0.2">
      <c r="B140" s="9">
        <v>3911</v>
      </c>
      <c r="C140" s="9">
        <v>3910.22</v>
      </c>
      <c r="D140" s="9">
        <v>0.64737933238558076</v>
      </c>
      <c r="E140" s="9">
        <v>47.789923222930206</v>
      </c>
      <c r="F140" s="8">
        <v>5.306454744847076</v>
      </c>
    </row>
    <row r="141" spans="2:6" x14ac:dyDescent="0.2">
      <c r="B141" s="9">
        <v>3919</v>
      </c>
      <c r="C141" s="9">
        <v>3918.15</v>
      </c>
      <c r="D141" s="9">
        <v>1.0559829544078849</v>
      </c>
      <c r="E141" s="9">
        <v>48.845906177338094</v>
      </c>
      <c r="F141" s="8">
        <v>7.5850568301767503</v>
      </c>
    </row>
    <row r="142" spans="2:6" x14ac:dyDescent="0.2">
      <c r="B142" s="9">
        <v>3940</v>
      </c>
      <c r="C142" s="9">
        <v>3938.94</v>
      </c>
      <c r="D142" s="9">
        <v>2.9624145557298416</v>
      </c>
      <c r="E142" s="9">
        <v>51.808320733067937</v>
      </c>
      <c r="F142" s="8">
        <v>8.1096144559942029</v>
      </c>
    </row>
    <row r="143" spans="2:6" x14ac:dyDescent="0.2">
      <c r="B143" s="9">
        <v>3945</v>
      </c>
      <c r="C143" s="9">
        <v>3943.88</v>
      </c>
      <c r="D143" s="9">
        <v>0.77226938305231008</v>
      </c>
      <c r="E143" s="9">
        <v>52.580590116120248</v>
      </c>
      <c r="F143" s="8">
        <v>8.8851242702280562</v>
      </c>
    </row>
    <row r="144" spans="2:6" x14ac:dyDescent="0.2">
      <c r="B144" s="9">
        <v>3963</v>
      </c>
      <c r="C144" s="9">
        <v>3961.67</v>
      </c>
      <c r="D144" s="9">
        <v>2.7415141801566603</v>
      </c>
      <c r="E144" s="9">
        <v>55.322104296276912</v>
      </c>
      <c r="F144" s="8">
        <v>8.7606062629253643</v>
      </c>
    </row>
    <row r="145" spans="2:6" x14ac:dyDescent="0.2">
      <c r="B145" s="9">
        <v>3973</v>
      </c>
      <c r="C145" s="9">
        <v>3971.53</v>
      </c>
      <c r="D145" s="9">
        <v>1.6674531477675811</v>
      </c>
      <c r="E145" s="9">
        <v>56.989557444044493</v>
      </c>
      <c r="F145" s="8">
        <v>9.5986383834400115</v>
      </c>
    </row>
    <row r="146" spans="2:6" x14ac:dyDescent="0.2">
      <c r="B146" s="9">
        <v>3983</v>
      </c>
      <c r="C146" s="9">
        <v>3981.33</v>
      </c>
      <c r="D146" s="9">
        <v>1.9899748742132348</v>
      </c>
      <c r="E146" s="9">
        <v>58.979532318257725</v>
      </c>
      <c r="F146" s="8">
        <v>11.478340954533554</v>
      </c>
    </row>
    <row r="147" spans="2:6" x14ac:dyDescent="0.2">
      <c r="B147" s="9">
        <v>3992</v>
      </c>
      <c r="C147" s="9">
        <v>3990.08</v>
      </c>
      <c r="D147" s="9">
        <v>2.1065374432940898</v>
      </c>
      <c r="E147" s="9">
        <v>61.086069761551812</v>
      </c>
      <c r="F147" s="8">
        <v>13.536202737381167</v>
      </c>
    </row>
    <row r="148" spans="2:6" x14ac:dyDescent="0.2">
      <c r="B148" s="9">
        <v>4001</v>
      </c>
      <c r="C148" s="9">
        <v>3998.76</v>
      </c>
      <c r="D148" s="9">
        <v>2.3785709995709614</v>
      </c>
      <c r="E148" s="9">
        <v>63.464640761122773</v>
      </c>
      <c r="F148" s="8">
        <v>15.32451132153215</v>
      </c>
    </row>
    <row r="149" spans="2:6" x14ac:dyDescent="0.2">
      <c r="B149" s="9">
        <v>4010</v>
      </c>
      <c r="C149" s="9">
        <v>4007.37</v>
      </c>
      <c r="D149" s="9">
        <v>2.6206678538113155</v>
      </c>
      <c r="E149" s="9">
        <v>66.085308614934092</v>
      </c>
      <c r="F149" s="8">
        <v>16.928932555191484</v>
      </c>
    </row>
    <row r="150" spans="2:6" x14ac:dyDescent="0.2">
      <c r="B150" s="9">
        <v>4019</v>
      </c>
      <c r="C150" s="9">
        <v>4015.93</v>
      </c>
      <c r="D150" s="9">
        <v>2.7796402644946698</v>
      </c>
      <c r="E150" s="9">
        <v>68.864948879428766</v>
      </c>
      <c r="F150" s="8">
        <v>17.989874655761188</v>
      </c>
    </row>
    <row r="151" spans="2:6" x14ac:dyDescent="0.2">
      <c r="B151" s="9">
        <v>4029</v>
      </c>
      <c r="C151" s="9">
        <v>4025.37</v>
      </c>
      <c r="D151" s="9">
        <v>3.2994545003682063</v>
      </c>
      <c r="E151" s="9">
        <v>72.164403379796966</v>
      </c>
      <c r="F151" s="8">
        <v>19.265464565394534</v>
      </c>
    </row>
    <row r="152" spans="2:6" x14ac:dyDescent="0.2">
      <c r="B152" s="9">
        <v>4039</v>
      </c>
      <c r="C152" s="9">
        <v>4034.74</v>
      </c>
      <c r="D152" s="9">
        <v>3.4932935748373657</v>
      </c>
      <c r="E152" s="9">
        <v>75.657696954634332</v>
      </c>
      <c r="F152" s="8">
        <v>20.446301115779207</v>
      </c>
    </row>
    <row r="153" spans="2:6" x14ac:dyDescent="0.2">
      <c r="B153" s="9">
        <v>4049</v>
      </c>
      <c r="C153" s="9">
        <v>4044.01</v>
      </c>
      <c r="D153" s="9">
        <v>3.7506132831844994</v>
      </c>
      <c r="E153" s="9">
        <v>79.408310237818824</v>
      </c>
      <c r="F153" s="8">
        <v>22.028103351376085</v>
      </c>
    </row>
    <row r="154" spans="2:6" x14ac:dyDescent="0.2">
      <c r="B154" s="9">
        <v>4057</v>
      </c>
      <c r="C154" s="9">
        <v>4051.36</v>
      </c>
      <c r="D154" s="9">
        <v>3.1587180944174182</v>
      </c>
      <c r="E154" s="9">
        <v>82.567028332236248</v>
      </c>
      <c r="F154" s="8">
        <v>23.255980791770401</v>
      </c>
    </row>
    <row r="155" spans="2:6" x14ac:dyDescent="0.2">
      <c r="B155" s="9">
        <v>4065</v>
      </c>
      <c r="C155" s="9">
        <v>4058.65</v>
      </c>
      <c r="D155" s="9">
        <v>3.2948292823756438</v>
      </c>
      <c r="E155" s="9">
        <v>85.861857614611893</v>
      </c>
      <c r="F155" s="8">
        <v>24.321332147972548</v>
      </c>
    </row>
    <row r="156" spans="2:6" x14ac:dyDescent="0.2">
      <c r="B156" s="9">
        <v>4070</v>
      </c>
      <c r="C156" s="9">
        <v>4063.17</v>
      </c>
      <c r="D156" s="9">
        <v>2.1376622745419831</v>
      </c>
      <c r="E156" s="9">
        <v>87.999519889153873</v>
      </c>
      <c r="F156" s="8">
        <v>25.311065155487046</v>
      </c>
    </row>
    <row r="157" spans="2:6" x14ac:dyDescent="0.2">
      <c r="B157" s="9">
        <v>4080</v>
      </c>
      <c r="C157" s="9">
        <v>4072.1</v>
      </c>
      <c r="D157" s="9">
        <v>4.5005666309921466</v>
      </c>
      <c r="E157" s="9">
        <v>92.500086520146027</v>
      </c>
      <c r="F157" s="8">
        <v>26.747319453798539</v>
      </c>
    </row>
    <row r="158" spans="2:6" x14ac:dyDescent="0.2">
      <c r="B158" s="9">
        <v>4084</v>
      </c>
      <c r="C158" s="9">
        <v>4075.63</v>
      </c>
      <c r="D158" s="9">
        <v>1.8812495847175625</v>
      </c>
      <c r="E158" s="9">
        <v>94.381336104863593</v>
      </c>
      <c r="F158" s="8">
        <v>28.054576755802227</v>
      </c>
    </row>
    <row r="159" spans="2:6" x14ac:dyDescent="0.2">
      <c r="B159" s="9">
        <v>4093</v>
      </c>
      <c r="C159" s="9">
        <v>4083.44</v>
      </c>
      <c r="D159" s="9">
        <v>4.4725719670006443</v>
      </c>
      <c r="E159" s="9">
        <v>98.85390807186424</v>
      </c>
      <c r="F159" s="8">
        <v>29.798579096780767</v>
      </c>
    </row>
    <row r="160" spans="2:6" x14ac:dyDescent="0.2">
      <c r="B160" s="9">
        <v>4104</v>
      </c>
      <c r="C160" s="9">
        <v>4092.82</v>
      </c>
      <c r="D160" s="9">
        <v>5.7459202918244516</v>
      </c>
      <c r="E160" s="9">
        <v>104.59982836368869</v>
      </c>
      <c r="F160" s="8">
        <v>31.490446631642801</v>
      </c>
    </row>
    <row r="161" spans="2:6" x14ac:dyDescent="0.2">
      <c r="B161" s="9">
        <v>4114</v>
      </c>
      <c r="C161" s="9">
        <v>4101.16</v>
      </c>
      <c r="D161" s="9">
        <v>5.5176444249335246</v>
      </c>
      <c r="E161" s="9">
        <v>110.11747278862221</v>
      </c>
      <c r="F161" s="8">
        <v>33.488145501171559</v>
      </c>
    </row>
    <row r="162" spans="2:6" x14ac:dyDescent="0.2">
      <c r="B162" s="9">
        <v>4123</v>
      </c>
      <c r="C162" s="9">
        <v>4108.49</v>
      </c>
      <c r="D162" s="9">
        <v>5.2221738768447761</v>
      </c>
      <c r="E162" s="9">
        <v>115.33964666546699</v>
      </c>
      <c r="F162" s="8">
        <v>35.467533200499659</v>
      </c>
    </row>
    <row r="163" spans="2:6" x14ac:dyDescent="0.2">
      <c r="B163" s="9">
        <v>4133</v>
      </c>
      <c r="C163" s="9">
        <v>4116.4399999999996</v>
      </c>
      <c r="D163" s="9">
        <v>6.0660942953435866</v>
      </c>
      <c r="E163" s="9">
        <v>121.40574096081058</v>
      </c>
      <c r="F163" s="8">
        <v>37.344744354014821</v>
      </c>
    </row>
    <row r="164" spans="2:6" x14ac:dyDescent="0.2">
      <c r="B164" s="9">
        <v>4143</v>
      </c>
      <c r="C164" s="9">
        <v>4124.21</v>
      </c>
      <c r="D164" s="9">
        <v>6.2950059571059986</v>
      </c>
      <c r="E164" s="9">
        <v>127.70074691791658</v>
      </c>
      <c r="F164" s="8">
        <v>39.013286997129093</v>
      </c>
    </row>
    <row r="165" spans="2:6" x14ac:dyDescent="0.2">
      <c r="B165" s="9">
        <v>4153</v>
      </c>
      <c r="C165" s="9">
        <v>4131.8500000000004</v>
      </c>
      <c r="D165" s="9">
        <v>6.4521624282096308</v>
      </c>
      <c r="E165" s="9">
        <v>134.15290934612619</v>
      </c>
      <c r="F165" s="8">
        <v>40.181890548801483</v>
      </c>
    </row>
    <row r="166" spans="2:6" x14ac:dyDescent="0.2">
      <c r="B166" s="9">
        <v>4164</v>
      </c>
      <c r="C166" s="9">
        <v>4140.1400000000003</v>
      </c>
      <c r="D166" s="9">
        <v>7.2302074659030362</v>
      </c>
      <c r="E166" s="9">
        <v>141.38311681202924</v>
      </c>
      <c r="F166" s="8">
        <v>41.093639529964499</v>
      </c>
    </row>
    <row r="167" spans="2:6" x14ac:dyDescent="0.2">
      <c r="B167" s="9">
        <v>4174</v>
      </c>
      <c r="C167" s="9">
        <v>4147.6000000000004</v>
      </c>
      <c r="D167" s="9">
        <v>6.6594594375219369</v>
      </c>
      <c r="E167" s="9">
        <v>148.04257624955119</v>
      </c>
      <c r="F167" s="8">
        <v>41.754936598188245</v>
      </c>
    </row>
    <row r="168" spans="2:6" x14ac:dyDescent="0.2">
      <c r="B168" s="9">
        <v>4183</v>
      </c>
      <c r="C168" s="9">
        <v>4154.3500000000004</v>
      </c>
      <c r="D168" s="9">
        <v>5.9529404498953289</v>
      </c>
      <c r="E168" s="9">
        <v>153.99551669944651</v>
      </c>
      <c r="F168" s="8">
        <v>41.409622109270899</v>
      </c>
    </row>
    <row r="169" spans="2:6" x14ac:dyDescent="0.2">
      <c r="B169" s="9">
        <v>4193</v>
      </c>
      <c r="C169" s="9">
        <v>4161.9399999999996</v>
      </c>
      <c r="D169" s="9">
        <v>6.5109062349261331</v>
      </c>
      <c r="E169" s="9">
        <v>160.50642293437264</v>
      </c>
      <c r="F169" s="8">
        <v>40.623880766309881</v>
      </c>
    </row>
    <row r="170" spans="2:6" x14ac:dyDescent="0.2">
      <c r="B170" s="9">
        <v>4203</v>
      </c>
      <c r="C170" s="9">
        <v>4169.5200000000004</v>
      </c>
      <c r="D170" s="9">
        <v>6.5225455153643805</v>
      </c>
      <c r="E170" s="9">
        <v>167.02896844973702</v>
      </c>
      <c r="F170" s="8">
        <v>40.711801862528773</v>
      </c>
    </row>
    <row r="171" spans="2:6" x14ac:dyDescent="0.2">
      <c r="B171" s="9">
        <v>4212</v>
      </c>
      <c r="C171" s="9">
        <v>4176.37</v>
      </c>
      <c r="D171" s="9">
        <v>5.8375936823317884</v>
      </c>
      <c r="E171" s="9">
        <v>172.86656213206882</v>
      </c>
      <c r="F171" s="8">
        <v>40.43775085907415</v>
      </c>
    </row>
    <row r="172" spans="2:6" x14ac:dyDescent="0.2">
      <c r="B172" s="9">
        <v>4222</v>
      </c>
      <c r="C172" s="9">
        <v>4184</v>
      </c>
      <c r="D172" s="9">
        <v>6.4639848390911316</v>
      </c>
      <c r="E172" s="9">
        <v>179.33054697115995</v>
      </c>
      <c r="F172" s="8">
        <v>40.27061014432666</v>
      </c>
    </row>
    <row r="173" spans="2:6" x14ac:dyDescent="0.2">
      <c r="B173" s="9">
        <v>4230</v>
      </c>
      <c r="C173" s="9">
        <v>4190.1099999999997</v>
      </c>
      <c r="D173" s="9">
        <v>5.1640972105490031</v>
      </c>
      <c r="E173" s="9">
        <v>184.49464418170896</v>
      </c>
      <c r="F173" s="8">
        <v>40.204085682594425</v>
      </c>
    </row>
    <row r="174" spans="2:6" x14ac:dyDescent="0.2">
      <c r="B174" s="9">
        <v>4240</v>
      </c>
      <c r="C174" s="9">
        <v>4197.72</v>
      </c>
      <c r="D174" s="9">
        <v>6.4875187860999679</v>
      </c>
      <c r="E174" s="9">
        <v>190.98216296780893</v>
      </c>
      <c r="F174" s="8">
        <v>40.447564838170159</v>
      </c>
    </row>
    <row r="175" spans="2:6" x14ac:dyDescent="0.2">
      <c r="B175" s="9">
        <v>4250</v>
      </c>
      <c r="C175" s="9">
        <v>4205.32</v>
      </c>
      <c r="D175" s="9">
        <v>6.4992307237087683</v>
      </c>
      <c r="E175" s="9">
        <v>197.4813936915177</v>
      </c>
      <c r="F175" s="8">
        <v>40.535802111316606</v>
      </c>
    </row>
    <row r="176" spans="2:6" x14ac:dyDescent="0.2">
      <c r="B176" s="9">
        <v>4260</v>
      </c>
      <c r="C176" s="9">
        <v>4212.91</v>
      </c>
      <c r="D176" s="9">
        <v>6.5109062349261331</v>
      </c>
      <c r="E176" s="9">
        <v>203.99229992644382</v>
      </c>
      <c r="F176" s="8">
        <v>40.623880766309881</v>
      </c>
    </row>
    <row r="177" spans="2:6" x14ac:dyDescent="0.2">
      <c r="B177" s="9">
        <v>4269</v>
      </c>
      <c r="C177" s="9">
        <v>4219.71</v>
      </c>
      <c r="D177" s="9">
        <v>5.89576118919347</v>
      </c>
      <c r="E177" s="9">
        <v>209.8880611156373</v>
      </c>
      <c r="F177" s="8">
        <v>40.926063309604594</v>
      </c>
    </row>
    <row r="178" spans="2:6" x14ac:dyDescent="0.2">
      <c r="B178" s="9">
        <v>4279</v>
      </c>
      <c r="C178" s="9">
        <v>4227.24</v>
      </c>
      <c r="D178" s="9">
        <v>6.5802051639747523</v>
      </c>
      <c r="E178" s="9">
        <v>216.46826627961204</v>
      </c>
      <c r="F178" s="8">
        <v>41.149080284501416</v>
      </c>
    </row>
    <row r="179" spans="2:6" x14ac:dyDescent="0.2">
      <c r="B179" s="9">
        <v>4289</v>
      </c>
      <c r="C179" s="9">
        <v>4234.74</v>
      </c>
      <c r="D179" s="9">
        <v>6.6143782776614763</v>
      </c>
      <c r="E179" s="9">
        <v>223.08264455727351</v>
      </c>
      <c r="F179" s="8">
        <v>41.409622109270899</v>
      </c>
    </row>
    <row r="180" spans="2:6" x14ac:dyDescent="0.2">
      <c r="B180" s="9">
        <v>4299</v>
      </c>
      <c r="C180" s="9">
        <v>4242.22</v>
      </c>
      <c r="D180" s="9">
        <v>6.6369872683319189</v>
      </c>
      <c r="E180" s="9">
        <v>229.71963182560543</v>
      </c>
      <c r="F180" s="8">
        <v>41.582572544632995</v>
      </c>
    </row>
    <row r="181" spans="2:6" x14ac:dyDescent="0.2">
      <c r="B181" s="9">
        <v>4309</v>
      </c>
      <c r="C181" s="9">
        <v>4249.66</v>
      </c>
      <c r="D181" s="9">
        <v>6.6817961657027514</v>
      </c>
      <c r="E181" s="9">
        <v>236.4014279913082</v>
      </c>
      <c r="F181" s="8">
        <v>41.926721738346941</v>
      </c>
    </row>
    <row r="182" spans="2:6" x14ac:dyDescent="0.2">
      <c r="B182" s="9">
        <v>4319</v>
      </c>
      <c r="C182" s="9">
        <v>4257.0600000000004</v>
      </c>
      <c r="D182" s="9">
        <v>6.726068688320094</v>
      </c>
      <c r="E182" s="9">
        <v>243.12749667962828</v>
      </c>
      <c r="F182" s="8">
        <v>42.268584429572506</v>
      </c>
    </row>
    <row r="183" spans="2:6" x14ac:dyDescent="0.2">
      <c r="B183" s="9">
        <v>4329</v>
      </c>
      <c r="C183" s="9">
        <v>4264.43</v>
      </c>
      <c r="D183" s="9">
        <v>6.758927429703621</v>
      </c>
      <c r="E183" s="9">
        <v>249.8864241093319</v>
      </c>
      <c r="F183" s="8">
        <v>42.523515248185433</v>
      </c>
    </row>
    <row r="184" spans="2:6" x14ac:dyDescent="0.2">
      <c r="B184" s="9">
        <v>4339</v>
      </c>
      <c r="C184" s="9">
        <v>4271.7700000000004</v>
      </c>
      <c r="D184" s="9">
        <v>6.7914946808489809</v>
      </c>
      <c r="E184" s="9">
        <v>256.67791879018085</v>
      </c>
      <c r="F184" s="8">
        <v>42.777215179150495</v>
      </c>
    </row>
    <row r="185" spans="2:6" x14ac:dyDescent="0.2">
      <c r="B185" s="9">
        <v>4349</v>
      </c>
      <c r="C185" s="9">
        <v>4279.0600000000004</v>
      </c>
      <c r="D185" s="9">
        <v>6.8451369599154113</v>
      </c>
      <c r="E185" s="9">
        <v>263.52305575009626</v>
      </c>
      <c r="F185" s="8">
        <v>43.197374088363794</v>
      </c>
    </row>
    <row r="186" spans="2:6" x14ac:dyDescent="0.2">
      <c r="B186" s="9">
        <v>4359</v>
      </c>
      <c r="C186" s="9">
        <v>4286.3100000000004</v>
      </c>
      <c r="D186" s="9">
        <v>6.887488656977955</v>
      </c>
      <c r="E186" s="9">
        <v>270.41054440707421</v>
      </c>
      <c r="F186" s="8">
        <v>43.531152167372497</v>
      </c>
    </row>
    <row r="187" spans="2:6" x14ac:dyDescent="0.2">
      <c r="B187" s="9">
        <v>4369</v>
      </c>
      <c r="C187" s="9">
        <v>4293.54</v>
      </c>
      <c r="D187" s="9">
        <v>6.9084802959840594</v>
      </c>
      <c r="E187" s="9">
        <v>277.31902470305829</v>
      </c>
      <c r="F187" s="8">
        <v>43.697275299630554</v>
      </c>
    </row>
    <row r="188" spans="2:6" x14ac:dyDescent="0.2">
      <c r="B188" s="9">
        <v>4379</v>
      </c>
      <c r="C188" s="9">
        <v>4300.75</v>
      </c>
      <c r="D188" s="9">
        <v>6.9293506189252687</v>
      </c>
      <c r="E188" s="9">
        <v>284.24837532198353</v>
      </c>
      <c r="F188" s="8">
        <v>43.86289587982067</v>
      </c>
    </row>
    <row r="189" spans="2:6" x14ac:dyDescent="0.2">
      <c r="B189" s="9">
        <v>4389</v>
      </c>
      <c r="C189" s="9">
        <v>4307.9799999999996</v>
      </c>
      <c r="D189" s="9">
        <v>6.9084802959840594</v>
      </c>
      <c r="E189" s="9">
        <v>291.15685561796761</v>
      </c>
      <c r="F189" s="8">
        <v>43.697275299630554</v>
      </c>
    </row>
    <row r="190" spans="2:6" x14ac:dyDescent="0.2">
      <c r="B190" s="9">
        <v>4399</v>
      </c>
      <c r="C190" s="9">
        <v>4315.2299999999996</v>
      </c>
      <c r="D190" s="9">
        <v>6.887488656977955</v>
      </c>
      <c r="E190" s="9">
        <v>298.04434427494556</v>
      </c>
      <c r="F190" s="8">
        <v>43.531152167372497</v>
      </c>
    </row>
    <row r="191" spans="2:6" x14ac:dyDescent="0.2">
      <c r="B191" s="9">
        <v>4409</v>
      </c>
      <c r="C191" s="9">
        <v>4322.5</v>
      </c>
      <c r="D191" s="9">
        <v>6.8663745892574202</v>
      </c>
      <c r="E191" s="9">
        <v>304.91071886420298</v>
      </c>
      <c r="F191" s="8">
        <v>43.364520470944747</v>
      </c>
    </row>
    <row r="192" spans="2:6" x14ac:dyDescent="0.2">
      <c r="B192" s="9">
        <v>4423</v>
      </c>
      <c r="C192" s="9">
        <v>4332.6899999999996</v>
      </c>
      <c r="D192" s="9">
        <v>9.6002031228511004</v>
      </c>
      <c r="E192" s="9">
        <v>314.51092198705408</v>
      </c>
      <c r="F192" s="8">
        <v>43.292949690701533</v>
      </c>
    </row>
    <row r="193" spans="2:6" x14ac:dyDescent="0.2">
      <c r="B193" s="9">
        <v>4432</v>
      </c>
      <c r="C193" s="9">
        <v>4339.26</v>
      </c>
      <c r="D193" s="9">
        <v>6.1510243049430393</v>
      </c>
      <c r="E193" s="9">
        <v>320.66194629199714</v>
      </c>
      <c r="F193" s="8">
        <v>43.113605945898748</v>
      </c>
    </row>
    <row r="194" spans="2:6" x14ac:dyDescent="0.2">
      <c r="B194" s="9">
        <v>4442</v>
      </c>
      <c r="C194" s="9">
        <v>4346.6000000000004</v>
      </c>
      <c r="D194" s="9">
        <v>6.7914946808489809</v>
      </c>
      <c r="E194" s="9">
        <v>327.45344097284612</v>
      </c>
      <c r="F194" s="8">
        <v>42.777215179150495</v>
      </c>
    </row>
    <row r="195" spans="2:6" x14ac:dyDescent="0.2">
      <c r="B195" s="9">
        <v>4452</v>
      </c>
      <c r="C195" s="9">
        <v>4353.96</v>
      </c>
      <c r="D195" s="9">
        <v>6.7698153593728092</v>
      </c>
      <c r="E195" s="9">
        <v>334.22325633221891</v>
      </c>
      <c r="F195" s="8">
        <v>42.608217529796541</v>
      </c>
    </row>
    <row r="196" spans="2:6" x14ac:dyDescent="0.2">
      <c r="B196" s="9">
        <v>4462</v>
      </c>
      <c r="C196" s="9">
        <v>4361.32</v>
      </c>
      <c r="D196" s="9">
        <v>6.7698153593728092</v>
      </c>
      <c r="E196" s="9">
        <v>340.99307169159169</v>
      </c>
      <c r="F196" s="8">
        <v>42.608217529796541</v>
      </c>
    </row>
    <row r="197" spans="2:6" x14ac:dyDescent="0.2">
      <c r="B197" s="9">
        <v>4471</v>
      </c>
      <c r="C197" s="9">
        <v>4367.9399999999996</v>
      </c>
      <c r="D197" s="9">
        <v>6.0971796758829404</v>
      </c>
      <c r="E197" s="9">
        <v>347.09025136747465</v>
      </c>
      <c r="F197" s="8">
        <v>42.645819310933113</v>
      </c>
    </row>
    <row r="198" spans="2:6" x14ac:dyDescent="0.2">
      <c r="B198" s="9">
        <v>4481</v>
      </c>
      <c r="C198" s="9">
        <v>4375.32</v>
      </c>
      <c r="D198" s="9">
        <v>6.7480071132149826</v>
      </c>
      <c r="E198" s="9">
        <v>353.83825848068966</v>
      </c>
      <c r="F198" s="8">
        <v>42.438676206636153</v>
      </c>
    </row>
    <row r="199" spans="2:6" x14ac:dyDescent="0.2">
      <c r="B199" s="9">
        <v>4490</v>
      </c>
      <c r="C199" s="9">
        <v>4381.97</v>
      </c>
      <c r="D199" s="9">
        <v>6.0644455641055925</v>
      </c>
      <c r="E199" s="9">
        <v>359.90270404479526</v>
      </c>
      <c r="F199" s="8">
        <v>42.363148226263327</v>
      </c>
    </row>
    <row r="200" spans="2:6" x14ac:dyDescent="0.2">
      <c r="B200" s="9">
        <v>4499</v>
      </c>
      <c r="C200" s="9">
        <v>4388.63</v>
      </c>
      <c r="D200" s="9">
        <v>6.0534618194880849</v>
      </c>
      <c r="E200" s="9">
        <v>365.95616586428332</v>
      </c>
      <c r="F200" s="8">
        <v>42.268584429572506</v>
      </c>
    </row>
    <row r="201" spans="2:6" x14ac:dyDescent="0.2">
      <c r="B201" s="9">
        <v>4509</v>
      </c>
      <c r="C201" s="9">
        <v>4396.04</v>
      </c>
      <c r="D201" s="9">
        <v>6.715050260422478</v>
      </c>
      <c r="E201" s="9">
        <v>372.67121612470578</v>
      </c>
      <c r="F201" s="8">
        <v>42.183329966517412</v>
      </c>
    </row>
    <row r="202" spans="2:6" x14ac:dyDescent="0.2">
      <c r="B202" s="9">
        <v>4523</v>
      </c>
      <c r="C202" s="9">
        <v>4406.4399999999996</v>
      </c>
      <c r="D202" s="9">
        <v>9.3722996110879855</v>
      </c>
      <c r="E202" s="9">
        <v>382.04351573579379</v>
      </c>
      <c r="F202" s="8">
        <v>42.024627579377267</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I465"/>
  <sheetViews>
    <sheetView showGridLines="0" workbookViewId="0"/>
  </sheetViews>
  <sheetFormatPr defaultColWidth="9.33203125" defaultRowHeight="12" x14ac:dyDescent="0.2"/>
  <cols>
    <col min="2" max="2" width="8.5" style="28" customWidth="1"/>
    <col min="3" max="3" width="33.5" customWidth="1"/>
    <col min="4" max="4" width="14.33203125" style="28" customWidth="1"/>
    <col min="5" max="9" width="14.33203125" style="1" customWidth="1"/>
  </cols>
  <sheetData>
    <row r="1" spans="2:9" ht="17.45" customHeight="1" x14ac:dyDescent="0.2">
      <c r="C1" s="54" t="s">
        <v>38</v>
      </c>
      <c r="D1" s="55">
        <v>1</v>
      </c>
      <c r="E1" s="56" t="s">
        <v>515</v>
      </c>
      <c r="F1" s="87">
        <v>1</v>
      </c>
    </row>
    <row r="2" spans="2:9" ht="17.45" customHeight="1" x14ac:dyDescent="0.2">
      <c r="C2" s="46" t="s">
        <v>29</v>
      </c>
      <c r="D2" s="31" t="s">
        <v>37</v>
      </c>
      <c r="E2" s="39"/>
      <c r="F2" s="76">
        <v>0</v>
      </c>
      <c r="H2"/>
      <c r="I2"/>
    </row>
    <row r="3" spans="2:9" ht="17.45" customHeight="1" x14ac:dyDescent="0.2">
      <c r="C3" s="47" t="s">
        <v>30</v>
      </c>
      <c r="D3" s="34" t="s">
        <v>492</v>
      </c>
      <c r="E3" s="40"/>
      <c r="F3" s="77">
        <v>4</v>
      </c>
      <c r="H3"/>
      <c r="I3"/>
    </row>
    <row r="4" spans="2:9" ht="17.45" customHeight="1" x14ac:dyDescent="0.2">
      <c r="C4" s="47" t="s">
        <v>31</v>
      </c>
      <c r="D4" s="34">
        <v>85</v>
      </c>
      <c r="E4" s="40" t="s">
        <v>33</v>
      </c>
      <c r="F4" s="77"/>
    </row>
    <row r="5" spans="2:9" ht="17.45" customHeight="1" x14ac:dyDescent="0.2">
      <c r="C5" s="48" t="s">
        <v>32</v>
      </c>
      <c r="D5" s="43">
        <v>2.5</v>
      </c>
      <c r="E5" s="41" t="s">
        <v>34</v>
      </c>
      <c r="F5" s="78"/>
    </row>
    <row r="7" spans="2:9" x14ac:dyDescent="0.2">
      <c r="B7" s="13" t="s">
        <v>27</v>
      </c>
      <c r="C7" s="49"/>
      <c r="D7" s="50"/>
      <c r="E7" s="51"/>
      <c r="F7" s="51"/>
      <c r="G7" s="51"/>
      <c r="H7" s="51"/>
      <c r="I7" s="51"/>
    </row>
    <row r="8" spans="2:9" x14ac:dyDescent="0.2">
      <c r="B8" s="52" t="s">
        <v>10</v>
      </c>
      <c r="C8" s="30" t="s">
        <v>11</v>
      </c>
      <c r="D8" s="31" t="s">
        <v>12</v>
      </c>
      <c r="E8" s="3" t="s">
        <v>28</v>
      </c>
      <c r="F8" s="3" t="s">
        <v>2</v>
      </c>
      <c r="G8" s="3" t="s">
        <v>18</v>
      </c>
      <c r="H8" s="3" t="s">
        <v>21</v>
      </c>
      <c r="I8" s="4" t="s">
        <v>16</v>
      </c>
    </row>
    <row r="9" spans="2:9" x14ac:dyDescent="0.2">
      <c r="B9" s="53"/>
      <c r="C9" s="42"/>
      <c r="D9" s="43"/>
      <c r="E9" s="44" t="s">
        <v>0</v>
      </c>
      <c r="F9" s="44" t="s">
        <v>0</v>
      </c>
      <c r="G9" s="44" t="s">
        <v>26</v>
      </c>
      <c r="H9" s="44" t="s">
        <v>26</v>
      </c>
      <c r="I9" s="45"/>
    </row>
    <row r="10" spans="2:9" x14ac:dyDescent="0.2">
      <c r="B10" s="28">
        <v>0</v>
      </c>
      <c r="C10" t="s">
        <v>514</v>
      </c>
      <c r="D10" s="28" t="s">
        <v>35</v>
      </c>
      <c r="F10" s="1">
        <v>731.1</v>
      </c>
    </row>
    <row r="11" spans="2:9" x14ac:dyDescent="0.2">
      <c r="B11" s="28">
        <v>1</v>
      </c>
      <c r="C11" t="s">
        <v>514</v>
      </c>
      <c r="D11" s="28" t="s">
        <v>516</v>
      </c>
      <c r="E11" s="1">
        <v>40</v>
      </c>
      <c r="F11" s="1">
        <v>731.1</v>
      </c>
      <c r="G11" s="1">
        <v>9.75</v>
      </c>
      <c r="H11" s="1">
        <v>5.9999999999999995E-4</v>
      </c>
      <c r="I11" s="1">
        <v>1</v>
      </c>
    </row>
    <row r="12" spans="2:9" x14ac:dyDescent="0.2">
      <c r="B12" s="28">
        <v>2</v>
      </c>
      <c r="C12" t="s">
        <v>514</v>
      </c>
      <c r="D12" s="28" t="s">
        <v>516</v>
      </c>
      <c r="E12" s="1">
        <v>40</v>
      </c>
      <c r="F12" s="1">
        <v>733.1</v>
      </c>
      <c r="G12" s="1">
        <v>9.75</v>
      </c>
      <c r="H12" s="1">
        <v>5.9999999999999995E-4</v>
      </c>
      <c r="I12" s="1">
        <v>1</v>
      </c>
    </row>
    <row r="13" spans="2:9" x14ac:dyDescent="0.2">
      <c r="B13" s="28">
        <v>3</v>
      </c>
      <c r="C13" t="s">
        <v>514</v>
      </c>
      <c r="D13" s="28" t="s">
        <v>516</v>
      </c>
      <c r="E13" s="1">
        <v>40</v>
      </c>
      <c r="F13" s="1">
        <v>732.1</v>
      </c>
      <c r="G13" s="1">
        <v>9.75</v>
      </c>
      <c r="H13" s="1">
        <v>5.9999999999999995E-4</v>
      </c>
      <c r="I13" s="1">
        <v>1</v>
      </c>
    </row>
    <row r="14" spans="2:9" x14ac:dyDescent="0.2">
      <c r="B14" s="28">
        <v>4</v>
      </c>
      <c r="C14" t="s">
        <v>514</v>
      </c>
      <c r="D14" s="28" t="s">
        <v>516</v>
      </c>
      <c r="E14" s="1">
        <v>40</v>
      </c>
      <c r="F14" s="1">
        <v>733.6</v>
      </c>
      <c r="G14" s="1">
        <v>9.75</v>
      </c>
      <c r="H14" s="1">
        <v>5.9999999999999995E-4</v>
      </c>
      <c r="I14" s="1">
        <v>1</v>
      </c>
    </row>
    <row r="15" spans="2:9" x14ac:dyDescent="0.2">
      <c r="B15" s="28">
        <v>5</v>
      </c>
      <c r="C15" t="s">
        <v>514</v>
      </c>
      <c r="D15" s="28" t="s">
        <v>516</v>
      </c>
      <c r="E15" s="1">
        <v>40</v>
      </c>
      <c r="F15" s="1">
        <v>732.9</v>
      </c>
      <c r="G15" s="1">
        <v>9.75</v>
      </c>
      <c r="H15" s="1">
        <v>5.9999999999999995E-4</v>
      </c>
      <c r="I15" s="1">
        <v>1</v>
      </c>
    </row>
    <row r="16" spans="2:9" x14ac:dyDescent="0.2">
      <c r="B16" s="28">
        <v>6</v>
      </c>
      <c r="C16" t="s">
        <v>514</v>
      </c>
      <c r="D16" s="28" t="s">
        <v>516</v>
      </c>
      <c r="E16" s="1">
        <v>40</v>
      </c>
      <c r="F16" s="1">
        <v>733.4</v>
      </c>
      <c r="G16" s="1">
        <v>9.75</v>
      </c>
      <c r="H16" s="1">
        <v>5.9999999999999995E-4</v>
      </c>
      <c r="I16" s="1">
        <v>1</v>
      </c>
    </row>
    <row r="17" spans="2:9" x14ac:dyDescent="0.2">
      <c r="B17" s="28">
        <v>7</v>
      </c>
      <c r="C17" t="s">
        <v>514</v>
      </c>
      <c r="D17" s="28" t="s">
        <v>516</v>
      </c>
      <c r="E17" s="1">
        <v>40</v>
      </c>
      <c r="F17" s="1">
        <v>734.3</v>
      </c>
      <c r="G17" s="1">
        <v>9.75</v>
      </c>
      <c r="H17" s="1">
        <v>5.9999999999999995E-4</v>
      </c>
      <c r="I17" s="1">
        <v>1</v>
      </c>
    </row>
    <row r="18" spans="2:9" x14ac:dyDescent="0.2">
      <c r="B18" s="28">
        <v>8</v>
      </c>
      <c r="C18" t="s">
        <v>514</v>
      </c>
      <c r="D18" s="28" t="s">
        <v>516</v>
      </c>
      <c r="E18" s="1">
        <v>40</v>
      </c>
      <c r="F18" s="1">
        <v>731.3</v>
      </c>
      <c r="G18" s="1">
        <v>9.75</v>
      </c>
      <c r="H18" s="1">
        <v>5.9999999999999995E-4</v>
      </c>
      <c r="I18" s="1">
        <v>1</v>
      </c>
    </row>
    <row r="19" spans="2:9" x14ac:dyDescent="0.2">
      <c r="B19" s="28">
        <v>9</v>
      </c>
      <c r="C19" t="s">
        <v>514</v>
      </c>
      <c r="D19" s="28" t="s">
        <v>516</v>
      </c>
      <c r="E19" s="1">
        <v>40</v>
      </c>
      <c r="F19" s="1">
        <v>731.1</v>
      </c>
      <c r="G19" s="1">
        <v>9.75</v>
      </c>
      <c r="H19" s="1">
        <v>5.9999999999999995E-4</v>
      </c>
      <c r="I19" s="1">
        <v>1</v>
      </c>
    </row>
    <row r="20" spans="2:9" x14ac:dyDescent="0.2">
      <c r="B20" s="28">
        <v>10</v>
      </c>
      <c r="C20" t="s">
        <v>514</v>
      </c>
      <c r="D20" s="28" t="s">
        <v>516</v>
      </c>
      <c r="E20" s="1">
        <v>40</v>
      </c>
      <c r="F20" s="1">
        <v>729</v>
      </c>
      <c r="G20" s="1">
        <v>9.75</v>
      </c>
      <c r="H20" s="1">
        <v>5.9999999999999995E-4</v>
      </c>
      <c r="I20" s="1">
        <v>1</v>
      </c>
    </row>
    <row r="21" spans="2:9" x14ac:dyDescent="0.2">
      <c r="B21" s="28">
        <v>11</v>
      </c>
      <c r="C21" t="s">
        <v>514</v>
      </c>
      <c r="D21" s="28" t="s">
        <v>516</v>
      </c>
      <c r="E21" s="1">
        <v>40</v>
      </c>
      <c r="F21" s="1">
        <v>730.5</v>
      </c>
      <c r="G21" s="1">
        <v>9.75</v>
      </c>
      <c r="H21" s="1">
        <v>5.9999999999999995E-4</v>
      </c>
      <c r="I21" s="1">
        <v>1</v>
      </c>
    </row>
    <row r="22" spans="2:9" x14ac:dyDescent="0.2">
      <c r="B22" s="28">
        <v>12</v>
      </c>
      <c r="C22" t="s">
        <v>514</v>
      </c>
      <c r="D22" s="28" t="s">
        <v>516</v>
      </c>
      <c r="E22" s="1">
        <v>40</v>
      </c>
      <c r="F22" s="1">
        <v>732.9</v>
      </c>
      <c r="G22" s="1">
        <v>9.75</v>
      </c>
      <c r="H22" s="1">
        <v>5.9999999999999995E-4</v>
      </c>
      <c r="I22" s="1">
        <v>1</v>
      </c>
    </row>
    <row r="23" spans="2:9" x14ac:dyDescent="0.2">
      <c r="B23" s="28">
        <v>13</v>
      </c>
      <c r="C23" t="s">
        <v>514</v>
      </c>
      <c r="D23" s="28" t="s">
        <v>516</v>
      </c>
      <c r="E23" s="1">
        <v>40</v>
      </c>
      <c r="F23" s="1">
        <v>731.8</v>
      </c>
      <c r="G23" s="1">
        <v>9.75</v>
      </c>
      <c r="H23" s="1">
        <v>5.9999999999999995E-4</v>
      </c>
      <c r="I23" s="1">
        <v>1</v>
      </c>
    </row>
    <row r="24" spans="2:9" x14ac:dyDescent="0.2">
      <c r="B24" s="28">
        <v>14</v>
      </c>
      <c r="C24" t="s">
        <v>514</v>
      </c>
      <c r="D24" s="28" t="s">
        <v>516</v>
      </c>
      <c r="E24" s="1">
        <v>40</v>
      </c>
      <c r="F24" s="1">
        <v>730.4</v>
      </c>
      <c r="G24" s="1">
        <v>9.75</v>
      </c>
      <c r="H24" s="1">
        <v>5.9999999999999995E-4</v>
      </c>
      <c r="I24" s="1">
        <v>1</v>
      </c>
    </row>
    <row r="25" spans="2:9" x14ac:dyDescent="0.2">
      <c r="B25" s="28">
        <v>15</v>
      </c>
      <c r="C25" t="s">
        <v>514</v>
      </c>
      <c r="D25" s="28" t="s">
        <v>516</v>
      </c>
      <c r="E25" s="1">
        <v>40</v>
      </c>
      <c r="F25" s="1">
        <v>727.8</v>
      </c>
      <c r="G25" s="1">
        <v>9.75</v>
      </c>
      <c r="H25" s="1">
        <v>5.9999999999999995E-4</v>
      </c>
      <c r="I25" s="1">
        <v>1</v>
      </c>
    </row>
    <row r="26" spans="2:9" x14ac:dyDescent="0.2">
      <c r="B26" s="28">
        <v>16</v>
      </c>
      <c r="C26" t="s">
        <v>514</v>
      </c>
      <c r="D26" s="28" t="s">
        <v>516</v>
      </c>
      <c r="E26" s="1">
        <v>40</v>
      </c>
      <c r="F26" s="1">
        <v>725.5</v>
      </c>
      <c r="G26" s="1">
        <v>9.75</v>
      </c>
      <c r="H26" s="1">
        <v>5.9999999999999995E-4</v>
      </c>
      <c r="I26" s="1">
        <v>1</v>
      </c>
    </row>
    <row r="27" spans="2:9" x14ac:dyDescent="0.2">
      <c r="B27" s="28">
        <v>17</v>
      </c>
      <c r="C27" t="s">
        <v>514</v>
      </c>
      <c r="D27" s="28" t="s">
        <v>516</v>
      </c>
      <c r="E27" s="1">
        <v>40</v>
      </c>
      <c r="F27" s="1">
        <v>721.1</v>
      </c>
      <c r="G27" s="1">
        <v>9.75</v>
      </c>
      <c r="H27" s="1">
        <v>5.9999999999999995E-4</v>
      </c>
      <c r="I27" s="1">
        <v>1</v>
      </c>
    </row>
    <row r="28" spans="2:9" x14ac:dyDescent="0.2">
      <c r="B28" s="28">
        <v>18</v>
      </c>
      <c r="C28" t="s">
        <v>514</v>
      </c>
      <c r="D28" s="28" t="s">
        <v>516</v>
      </c>
      <c r="E28" s="1">
        <v>40</v>
      </c>
      <c r="F28" s="1">
        <v>724.6</v>
      </c>
      <c r="G28" s="1">
        <v>9.75</v>
      </c>
      <c r="H28" s="1">
        <v>5.9999999999999995E-4</v>
      </c>
      <c r="I28" s="1">
        <v>1</v>
      </c>
    </row>
    <row r="29" spans="2:9" x14ac:dyDescent="0.2">
      <c r="B29" s="28">
        <v>19</v>
      </c>
      <c r="C29" t="s">
        <v>514</v>
      </c>
      <c r="D29" s="28" t="s">
        <v>516</v>
      </c>
      <c r="E29" s="1">
        <v>40</v>
      </c>
      <c r="F29" s="1">
        <v>716.6</v>
      </c>
      <c r="G29" s="1">
        <v>9.75</v>
      </c>
      <c r="H29" s="1">
        <v>5.9999999999999995E-4</v>
      </c>
      <c r="I29" s="1">
        <v>1</v>
      </c>
    </row>
    <row r="30" spans="2:9" x14ac:dyDescent="0.2">
      <c r="B30" s="28">
        <v>20</v>
      </c>
      <c r="C30" t="s">
        <v>514</v>
      </c>
      <c r="D30" s="28" t="s">
        <v>516</v>
      </c>
      <c r="E30" s="1">
        <v>40</v>
      </c>
      <c r="F30" s="1">
        <v>712.8</v>
      </c>
      <c r="G30" s="1">
        <v>9.75</v>
      </c>
      <c r="H30" s="1">
        <v>5.9999999999999995E-4</v>
      </c>
      <c r="I30" s="1">
        <v>1</v>
      </c>
    </row>
    <row r="31" spans="2:9" x14ac:dyDescent="0.2">
      <c r="B31" s="28">
        <v>21</v>
      </c>
      <c r="C31" t="s">
        <v>514</v>
      </c>
      <c r="D31" s="28" t="s">
        <v>516</v>
      </c>
      <c r="E31" s="1">
        <v>40</v>
      </c>
      <c r="F31" s="1">
        <v>704.8</v>
      </c>
      <c r="G31" s="1">
        <v>9.75</v>
      </c>
      <c r="H31" s="1">
        <v>5.9999999999999995E-4</v>
      </c>
      <c r="I31" s="1">
        <v>1</v>
      </c>
    </row>
    <row r="32" spans="2:9" x14ac:dyDescent="0.2">
      <c r="B32" s="28">
        <v>22</v>
      </c>
      <c r="C32" t="s">
        <v>514</v>
      </c>
      <c r="D32" s="28" t="s">
        <v>516</v>
      </c>
      <c r="E32" s="1">
        <v>40</v>
      </c>
      <c r="F32" s="1">
        <v>698.3</v>
      </c>
      <c r="G32" s="1">
        <v>9.75</v>
      </c>
      <c r="H32" s="1">
        <v>5.9999999999999995E-4</v>
      </c>
      <c r="I32" s="1">
        <v>1</v>
      </c>
    </row>
    <row r="33" spans="2:9" x14ac:dyDescent="0.2">
      <c r="B33" s="28">
        <v>23</v>
      </c>
      <c r="C33" t="s">
        <v>514</v>
      </c>
      <c r="D33" s="28" t="s">
        <v>516</v>
      </c>
      <c r="E33" s="1">
        <v>40</v>
      </c>
      <c r="F33" s="1">
        <v>690.5</v>
      </c>
      <c r="G33" s="1">
        <v>9.75</v>
      </c>
      <c r="H33" s="1">
        <v>5.9999999999999995E-4</v>
      </c>
      <c r="I33" s="1">
        <v>1</v>
      </c>
    </row>
    <row r="34" spans="2:9" x14ac:dyDescent="0.2">
      <c r="B34" s="28">
        <v>24</v>
      </c>
      <c r="C34" t="s">
        <v>514</v>
      </c>
      <c r="D34" s="28" t="s">
        <v>516</v>
      </c>
      <c r="E34" s="1">
        <v>40</v>
      </c>
      <c r="F34" s="1">
        <v>705</v>
      </c>
      <c r="G34" s="1">
        <v>9.75</v>
      </c>
      <c r="H34" s="1">
        <v>5.9999999999999995E-4</v>
      </c>
      <c r="I34" s="1">
        <v>1</v>
      </c>
    </row>
    <row r="35" spans="2:9" x14ac:dyDescent="0.2">
      <c r="B35" s="28">
        <v>25</v>
      </c>
      <c r="C35" t="s">
        <v>514</v>
      </c>
      <c r="D35" s="28" t="s">
        <v>516</v>
      </c>
      <c r="E35" s="1">
        <v>40</v>
      </c>
      <c r="F35" s="1">
        <v>712.6</v>
      </c>
      <c r="G35" s="1">
        <v>9.75</v>
      </c>
      <c r="H35" s="1">
        <v>5.9999999999999995E-4</v>
      </c>
      <c r="I35" s="1">
        <v>1</v>
      </c>
    </row>
    <row r="36" spans="2:9" x14ac:dyDescent="0.2">
      <c r="B36" s="28">
        <v>26</v>
      </c>
      <c r="C36" t="s">
        <v>514</v>
      </c>
      <c r="D36" s="28" t="s">
        <v>516</v>
      </c>
      <c r="E36" s="1">
        <v>40</v>
      </c>
      <c r="F36" s="1">
        <v>712.2</v>
      </c>
      <c r="G36" s="1">
        <v>9.75</v>
      </c>
      <c r="H36" s="1">
        <v>5.9999999999999995E-4</v>
      </c>
      <c r="I36" s="1">
        <v>1</v>
      </c>
    </row>
    <row r="37" spans="2:9" x14ac:dyDescent="0.2">
      <c r="B37" s="28">
        <v>27</v>
      </c>
      <c r="C37" t="s">
        <v>514</v>
      </c>
      <c r="D37" s="28" t="s">
        <v>516</v>
      </c>
      <c r="E37" s="1">
        <v>40</v>
      </c>
      <c r="F37" s="1">
        <v>711.6</v>
      </c>
      <c r="G37" s="1">
        <v>9.75</v>
      </c>
      <c r="H37" s="1">
        <v>5.9999999999999995E-4</v>
      </c>
      <c r="I37" s="1">
        <v>1</v>
      </c>
    </row>
    <row r="38" spans="2:9" x14ac:dyDescent="0.2">
      <c r="B38" s="28">
        <v>28</v>
      </c>
      <c r="C38" t="s">
        <v>514</v>
      </c>
      <c r="D38" s="28" t="s">
        <v>516</v>
      </c>
      <c r="E38" s="1">
        <v>40</v>
      </c>
      <c r="F38" s="1">
        <v>710.8</v>
      </c>
      <c r="G38" s="1">
        <v>9.75</v>
      </c>
      <c r="H38" s="1">
        <v>5.9999999999999995E-4</v>
      </c>
      <c r="I38" s="1">
        <v>1</v>
      </c>
    </row>
    <row r="39" spans="2:9" x14ac:dyDescent="0.2">
      <c r="B39" s="28">
        <v>29</v>
      </c>
      <c r="C39" t="s">
        <v>514</v>
      </c>
      <c r="D39" s="28" t="s">
        <v>516</v>
      </c>
      <c r="E39" s="1">
        <v>40</v>
      </c>
      <c r="F39" s="1">
        <v>708.1</v>
      </c>
      <c r="G39" s="1">
        <v>9.75</v>
      </c>
      <c r="H39" s="1">
        <v>5.9999999999999995E-4</v>
      </c>
      <c r="I39" s="1">
        <v>1</v>
      </c>
    </row>
    <row r="40" spans="2:9" x14ac:dyDescent="0.2">
      <c r="B40" s="28">
        <v>30</v>
      </c>
      <c r="C40" t="s">
        <v>514</v>
      </c>
      <c r="D40" s="28" t="s">
        <v>516</v>
      </c>
      <c r="E40" s="1">
        <v>40</v>
      </c>
      <c r="F40" s="1">
        <v>708.6</v>
      </c>
      <c r="G40" s="1">
        <v>9.75</v>
      </c>
      <c r="H40" s="1">
        <v>5.9999999999999995E-4</v>
      </c>
      <c r="I40" s="1">
        <v>1</v>
      </c>
    </row>
    <row r="41" spans="2:9" x14ac:dyDescent="0.2">
      <c r="B41" s="28">
        <v>31</v>
      </c>
      <c r="C41" t="s">
        <v>514</v>
      </c>
      <c r="D41" s="28" t="s">
        <v>516</v>
      </c>
      <c r="E41" s="1">
        <v>40</v>
      </c>
      <c r="F41" s="1">
        <v>705.1</v>
      </c>
      <c r="G41" s="1">
        <v>9.75</v>
      </c>
      <c r="H41" s="1">
        <v>5.9999999999999995E-4</v>
      </c>
      <c r="I41" s="1">
        <v>1</v>
      </c>
    </row>
    <row r="42" spans="2:9" x14ac:dyDescent="0.2">
      <c r="B42" s="28">
        <v>32</v>
      </c>
      <c r="C42" t="s">
        <v>514</v>
      </c>
      <c r="D42" s="28" t="s">
        <v>516</v>
      </c>
      <c r="E42" s="1">
        <v>40.000100000000003</v>
      </c>
      <c r="F42" s="1">
        <v>702</v>
      </c>
      <c r="G42" s="1">
        <v>9.75</v>
      </c>
      <c r="H42" s="1">
        <v>5.9999999999999995E-4</v>
      </c>
      <c r="I42" s="1">
        <v>1</v>
      </c>
    </row>
    <row r="43" spans="2:9" x14ac:dyDescent="0.2">
      <c r="B43" s="28">
        <v>33</v>
      </c>
      <c r="C43" t="s">
        <v>514</v>
      </c>
      <c r="D43" s="28" t="s">
        <v>516</v>
      </c>
      <c r="E43" s="1">
        <v>40</v>
      </c>
      <c r="F43" s="1">
        <v>699.2</v>
      </c>
      <c r="G43" s="1">
        <v>9.75</v>
      </c>
      <c r="H43" s="1">
        <v>5.9999999999999995E-4</v>
      </c>
      <c r="I43" s="1">
        <v>1</v>
      </c>
    </row>
    <row r="44" spans="2:9" x14ac:dyDescent="0.2">
      <c r="B44" s="28">
        <v>34</v>
      </c>
      <c r="C44" t="s">
        <v>514</v>
      </c>
      <c r="D44" s="28" t="s">
        <v>516</v>
      </c>
      <c r="E44" s="1">
        <v>40</v>
      </c>
      <c r="F44" s="1">
        <v>696.9</v>
      </c>
      <c r="G44" s="1">
        <v>9.75</v>
      </c>
      <c r="H44" s="1">
        <v>5.9999999999999995E-4</v>
      </c>
      <c r="I44" s="1">
        <v>1</v>
      </c>
    </row>
    <row r="45" spans="2:9" x14ac:dyDescent="0.2">
      <c r="B45" s="28">
        <v>35</v>
      </c>
      <c r="C45" t="s">
        <v>514</v>
      </c>
      <c r="D45" s="28" t="s">
        <v>516</v>
      </c>
      <c r="E45" s="1">
        <v>40</v>
      </c>
      <c r="F45" s="1">
        <v>696.7</v>
      </c>
      <c r="G45" s="1">
        <v>9.75</v>
      </c>
      <c r="H45" s="1">
        <v>5.9999999999999995E-4</v>
      </c>
      <c r="I45" s="1">
        <v>1</v>
      </c>
    </row>
    <row r="46" spans="2:9" x14ac:dyDescent="0.2">
      <c r="B46" s="28">
        <v>36</v>
      </c>
      <c r="C46" t="s">
        <v>514</v>
      </c>
      <c r="D46" s="28" t="s">
        <v>516</v>
      </c>
      <c r="E46" s="1">
        <v>40</v>
      </c>
      <c r="F46" s="1">
        <v>692.8</v>
      </c>
      <c r="G46" s="1">
        <v>9.75</v>
      </c>
      <c r="H46" s="1">
        <v>5.9999999999999995E-4</v>
      </c>
      <c r="I46" s="1">
        <v>1</v>
      </c>
    </row>
    <row r="47" spans="2:9" x14ac:dyDescent="0.2">
      <c r="B47" s="28">
        <v>37</v>
      </c>
      <c r="C47" t="s">
        <v>514</v>
      </c>
      <c r="D47" s="28" t="s">
        <v>516</v>
      </c>
      <c r="E47" s="1">
        <v>40</v>
      </c>
      <c r="F47" s="1">
        <v>689.1</v>
      </c>
      <c r="G47" s="1">
        <v>9.75</v>
      </c>
      <c r="H47" s="1">
        <v>5.9999999999999995E-4</v>
      </c>
      <c r="I47" s="1">
        <v>1</v>
      </c>
    </row>
    <row r="48" spans="2:9" x14ac:dyDescent="0.2">
      <c r="B48" s="28">
        <v>38</v>
      </c>
      <c r="C48" t="s">
        <v>514</v>
      </c>
      <c r="D48" s="28" t="s">
        <v>516</v>
      </c>
      <c r="E48" s="1">
        <v>40</v>
      </c>
      <c r="F48" s="1">
        <v>686.6</v>
      </c>
      <c r="G48" s="1">
        <v>9.75</v>
      </c>
      <c r="H48" s="1">
        <v>5.9999999999999995E-4</v>
      </c>
      <c r="I48" s="1">
        <v>1</v>
      </c>
    </row>
    <row r="49" spans="2:9" x14ac:dyDescent="0.2">
      <c r="B49" s="28">
        <v>39</v>
      </c>
      <c r="C49" t="s">
        <v>514</v>
      </c>
      <c r="D49" s="28" t="s">
        <v>516</v>
      </c>
      <c r="E49" s="1">
        <v>40</v>
      </c>
      <c r="F49" s="1">
        <v>684.1</v>
      </c>
      <c r="G49" s="1">
        <v>9.75</v>
      </c>
      <c r="H49" s="1">
        <v>5.9999999999999995E-4</v>
      </c>
      <c r="I49" s="1">
        <v>1</v>
      </c>
    </row>
    <row r="50" spans="2:9" x14ac:dyDescent="0.2">
      <c r="C50" t="s">
        <v>514</v>
      </c>
      <c r="D50" s="28">
        <v>1</v>
      </c>
      <c r="E50" s="1">
        <v>40</v>
      </c>
      <c r="F50" s="1">
        <v>681.6</v>
      </c>
      <c r="G50" s="1">
        <v>9.75</v>
      </c>
      <c r="H50" s="1">
        <v>5.9999999999999995E-4</v>
      </c>
      <c r="I50" s="1">
        <v>1</v>
      </c>
    </row>
    <row r="51" spans="2:9" x14ac:dyDescent="0.2">
      <c r="C51" t="s">
        <v>514</v>
      </c>
      <c r="D51" s="28">
        <v>1</v>
      </c>
      <c r="E51" s="1">
        <v>40</v>
      </c>
      <c r="F51" s="1">
        <v>679.1</v>
      </c>
      <c r="G51" s="1">
        <v>9.75</v>
      </c>
      <c r="H51" s="1">
        <v>5.9999999999999995E-4</v>
      </c>
      <c r="I51" s="1">
        <v>1</v>
      </c>
    </row>
    <row r="52" spans="2:9" x14ac:dyDescent="0.2">
      <c r="C52" t="s">
        <v>514</v>
      </c>
      <c r="D52" s="28">
        <v>1</v>
      </c>
      <c r="E52" s="1">
        <v>40</v>
      </c>
      <c r="F52" s="1">
        <v>676.6</v>
      </c>
      <c r="G52" s="1">
        <v>9.75</v>
      </c>
      <c r="H52" s="1">
        <v>5.9999999999999995E-4</v>
      </c>
      <c r="I52" s="1">
        <v>1</v>
      </c>
    </row>
    <row r="53" spans="2:9" x14ac:dyDescent="0.2">
      <c r="C53" t="s">
        <v>514</v>
      </c>
      <c r="D53" s="28">
        <v>1</v>
      </c>
      <c r="E53" s="1">
        <v>40</v>
      </c>
      <c r="F53" s="1">
        <v>674.1</v>
      </c>
      <c r="G53" s="1">
        <v>9.75</v>
      </c>
      <c r="H53" s="1">
        <v>5.9999999999999995E-4</v>
      </c>
      <c r="I53" s="1">
        <v>1</v>
      </c>
    </row>
    <row r="54" spans="2:9" x14ac:dyDescent="0.2">
      <c r="C54" t="s">
        <v>514</v>
      </c>
      <c r="D54" s="28">
        <v>1</v>
      </c>
      <c r="E54" s="1">
        <v>40</v>
      </c>
      <c r="F54" s="1">
        <v>670.2</v>
      </c>
      <c r="G54" s="1">
        <v>9.75</v>
      </c>
      <c r="H54" s="1">
        <v>5.9999999999999995E-4</v>
      </c>
      <c r="I54" s="1">
        <v>1</v>
      </c>
    </row>
    <row r="55" spans="2:9" x14ac:dyDescent="0.2">
      <c r="C55" t="s">
        <v>514</v>
      </c>
      <c r="D55" s="28">
        <v>1</v>
      </c>
      <c r="E55" s="1">
        <v>40</v>
      </c>
      <c r="F55" s="1">
        <v>660.2</v>
      </c>
      <c r="G55" s="1">
        <v>9.75</v>
      </c>
      <c r="H55" s="1">
        <v>5.9999999999999995E-4</v>
      </c>
      <c r="I55" s="1">
        <v>1</v>
      </c>
    </row>
    <row r="56" spans="2:9" x14ac:dyDescent="0.2">
      <c r="C56" t="s">
        <v>514</v>
      </c>
      <c r="D56" s="28">
        <v>1</v>
      </c>
      <c r="E56" s="1">
        <v>39.999899999999997</v>
      </c>
      <c r="F56" s="1">
        <v>658.9</v>
      </c>
      <c r="G56" s="1">
        <v>9.75</v>
      </c>
      <c r="H56" s="1">
        <v>5.9999999999999995E-4</v>
      </c>
      <c r="I56" s="1">
        <v>1</v>
      </c>
    </row>
    <row r="57" spans="2:9" x14ac:dyDescent="0.2">
      <c r="C57" t="s">
        <v>514</v>
      </c>
      <c r="D57" s="28">
        <v>1</v>
      </c>
      <c r="E57" s="1">
        <v>40</v>
      </c>
      <c r="F57" s="1">
        <v>649.29999999999995</v>
      </c>
      <c r="G57" s="1">
        <v>9.75</v>
      </c>
      <c r="H57" s="1">
        <v>5.9999999999999995E-4</v>
      </c>
      <c r="I57" s="1">
        <v>1</v>
      </c>
    </row>
    <row r="58" spans="2:9" x14ac:dyDescent="0.2">
      <c r="C58" t="s">
        <v>514</v>
      </c>
      <c r="D58" s="28">
        <v>1</v>
      </c>
      <c r="E58" s="1">
        <v>40</v>
      </c>
      <c r="F58" s="1">
        <v>646</v>
      </c>
      <c r="G58" s="1">
        <v>9.75</v>
      </c>
      <c r="H58" s="1">
        <v>5.9999999999999995E-4</v>
      </c>
      <c r="I58" s="1">
        <v>1</v>
      </c>
    </row>
    <row r="59" spans="2:9" x14ac:dyDescent="0.2">
      <c r="C59" t="s">
        <v>514</v>
      </c>
      <c r="D59" s="28">
        <v>1</v>
      </c>
      <c r="E59" s="1">
        <v>40</v>
      </c>
      <c r="F59" s="1">
        <v>642.9</v>
      </c>
      <c r="G59" s="1">
        <v>9.75</v>
      </c>
      <c r="H59" s="1">
        <v>5.9999999999999995E-4</v>
      </c>
      <c r="I59" s="1">
        <v>1</v>
      </c>
    </row>
    <row r="60" spans="2:9" x14ac:dyDescent="0.2">
      <c r="C60" t="s">
        <v>514</v>
      </c>
      <c r="D60" s="28">
        <v>1</v>
      </c>
      <c r="E60" s="1">
        <v>40.000100000000003</v>
      </c>
      <c r="F60" s="1">
        <v>641.20000000000005</v>
      </c>
      <c r="G60" s="1">
        <v>9.75</v>
      </c>
      <c r="H60" s="1">
        <v>5.9999999999999995E-4</v>
      </c>
      <c r="I60" s="1">
        <v>1</v>
      </c>
    </row>
    <row r="61" spans="2:9" x14ac:dyDescent="0.2">
      <c r="C61" t="s">
        <v>514</v>
      </c>
      <c r="D61" s="28">
        <v>1</v>
      </c>
      <c r="E61" s="1">
        <v>40</v>
      </c>
      <c r="F61" s="1">
        <v>624.5</v>
      </c>
      <c r="G61" s="1">
        <v>9.75</v>
      </c>
      <c r="H61" s="1">
        <v>5.9999999999999995E-4</v>
      </c>
      <c r="I61" s="1">
        <v>1</v>
      </c>
    </row>
    <row r="62" spans="2:9" x14ac:dyDescent="0.2">
      <c r="C62" t="s">
        <v>514</v>
      </c>
      <c r="D62" s="28">
        <v>1</v>
      </c>
      <c r="E62" s="1">
        <v>40</v>
      </c>
      <c r="F62" s="1">
        <v>593.70000000000005</v>
      </c>
      <c r="G62" s="1">
        <v>9.75</v>
      </c>
      <c r="H62" s="1">
        <v>5.9999999999999995E-4</v>
      </c>
      <c r="I62" s="1">
        <v>1</v>
      </c>
    </row>
    <row r="63" spans="2:9" x14ac:dyDescent="0.2">
      <c r="C63" t="s">
        <v>514</v>
      </c>
      <c r="D63" s="28">
        <v>1</v>
      </c>
      <c r="E63" s="1">
        <v>40</v>
      </c>
      <c r="F63" s="1">
        <v>564.6</v>
      </c>
      <c r="G63" s="1">
        <v>9.75</v>
      </c>
      <c r="H63" s="1">
        <v>5.9999999999999995E-4</v>
      </c>
      <c r="I63" s="1">
        <v>1</v>
      </c>
    </row>
    <row r="64" spans="2:9" x14ac:dyDescent="0.2">
      <c r="C64" t="s">
        <v>514</v>
      </c>
      <c r="D64" s="28">
        <v>1</v>
      </c>
      <c r="E64" s="1">
        <v>40</v>
      </c>
      <c r="F64" s="1">
        <v>539.29999999999995</v>
      </c>
      <c r="G64" s="1">
        <v>9.75</v>
      </c>
      <c r="H64" s="1">
        <v>5.9999999999999995E-4</v>
      </c>
      <c r="I64" s="1">
        <v>1</v>
      </c>
    </row>
    <row r="65" spans="3:9" x14ac:dyDescent="0.2">
      <c r="C65" t="s">
        <v>514</v>
      </c>
      <c r="D65" s="28">
        <v>1</v>
      </c>
      <c r="E65" s="1">
        <v>40</v>
      </c>
      <c r="F65" s="1">
        <v>517</v>
      </c>
      <c r="G65" s="1">
        <v>9.75</v>
      </c>
      <c r="H65" s="1">
        <v>5.9999999999999995E-4</v>
      </c>
      <c r="I65" s="1">
        <v>1</v>
      </c>
    </row>
    <row r="66" spans="3:9" x14ac:dyDescent="0.2">
      <c r="C66" t="s">
        <v>514</v>
      </c>
      <c r="D66" s="28">
        <v>1</v>
      </c>
      <c r="E66" s="1">
        <v>40</v>
      </c>
      <c r="F66" s="1">
        <v>498.6</v>
      </c>
      <c r="G66" s="1">
        <v>9.75</v>
      </c>
      <c r="H66" s="1">
        <v>5.9999999999999995E-4</v>
      </c>
      <c r="I66" s="1">
        <v>1</v>
      </c>
    </row>
    <row r="67" spans="3:9" x14ac:dyDescent="0.2">
      <c r="C67" t="s">
        <v>514</v>
      </c>
      <c r="D67" s="28">
        <v>1</v>
      </c>
      <c r="E67" s="1">
        <v>39.999899999999997</v>
      </c>
      <c r="F67" s="1">
        <v>482</v>
      </c>
      <c r="G67" s="1">
        <v>9.75</v>
      </c>
      <c r="H67" s="1">
        <v>5.9999999999999995E-4</v>
      </c>
      <c r="I67" s="1">
        <v>1</v>
      </c>
    </row>
    <row r="68" spans="3:9" x14ac:dyDescent="0.2">
      <c r="C68" t="s">
        <v>514</v>
      </c>
      <c r="D68" s="28">
        <v>1</v>
      </c>
      <c r="E68" s="1">
        <v>40</v>
      </c>
      <c r="F68" s="1">
        <v>467.5</v>
      </c>
      <c r="G68" s="1">
        <v>9.75</v>
      </c>
      <c r="H68" s="1">
        <v>5.9999999999999995E-4</v>
      </c>
      <c r="I68" s="1">
        <v>1</v>
      </c>
    </row>
    <row r="69" spans="3:9" x14ac:dyDescent="0.2">
      <c r="C69" t="s">
        <v>514</v>
      </c>
      <c r="D69" s="28">
        <v>1</v>
      </c>
      <c r="E69" s="1">
        <v>40.000100000000003</v>
      </c>
      <c r="F69" s="1">
        <v>454.1</v>
      </c>
      <c r="G69" s="1">
        <v>9.75</v>
      </c>
      <c r="H69" s="1">
        <v>5.9999999999999995E-4</v>
      </c>
      <c r="I69" s="1">
        <v>1</v>
      </c>
    </row>
    <row r="70" spans="3:9" x14ac:dyDescent="0.2">
      <c r="C70" t="s">
        <v>514</v>
      </c>
      <c r="D70" s="28">
        <v>1</v>
      </c>
      <c r="E70" s="1">
        <v>40</v>
      </c>
      <c r="F70" s="1">
        <v>440.6</v>
      </c>
      <c r="G70" s="1">
        <v>9.75</v>
      </c>
      <c r="H70" s="1">
        <v>5.9999999999999995E-4</v>
      </c>
      <c r="I70" s="1">
        <v>1</v>
      </c>
    </row>
    <row r="71" spans="3:9" x14ac:dyDescent="0.2">
      <c r="C71" t="s">
        <v>514</v>
      </c>
      <c r="D71" s="28">
        <v>1</v>
      </c>
      <c r="E71" s="1">
        <v>40</v>
      </c>
      <c r="F71" s="1">
        <v>429.2</v>
      </c>
      <c r="G71" s="1">
        <v>9.75</v>
      </c>
      <c r="H71" s="1">
        <v>5.9999999999999995E-4</v>
      </c>
      <c r="I71" s="1">
        <v>1</v>
      </c>
    </row>
    <row r="72" spans="3:9" x14ac:dyDescent="0.2">
      <c r="C72" t="s">
        <v>514</v>
      </c>
      <c r="D72" s="28">
        <v>1</v>
      </c>
      <c r="E72" s="1">
        <v>40.000100000000003</v>
      </c>
      <c r="F72" s="1">
        <v>415.9</v>
      </c>
      <c r="G72" s="1">
        <v>9.75</v>
      </c>
      <c r="H72" s="1">
        <v>5.9999999999999995E-4</v>
      </c>
      <c r="I72" s="1">
        <v>1</v>
      </c>
    </row>
    <row r="73" spans="3:9" x14ac:dyDescent="0.2">
      <c r="C73" t="s">
        <v>514</v>
      </c>
      <c r="D73" s="28">
        <v>1</v>
      </c>
      <c r="E73" s="1">
        <v>40.000100000000003</v>
      </c>
      <c r="F73" s="1">
        <v>414.2</v>
      </c>
      <c r="G73" s="1">
        <v>9.75</v>
      </c>
      <c r="H73" s="1">
        <v>5.9999999999999995E-4</v>
      </c>
      <c r="I73" s="1">
        <v>1</v>
      </c>
    </row>
    <row r="74" spans="3:9" x14ac:dyDescent="0.2">
      <c r="C74" t="s">
        <v>514</v>
      </c>
      <c r="D74" s="28">
        <v>1</v>
      </c>
      <c r="E74" s="1">
        <v>40</v>
      </c>
      <c r="F74" s="1">
        <v>414</v>
      </c>
      <c r="G74" s="1">
        <v>9.75</v>
      </c>
      <c r="H74" s="1">
        <v>5.9999999999999995E-4</v>
      </c>
      <c r="I74" s="1">
        <v>1</v>
      </c>
    </row>
    <row r="75" spans="3:9" x14ac:dyDescent="0.2">
      <c r="C75" t="s">
        <v>514</v>
      </c>
      <c r="D75" s="28">
        <v>1</v>
      </c>
      <c r="E75" s="1">
        <v>40</v>
      </c>
      <c r="F75" s="1">
        <v>408.8</v>
      </c>
      <c r="G75" s="1">
        <v>9.75</v>
      </c>
      <c r="H75" s="1">
        <v>5.9999999999999995E-4</v>
      </c>
      <c r="I75" s="1">
        <v>1</v>
      </c>
    </row>
    <row r="76" spans="3:9" x14ac:dyDescent="0.2">
      <c r="C76" t="s">
        <v>514</v>
      </c>
      <c r="D76" s="28">
        <v>1</v>
      </c>
      <c r="E76" s="1">
        <v>40.000100000000003</v>
      </c>
      <c r="F76" s="1">
        <v>403.6</v>
      </c>
      <c r="G76" s="1">
        <v>9.75</v>
      </c>
      <c r="H76" s="1">
        <v>5.9999999999999995E-4</v>
      </c>
      <c r="I76" s="1">
        <v>1</v>
      </c>
    </row>
    <row r="77" spans="3:9" x14ac:dyDescent="0.2">
      <c r="C77" t="s">
        <v>514</v>
      </c>
      <c r="D77" s="28">
        <v>1</v>
      </c>
      <c r="E77" s="1">
        <v>40</v>
      </c>
      <c r="F77" s="1">
        <v>388.7</v>
      </c>
      <c r="G77" s="1">
        <v>9.75</v>
      </c>
      <c r="H77" s="1">
        <v>5.9999999999999995E-4</v>
      </c>
      <c r="I77" s="1">
        <v>1</v>
      </c>
    </row>
    <row r="78" spans="3:9" x14ac:dyDescent="0.2">
      <c r="C78" t="s">
        <v>514</v>
      </c>
      <c r="D78" s="28">
        <v>1</v>
      </c>
      <c r="E78" s="1">
        <v>40.000100000000003</v>
      </c>
      <c r="F78" s="1">
        <v>377.2</v>
      </c>
      <c r="G78" s="1">
        <v>9.75</v>
      </c>
      <c r="H78" s="1">
        <v>5.9999999999999995E-4</v>
      </c>
      <c r="I78" s="1">
        <v>1</v>
      </c>
    </row>
    <row r="79" spans="3:9" x14ac:dyDescent="0.2">
      <c r="C79" t="s">
        <v>514</v>
      </c>
      <c r="D79" s="28">
        <v>1</v>
      </c>
      <c r="E79" s="1">
        <v>39.999899999999997</v>
      </c>
      <c r="F79" s="1">
        <v>372.9</v>
      </c>
      <c r="G79" s="1">
        <v>9.75</v>
      </c>
      <c r="H79" s="1">
        <v>5.9999999999999995E-4</v>
      </c>
      <c r="I79" s="1">
        <v>1</v>
      </c>
    </row>
    <row r="80" spans="3:9" x14ac:dyDescent="0.2">
      <c r="C80" t="s">
        <v>514</v>
      </c>
      <c r="D80" s="28">
        <v>1</v>
      </c>
      <c r="E80" s="1">
        <v>40.000100000000003</v>
      </c>
      <c r="F80" s="1">
        <v>363.3</v>
      </c>
      <c r="G80" s="1">
        <v>9.75</v>
      </c>
      <c r="H80" s="1">
        <v>5.9999999999999995E-4</v>
      </c>
      <c r="I80" s="1">
        <v>1</v>
      </c>
    </row>
    <row r="81" spans="3:9" x14ac:dyDescent="0.2">
      <c r="C81" t="s">
        <v>514</v>
      </c>
      <c r="D81" s="28">
        <v>1</v>
      </c>
      <c r="E81" s="1">
        <v>40</v>
      </c>
      <c r="F81" s="1">
        <v>358.4</v>
      </c>
      <c r="G81" s="1">
        <v>9.75</v>
      </c>
      <c r="H81" s="1">
        <v>5.9999999999999995E-4</v>
      </c>
      <c r="I81" s="1">
        <v>1</v>
      </c>
    </row>
    <row r="82" spans="3:9" x14ac:dyDescent="0.2">
      <c r="C82" t="s">
        <v>514</v>
      </c>
      <c r="D82" s="28">
        <v>1</v>
      </c>
      <c r="E82" s="1">
        <v>40.000100000000003</v>
      </c>
      <c r="F82" s="1">
        <v>357.2</v>
      </c>
      <c r="G82" s="1">
        <v>9.75</v>
      </c>
      <c r="H82" s="1">
        <v>5.9999999999999995E-4</v>
      </c>
      <c r="I82" s="1">
        <v>1</v>
      </c>
    </row>
    <row r="83" spans="3:9" x14ac:dyDescent="0.2">
      <c r="C83" t="s">
        <v>514</v>
      </c>
      <c r="D83" s="28">
        <v>1</v>
      </c>
      <c r="E83" s="1">
        <v>40</v>
      </c>
      <c r="F83" s="1">
        <v>351</v>
      </c>
      <c r="G83" s="1">
        <v>9.75</v>
      </c>
      <c r="H83" s="1">
        <v>5.9999999999999995E-4</v>
      </c>
      <c r="I83" s="1">
        <v>1</v>
      </c>
    </row>
    <row r="84" spans="3:9" x14ac:dyDescent="0.2">
      <c r="C84" t="s">
        <v>514</v>
      </c>
      <c r="D84" s="28">
        <v>1</v>
      </c>
      <c r="E84" s="1">
        <v>40.000100000000003</v>
      </c>
      <c r="F84" s="1">
        <v>332.5</v>
      </c>
      <c r="G84" s="1">
        <v>9.75</v>
      </c>
      <c r="H84" s="1">
        <v>5.9999999999999995E-4</v>
      </c>
      <c r="I84" s="1">
        <v>1</v>
      </c>
    </row>
    <row r="85" spans="3:9" x14ac:dyDescent="0.2">
      <c r="C85" t="s">
        <v>514</v>
      </c>
      <c r="D85" s="28">
        <v>1</v>
      </c>
      <c r="E85" s="1">
        <v>39.999899999999997</v>
      </c>
      <c r="F85" s="1">
        <v>318.3</v>
      </c>
      <c r="G85" s="1">
        <v>9.75</v>
      </c>
      <c r="H85" s="1">
        <v>5.9999999999999995E-4</v>
      </c>
      <c r="I85" s="1">
        <v>1</v>
      </c>
    </row>
    <row r="86" spans="3:9" x14ac:dyDescent="0.2">
      <c r="C86" t="s">
        <v>514</v>
      </c>
      <c r="D86" s="28">
        <v>1</v>
      </c>
      <c r="E86" s="1">
        <v>39.999899999999997</v>
      </c>
      <c r="F86" s="1">
        <v>299.2</v>
      </c>
      <c r="G86" s="1">
        <v>9.75</v>
      </c>
      <c r="H86" s="1">
        <v>5.9999999999999995E-4</v>
      </c>
      <c r="I86" s="1">
        <v>1</v>
      </c>
    </row>
    <row r="87" spans="3:9" x14ac:dyDescent="0.2">
      <c r="C87" t="s">
        <v>514</v>
      </c>
      <c r="D87" s="28">
        <v>1</v>
      </c>
      <c r="E87" s="1">
        <v>40.000100000000003</v>
      </c>
      <c r="F87" s="1">
        <v>280.39999999999998</v>
      </c>
      <c r="G87" s="1">
        <v>9.75</v>
      </c>
      <c r="H87" s="1">
        <v>5.9999999999999995E-4</v>
      </c>
      <c r="I87" s="1">
        <v>1</v>
      </c>
    </row>
    <row r="88" spans="3:9" x14ac:dyDescent="0.2">
      <c r="C88" t="s">
        <v>514</v>
      </c>
      <c r="D88" s="28">
        <v>1</v>
      </c>
      <c r="E88" s="1">
        <v>40.000100000000003</v>
      </c>
      <c r="F88" s="1">
        <v>269.5</v>
      </c>
      <c r="G88" s="1">
        <v>9.75</v>
      </c>
      <c r="H88" s="1">
        <v>5.9999999999999995E-4</v>
      </c>
      <c r="I88" s="1">
        <v>1</v>
      </c>
    </row>
    <row r="89" spans="3:9" x14ac:dyDescent="0.2">
      <c r="C89" t="s">
        <v>514</v>
      </c>
      <c r="D89" s="28">
        <v>1</v>
      </c>
      <c r="E89" s="1">
        <v>40</v>
      </c>
      <c r="F89" s="1">
        <v>258.3</v>
      </c>
      <c r="G89" s="1">
        <v>9.75</v>
      </c>
      <c r="H89" s="1">
        <v>5.9999999999999995E-4</v>
      </c>
      <c r="I89" s="1">
        <v>1</v>
      </c>
    </row>
    <row r="90" spans="3:9" x14ac:dyDescent="0.2">
      <c r="C90" t="s">
        <v>514</v>
      </c>
      <c r="D90" s="28">
        <v>1</v>
      </c>
      <c r="E90" s="1">
        <v>39.999899999999997</v>
      </c>
      <c r="F90" s="1">
        <v>252.2</v>
      </c>
      <c r="G90" s="1">
        <v>9.75</v>
      </c>
      <c r="H90" s="1">
        <v>5.9999999999999995E-4</v>
      </c>
      <c r="I90" s="1">
        <v>1</v>
      </c>
    </row>
    <row r="91" spans="3:9" x14ac:dyDescent="0.2">
      <c r="C91" t="s">
        <v>514</v>
      </c>
      <c r="D91" s="28">
        <v>1</v>
      </c>
      <c r="E91" s="1">
        <v>40.000100000000003</v>
      </c>
      <c r="F91" s="1">
        <v>242</v>
      </c>
      <c r="G91" s="1">
        <v>9.75</v>
      </c>
      <c r="H91" s="1">
        <v>5.9999999999999995E-4</v>
      </c>
      <c r="I91" s="1">
        <v>1</v>
      </c>
    </row>
    <row r="92" spans="3:9" x14ac:dyDescent="0.2">
      <c r="C92" t="s">
        <v>514</v>
      </c>
      <c r="D92" s="28">
        <v>1</v>
      </c>
      <c r="E92" s="1">
        <v>40.000100000000003</v>
      </c>
      <c r="F92" s="1">
        <v>239.8</v>
      </c>
      <c r="G92" s="1">
        <v>9.75</v>
      </c>
      <c r="H92" s="1">
        <v>5.9999999999999995E-4</v>
      </c>
      <c r="I92" s="1">
        <v>1</v>
      </c>
    </row>
    <row r="93" spans="3:9" x14ac:dyDescent="0.2">
      <c r="C93" t="s">
        <v>514</v>
      </c>
      <c r="D93" s="28">
        <v>1</v>
      </c>
      <c r="E93" s="1">
        <v>40.000100000000003</v>
      </c>
      <c r="F93" s="1">
        <v>239.9</v>
      </c>
      <c r="G93" s="1">
        <v>9.75</v>
      </c>
      <c r="H93" s="1">
        <v>5.9999999999999995E-4</v>
      </c>
      <c r="I93" s="1">
        <v>1</v>
      </c>
    </row>
    <row r="94" spans="3:9" x14ac:dyDescent="0.2">
      <c r="C94" t="s">
        <v>514</v>
      </c>
      <c r="D94" s="28">
        <v>1</v>
      </c>
      <c r="E94" s="1">
        <v>39.999899999999997</v>
      </c>
      <c r="F94" s="1">
        <v>240.8</v>
      </c>
      <c r="G94" s="1">
        <v>9.75</v>
      </c>
      <c r="H94" s="1">
        <v>5.9999999999999995E-4</v>
      </c>
      <c r="I94" s="1">
        <v>1</v>
      </c>
    </row>
    <row r="95" spans="3:9" x14ac:dyDescent="0.2">
      <c r="C95" t="s">
        <v>514</v>
      </c>
      <c r="D95" s="28">
        <v>1</v>
      </c>
      <c r="E95" s="1">
        <v>40</v>
      </c>
      <c r="F95" s="1">
        <v>232.1</v>
      </c>
      <c r="G95" s="1">
        <v>9.75</v>
      </c>
      <c r="H95" s="1">
        <v>5.9999999999999995E-4</v>
      </c>
      <c r="I95" s="1">
        <v>1</v>
      </c>
    </row>
    <row r="96" spans="3:9" x14ac:dyDescent="0.2">
      <c r="C96" t="s">
        <v>514</v>
      </c>
      <c r="D96" s="28">
        <v>1</v>
      </c>
      <c r="E96" s="1">
        <v>39.999899999999997</v>
      </c>
      <c r="F96" s="1">
        <v>225</v>
      </c>
      <c r="G96" s="1">
        <v>9.75</v>
      </c>
      <c r="H96" s="1">
        <v>5.9999999999999995E-4</v>
      </c>
      <c r="I96" s="1">
        <v>1</v>
      </c>
    </row>
    <row r="97" spans="3:9" x14ac:dyDescent="0.2">
      <c r="C97" t="s">
        <v>514</v>
      </c>
      <c r="D97" s="28">
        <v>1</v>
      </c>
      <c r="E97" s="1">
        <v>39.999899999999997</v>
      </c>
      <c r="F97" s="1">
        <v>216.7</v>
      </c>
      <c r="G97" s="1">
        <v>9.75</v>
      </c>
      <c r="H97" s="1">
        <v>5.9999999999999995E-4</v>
      </c>
      <c r="I97" s="1">
        <v>1</v>
      </c>
    </row>
    <row r="98" spans="3:9" x14ac:dyDescent="0.2">
      <c r="C98" t="s">
        <v>514</v>
      </c>
      <c r="D98" s="28">
        <v>1</v>
      </c>
      <c r="E98" s="1">
        <v>40.000100000000003</v>
      </c>
      <c r="F98" s="1">
        <v>215.5</v>
      </c>
      <c r="G98" s="1">
        <v>9.75</v>
      </c>
      <c r="H98" s="1">
        <v>5.9999999999999995E-4</v>
      </c>
      <c r="I98" s="1">
        <v>1</v>
      </c>
    </row>
    <row r="99" spans="3:9" x14ac:dyDescent="0.2">
      <c r="C99" t="s">
        <v>514</v>
      </c>
      <c r="D99" s="28">
        <v>1</v>
      </c>
      <c r="E99" s="1">
        <v>40</v>
      </c>
      <c r="F99" s="1">
        <v>210.7</v>
      </c>
      <c r="G99" s="1">
        <v>9.75</v>
      </c>
      <c r="H99" s="1">
        <v>5.9999999999999995E-4</v>
      </c>
      <c r="I99" s="1">
        <v>1</v>
      </c>
    </row>
    <row r="100" spans="3:9" x14ac:dyDescent="0.2">
      <c r="C100" t="s">
        <v>514</v>
      </c>
      <c r="D100" s="28">
        <v>1</v>
      </c>
      <c r="E100" s="1">
        <v>40</v>
      </c>
      <c r="F100" s="1">
        <v>204.4</v>
      </c>
      <c r="G100" s="1">
        <v>9.75</v>
      </c>
      <c r="H100" s="1">
        <v>5.9999999999999995E-4</v>
      </c>
      <c r="I100" s="1">
        <v>1</v>
      </c>
    </row>
    <row r="101" spans="3:9" x14ac:dyDescent="0.2">
      <c r="C101" t="s">
        <v>514</v>
      </c>
      <c r="D101" s="28">
        <v>1</v>
      </c>
      <c r="E101" s="1">
        <v>40</v>
      </c>
      <c r="F101" s="1">
        <v>207.8</v>
      </c>
      <c r="G101" s="1">
        <v>9.75</v>
      </c>
      <c r="H101" s="1">
        <v>5.9999999999999995E-4</v>
      </c>
      <c r="I101" s="1">
        <v>1</v>
      </c>
    </row>
    <row r="102" spans="3:9" x14ac:dyDescent="0.2">
      <c r="C102" t="s">
        <v>514</v>
      </c>
      <c r="D102" s="28">
        <v>1</v>
      </c>
      <c r="E102" s="1">
        <v>39.999899999999997</v>
      </c>
      <c r="F102" s="1">
        <v>208.6</v>
      </c>
      <c r="G102" s="1">
        <v>9.75</v>
      </c>
      <c r="H102" s="1">
        <v>5.9999999999999995E-4</v>
      </c>
      <c r="I102" s="1">
        <v>1</v>
      </c>
    </row>
    <row r="103" spans="3:9" x14ac:dyDescent="0.2">
      <c r="C103" t="s">
        <v>514</v>
      </c>
      <c r="D103" s="28">
        <v>1</v>
      </c>
      <c r="E103" s="1">
        <v>40.000100000000003</v>
      </c>
      <c r="F103" s="1">
        <v>205.1</v>
      </c>
      <c r="G103" s="1">
        <v>9.75</v>
      </c>
      <c r="H103" s="1">
        <v>5.9999999999999995E-4</v>
      </c>
      <c r="I103" s="1">
        <v>1</v>
      </c>
    </row>
    <row r="104" spans="3:9" x14ac:dyDescent="0.2">
      <c r="C104" t="s">
        <v>514</v>
      </c>
      <c r="D104" s="28">
        <v>1</v>
      </c>
      <c r="E104" s="1">
        <v>40.000100000000003</v>
      </c>
      <c r="F104" s="1">
        <v>201.6</v>
      </c>
      <c r="G104" s="1">
        <v>9.75</v>
      </c>
      <c r="H104" s="1">
        <v>5.9999999999999995E-4</v>
      </c>
      <c r="I104" s="1">
        <v>1</v>
      </c>
    </row>
    <row r="105" spans="3:9" x14ac:dyDescent="0.2">
      <c r="C105" t="s">
        <v>514</v>
      </c>
      <c r="D105" s="28">
        <v>1</v>
      </c>
      <c r="E105" s="1">
        <v>40.000100000000003</v>
      </c>
      <c r="F105" s="1">
        <v>198.1</v>
      </c>
      <c r="G105" s="1">
        <v>9.75</v>
      </c>
      <c r="H105" s="1">
        <v>5.9999999999999995E-4</v>
      </c>
      <c r="I105" s="1">
        <v>1</v>
      </c>
    </row>
    <row r="106" spans="3:9" x14ac:dyDescent="0.2">
      <c r="C106" t="s">
        <v>514</v>
      </c>
      <c r="D106" s="28">
        <v>1</v>
      </c>
      <c r="E106" s="1">
        <v>40</v>
      </c>
      <c r="F106" s="1">
        <v>194.4</v>
      </c>
      <c r="G106" s="1">
        <v>9.75</v>
      </c>
      <c r="H106" s="1">
        <v>5.9999999999999995E-4</v>
      </c>
      <c r="I106" s="1">
        <v>1</v>
      </c>
    </row>
    <row r="107" spans="3:9" x14ac:dyDescent="0.2">
      <c r="C107" t="s">
        <v>514</v>
      </c>
      <c r="D107" s="28">
        <v>1</v>
      </c>
      <c r="E107" s="1">
        <v>40</v>
      </c>
      <c r="F107" s="1">
        <v>189</v>
      </c>
      <c r="G107" s="1">
        <v>9.75</v>
      </c>
      <c r="H107" s="1">
        <v>5.9999999999999995E-4</v>
      </c>
      <c r="I107" s="1">
        <v>1</v>
      </c>
    </row>
    <row r="108" spans="3:9" x14ac:dyDescent="0.2">
      <c r="C108" t="s">
        <v>514</v>
      </c>
      <c r="D108" s="28">
        <v>1</v>
      </c>
      <c r="E108" s="1">
        <v>40.000100000000003</v>
      </c>
      <c r="F108" s="1">
        <v>186.1</v>
      </c>
      <c r="G108" s="1">
        <v>9.75</v>
      </c>
      <c r="H108" s="1">
        <v>5.9999999999999995E-4</v>
      </c>
      <c r="I108" s="1">
        <v>1</v>
      </c>
    </row>
    <row r="109" spans="3:9" x14ac:dyDescent="0.2">
      <c r="C109" t="s">
        <v>514</v>
      </c>
      <c r="D109" s="28">
        <v>1</v>
      </c>
      <c r="E109" s="1">
        <v>40.000100000000003</v>
      </c>
      <c r="F109" s="1">
        <v>183.9</v>
      </c>
      <c r="G109" s="1">
        <v>9.75</v>
      </c>
      <c r="H109" s="1">
        <v>5.9999999999999995E-4</v>
      </c>
      <c r="I109" s="1">
        <v>1</v>
      </c>
    </row>
    <row r="110" spans="3:9" x14ac:dyDescent="0.2">
      <c r="C110" t="s">
        <v>514</v>
      </c>
      <c r="D110" s="28">
        <v>1</v>
      </c>
      <c r="E110" s="1">
        <v>39.999899999999997</v>
      </c>
      <c r="F110" s="1">
        <v>179.8</v>
      </c>
      <c r="G110" s="1">
        <v>9.75</v>
      </c>
      <c r="H110" s="1">
        <v>5.9999999999999995E-4</v>
      </c>
      <c r="I110" s="1">
        <v>1</v>
      </c>
    </row>
    <row r="111" spans="3:9" x14ac:dyDescent="0.2">
      <c r="C111" t="s">
        <v>514</v>
      </c>
      <c r="D111" s="28">
        <v>1</v>
      </c>
      <c r="E111" s="1">
        <v>40</v>
      </c>
      <c r="F111" s="1">
        <v>176.7</v>
      </c>
      <c r="G111" s="1">
        <v>9.75</v>
      </c>
      <c r="H111" s="1">
        <v>5.9999999999999995E-4</v>
      </c>
      <c r="I111" s="1">
        <v>1</v>
      </c>
    </row>
    <row r="112" spans="3:9" x14ac:dyDescent="0.2">
      <c r="C112" t="s">
        <v>514</v>
      </c>
      <c r="D112" s="28">
        <v>1</v>
      </c>
      <c r="E112" s="1">
        <v>40</v>
      </c>
      <c r="F112" s="1">
        <v>172.2</v>
      </c>
      <c r="G112" s="1">
        <v>9.75</v>
      </c>
      <c r="H112" s="1">
        <v>5.9999999999999995E-4</v>
      </c>
      <c r="I112" s="1">
        <v>1</v>
      </c>
    </row>
    <row r="113" spans="3:9" x14ac:dyDescent="0.2">
      <c r="C113" t="s">
        <v>514</v>
      </c>
      <c r="D113" s="28">
        <v>1</v>
      </c>
      <c r="E113" s="1">
        <v>40.000100000000003</v>
      </c>
      <c r="F113" s="1">
        <v>166.2</v>
      </c>
      <c r="G113" s="1">
        <v>9.75</v>
      </c>
      <c r="H113" s="1">
        <v>5.9999999999999995E-4</v>
      </c>
      <c r="I113" s="1">
        <v>1</v>
      </c>
    </row>
    <row r="114" spans="3:9" x14ac:dyDescent="0.2">
      <c r="C114" t="s">
        <v>514</v>
      </c>
      <c r="D114" s="28">
        <v>1</v>
      </c>
      <c r="E114" s="1">
        <v>40.000100000000003</v>
      </c>
      <c r="F114" s="1">
        <v>161.6</v>
      </c>
      <c r="G114" s="1">
        <v>9.75</v>
      </c>
      <c r="H114" s="1">
        <v>5.9999999999999995E-4</v>
      </c>
      <c r="I114" s="1">
        <v>1</v>
      </c>
    </row>
    <row r="115" spans="3:9" x14ac:dyDescent="0.2">
      <c r="C115" t="s">
        <v>514</v>
      </c>
      <c r="D115" s="28">
        <v>1</v>
      </c>
      <c r="E115" s="1">
        <v>40</v>
      </c>
      <c r="F115" s="1">
        <v>151.9</v>
      </c>
      <c r="G115" s="1">
        <v>9.75</v>
      </c>
      <c r="H115" s="1">
        <v>5.9999999999999995E-4</v>
      </c>
      <c r="I115" s="1">
        <v>1</v>
      </c>
    </row>
    <row r="116" spans="3:9" x14ac:dyDescent="0.2">
      <c r="C116" t="s">
        <v>514</v>
      </c>
      <c r="D116" s="28">
        <v>1</v>
      </c>
      <c r="E116" s="1">
        <v>39.999899999999997</v>
      </c>
      <c r="F116" s="1">
        <v>147.69999999999999</v>
      </c>
      <c r="G116" s="1">
        <v>9.75</v>
      </c>
      <c r="H116" s="1">
        <v>5.9999999999999995E-4</v>
      </c>
      <c r="I116" s="1">
        <v>1</v>
      </c>
    </row>
    <row r="117" spans="3:9" x14ac:dyDescent="0.2">
      <c r="C117" t="s">
        <v>514</v>
      </c>
      <c r="D117" s="28">
        <v>1</v>
      </c>
      <c r="E117" s="1">
        <v>40</v>
      </c>
      <c r="F117" s="1">
        <v>141.9</v>
      </c>
      <c r="G117" s="1">
        <v>9.75</v>
      </c>
      <c r="H117" s="1">
        <v>5.9999999999999995E-4</v>
      </c>
      <c r="I117" s="1">
        <v>1</v>
      </c>
    </row>
    <row r="118" spans="3:9" x14ac:dyDescent="0.2">
      <c r="C118" t="s">
        <v>514</v>
      </c>
      <c r="D118" s="28">
        <v>1</v>
      </c>
      <c r="E118" s="1">
        <v>40</v>
      </c>
      <c r="F118" s="1">
        <v>138</v>
      </c>
      <c r="G118" s="1">
        <v>9.75</v>
      </c>
      <c r="H118" s="1">
        <v>5.9999999999999995E-4</v>
      </c>
      <c r="I118" s="1">
        <v>1</v>
      </c>
    </row>
    <row r="119" spans="3:9" x14ac:dyDescent="0.2">
      <c r="C119" t="s">
        <v>514</v>
      </c>
      <c r="D119" s="28">
        <v>1</v>
      </c>
      <c r="E119" s="1">
        <v>40.000100000000003</v>
      </c>
      <c r="F119" s="1">
        <v>138.5</v>
      </c>
      <c r="G119" s="1">
        <v>9.75</v>
      </c>
      <c r="H119" s="1">
        <v>5.9999999999999995E-4</v>
      </c>
      <c r="I119" s="1">
        <v>1</v>
      </c>
    </row>
    <row r="120" spans="3:9" x14ac:dyDescent="0.2">
      <c r="C120" t="s">
        <v>514</v>
      </c>
      <c r="D120" s="28">
        <v>1</v>
      </c>
      <c r="E120" s="1">
        <v>40.000100000000003</v>
      </c>
      <c r="F120" s="1">
        <v>142.5</v>
      </c>
      <c r="G120" s="1">
        <v>9.75</v>
      </c>
      <c r="H120" s="1">
        <v>5.9999999999999995E-4</v>
      </c>
      <c r="I120" s="1">
        <v>1</v>
      </c>
    </row>
    <row r="121" spans="3:9" x14ac:dyDescent="0.2">
      <c r="C121" t="s">
        <v>514</v>
      </c>
      <c r="D121" s="28">
        <v>1</v>
      </c>
      <c r="E121" s="1">
        <v>39.999899999999997</v>
      </c>
      <c r="F121" s="1">
        <v>142.9</v>
      </c>
      <c r="G121" s="1">
        <v>9.75</v>
      </c>
      <c r="H121" s="1">
        <v>5.9999999999999995E-4</v>
      </c>
      <c r="I121" s="1">
        <v>1</v>
      </c>
    </row>
    <row r="122" spans="3:9" x14ac:dyDescent="0.2">
      <c r="C122" t="s">
        <v>514</v>
      </c>
      <c r="D122" s="28">
        <v>1</v>
      </c>
      <c r="E122" s="1">
        <v>39.999899999999997</v>
      </c>
      <c r="F122" s="1">
        <v>142.9</v>
      </c>
      <c r="G122" s="1">
        <v>9.75</v>
      </c>
      <c r="H122" s="1">
        <v>5.9999999999999995E-4</v>
      </c>
      <c r="I122" s="1">
        <v>1</v>
      </c>
    </row>
    <row r="123" spans="3:9" x14ac:dyDescent="0.2">
      <c r="C123" t="s">
        <v>514</v>
      </c>
      <c r="D123" s="28">
        <v>1</v>
      </c>
      <c r="E123" s="1">
        <v>40</v>
      </c>
      <c r="F123" s="1">
        <v>140.9</v>
      </c>
      <c r="G123" s="1">
        <v>9.75</v>
      </c>
      <c r="H123" s="1">
        <v>5.9999999999999995E-4</v>
      </c>
      <c r="I123" s="1">
        <v>1</v>
      </c>
    </row>
    <row r="124" spans="3:9" x14ac:dyDescent="0.2">
      <c r="C124" t="s">
        <v>514</v>
      </c>
      <c r="D124" s="28">
        <v>1</v>
      </c>
      <c r="E124" s="1">
        <v>39.999899999999997</v>
      </c>
      <c r="F124" s="1">
        <v>140.6</v>
      </c>
      <c r="G124" s="1">
        <v>9.75</v>
      </c>
      <c r="H124" s="1">
        <v>5.9999999999999995E-4</v>
      </c>
      <c r="I124" s="1">
        <v>1</v>
      </c>
    </row>
    <row r="125" spans="3:9" x14ac:dyDescent="0.2">
      <c r="C125" t="s">
        <v>514</v>
      </c>
      <c r="D125" s="28">
        <v>1</v>
      </c>
      <c r="E125" s="1">
        <v>39.999899999999997</v>
      </c>
      <c r="F125" s="1">
        <v>136.5</v>
      </c>
      <c r="G125" s="1">
        <v>9.75</v>
      </c>
      <c r="H125" s="1">
        <v>5.9999999999999995E-4</v>
      </c>
      <c r="I125" s="1">
        <v>1</v>
      </c>
    </row>
    <row r="126" spans="3:9" x14ac:dyDescent="0.2">
      <c r="C126" t="s">
        <v>514</v>
      </c>
      <c r="D126" s="28">
        <v>1</v>
      </c>
      <c r="E126" s="1">
        <v>40.000100000000003</v>
      </c>
      <c r="F126" s="1">
        <v>133.69999999999999</v>
      </c>
      <c r="G126" s="1">
        <v>9.75</v>
      </c>
      <c r="H126" s="1">
        <v>5.9999999999999995E-4</v>
      </c>
      <c r="I126" s="1">
        <v>1</v>
      </c>
    </row>
    <row r="127" spans="3:9" x14ac:dyDescent="0.2">
      <c r="C127" t="s">
        <v>514</v>
      </c>
      <c r="D127" s="28">
        <v>1</v>
      </c>
      <c r="E127" s="1">
        <v>39.999899999999997</v>
      </c>
      <c r="F127" s="1">
        <v>134.1</v>
      </c>
      <c r="G127" s="1">
        <v>9.75</v>
      </c>
      <c r="H127" s="1">
        <v>5.9999999999999995E-4</v>
      </c>
      <c r="I127" s="1">
        <v>1</v>
      </c>
    </row>
    <row r="128" spans="3:9" x14ac:dyDescent="0.2">
      <c r="C128" t="s">
        <v>514</v>
      </c>
      <c r="D128" s="28">
        <v>1</v>
      </c>
      <c r="E128" s="1">
        <v>40</v>
      </c>
      <c r="F128" s="1">
        <v>133.5</v>
      </c>
      <c r="G128" s="1">
        <v>9.75</v>
      </c>
      <c r="H128" s="1">
        <v>5.9999999999999995E-4</v>
      </c>
      <c r="I128" s="1">
        <v>1</v>
      </c>
    </row>
    <row r="129" spans="3:9" x14ac:dyDescent="0.2">
      <c r="C129" t="s">
        <v>514</v>
      </c>
      <c r="D129" s="28">
        <v>1</v>
      </c>
      <c r="E129" s="1">
        <v>40</v>
      </c>
      <c r="F129" s="1">
        <v>134.9</v>
      </c>
      <c r="G129" s="1">
        <v>9.75</v>
      </c>
      <c r="H129" s="1">
        <v>5.9999999999999995E-4</v>
      </c>
      <c r="I129" s="1">
        <v>1</v>
      </c>
    </row>
    <row r="130" spans="3:9" x14ac:dyDescent="0.2">
      <c r="C130" t="s">
        <v>514</v>
      </c>
      <c r="D130" s="28">
        <v>1</v>
      </c>
      <c r="E130" s="1">
        <v>40.000100000000003</v>
      </c>
      <c r="F130" s="1">
        <v>132.19999999999999</v>
      </c>
      <c r="G130" s="1">
        <v>9.75</v>
      </c>
      <c r="H130" s="1">
        <v>5.9999999999999995E-4</v>
      </c>
      <c r="I130" s="1">
        <v>1</v>
      </c>
    </row>
    <row r="131" spans="3:9" x14ac:dyDescent="0.2">
      <c r="C131" t="s">
        <v>514</v>
      </c>
      <c r="D131" s="28">
        <v>1</v>
      </c>
      <c r="E131" s="1">
        <v>40</v>
      </c>
      <c r="F131" s="1">
        <v>129.6</v>
      </c>
      <c r="G131" s="1">
        <v>9.75</v>
      </c>
      <c r="H131" s="1">
        <v>5.9999999999999995E-4</v>
      </c>
      <c r="I131" s="1">
        <v>1</v>
      </c>
    </row>
    <row r="132" spans="3:9" x14ac:dyDescent="0.2">
      <c r="C132" t="s">
        <v>514</v>
      </c>
      <c r="D132" s="28">
        <v>1</v>
      </c>
      <c r="E132" s="1">
        <v>40.000100000000003</v>
      </c>
      <c r="F132" s="1">
        <v>127.9</v>
      </c>
      <c r="G132" s="1">
        <v>9.75</v>
      </c>
      <c r="H132" s="1">
        <v>5.9999999999999995E-4</v>
      </c>
      <c r="I132" s="1">
        <v>1</v>
      </c>
    </row>
    <row r="133" spans="3:9" x14ac:dyDescent="0.2">
      <c r="C133" t="s">
        <v>514</v>
      </c>
      <c r="D133" s="28">
        <v>1</v>
      </c>
      <c r="E133" s="1">
        <v>40</v>
      </c>
      <c r="F133" s="1">
        <v>124.3</v>
      </c>
      <c r="G133" s="1">
        <v>9.75</v>
      </c>
      <c r="H133" s="1">
        <v>5.9999999999999995E-4</v>
      </c>
      <c r="I133" s="1">
        <v>1</v>
      </c>
    </row>
    <row r="134" spans="3:9" x14ac:dyDescent="0.2">
      <c r="C134" t="s">
        <v>514</v>
      </c>
      <c r="D134" s="28">
        <v>1</v>
      </c>
      <c r="E134" s="1">
        <v>39.999899999999997</v>
      </c>
      <c r="F134" s="1">
        <v>121.8</v>
      </c>
      <c r="G134" s="1">
        <v>9.75</v>
      </c>
      <c r="H134" s="1">
        <v>5.9999999999999995E-4</v>
      </c>
      <c r="I134" s="1">
        <v>1</v>
      </c>
    </row>
    <row r="135" spans="3:9" x14ac:dyDescent="0.2">
      <c r="C135" t="s">
        <v>514</v>
      </c>
      <c r="D135" s="28">
        <v>1</v>
      </c>
      <c r="E135" s="1">
        <v>39.999899999999997</v>
      </c>
      <c r="F135" s="1">
        <v>118</v>
      </c>
      <c r="G135" s="1">
        <v>9.75</v>
      </c>
      <c r="H135" s="1">
        <v>5.9999999999999995E-4</v>
      </c>
      <c r="I135" s="1">
        <v>1</v>
      </c>
    </row>
    <row r="136" spans="3:9" x14ac:dyDescent="0.2">
      <c r="C136" t="s">
        <v>514</v>
      </c>
      <c r="D136" s="28">
        <v>1</v>
      </c>
      <c r="E136" s="1">
        <v>40</v>
      </c>
      <c r="F136" s="1">
        <v>115.7</v>
      </c>
      <c r="G136" s="1">
        <v>9.75</v>
      </c>
      <c r="H136" s="1">
        <v>5.9999999999999995E-4</v>
      </c>
      <c r="I136" s="1">
        <v>1</v>
      </c>
    </row>
    <row r="137" spans="3:9" x14ac:dyDescent="0.2">
      <c r="C137" t="s">
        <v>514</v>
      </c>
      <c r="D137" s="28">
        <v>1</v>
      </c>
      <c r="E137" s="1">
        <v>40</v>
      </c>
      <c r="F137" s="1">
        <v>99</v>
      </c>
      <c r="G137" s="1">
        <v>9.75</v>
      </c>
      <c r="H137" s="1">
        <v>5.9999999999999995E-4</v>
      </c>
      <c r="I137" s="1">
        <v>1</v>
      </c>
    </row>
    <row r="138" spans="3:9" x14ac:dyDescent="0.2">
      <c r="C138" t="s">
        <v>514</v>
      </c>
      <c r="D138" s="28">
        <v>1</v>
      </c>
      <c r="E138" s="1">
        <v>40</v>
      </c>
      <c r="F138" s="1">
        <v>89.6</v>
      </c>
      <c r="G138" s="1">
        <v>9.75</v>
      </c>
      <c r="H138" s="1">
        <v>5.9999999999999995E-4</v>
      </c>
      <c r="I138" s="1">
        <v>1</v>
      </c>
    </row>
    <row r="139" spans="3:9" x14ac:dyDescent="0.2">
      <c r="C139" t="s">
        <v>514</v>
      </c>
      <c r="D139" s="28">
        <v>1</v>
      </c>
      <c r="E139" s="1">
        <v>39.999899999999997</v>
      </c>
      <c r="F139" s="1">
        <v>90</v>
      </c>
      <c r="G139" s="1">
        <v>9.75</v>
      </c>
      <c r="H139" s="1">
        <v>5.9999999999999995E-4</v>
      </c>
      <c r="I139" s="1">
        <v>1</v>
      </c>
    </row>
    <row r="140" spans="3:9" x14ac:dyDescent="0.2">
      <c r="C140" t="s">
        <v>514</v>
      </c>
      <c r="D140" s="28">
        <v>1</v>
      </c>
      <c r="E140" s="1">
        <v>39.999899999999997</v>
      </c>
      <c r="F140" s="1">
        <v>99.5</v>
      </c>
      <c r="G140" s="1">
        <v>9.75</v>
      </c>
      <c r="H140" s="1">
        <v>5.9999999999999995E-4</v>
      </c>
      <c r="I140" s="1">
        <v>1</v>
      </c>
    </row>
    <row r="141" spans="3:9" x14ac:dyDescent="0.2">
      <c r="C141" t="s">
        <v>514</v>
      </c>
      <c r="D141" s="28">
        <v>1</v>
      </c>
      <c r="E141" s="1">
        <v>40</v>
      </c>
      <c r="F141" s="1">
        <v>104</v>
      </c>
      <c r="G141" s="1">
        <v>9.75</v>
      </c>
      <c r="H141" s="1">
        <v>5.9999999999999995E-4</v>
      </c>
      <c r="I141" s="1">
        <v>1</v>
      </c>
    </row>
    <row r="142" spans="3:9" x14ac:dyDescent="0.2">
      <c r="C142" t="s">
        <v>514</v>
      </c>
      <c r="D142" s="28">
        <v>1</v>
      </c>
      <c r="E142" s="1">
        <v>40</v>
      </c>
      <c r="F142" s="1">
        <v>115.7</v>
      </c>
      <c r="G142" s="1">
        <v>9.75</v>
      </c>
      <c r="H142" s="1">
        <v>5.9999999999999995E-4</v>
      </c>
      <c r="I142" s="1">
        <v>1</v>
      </c>
    </row>
    <row r="143" spans="3:9" x14ac:dyDescent="0.2">
      <c r="C143" t="s">
        <v>514</v>
      </c>
      <c r="D143" s="28">
        <v>1</v>
      </c>
      <c r="E143" s="1">
        <v>40.000100000000003</v>
      </c>
      <c r="F143" s="1">
        <v>121.3</v>
      </c>
      <c r="G143" s="1">
        <v>9.75</v>
      </c>
      <c r="H143" s="1">
        <v>5.9999999999999995E-4</v>
      </c>
      <c r="I143" s="1">
        <v>1</v>
      </c>
    </row>
    <row r="144" spans="3:9" x14ac:dyDescent="0.2">
      <c r="C144" t="s">
        <v>514</v>
      </c>
      <c r="D144" s="28">
        <v>1</v>
      </c>
      <c r="E144" s="1">
        <v>40</v>
      </c>
      <c r="F144" s="1">
        <v>129.30000000000001</v>
      </c>
      <c r="G144" s="1">
        <v>9.75</v>
      </c>
      <c r="H144" s="1">
        <v>5.9999999999999995E-4</v>
      </c>
      <c r="I144" s="1">
        <v>1</v>
      </c>
    </row>
    <row r="145" spans="3:9" x14ac:dyDescent="0.2">
      <c r="C145" t="s">
        <v>514</v>
      </c>
      <c r="D145" s="28">
        <v>1</v>
      </c>
      <c r="E145" s="1">
        <v>40</v>
      </c>
      <c r="F145" s="1">
        <v>144.6</v>
      </c>
      <c r="G145" s="1">
        <v>9.75</v>
      </c>
      <c r="H145" s="1">
        <v>5.9999999999999995E-4</v>
      </c>
      <c r="I145" s="1">
        <v>1</v>
      </c>
    </row>
    <row r="146" spans="3:9" x14ac:dyDescent="0.2">
      <c r="C146" t="s">
        <v>514</v>
      </c>
      <c r="D146" s="28">
        <v>1</v>
      </c>
      <c r="E146" s="1">
        <v>39.999899999999997</v>
      </c>
      <c r="F146" s="1">
        <v>147.80000000000001</v>
      </c>
      <c r="G146" s="1">
        <v>9.75</v>
      </c>
      <c r="H146" s="1">
        <v>5.9999999999999995E-4</v>
      </c>
      <c r="I146" s="1">
        <v>1</v>
      </c>
    </row>
    <row r="147" spans="3:9" x14ac:dyDescent="0.2">
      <c r="C147" t="s">
        <v>514</v>
      </c>
      <c r="D147" s="28">
        <v>1</v>
      </c>
      <c r="E147" s="1">
        <v>40.000100000000003</v>
      </c>
      <c r="F147" s="1">
        <v>151.80000000000001</v>
      </c>
      <c r="G147" s="1">
        <v>9.75</v>
      </c>
      <c r="H147" s="1">
        <v>5.9999999999999995E-4</v>
      </c>
      <c r="I147" s="1">
        <v>1</v>
      </c>
    </row>
    <row r="148" spans="3:9" x14ac:dyDescent="0.2">
      <c r="C148" t="s">
        <v>514</v>
      </c>
      <c r="D148" s="28">
        <v>1</v>
      </c>
      <c r="E148" s="1">
        <v>40.0002</v>
      </c>
      <c r="F148" s="1">
        <v>152.69999999999999</v>
      </c>
      <c r="G148" s="1">
        <v>9.75</v>
      </c>
      <c r="H148" s="1">
        <v>5.9999999999999995E-4</v>
      </c>
      <c r="I148" s="1">
        <v>1</v>
      </c>
    </row>
    <row r="149" spans="3:9" x14ac:dyDescent="0.2">
      <c r="C149" t="s">
        <v>514</v>
      </c>
      <c r="D149" s="28">
        <v>1</v>
      </c>
      <c r="E149" s="1">
        <v>39.999899999999997</v>
      </c>
      <c r="F149" s="1">
        <v>151.9</v>
      </c>
      <c r="G149" s="1">
        <v>9.75</v>
      </c>
      <c r="H149" s="1">
        <v>5.9999999999999995E-4</v>
      </c>
      <c r="I149" s="1">
        <v>1</v>
      </c>
    </row>
    <row r="150" spans="3:9" x14ac:dyDescent="0.2">
      <c r="C150" t="s">
        <v>514</v>
      </c>
      <c r="D150" s="28">
        <v>1</v>
      </c>
      <c r="E150" s="1">
        <v>40</v>
      </c>
      <c r="F150" s="1">
        <v>151.30000000000001</v>
      </c>
      <c r="G150" s="1">
        <v>9.75</v>
      </c>
      <c r="H150" s="1">
        <v>5.9999999999999995E-4</v>
      </c>
      <c r="I150" s="1">
        <v>1</v>
      </c>
    </row>
    <row r="151" spans="3:9" x14ac:dyDescent="0.2">
      <c r="C151" t="s">
        <v>514</v>
      </c>
      <c r="D151" s="28">
        <v>1</v>
      </c>
      <c r="E151" s="1">
        <v>39.999899999999997</v>
      </c>
      <c r="F151" s="1">
        <v>150.19999999999999</v>
      </c>
      <c r="G151" s="1">
        <v>9.75</v>
      </c>
      <c r="H151" s="1">
        <v>5.9999999999999995E-4</v>
      </c>
      <c r="I151" s="1">
        <v>1</v>
      </c>
    </row>
    <row r="152" spans="3:9" x14ac:dyDescent="0.2">
      <c r="C152" t="s">
        <v>514</v>
      </c>
      <c r="D152" s="28">
        <v>1</v>
      </c>
      <c r="E152" s="1">
        <v>39.9998</v>
      </c>
      <c r="F152" s="1">
        <v>150.69999999999999</v>
      </c>
      <c r="G152" s="1">
        <v>9.75</v>
      </c>
      <c r="H152" s="1">
        <v>5.9999999999999995E-4</v>
      </c>
      <c r="I152" s="1">
        <v>1</v>
      </c>
    </row>
    <row r="153" spans="3:9" x14ac:dyDescent="0.2">
      <c r="C153" t="s">
        <v>514</v>
      </c>
      <c r="D153" s="28">
        <v>1</v>
      </c>
      <c r="E153" s="1">
        <v>40.000100000000003</v>
      </c>
      <c r="F153" s="1">
        <v>158.1</v>
      </c>
      <c r="G153" s="1">
        <v>9.75</v>
      </c>
      <c r="H153" s="1">
        <v>5.9999999999999995E-4</v>
      </c>
      <c r="I153" s="1">
        <v>1</v>
      </c>
    </row>
    <row r="154" spans="3:9" x14ac:dyDescent="0.2">
      <c r="C154" t="s">
        <v>514</v>
      </c>
      <c r="D154" s="28">
        <v>1</v>
      </c>
      <c r="E154" s="1">
        <v>40</v>
      </c>
      <c r="F154" s="1">
        <v>164.4</v>
      </c>
      <c r="G154" s="1">
        <v>9.75</v>
      </c>
      <c r="H154" s="1">
        <v>5.9999999999999995E-4</v>
      </c>
      <c r="I154" s="1">
        <v>1</v>
      </c>
    </row>
    <row r="155" spans="3:9" x14ac:dyDescent="0.2">
      <c r="C155" t="s">
        <v>514</v>
      </c>
      <c r="D155" s="28">
        <v>1</v>
      </c>
      <c r="E155" s="1">
        <v>39.9998</v>
      </c>
      <c r="F155" s="1">
        <v>162.9</v>
      </c>
      <c r="G155" s="1">
        <v>9.75</v>
      </c>
      <c r="H155" s="1">
        <v>5.9999999999999995E-4</v>
      </c>
      <c r="I155" s="1">
        <v>1</v>
      </c>
    </row>
    <row r="156" spans="3:9" x14ac:dyDescent="0.2">
      <c r="C156" t="s">
        <v>514</v>
      </c>
      <c r="D156" s="28">
        <v>1</v>
      </c>
      <c r="E156" s="1">
        <v>40</v>
      </c>
      <c r="F156" s="1">
        <v>172.9</v>
      </c>
      <c r="G156" s="1">
        <v>9.75</v>
      </c>
      <c r="H156" s="1">
        <v>5.9999999999999995E-4</v>
      </c>
      <c r="I156" s="1">
        <v>1</v>
      </c>
    </row>
    <row r="157" spans="3:9" x14ac:dyDescent="0.2">
      <c r="C157" t="s">
        <v>514</v>
      </c>
      <c r="D157" s="28">
        <v>1</v>
      </c>
      <c r="E157" s="1">
        <v>39.999899999999997</v>
      </c>
      <c r="F157" s="1">
        <v>190.2</v>
      </c>
      <c r="G157" s="1">
        <v>9.75</v>
      </c>
      <c r="H157" s="1">
        <v>5.9999999999999995E-4</v>
      </c>
      <c r="I157" s="1">
        <v>1</v>
      </c>
    </row>
    <row r="158" spans="3:9" x14ac:dyDescent="0.2">
      <c r="C158" t="s">
        <v>514</v>
      </c>
      <c r="D158" s="28">
        <v>1</v>
      </c>
      <c r="E158" s="1">
        <v>40.0002</v>
      </c>
      <c r="F158" s="1">
        <v>197.3</v>
      </c>
      <c r="G158" s="1">
        <v>9.75</v>
      </c>
      <c r="H158" s="1">
        <v>5.9999999999999995E-4</v>
      </c>
      <c r="I158" s="1">
        <v>1</v>
      </c>
    </row>
    <row r="159" spans="3:9" x14ac:dyDescent="0.2">
      <c r="C159" t="s">
        <v>514</v>
      </c>
      <c r="D159" s="28">
        <v>1</v>
      </c>
      <c r="E159" s="1">
        <v>39.999899999999997</v>
      </c>
      <c r="F159" s="1">
        <v>198.6</v>
      </c>
      <c r="G159" s="1">
        <v>9.75</v>
      </c>
      <c r="H159" s="1">
        <v>5.9999999999999995E-4</v>
      </c>
      <c r="I159" s="1">
        <v>1</v>
      </c>
    </row>
    <row r="160" spans="3:9" x14ac:dyDescent="0.2">
      <c r="C160" t="s">
        <v>514</v>
      </c>
      <c r="D160" s="28">
        <v>1</v>
      </c>
      <c r="E160" s="1">
        <v>40.0002</v>
      </c>
      <c r="F160" s="1">
        <v>191.6</v>
      </c>
      <c r="G160" s="1">
        <v>9.75</v>
      </c>
      <c r="H160" s="1">
        <v>5.9999999999999995E-4</v>
      </c>
      <c r="I160" s="1">
        <v>1</v>
      </c>
    </row>
    <row r="161" spans="3:9" x14ac:dyDescent="0.2">
      <c r="C161" t="s">
        <v>514</v>
      </c>
      <c r="D161" s="28">
        <v>1</v>
      </c>
      <c r="E161" s="1">
        <v>40</v>
      </c>
      <c r="F161" s="1">
        <v>178.9</v>
      </c>
      <c r="G161" s="1">
        <v>9.75</v>
      </c>
      <c r="H161" s="1">
        <v>5.9999999999999995E-4</v>
      </c>
      <c r="I161" s="1">
        <v>1</v>
      </c>
    </row>
    <row r="162" spans="3:9" x14ac:dyDescent="0.2">
      <c r="C162" t="s">
        <v>514</v>
      </c>
      <c r="D162" s="28">
        <v>1</v>
      </c>
      <c r="E162" s="1">
        <v>40</v>
      </c>
      <c r="F162" s="1">
        <v>158.30000000000001</v>
      </c>
      <c r="G162" s="1">
        <v>9.75</v>
      </c>
      <c r="H162" s="1">
        <v>5.9999999999999995E-4</v>
      </c>
      <c r="I162" s="1">
        <v>1</v>
      </c>
    </row>
    <row r="163" spans="3:9" x14ac:dyDescent="0.2">
      <c r="C163" t="s">
        <v>514</v>
      </c>
      <c r="D163" s="28">
        <v>1</v>
      </c>
      <c r="E163" s="1">
        <v>40</v>
      </c>
      <c r="F163" s="1">
        <v>157.69999999999999</v>
      </c>
      <c r="G163" s="1">
        <v>9.75</v>
      </c>
      <c r="H163" s="1">
        <v>5.9999999999999995E-4</v>
      </c>
      <c r="I163" s="1">
        <v>1</v>
      </c>
    </row>
    <row r="164" spans="3:9" x14ac:dyDescent="0.2">
      <c r="C164" t="s">
        <v>514</v>
      </c>
      <c r="D164" s="28">
        <v>1</v>
      </c>
      <c r="E164" s="1">
        <v>40.0002</v>
      </c>
      <c r="F164" s="1">
        <v>173.5</v>
      </c>
      <c r="G164" s="1">
        <v>9.75</v>
      </c>
      <c r="H164" s="1">
        <v>5.9999999999999995E-4</v>
      </c>
      <c r="I164" s="1">
        <v>1</v>
      </c>
    </row>
    <row r="165" spans="3:9" x14ac:dyDescent="0.2">
      <c r="C165" t="s">
        <v>514</v>
      </c>
      <c r="D165" s="28">
        <v>1</v>
      </c>
      <c r="E165" s="1">
        <v>39.9998</v>
      </c>
      <c r="F165" s="1">
        <v>182.1</v>
      </c>
      <c r="G165" s="1">
        <v>9.75</v>
      </c>
      <c r="H165" s="1">
        <v>5.9999999999999995E-4</v>
      </c>
      <c r="I165" s="1">
        <v>1</v>
      </c>
    </row>
    <row r="166" spans="3:9" x14ac:dyDescent="0.2">
      <c r="C166" t="s">
        <v>514</v>
      </c>
      <c r="D166" s="28">
        <v>1</v>
      </c>
      <c r="E166" s="1">
        <v>39.999899999999997</v>
      </c>
      <c r="F166" s="1">
        <v>195.9</v>
      </c>
      <c r="G166" s="1">
        <v>9.75</v>
      </c>
      <c r="H166" s="1">
        <v>5.9999999999999995E-4</v>
      </c>
      <c r="I166" s="1">
        <v>1</v>
      </c>
    </row>
    <row r="167" spans="3:9" x14ac:dyDescent="0.2">
      <c r="C167" t="s">
        <v>514</v>
      </c>
      <c r="D167" s="28">
        <v>1</v>
      </c>
      <c r="E167" s="1">
        <v>40</v>
      </c>
      <c r="F167" s="1">
        <v>195.3</v>
      </c>
      <c r="G167" s="1">
        <v>9.75</v>
      </c>
      <c r="H167" s="1">
        <v>5.9999999999999995E-4</v>
      </c>
      <c r="I167" s="1">
        <v>1</v>
      </c>
    </row>
    <row r="168" spans="3:9" x14ac:dyDescent="0.2">
      <c r="C168" t="s">
        <v>514</v>
      </c>
      <c r="D168" s="28">
        <v>1</v>
      </c>
      <c r="E168" s="1">
        <v>40.000300000000003</v>
      </c>
      <c r="F168" s="1">
        <v>192</v>
      </c>
      <c r="G168" s="1">
        <v>9.75</v>
      </c>
      <c r="H168" s="1">
        <v>5.9999999999999995E-4</v>
      </c>
      <c r="I168" s="1">
        <v>1</v>
      </c>
    </row>
    <row r="169" spans="3:9" x14ac:dyDescent="0.2">
      <c r="C169" t="s">
        <v>514</v>
      </c>
      <c r="D169" s="28">
        <v>1</v>
      </c>
      <c r="E169" s="1">
        <v>39.999899999999997</v>
      </c>
      <c r="F169" s="1">
        <v>191.6</v>
      </c>
      <c r="G169" s="1">
        <v>9.75</v>
      </c>
      <c r="H169" s="1">
        <v>5.9999999999999995E-4</v>
      </c>
      <c r="I169" s="1">
        <v>1</v>
      </c>
    </row>
    <row r="170" spans="3:9" x14ac:dyDescent="0.2">
      <c r="C170" t="s">
        <v>514</v>
      </c>
      <c r="D170" s="28">
        <v>1</v>
      </c>
      <c r="E170" s="1">
        <v>39.999899999999997</v>
      </c>
      <c r="F170" s="1">
        <v>191.2</v>
      </c>
      <c r="G170" s="1">
        <v>9.75</v>
      </c>
      <c r="H170" s="1">
        <v>5.9999999999999995E-4</v>
      </c>
      <c r="I170" s="1">
        <v>1</v>
      </c>
    </row>
    <row r="171" spans="3:9" x14ac:dyDescent="0.2">
      <c r="C171" t="s">
        <v>514</v>
      </c>
      <c r="D171" s="28">
        <v>1</v>
      </c>
      <c r="E171" s="1">
        <v>40.0002</v>
      </c>
      <c r="F171" s="1">
        <v>183</v>
      </c>
      <c r="G171" s="1">
        <v>9.75</v>
      </c>
      <c r="H171" s="1">
        <v>5.9999999999999995E-4</v>
      </c>
      <c r="I171" s="1">
        <v>1</v>
      </c>
    </row>
    <row r="172" spans="3:9" x14ac:dyDescent="0.2">
      <c r="C172" t="s">
        <v>514</v>
      </c>
      <c r="D172" s="28">
        <v>1</v>
      </c>
      <c r="E172" s="1">
        <v>40.000300000000003</v>
      </c>
      <c r="F172" s="1">
        <v>170.2</v>
      </c>
      <c r="G172" s="1">
        <v>9.75</v>
      </c>
      <c r="H172" s="1">
        <v>5.9999999999999995E-4</v>
      </c>
      <c r="I172" s="1">
        <v>1</v>
      </c>
    </row>
    <row r="173" spans="3:9" x14ac:dyDescent="0.2">
      <c r="C173" t="s">
        <v>514</v>
      </c>
      <c r="D173" s="28">
        <v>1</v>
      </c>
      <c r="E173" s="1">
        <v>40</v>
      </c>
      <c r="F173" s="1">
        <v>160.19999999999999</v>
      </c>
      <c r="G173" s="1">
        <v>9.75</v>
      </c>
      <c r="H173" s="1">
        <v>5.9999999999999995E-4</v>
      </c>
      <c r="I173" s="1">
        <v>1</v>
      </c>
    </row>
    <row r="174" spans="3:9" x14ac:dyDescent="0.2">
      <c r="C174" t="s">
        <v>514</v>
      </c>
      <c r="D174" s="28">
        <v>1</v>
      </c>
      <c r="E174" s="1">
        <v>40.0002</v>
      </c>
      <c r="F174" s="1">
        <v>171.5</v>
      </c>
      <c r="G174" s="1">
        <v>9.75</v>
      </c>
      <c r="H174" s="1">
        <v>5.9999999999999995E-4</v>
      </c>
      <c r="I174" s="1">
        <v>1</v>
      </c>
    </row>
    <row r="175" spans="3:9" x14ac:dyDescent="0.2">
      <c r="C175" t="s">
        <v>514</v>
      </c>
      <c r="D175" s="28">
        <v>1</v>
      </c>
      <c r="E175" s="1">
        <v>40.000100000000003</v>
      </c>
      <c r="F175" s="1">
        <v>178.9</v>
      </c>
      <c r="G175" s="1">
        <v>9.75</v>
      </c>
      <c r="H175" s="1">
        <v>5.9999999999999995E-4</v>
      </c>
      <c r="I175" s="1">
        <v>1</v>
      </c>
    </row>
    <row r="176" spans="3:9" x14ac:dyDescent="0.2">
      <c r="C176" t="s">
        <v>514</v>
      </c>
      <c r="D176" s="28">
        <v>1</v>
      </c>
      <c r="E176" s="1">
        <v>40</v>
      </c>
      <c r="F176" s="1">
        <v>169.5</v>
      </c>
      <c r="G176" s="1">
        <v>9.75</v>
      </c>
      <c r="H176" s="1">
        <v>5.9999999999999995E-4</v>
      </c>
      <c r="I176" s="1">
        <v>1</v>
      </c>
    </row>
    <row r="177" spans="3:9" x14ac:dyDescent="0.2">
      <c r="C177" t="s">
        <v>514</v>
      </c>
      <c r="D177" s="28">
        <v>1</v>
      </c>
      <c r="E177" s="1">
        <v>40</v>
      </c>
      <c r="F177" s="1">
        <v>154.4</v>
      </c>
      <c r="G177" s="1">
        <v>9.75</v>
      </c>
      <c r="H177" s="1">
        <v>5.9999999999999995E-4</v>
      </c>
      <c r="I177" s="1">
        <v>1</v>
      </c>
    </row>
    <row r="178" spans="3:9" x14ac:dyDescent="0.2">
      <c r="C178" t="s">
        <v>514</v>
      </c>
      <c r="D178" s="28">
        <v>1</v>
      </c>
      <c r="E178" s="1">
        <v>40.000300000000003</v>
      </c>
      <c r="F178" s="1">
        <v>142</v>
      </c>
      <c r="G178" s="1">
        <v>9.75</v>
      </c>
      <c r="H178" s="1">
        <v>5.9999999999999995E-4</v>
      </c>
      <c r="I178" s="1">
        <v>1</v>
      </c>
    </row>
    <row r="179" spans="3:9" x14ac:dyDescent="0.2">
      <c r="C179" t="s">
        <v>514</v>
      </c>
      <c r="D179" s="28">
        <v>1</v>
      </c>
      <c r="E179" s="1">
        <v>40.0002</v>
      </c>
      <c r="F179" s="1">
        <v>146.1</v>
      </c>
      <c r="G179" s="1">
        <v>9.75</v>
      </c>
      <c r="H179" s="1">
        <v>5.9999999999999995E-4</v>
      </c>
      <c r="I179" s="1">
        <v>1</v>
      </c>
    </row>
    <row r="180" spans="3:9" x14ac:dyDescent="0.2">
      <c r="C180" t="s">
        <v>514</v>
      </c>
      <c r="D180" s="28">
        <v>1</v>
      </c>
      <c r="E180" s="1">
        <v>39.9998</v>
      </c>
      <c r="F180" s="1">
        <v>156.19999999999999</v>
      </c>
      <c r="G180" s="1">
        <v>9.75</v>
      </c>
      <c r="H180" s="1">
        <v>5.9999999999999995E-4</v>
      </c>
      <c r="I180" s="1">
        <v>1</v>
      </c>
    </row>
    <row r="181" spans="3:9" x14ac:dyDescent="0.2">
      <c r="C181" t="s">
        <v>514</v>
      </c>
      <c r="D181" s="28">
        <v>1</v>
      </c>
      <c r="E181" s="1">
        <v>40.0002</v>
      </c>
      <c r="F181" s="1">
        <v>152.1</v>
      </c>
      <c r="G181" s="1">
        <v>9.75</v>
      </c>
      <c r="H181" s="1">
        <v>5.9999999999999995E-4</v>
      </c>
      <c r="I181" s="1">
        <v>1</v>
      </c>
    </row>
    <row r="182" spans="3:9" x14ac:dyDescent="0.2">
      <c r="C182" t="s">
        <v>514</v>
      </c>
      <c r="D182" s="28">
        <v>1</v>
      </c>
      <c r="E182" s="1">
        <v>40.0002</v>
      </c>
      <c r="F182" s="1">
        <v>152.4</v>
      </c>
      <c r="G182" s="1">
        <v>9.75</v>
      </c>
      <c r="H182" s="1">
        <v>5.9999999999999995E-4</v>
      </c>
      <c r="I182" s="1">
        <v>1</v>
      </c>
    </row>
    <row r="183" spans="3:9" x14ac:dyDescent="0.2">
      <c r="C183" t="s">
        <v>514</v>
      </c>
      <c r="D183" s="28">
        <v>1</v>
      </c>
      <c r="E183" s="1">
        <v>40.000100000000003</v>
      </c>
      <c r="F183" s="1">
        <v>152.6</v>
      </c>
      <c r="G183" s="1">
        <v>9.75</v>
      </c>
      <c r="H183" s="1">
        <v>5.9999999999999995E-4</v>
      </c>
      <c r="I183" s="1">
        <v>1</v>
      </c>
    </row>
    <row r="184" spans="3:9" x14ac:dyDescent="0.2">
      <c r="C184" t="s">
        <v>514</v>
      </c>
      <c r="D184" s="28">
        <v>1</v>
      </c>
      <c r="E184" s="1">
        <v>40</v>
      </c>
      <c r="F184" s="1">
        <v>141.19999999999999</v>
      </c>
      <c r="G184" s="1">
        <v>9.75</v>
      </c>
      <c r="H184" s="1">
        <v>5.9999999999999995E-4</v>
      </c>
      <c r="I184" s="1">
        <v>1</v>
      </c>
    </row>
    <row r="185" spans="3:9" x14ac:dyDescent="0.2">
      <c r="C185" t="s">
        <v>514</v>
      </c>
      <c r="D185" s="28">
        <v>1</v>
      </c>
      <c r="E185" s="1">
        <v>40.000300000000003</v>
      </c>
      <c r="F185" s="1">
        <v>128.30000000000001</v>
      </c>
      <c r="G185" s="1">
        <v>9.75</v>
      </c>
      <c r="H185" s="1">
        <v>5.9999999999999995E-4</v>
      </c>
      <c r="I185" s="1">
        <v>1</v>
      </c>
    </row>
    <row r="186" spans="3:9" x14ac:dyDescent="0.2">
      <c r="C186" t="s">
        <v>514</v>
      </c>
      <c r="D186" s="28">
        <v>1</v>
      </c>
      <c r="E186" s="1">
        <v>39.9998</v>
      </c>
      <c r="F186" s="1">
        <v>119.7</v>
      </c>
      <c r="G186" s="1">
        <v>9.75</v>
      </c>
      <c r="H186" s="1">
        <v>5.9999999999999995E-4</v>
      </c>
      <c r="I186" s="1">
        <v>1</v>
      </c>
    </row>
    <row r="187" spans="3:9" x14ac:dyDescent="0.2">
      <c r="C187" t="s">
        <v>514</v>
      </c>
      <c r="D187" s="28">
        <v>1</v>
      </c>
      <c r="E187" s="1">
        <v>39.9998</v>
      </c>
      <c r="F187" s="1">
        <v>120.9</v>
      </c>
      <c r="G187" s="1">
        <v>9.75</v>
      </c>
      <c r="H187" s="1">
        <v>5.9999999999999995E-4</v>
      </c>
      <c r="I187" s="1">
        <v>1</v>
      </c>
    </row>
    <row r="188" spans="3:9" x14ac:dyDescent="0.2">
      <c r="C188" t="s">
        <v>514</v>
      </c>
      <c r="D188" s="28">
        <v>1</v>
      </c>
      <c r="E188" s="1">
        <v>40</v>
      </c>
      <c r="F188" s="1">
        <v>133.6</v>
      </c>
      <c r="G188" s="1">
        <v>9.75</v>
      </c>
      <c r="H188" s="1">
        <v>5.9999999999999995E-4</v>
      </c>
      <c r="I188" s="1">
        <v>1</v>
      </c>
    </row>
    <row r="189" spans="3:9" x14ac:dyDescent="0.2">
      <c r="C189" t="s">
        <v>514</v>
      </c>
      <c r="D189" s="28">
        <v>1</v>
      </c>
      <c r="E189" s="1">
        <v>39.999899999999997</v>
      </c>
      <c r="F189" s="1">
        <v>145.19999999999999</v>
      </c>
      <c r="G189" s="1">
        <v>9.75</v>
      </c>
      <c r="H189" s="1">
        <v>5.9999999999999995E-4</v>
      </c>
      <c r="I189" s="1">
        <v>1</v>
      </c>
    </row>
    <row r="190" spans="3:9" x14ac:dyDescent="0.2">
      <c r="C190" t="s">
        <v>514</v>
      </c>
      <c r="D190" s="28">
        <v>1</v>
      </c>
      <c r="E190" s="1">
        <v>39.9998</v>
      </c>
      <c r="F190" s="1">
        <v>154.1</v>
      </c>
      <c r="G190" s="1">
        <v>9.75</v>
      </c>
      <c r="H190" s="1">
        <v>5.9999999999999995E-4</v>
      </c>
      <c r="I190" s="1">
        <v>1</v>
      </c>
    </row>
    <row r="191" spans="3:9" x14ac:dyDescent="0.2">
      <c r="C191" t="s">
        <v>514</v>
      </c>
      <c r="D191" s="28">
        <v>1</v>
      </c>
      <c r="E191" s="1">
        <v>39.999899999999997</v>
      </c>
      <c r="F191" s="1">
        <v>161.30000000000001</v>
      </c>
      <c r="G191" s="1">
        <v>9.75</v>
      </c>
      <c r="H191" s="1">
        <v>5.9999999999999995E-4</v>
      </c>
      <c r="I191" s="1">
        <v>1</v>
      </c>
    </row>
    <row r="192" spans="3:9" x14ac:dyDescent="0.2">
      <c r="C192" t="s">
        <v>514</v>
      </c>
      <c r="D192" s="28">
        <v>1</v>
      </c>
      <c r="E192" s="1">
        <v>40.000300000000003</v>
      </c>
      <c r="F192" s="1">
        <v>169.4</v>
      </c>
      <c r="G192" s="1">
        <v>9.75</v>
      </c>
      <c r="H192" s="1">
        <v>5.9999999999999995E-4</v>
      </c>
      <c r="I192" s="1">
        <v>1</v>
      </c>
    </row>
    <row r="193" spans="3:9" x14ac:dyDescent="0.2">
      <c r="C193" t="s">
        <v>514</v>
      </c>
      <c r="D193" s="28">
        <v>1</v>
      </c>
      <c r="E193" s="1">
        <v>39.999899999999997</v>
      </c>
      <c r="F193" s="1">
        <v>171.9</v>
      </c>
      <c r="G193" s="1">
        <v>9.75</v>
      </c>
      <c r="H193" s="1">
        <v>5.9999999999999995E-4</v>
      </c>
      <c r="I193" s="1">
        <v>1</v>
      </c>
    </row>
    <row r="194" spans="3:9" x14ac:dyDescent="0.2">
      <c r="C194" t="s">
        <v>514</v>
      </c>
      <c r="D194" s="28">
        <v>1</v>
      </c>
      <c r="E194" s="1">
        <v>40.000100000000003</v>
      </c>
      <c r="F194" s="1">
        <v>161.5</v>
      </c>
      <c r="G194" s="1">
        <v>9.75</v>
      </c>
      <c r="H194" s="1">
        <v>5.9999999999999995E-4</v>
      </c>
      <c r="I194" s="1">
        <v>1</v>
      </c>
    </row>
    <row r="195" spans="3:9" x14ac:dyDescent="0.2">
      <c r="C195" t="s">
        <v>514</v>
      </c>
      <c r="D195" s="28">
        <v>1</v>
      </c>
      <c r="E195" s="1">
        <v>40.000100000000003</v>
      </c>
      <c r="F195" s="1">
        <v>155.9</v>
      </c>
      <c r="G195" s="1">
        <v>9.75</v>
      </c>
      <c r="H195" s="1">
        <v>5.9999999999999995E-4</v>
      </c>
      <c r="I195" s="1">
        <v>1</v>
      </c>
    </row>
    <row r="196" spans="3:9" x14ac:dyDescent="0.2">
      <c r="C196" t="s">
        <v>514</v>
      </c>
      <c r="D196" s="28">
        <v>1</v>
      </c>
      <c r="E196" s="1">
        <v>39.9998</v>
      </c>
      <c r="F196" s="1">
        <v>161.9</v>
      </c>
      <c r="G196" s="1">
        <v>9.75</v>
      </c>
      <c r="H196" s="1">
        <v>5.9999999999999995E-4</v>
      </c>
      <c r="I196" s="1">
        <v>1</v>
      </c>
    </row>
    <row r="197" spans="3:9" x14ac:dyDescent="0.2">
      <c r="C197" t="s">
        <v>514</v>
      </c>
      <c r="D197" s="28">
        <v>1</v>
      </c>
      <c r="E197" s="1">
        <v>39.9998</v>
      </c>
      <c r="F197" s="1">
        <v>173.7</v>
      </c>
      <c r="G197" s="1">
        <v>9.75</v>
      </c>
      <c r="H197" s="1">
        <v>5.9999999999999995E-4</v>
      </c>
      <c r="I197" s="1">
        <v>1</v>
      </c>
    </row>
    <row r="198" spans="3:9" x14ac:dyDescent="0.2">
      <c r="C198" t="s">
        <v>514</v>
      </c>
      <c r="D198" s="28">
        <v>1</v>
      </c>
      <c r="E198" s="1">
        <v>39.999899999999997</v>
      </c>
      <c r="F198" s="1">
        <v>180.9</v>
      </c>
      <c r="G198" s="1">
        <v>9.75</v>
      </c>
      <c r="H198" s="1">
        <v>5.9999999999999995E-4</v>
      </c>
      <c r="I198" s="1">
        <v>1</v>
      </c>
    </row>
    <row r="199" spans="3:9" x14ac:dyDescent="0.2">
      <c r="C199" t="s">
        <v>514</v>
      </c>
      <c r="D199" s="28">
        <v>1</v>
      </c>
      <c r="E199" s="1">
        <v>39.999899999999997</v>
      </c>
      <c r="F199" s="1">
        <v>183.4</v>
      </c>
      <c r="G199" s="1">
        <v>9.75</v>
      </c>
      <c r="H199" s="1">
        <v>5.9999999999999995E-4</v>
      </c>
      <c r="I199" s="1">
        <v>1</v>
      </c>
    </row>
    <row r="200" spans="3:9" x14ac:dyDescent="0.2">
      <c r="C200" t="s">
        <v>514</v>
      </c>
      <c r="D200" s="28">
        <v>1</v>
      </c>
      <c r="E200" s="1">
        <v>40.000100000000003</v>
      </c>
      <c r="F200" s="1">
        <v>176</v>
      </c>
      <c r="G200" s="1">
        <v>9.75</v>
      </c>
      <c r="H200" s="1">
        <v>5.9999999999999995E-4</v>
      </c>
      <c r="I200" s="1">
        <v>1</v>
      </c>
    </row>
    <row r="201" spans="3:9" x14ac:dyDescent="0.2">
      <c r="C201" t="s">
        <v>514</v>
      </c>
      <c r="D201" s="28">
        <v>1</v>
      </c>
      <c r="E201" s="1">
        <v>40.0002</v>
      </c>
      <c r="F201" s="1">
        <v>168.4</v>
      </c>
      <c r="G201" s="1">
        <v>9.75</v>
      </c>
      <c r="H201" s="1">
        <v>5.9999999999999995E-4</v>
      </c>
      <c r="I201" s="1">
        <v>1</v>
      </c>
    </row>
    <row r="202" spans="3:9" x14ac:dyDescent="0.2">
      <c r="C202" t="s">
        <v>514</v>
      </c>
      <c r="D202" s="28">
        <v>1</v>
      </c>
      <c r="E202" s="1">
        <v>40</v>
      </c>
      <c r="F202" s="1">
        <v>155.80000000000001</v>
      </c>
      <c r="G202" s="1">
        <v>9.75</v>
      </c>
      <c r="H202" s="1">
        <v>5.9999999999999995E-4</v>
      </c>
      <c r="I202" s="1">
        <v>1</v>
      </c>
    </row>
    <row r="203" spans="3:9" x14ac:dyDescent="0.2">
      <c r="C203" t="s">
        <v>514</v>
      </c>
      <c r="D203" s="28">
        <v>1</v>
      </c>
      <c r="E203" s="1">
        <v>40</v>
      </c>
      <c r="F203" s="1">
        <v>143.1</v>
      </c>
      <c r="G203" s="1">
        <v>9.75</v>
      </c>
      <c r="H203" s="1">
        <v>5.9999999999999995E-4</v>
      </c>
      <c r="I203" s="1">
        <v>1</v>
      </c>
    </row>
    <row r="204" spans="3:9" x14ac:dyDescent="0.2">
      <c r="C204" t="s">
        <v>514</v>
      </c>
      <c r="D204" s="28">
        <v>1</v>
      </c>
      <c r="E204" s="1">
        <v>39.9998</v>
      </c>
      <c r="F204" s="1">
        <v>137.1</v>
      </c>
      <c r="G204" s="1">
        <v>9.75</v>
      </c>
      <c r="H204" s="1">
        <v>5.9999999999999995E-4</v>
      </c>
      <c r="I204" s="1">
        <v>1</v>
      </c>
    </row>
    <row r="205" spans="3:9" x14ac:dyDescent="0.2">
      <c r="C205" t="s">
        <v>514</v>
      </c>
      <c r="D205" s="28">
        <v>1</v>
      </c>
      <c r="E205" s="1">
        <v>40.0002</v>
      </c>
      <c r="F205" s="1">
        <v>138.1</v>
      </c>
      <c r="G205" s="1">
        <v>9.75</v>
      </c>
      <c r="H205" s="1">
        <v>5.9999999999999995E-4</v>
      </c>
      <c r="I205" s="1">
        <v>1</v>
      </c>
    </row>
    <row r="206" spans="3:9" x14ac:dyDescent="0.2">
      <c r="C206" t="s">
        <v>514</v>
      </c>
      <c r="D206" s="28">
        <v>1</v>
      </c>
      <c r="E206" s="1">
        <v>40.0002</v>
      </c>
      <c r="F206" s="1">
        <v>138.4</v>
      </c>
      <c r="G206" s="1">
        <v>9.75</v>
      </c>
      <c r="H206" s="1">
        <v>5.9999999999999995E-4</v>
      </c>
      <c r="I206" s="1">
        <v>1</v>
      </c>
    </row>
    <row r="207" spans="3:9" x14ac:dyDescent="0.2">
      <c r="C207" t="s">
        <v>514</v>
      </c>
      <c r="D207" s="28">
        <v>1</v>
      </c>
      <c r="E207" s="1">
        <v>40</v>
      </c>
      <c r="F207" s="1">
        <v>140.5</v>
      </c>
      <c r="G207" s="1">
        <v>9.75</v>
      </c>
      <c r="H207" s="1">
        <v>5.9999999999999995E-4</v>
      </c>
      <c r="I207" s="1">
        <v>1</v>
      </c>
    </row>
    <row r="208" spans="3:9" x14ac:dyDescent="0.2">
      <c r="C208" t="s">
        <v>514</v>
      </c>
      <c r="D208" s="28">
        <v>1</v>
      </c>
      <c r="E208" s="1">
        <v>39.999699999999997</v>
      </c>
      <c r="F208" s="1">
        <v>144.4</v>
      </c>
      <c r="G208" s="1">
        <v>9.75</v>
      </c>
      <c r="H208" s="1">
        <v>5.9999999999999995E-4</v>
      </c>
      <c r="I208" s="1">
        <v>1</v>
      </c>
    </row>
    <row r="209" spans="3:9" x14ac:dyDescent="0.2">
      <c r="C209" t="s">
        <v>514</v>
      </c>
      <c r="D209" s="28">
        <v>1</v>
      </c>
      <c r="E209" s="1">
        <v>40.000300000000003</v>
      </c>
      <c r="F209" s="1">
        <v>141.1</v>
      </c>
      <c r="G209" s="1">
        <v>9.75</v>
      </c>
      <c r="H209" s="1">
        <v>5.9999999999999995E-4</v>
      </c>
      <c r="I209" s="1">
        <v>1</v>
      </c>
    </row>
    <row r="210" spans="3:9" x14ac:dyDescent="0.2">
      <c r="C210" t="s">
        <v>514</v>
      </c>
      <c r="D210" s="28">
        <v>1</v>
      </c>
      <c r="E210" s="1">
        <v>40.0002</v>
      </c>
      <c r="F210" s="1">
        <v>140.80000000000001</v>
      </c>
      <c r="G210" s="1">
        <v>9.75</v>
      </c>
      <c r="H210" s="1">
        <v>5.9999999999999995E-4</v>
      </c>
      <c r="I210" s="1">
        <v>1</v>
      </c>
    </row>
    <row r="211" spans="3:9" x14ac:dyDescent="0.2">
      <c r="C211" t="s">
        <v>514</v>
      </c>
      <c r="D211" s="28">
        <v>1</v>
      </c>
      <c r="E211" s="1">
        <v>39.9998</v>
      </c>
      <c r="F211" s="1">
        <v>146.80000000000001</v>
      </c>
      <c r="G211" s="1">
        <v>9.75</v>
      </c>
      <c r="H211" s="1">
        <v>5.9999999999999995E-4</v>
      </c>
      <c r="I211" s="1">
        <v>1</v>
      </c>
    </row>
    <row r="212" spans="3:9" x14ac:dyDescent="0.2">
      <c r="C212" t="s">
        <v>514</v>
      </c>
      <c r="D212" s="28">
        <v>1</v>
      </c>
      <c r="E212" s="1">
        <v>40.0002</v>
      </c>
      <c r="F212" s="1">
        <v>153.4</v>
      </c>
      <c r="G212" s="1">
        <v>9.75</v>
      </c>
      <c r="H212" s="1">
        <v>5.9999999999999995E-4</v>
      </c>
      <c r="I212" s="1">
        <v>1</v>
      </c>
    </row>
    <row r="213" spans="3:9" x14ac:dyDescent="0.2">
      <c r="C213" t="s">
        <v>514</v>
      </c>
      <c r="D213" s="28">
        <v>1</v>
      </c>
      <c r="E213" s="1">
        <v>39.9998</v>
      </c>
      <c r="F213" s="1">
        <v>160.1</v>
      </c>
      <c r="G213" s="1">
        <v>9.75</v>
      </c>
      <c r="H213" s="1">
        <v>5.9999999999999995E-4</v>
      </c>
      <c r="I213" s="1">
        <v>1</v>
      </c>
    </row>
    <row r="214" spans="3:9" x14ac:dyDescent="0.2">
      <c r="C214" t="s">
        <v>514</v>
      </c>
      <c r="D214" s="28">
        <v>1</v>
      </c>
      <c r="E214" s="1">
        <v>40.000100000000003</v>
      </c>
      <c r="F214" s="1">
        <v>165.8</v>
      </c>
      <c r="G214" s="1">
        <v>9.75</v>
      </c>
      <c r="H214" s="1">
        <v>5.9999999999999995E-4</v>
      </c>
      <c r="I214" s="1">
        <v>1</v>
      </c>
    </row>
    <row r="215" spans="3:9" x14ac:dyDescent="0.2">
      <c r="C215" t="s">
        <v>514</v>
      </c>
      <c r="D215" s="28">
        <v>1</v>
      </c>
      <c r="E215" s="1">
        <v>39.9998</v>
      </c>
      <c r="F215" s="1">
        <v>176.4</v>
      </c>
      <c r="G215" s="1">
        <v>9.75</v>
      </c>
      <c r="H215" s="1">
        <v>5.9999999999999995E-4</v>
      </c>
      <c r="I215" s="1">
        <v>1</v>
      </c>
    </row>
    <row r="216" spans="3:9" x14ac:dyDescent="0.2">
      <c r="C216" t="s">
        <v>514</v>
      </c>
      <c r="D216" s="28">
        <v>1</v>
      </c>
      <c r="E216" s="1">
        <v>39.999699999999997</v>
      </c>
      <c r="F216" s="1">
        <v>190.9</v>
      </c>
      <c r="G216" s="1">
        <v>9.75</v>
      </c>
      <c r="H216" s="1">
        <v>5.9999999999999995E-4</v>
      </c>
      <c r="I216" s="1">
        <v>1</v>
      </c>
    </row>
    <row r="217" spans="3:9" x14ac:dyDescent="0.2">
      <c r="C217" t="s">
        <v>514</v>
      </c>
      <c r="D217" s="28">
        <v>1</v>
      </c>
      <c r="E217" s="1">
        <v>39.9998</v>
      </c>
      <c r="F217" s="1">
        <v>201.5</v>
      </c>
      <c r="G217" s="1">
        <v>9.75</v>
      </c>
      <c r="H217" s="1">
        <v>5.9999999999999995E-4</v>
      </c>
      <c r="I217" s="1">
        <v>1</v>
      </c>
    </row>
    <row r="218" spans="3:9" x14ac:dyDescent="0.2">
      <c r="C218" t="s">
        <v>514</v>
      </c>
      <c r="D218" s="28">
        <v>1</v>
      </c>
      <c r="E218" s="1">
        <v>40.000100000000003</v>
      </c>
      <c r="F218" s="1">
        <v>201.3</v>
      </c>
      <c r="G218" s="1">
        <v>9.75</v>
      </c>
      <c r="H218" s="1">
        <v>5.9999999999999995E-4</v>
      </c>
      <c r="I218" s="1">
        <v>1</v>
      </c>
    </row>
    <row r="219" spans="3:9" x14ac:dyDescent="0.2">
      <c r="C219" t="s">
        <v>514</v>
      </c>
      <c r="D219" s="28">
        <v>1</v>
      </c>
      <c r="E219" s="1">
        <v>40.0002</v>
      </c>
      <c r="F219" s="1">
        <v>197.5</v>
      </c>
      <c r="G219" s="1">
        <v>9.75</v>
      </c>
      <c r="H219" s="1">
        <v>5.9999999999999995E-4</v>
      </c>
      <c r="I219" s="1">
        <v>1</v>
      </c>
    </row>
    <row r="220" spans="3:9" x14ac:dyDescent="0.2">
      <c r="C220" t="s">
        <v>514</v>
      </c>
      <c r="D220" s="28">
        <v>1</v>
      </c>
      <c r="E220" s="1">
        <v>39.9998</v>
      </c>
      <c r="F220" s="1">
        <v>197</v>
      </c>
      <c r="G220" s="1">
        <v>9.75</v>
      </c>
      <c r="H220" s="1">
        <v>5.9999999999999995E-4</v>
      </c>
      <c r="I220" s="1">
        <v>1</v>
      </c>
    </row>
    <row r="221" spans="3:9" x14ac:dyDescent="0.2">
      <c r="C221" t="s">
        <v>514</v>
      </c>
      <c r="D221" s="28">
        <v>1</v>
      </c>
      <c r="E221" s="1">
        <v>39.9998</v>
      </c>
      <c r="F221" s="1">
        <v>195.5</v>
      </c>
      <c r="G221" s="1">
        <v>9.75</v>
      </c>
      <c r="H221" s="1">
        <v>5.9999999999999995E-4</v>
      </c>
      <c r="I221" s="1">
        <v>1</v>
      </c>
    </row>
    <row r="222" spans="3:9" x14ac:dyDescent="0.2">
      <c r="C222" t="s">
        <v>514</v>
      </c>
      <c r="D222" s="28">
        <v>1</v>
      </c>
      <c r="E222" s="1">
        <v>40</v>
      </c>
      <c r="F222" s="1">
        <v>187</v>
      </c>
      <c r="G222" s="1">
        <v>9.75</v>
      </c>
      <c r="H222" s="1">
        <v>5.9999999999999995E-4</v>
      </c>
      <c r="I222" s="1">
        <v>1</v>
      </c>
    </row>
    <row r="223" spans="3:9" x14ac:dyDescent="0.2">
      <c r="C223" t="s">
        <v>514</v>
      </c>
      <c r="D223" s="28">
        <v>1</v>
      </c>
      <c r="E223" s="1">
        <v>39.9998</v>
      </c>
      <c r="F223" s="1">
        <v>181.5</v>
      </c>
      <c r="G223" s="1">
        <v>9.75</v>
      </c>
      <c r="H223" s="1">
        <v>5.9999999999999995E-4</v>
      </c>
      <c r="I223" s="1">
        <v>1</v>
      </c>
    </row>
    <row r="224" spans="3:9" x14ac:dyDescent="0.2">
      <c r="C224" t="s">
        <v>514</v>
      </c>
      <c r="D224" s="28">
        <v>1</v>
      </c>
      <c r="E224" s="1">
        <v>40.000300000000003</v>
      </c>
      <c r="F224" s="1">
        <v>176.1</v>
      </c>
      <c r="G224" s="1">
        <v>9.75</v>
      </c>
      <c r="H224" s="1">
        <v>5.9999999999999995E-4</v>
      </c>
      <c r="I224" s="1">
        <v>1</v>
      </c>
    </row>
    <row r="225" spans="3:9" x14ac:dyDescent="0.2">
      <c r="C225" t="s">
        <v>514</v>
      </c>
      <c r="D225" s="28">
        <v>1</v>
      </c>
      <c r="E225" s="1">
        <v>40.000100000000003</v>
      </c>
      <c r="F225" s="1">
        <v>171.5</v>
      </c>
      <c r="G225" s="1">
        <v>9.75</v>
      </c>
      <c r="H225" s="1">
        <v>5.9999999999999995E-4</v>
      </c>
      <c r="I225" s="1">
        <v>1</v>
      </c>
    </row>
    <row r="226" spans="3:9" x14ac:dyDescent="0.2">
      <c r="C226" t="s">
        <v>514</v>
      </c>
      <c r="D226" s="28">
        <v>1</v>
      </c>
      <c r="E226" s="1">
        <v>40.000100000000003</v>
      </c>
      <c r="F226" s="1">
        <v>165.9</v>
      </c>
      <c r="G226" s="1">
        <v>9.75</v>
      </c>
      <c r="H226" s="1">
        <v>5.9999999999999995E-4</v>
      </c>
      <c r="I226" s="1">
        <v>1</v>
      </c>
    </row>
    <row r="227" spans="3:9" x14ac:dyDescent="0.2">
      <c r="C227" t="s">
        <v>514</v>
      </c>
      <c r="D227" s="28">
        <v>1</v>
      </c>
      <c r="E227" s="1">
        <v>39.999899999999997</v>
      </c>
      <c r="F227" s="1">
        <v>161.69999999999999</v>
      </c>
      <c r="G227" s="1">
        <v>9.75</v>
      </c>
      <c r="H227" s="1">
        <v>5.9999999999999995E-4</v>
      </c>
      <c r="I227" s="1">
        <v>1</v>
      </c>
    </row>
    <row r="228" spans="3:9" x14ac:dyDescent="0.2">
      <c r="C228" t="s">
        <v>514</v>
      </c>
      <c r="D228" s="28">
        <v>1</v>
      </c>
      <c r="E228" s="1">
        <v>39.999899999999997</v>
      </c>
      <c r="F228" s="1">
        <v>156.4</v>
      </c>
      <c r="G228" s="1">
        <v>9.75</v>
      </c>
      <c r="H228" s="1">
        <v>5.9999999999999995E-4</v>
      </c>
      <c r="I228" s="1">
        <v>1</v>
      </c>
    </row>
    <row r="229" spans="3:9" x14ac:dyDescent="0.2">
      <c r="C229" t="s">
        <v>514</v>
      </c>
      <c r="D229" s="28">
        <v>1</v>
      </c>
      <c r="E229" s="1">
        <v>40.000300000000003</v>
      </c>
      <c r="F229" s="1">
        <v>151</v>
      </c>
      <c r="G229" s="1">
        <v>9.75</v>
      </c>
      <c r="H229" s="1">
        <v>5.9999999999999995E-4</v>
      </c>
      <c r="I229" s="1">
        <v>1</v>
      </c>
    </row>
    <row r="230" spans="3:9" x14ac:dyDescent="0.2">
      <c r="C230" t="s">
        <v>514</v>
      </c>
      <c r="D230" s="28">
        <v>1</v>
      </c>
      <c r="E230" s="1">
        <v>40.000100000000003</v>
      </c>
      <c r="F230" s="1">
        <v>148.19999999999999</v>
      </c>
      <c r="G230" s="1">
        <v>9.75</v>
      </c>
      <c r="H230" s="1">
        <v>5.9999999999999995E-4</v>
      </c>
      <c r="I230" s="1">
        <v>1</v>
      </c>
    </row>
    <row r="231" spans="3:9" x14ac:dyDescent="0.2">
      <c r="C231" t="s">
        <v>514</v>
      </c>
      <c r="D231" s="28">
        <v>1</v>
      </c>
      <c r="E231" s="1">
        <v>39.999899999999997</v>
      </c>
      <c r="F231" s="1">
        <v>144</v>
      </c>
      <c r="G231" s="1">
        <v>9.75</v>
      </c>
      <c r="H231" s="1">
        <v>5.9999999999999995E-4</v>
      </c>
      <c r="I231" s="1">
        <v>1</v>
      </c>
    </row>
    <row r="232" spans="3:9" x14ac:dyDescent="0.2">
      <c r="C232" t="s">
        <v>514</v>
      </c>
      <c r="D232" s="28">
        <v>1</v>
      </c>
      <c r="E232" s="1">
        <v>39.999899999999997</v>
      </c>
      <c r="F232" s="1">
        <v>141.5</v>
      </c>
      <c r="G232" s="1">
        <v>9.75</v>
      </c>
      <c r="H232" s="1">
        <v>5.9999999999999995E-4</v>
      </c>
      <c r="I232" s="1">
        <v>1</v>
      </c>
    </row>
    <row r="233" spans="3:9" x14ac:dyDescent="0.2">
      <c r="C233" t="s">
        <v>514</v>
      </c>
      <c r="D233" s="28">
        <v>1</v>
      </c>
      <c r="E233" s="1">
        <v>40.000100000000003</v>
      </c>
      <c r="F233" s="1">
        <v>137.1</v>
      </c>
      <c r="G233" s="1">
        <v>9.75</v>
      </c>
      <c r="H233" s="1">
        <v>5.9999999999999995E-4</v>
      </c>
      <c r="I233" s="1">
        <v>1</v>
      </c>
    </row>
    <row r="234" spans="3:9" x14ac:dyDescent="0.2">
      <c r="C234" t="s">
        <v>514</v>
      </c>
      <c r="D234" s="28">
        <v>1</v>
      </c>
      <c r="E234" s="1">
        <v>40.0002</v>
      </c>
      <c r="F234" s="1">
        <v>136.80000000000001</v>
      </c>
      <c r="G234" s="1">
        <v>9.75</v>
      </c>
      <c r="H234" s="1">
        <v>5.9999999999999995E-4</v>
      </c>
      <c r="I234" s="1">
        <v>1</v>
      </c>
    </row>
    <row r="235" spans="3:9" x14ac:dyDescent="0.2">
      <c r="C235" t="s">
        <v>514</v>
      </c>
      <c r="D235" s="28">
        <v>1</v>
      </c>
      <c r="E235" s="1">
        <v>40</v>
      </c>
      <c r="F235" s="1">
        <v>138.9</v>
      </c>
      <c r="G235" s="1">
        <v>9.75</v>
      </c>
      <c r="H235" s="1">
        <v>5.9999999999999995E-4</v>
      </c>
      <c r="I235" s="1">
        <v>1</v>
      </c>
    </row>
    <row r="236" spans="3:9" x14ac:dyDescent="0.2">
      <c r="C236" t="s">
        <v>514</v>
      </c>
      <c r="D236" s="28">
        <v>1</v>
      </c>
      <c r="E236" s="1">
        <v>40.000100000000003</v>
      </c>
      <c r="F236" s="1">
        <v>137</v>
      </c>
      <c r="G236" s="1">
        <v>9.75</v>
      </c>
      <c r="H236" s="1">
        <v>5.9999999999999995E-4</v>
      </c>
      <c r="I236" s="1">
        <v>1</v>
      </c>
    </row>
    <row r="237" spans="3:9" x14ac:dyDescent="0.2">
      <c r="C237" t="s">
        <v>514</v>
      </c>
      <c r="D237" s="28">
        <v>1</v>
      </c>
      <c r="E237" s="1">
        <v>39.9998</v>
      </c>
      <c r="F237" s="1">
        <v>135.5</v>
      </c>
      <c r="G237" s="1">
        <v>9.75</v>
      </c>
      <c r="H237" s="1">
        <v>5.9999999999999995E-4</v>
      </c>
      <c r="I237" s="1">
        <v>1</v>
      </c>
    </row>
    <row r="238" spans="3:9" x14ac:dyDescent="0.2">
      <c r="C238" t="s">
        <v>514</v>
      </c>
      <c r="D238" s="28">
        <v>1</v>
      </c>
      <c r="E238" s="1">
        <v>39.999899999999997</v>
      </c>
      <c r="F238" s="1">
        <v>132.30000000000001</v>
      </c>
      <c r="G238" s="1">
        <v>9.75</v>
      </c>
      <c r="H238" s="1">
        <v>5.9999999999999995E-4</v>
      </c>
      <c r="I238" s="1">
        <v>1</v>
      </c>
    </row>
    <row r="239" spans="3:9" x14ac:dyDescent="0.2">
      <c r="C239" t="s">
        <v>514</v>
      </c>
      <c r="D239" s="28">
        <v>1</v>
      </c>
      <c r="E239" s="1">
        <v>39.999899999999997</v>
      </c>
      <c r="F239" s="1">
        <v>128</v>
      </c>
      <c r="G239" s="1">
        <v>9.75</v>
      </c>
      <c r="H239" s="1">
        <v>5.9999999999999995E-4</v>
      </c>
      <c r="I239" s="1">
        <v>1</v>
      </c>
    </row>
    <row r="240" spans="3:9" x14ac:dyDescent="0.2">
      <c r="C240" t="s">
        <v>514</v>
      </c>
      <c r="D240" s="28">
        <v>1</v>
      </c>
      <c r="E240" s="1">
        <v>39.9998</v>
      </c>
      <c r="F240" s="1">
        <v>125</v>
      </c>
      <c r="G240" s="1">
        <v>9.75</v>
      </c>
      <c r="H240" s="1">
        <v>5.9999999999999995E-4</v>
      </c>
      <c r="I240" s="1">
        <v>1</v>
      </c>
    </row>
    <row r="241" spans="3:9" x14ac:dyDescent="0.2">
      <c r="C241" t="s">
        <v>514</v>
      </c>
      <c r="D241" s="28">
        <v>1</v>
      </c>
      <c r="E241" s="1">
        <v>40</v>
      </c>
      <c r="F241" s="1">
        <v>114</v>
      </c>
      <c r="G241" s="1">
        <v>9.75</v>
      </c>
      <c r="H241" s="1">
        <v>5.9999999999999995E-4</v>
      </c>
      <c r="I241" s="1">
        <v>1</v>
      </c>
    </row>
    <row r="242" spans="3:9" x14ac:dyDescent="0.2">
      <c r="C242" t="s">
        <v>514</v>
      </c>
      <c r="D242" s="28">
        <v>1</v>
      </c>
      <c r="E242" s="1">
        <v>39.9998</v>
      </c>
      <c r="F242" s="1">
        <v>105.1</v>
      </c>
      <c r="G242" s="1">
        <v>9.75</v>
      </c>
      <c r="H242" s="1">
        <v>5.9999999999999995E-4</v>
      </c>
      <c r="I242" s="1">
        <v>1</v>
      </c>
    </row>
    <row r="243" spans="3:9" x14ac:dyDescent="0.2">
      <c r="C243" t="s">
        <v>514</v>
      </c>
      <c r="D243" s="28">
        <v>1</v>
      </c>
      <c r="E243" s="1">
        <v>40</v>
      </c>
      <c r="F243" s="1">
        <v>97.1</v>
      </c>
      <c r="G243" s="1">
        <v>9.75</v>
      </c>
      <c r="H243" s="1">
        <v>5.9999999999999995E-4</v>
      </c>
      <c r="I243" s="1">
        <v>1</v>
      </c>
    </row>
    <row r="244" spans="3:9" x14ac:dyDescent="0.2">
      <c r="C244" t="s">
        <v>514</v>
      </c>
      <c r="D244" s="28">
        <v>1</v>
      </c>
      <c r="E244" s="1">
        <v>40</v>
      </c>
      <c r="F244" s="1">
        <v>89.4</v>
      </c>
      <c r="G244" s="1">
        <v>9.75</v>
      </c>
      <c r="H244" s="1">
        <v>5.9999999999999995E-4</v>
      </c>
      <c r="I244" s="1">
        <v>1</v>
      </c>
    </row>
    <row r="245" spans="3:9" x14ac:dyDescent="0.2">
      <c r="C245" t="s">
        <v>514</v>
      </c>
      <c r="D245" s="28">
        <v>1</v>
      </c>
      <c r="E245" s="1">
        <v>39.999899999999997</v>
      </c>
      <c r="F245" s="1">
        <v>82.1</v>
      </c>
      <c r="G245" s="1">
        <v>9.75</v>
      </c>
      <c r="H245" s="1">
        <v>5.9999999999999995E-4</v>
      </c>
      <c r="I245" s="1">
        <v>1</v>
      </c>
    </row>
    <row r="246" spans="3:9" x14ac:dyDescent="0.2">
      <c r="C246" t="s">
        <v>514</v>
      </c>
      <c r="D246" s="28">
        <v>1</v>
      </c>
      <c r="E246" s="1">
        <v>40.000300000000003</v>
      </c>
      <c r="F246" s="1">
        <v>77.2</v>
      </c>
      <c r="G246" s="1">
        <v>9.75</v>
      </c>
      <c r="H246" s="1">
        <v>5.9999999999999995E-4</v>
      </c>
      <c r="I246" s="1">
        <v>1</v>
      </c>
    </row>
    <row r="247" spans="3:9" x14ac:dyDescent="0.2">
      <c r="C247" t="s">
        <v>514</v>
      </c>
      <c r="D247" s="28">
        <v>1</v>
      </c>
      <c r="E247" s="1">
        <v>40.000100000000003</v>
      </c>
      <c r="F247" s="1">
        <v>71.5</v>
      </c>
      <c r="G247" s="1">
        <v>9.75</v>
      </c>
      <c r="H247" s="1">
        <v>5.9999999999999995E-4</v>
      </c>
      <c r="I247" s="1">
        <v>1</v>
      </c>
    </row>
    <row r="248" spans="3:9" x14ac:dyDescent="0.2">
      <c r="C248" t="s">
        <v>514</v>
      </c>
      <c r="D248" s="28">
        <v>1</v>
      </c>
      <c r="E248" s="1">
        <v>40.000300000000003</v>
      </c>
      <c r="F248" s="1">
        <v>66.099999999999994</v>
      </c>
      <c r="G248" s="1">
        <v>9.75</v>
      </c>
      <c r="H248" s="1">
        <v>5.9999999999999995E-4</v>
      </c>
      <c r="I248" s="1">
        <v>1</v>
      </c>
    </row>
    <row r="249" spans="3:9" x14ac:dyDescent="0.2">
      <c r="C249" t="s">
        <v>514</v>
      </c>
      <c r="D249" s="28">
        <v>1</v>
      </c>
      <c r="E249" s="1">
        <v>40.0002</v>
      </c>
      <c r="F249" s="1">
        <v>62</v>
      </c>
      <c r="G249" s="1">
        <v>9.75</v>
      </c>
      <c r="H249" s="1">
        <v>5.9999999999999995E-4</v>
      </c>
      <c r="I249" s="1">
        <v>1</v>
      </c>
    </row>
    <row r="250" spans="3:9" x14ac:dyDescent="0.2">
      <c r="C250" t="s">
        <v>514</v>
      </c>
      <c r="D250" s="28">
        <v>1</v>
      </c>
      <c r="E250" s="1">
        <v>39.9998</v>
      </c>
      <c r="F250" s="1">
        <v>61.3</v>
      </c>
      <c r="G250" s="1">
        <v>9.75</v>
      </c>
      <c r="H250" s="1">
        <v>5.9999999999999995E-4</v>
      </c>
      <c r="I250" s="1">
        <v>1</v>
      </c>
    </row>
    <row r="251" spans="3:9" x14ac:dyDescent="0.2">
      <c r="C251" t="s">
        <v>514</v>
      </c>
      <c r="D251" s="28">
        <v>1</v>
      </c>
      <c r="E251" s="1">
        <v>39.999699999999997</v>
      </c>
      <c r="F251" s="1">
        <v>57.4</v>
      </c>
      <c r="G251" s="1">
        <v>9.75</v>
      </c>
      <c r="H251" s="1">
        <v>5.9999999999999995E-4</v>
      </c>
      <c r="I251" s="1">
        <v>1</v>
      </c>
    </row>
    <row r="252" spans="3:9" x14ac:dyDescent="0.2">
      <c r="C252" t="s">
        <v>514</v>
      </c>
      <c r="D252" s="28">
        <v>1</v>
      </c>
      <c r="E252" s="1">
        <v>40.000100000000003</v>
      </c>
      <c r="F252" s="1">
        <v>55.2</v>
      </c>
      <c r="G252" s="1">
        <v>9.75</v>
      </c>
      <c r="H252" s="1">
        <v>5.9999999999999995E-4</v>
      </c>
      <c r="I252" s="1">
        <v>1</v>
      </c>
    </row>
    <row r="253" spans="3:9" x14ac:dyDescent="0.2">
      <c r="C253" t="s">
        <v>514</v>
      </c>
      <c r="D253" s="28">
        <v>1</v>
      </c>
      <c r="E253" s="1">
        <v>40.000300000000003</v>
      </c>
      <c r="F253" s="1">
        <v>53.4</v>
      </c>
      <c r="G253" s="1">
        <v>9.75</v>
      </c>
      <c r="H253" s="1">
        <v>5.9999999999999995E-4</v>
      </c>
      <c r="I253" s="1">
        <v>1</v>
      </c>
    </row>
    <row r="254" spans="3:9" x14ac:dyDescent="0.2">
      <c r="C254" t="s">
        <v>514</v>
      </c>
      <c r="D254" s="28">
        <v>1</v>
      </c>
      <c r="E254" s="1">
        <v>40.0002</v>
      </c>
      <c r="F254" s="1">
        <v>53.7</v>
      </c>
      <c r="G254" s="1">
        <v>9.75</v>
      </c>
      <c r="H254" s="1">
        <v>5.9999999999999995E-4</v>
      </c>
      <c r="I254" s="1">
        <v>1</v>
      </c>
    </row>
    <row r="255" spans="3:9" x14ac:dyDescent="0.2">
      <c r="C255" t="s">
        <v>514</v>
      </c>
      <c r="D255" s="28">
        <v>1</v>
      </c>
      <c r="E255" s="1">
        <v>39.9998</v>
      </c>
      <c r="F255" s="1">
        <v>44.9</v>
      </c>
      <c r="G255" s="1">
        <v>9.75</v>
      </c>
      <c r="H255" s="1">
        <v>5.9999999999999995E-4</v>
      </c>
      <c r="I255" s="1">
        <v>1</v>
      </c>
    </row>
    <row r="256" spans="3:9" x14ac:dyDescent="0.2">
      <c r="C256" t="s">
        <v>514</v>
      </c>
      <c r="D256" s="28">
        <v>1</v>
      </c>
      <c r="E256" s="1">
        <v>40.000100000000003</v>
      </c>
      <c r="F256" s="1">
        <v>35.299999999999997</v>
      </c>
      <c r="G256" s="1">
        <v>9.75</v>
      </c>
      <c r="H256" s="1">
        <v>5.9999999999999995E-4</v>
      </c>
      <c r="I256" s="1">
        <v>1</v>
      </c>
    </row>
    <row r="257" spans="3:9" x14ac:dyDescent="0.2">
      <c r="C257" t="s">
        <v>514</v>
      </c>
      <c r="D257" s="28">
        <v>1</v>
      </c>
      <c r="E257" s="1">
        <v>39.9998</v>
      </c>
      <c r="F257" s="1">
        <v>32.6</v>
      </c>
      <c r="G257" s="1">
        <v>9.75</v>
      </c>
      <c r="H257" s="1">
        <v>5.9999999999999995E-4</v>
      </c>
      <c r="I257" s="1">
        <v>1</v>
      </c>
    </row>
    <row r="258" spans="3:9" x14ac:dyDescent="0.2">
      <c r="C258" t="s">
        <v>514</v>
      </c>
      <c r="D258" s="28">
        <v>1</v>
      </c>
      <c r="E258" s="1">
        <v>40.000300000000003</v>
      </c>
      <c r="F258" s="1">
        <v>28.9</v>
      </c>
      <c r="G258" s="1">
        <v>9.75</v>
      </c>
      <c r="H258" s="1">
        <v>5.9999999999999995E-4</v>
      </c>
      <c r="I258" s="1">
        <v>1</v>
      </c>
    </row>
    <row r="259" spans="3:9" x14ac:dyDescent="0.2">
      <c r="C259" t="s">
        <v>514</v>
      </c>
      <c r="D259" s="28">
        <v>1</v>
      </c>
      <c r="E259" s="1">
        <v>40.000100000000003</v>
      </c>
      <c r="F259" s="1">
        <v>26.1</v>
      </c>
      <c r="G259" s="1">
        <v>9.75</v>
      </c>
      <c r="H259" s="1">
        <v>5.9999999999999995E-4</v>
      </c>
      <c r="I259" s="1">
        <v>1</v>
      </c>
    </row>
    <row r="260" spans="3:9" x14ac:dyDescent="0.2">
      <c r="C260" t="s">
        <v>514</v>
      </c>
      <c r="D260" s="28">
        <v>1</v>
      </c>
      <c r="E260" s="1">
        <v>39.9998</v>
      </c>
      <c r="F260" s="1">
        <v>19.399999999999999</v>
      </c>
      <c r="G260" s="1">
        <v>9.75</v>
      </c>
      <c r="H260" s="1">
        <v>5.9999999999999995E-4</v>
      </c>
      <c r="I260" s="1">
        <v>1</v>
      </c>
    </row>
    <row r="261" spans="3:9" x14ac:dyDescent="0.2">
      <c r="C261" t="s">
        <v>514</v>
      </c>
      <c r="D261" s="28">
        <v>1</v>
      </c>
      <c r="E261" s="1">
        <v>40</v>
      </c>
      <c r="F261" s="1">
        <v>4.3</v>
      </c>
      <c r="G261" s="1">
        <v>9.75</v>
      </c>
      <c r="H261" s="1">
        <v>5.9999999999999995E-4</v>
      </c>
      <c r="I261" s="1">
        <v>1</v>
      </c>
    </row>
    <row r="262" spans="3:9" x14ac:dyDescent="0.2">
      <c r="C262" t="s">
        <v>514</v>
      </c>
      <c r="D262" s="28">
        <v>1</v>
      </c>
      <c r="E262" s="1">
        <v>39.999699999999997</v>
      </c>
      <c r="F262" s="1">
        <v>-1.5</v>
      </c>
      <c r="G262" s="1">
        <v>9.75</v>
      </c>
      <c r="H262" s="1">
        <v>5.9999999999999995E-4</v>
      </c>
      <c r="I262" s="1">
        <v>1</v>
      </c>
    </row>
    <row r="263" spans="3:9" x14ac:dyDescent="0.2">
      <c r="C263" t="s">
        <v>514</v>
      </c>
      <c r="D263" s="28">
        <v>1</v>
      </c>
      <c r="E263" s="1">
        <v>40</v>
      </c>
      <c r="F263" s="1">
        <v>-7.9</v>
      </c>
      <c r="G263" s="1">
        <v>9.75</v>
      </c>
      <c r="H263" s="1">
        <v>5.9999999999999995E-4</v>
      </c>
      <c r="I263" s="1">
        <v>1</v>
      </c>
    </row>
    <row r="264" spans="3:9" x14ac:dyDescent="0.2">
      <c r="C264" t="s">
        <v>514</v>
      </c>
      <c r="D264" s="28">
        <v>1</v>
      </c>
      <c r="E264" s="1">
        <v>39.9998</v>
      </c>
      <c r="F264" s="1">
        <v>-9.1</v>
      </c>
      <c r="G264" s="1">
        <v>9.75</v>
      </c>
      <c r="H264" s="1">
        <v>5.9999999999999995E-4</v>
      </c>
      <c r="I264" s="1">
        <v>1</v>
      </c>
    </row>
    <row r="265" spans="3:9" x14ac:dyDescent="0.2">
      <c r="C265" t="s">
        <v>514</v>
      </c>
      <c r="D265" s="28">
        <v>1</v>
      </c>
      <c r="E265" s="1">
        <v>39.9998</v>
      </c>
      <c r="F265" s="1">
        <v>-2.2000000000000002</v>
      </c>
      <c r="G265" s="1">
        <v>9.75</v>
      </c>
      <c r="H265" s="1">
        <v>5.9999999999999995E-4</v>
      </c>
      <c r="I265" s="1">
        <v>1</v>
      </c>
    </row>
    <row r="266" spans="3:9" x14ac:dyDescent="0.2">
      <c r="C266" t="s">
        <v>514</v>
      </c>
      <c r="D266" s="28">
        <v>1</v>
      </c>
      <c r="E266" s="1">
        <v>40.0002</v>
      </c>
      <c r="F266" s="1">
        <v>6.8</v>
      </c>
      <c r="G266" s="1">
        <v>9.75</v>
      </c>
      <c r="H266" s="1">
        <v>5.9999999999999995E-4</v>
      </c>
      <c r="I266" s="1">
        <v>1</v>
      </c>
    </row>
    <row r="267" spans="3:9" x14ac:dyDescent="0.2">
      <c r="C267" t="s">
        <v>514</v>
      </c>
      <c r="D267" s="28">
        <v>1</v>
      </c>
      <c r="E267" s="1">
        <v>39.999600000000001</v>
      </c>
      <c r="F267" s="1">
        <v>30.9</v>
      </c>
      <c r="G267" s="1">
        <v>9.75</v>
      </c>
      <c r="H267" s="1">
        <v>5.9999999999999995E-4</v>
      </c>
      <c r="I267" s="1">
        <v>1</v>
      </c>
    </row>
    <row r="268" spans="3:9" x14ac:dyDescent="0.2">
      <c r="C268" t="s">
        <v>514</v>
      </c>
      <c r="D268" s="28">
        <v>1</v>
      </c>
      <c r="E268" s="1">
        <v>39.999899999999997</v>
      </c>
      <c r="F268" s="1">
        <v>46.9</v>
      </c>
      <c r="G268" s="1">
        <v>9.75</v>
      </c>
      <c r="H268" s="1">
        <v>5.9999999999999995E-4</v>
      </c>
      <c r="I268" s="1">
        <v>1</v>
      </c>
    </row>
    <row r="269" spans="3:9" x14ac:dyDescent="0.2">
      <c r="C269" t="s">
        <v>514</v>
      </c>
      <c r="D269" s="28">
        <v>1</v>
      </c>
      <c r="E269" s="1">
        <v>40</v>
      </c>
      <c r="F269" s="1">
        <v>59.9</v>
      </c>
      <c r="G269" s="1">
        <v>9.75</v>
      </c>
      <c r="H269" s="1">
        <v>5.9999999999999995E-4</v>
      </c>
      <c r="I269" s="1">
        <v>1</v>
      </c>
    </row>
    <row r="270" spans="3:9" x14ac:dyDescent="0.2">
      <c r="C270" t="s">
        <v>514</v>
      </c>
      <c r="D270" s="28">
        <v>1</v>
      </c>
      <c r="E270" s="1">
        <v>40.000300000000003</v>
      </c>
      <c r="F270" s="1">
        <v>66.7</v>
      </c>
      <c r="G270" s="1">
        <v>9.75</v>
      </c>
      <c r="H270" s="1">
        <v>5.9999999999999995E-4</v>
      </c>
      <c r="I270" s="1">
        <v>1</v>
      </c>
    </row>
    <row r="271" spans="3:9" x14ac:dyDescent="0.2">
      <c r="C271" t="s">
        <v>514</v>
      </c>
      <c r="D271" s="28">
        <v>1</v>
      </c>
      <c r="E271" s="1">
        <v>40.0002</v>
      </c>
      <c r="F271" s="1">
        <v>70.5</v>
      </c>
      <c r="G271" s="1">
        <v>9.75</v>
      </c>
      <c r="H271" s="1">
        <v>5.9999999999999995E-4</v>
      </c>
      <c r="I271" s="1">
        <v>1</v>
      </c>
    </row>
    <row r="272" spans="3:9" x14ac:dyDescent="0.2">
      <c r="C272" t="s">
        <v>514</v>
      </c>
      <c r="D272" s="28">
        <v>1</v>
      </c>
      <c r="E272" s="1">
        <v>39.9998</v>
      </c>
      <c r="F272" s="1">
        <v>79.8</v>
      </c>
      <c r="G272" s="1">
        <v>9.75</v>
      </c>
      <c r="H272" s="1">
        <v>5.9999999999999995E-4</v>
      </c>
      <c r="I272" s="1">
        <v>1</v>
      </c>
    </row>
    <row r="273" spans="3:9" x14ac:dyDescent="0.2">
      <c r="C273" t="s">
        <v>514</v>
      </c>
      <c r="D273" s="28">
        <v>1</v>
      </c>
      <c r="E273" s="1">
        <v>39.999600000000001</v>
      </c>
      <c r="F273" s="1">
        <v>84.8</v>
      </c>
      <c r="G273" s="1">
        <v>9.75</v>
      </c>
      <c r="H273" s="1">
        <v>5.9999999999999995E-4</v>
      </c>
      <c r="I273" s="1">
        <v>1</v>
      </c>
    </row>
    <row r="274" spans="3:9" x14ac:dyDescent="0.2">
      <c r="C274" t="s">
        <v>514</v>
      </c>
      <c r="D274" s="28">
        <v>1</v>
      </c>
      <c r="E274" s="1">
        <v>40.000300000000003</v>
      </c>
      <c r="F274" s="1">
        <v>91</v>
      </c>
      <c r="G274" s="1">
        <v>9.75</v>
      </c>
      <c r="H274" s="1">
        <v>5.9999999999999995E-4</v>
      </c>
      <c r="I274" s="1">
        <v>1</v>
      </c>
    </row>
    <row r="275" spans="3:9" x14ac:dyDescent="0.2">
      <c r="C275" t="s">
        <v>514</v>
      </c>
      <c r="D275" s="28">
        <v>1</v>
      </c>
      <c r="E275" s="1">
        <v>40.000500000000002</v>
      </c>
      <c r="F275" s="1">
        <v>85.9</v>
      </c>
      <c r="G275" s="1">
        <v>9.75</v>
      </c>
      <c r="H275" s="1">
        <v>5.9999999999999995E-4</v>
      </c>
      <c r="I275" s="1">
        <v>1</v>
      </c>
    </row>
    <row r="276" spans="3:9" x14ac:dyDescent="0.2">
      <c r="C276" t="s">
        <v>514</v>
      </c>
      <c r="D276" s="28">
        <v>1</v>
      </c>
      <c r="E276" s="1">
        <v>39.9998</v>
      </c>
      <c r="F276" s="1">
        <v>79.2</v>
      </c>
      <c r="G276" s="1">
        <v>9.75</v>
      </c>
      <c r="H276" s="1">
        <v>5.9999999999999995E-4</v>
      </c>
      <c r="I276" s="1">
        <v>1</v>
      </c>
    </row>
    <row r="277" spans="3:9" x14ac:dyDescent="0.2">
      <c r="C277" t="s">
        <v>514</v>
      </c>
      <c r="D277" s="28">
        <v>1</v>
      </c>
      <c r="E277" s="1">
        <v>39.999899999999997</v>
      </c>
      <c r="F277" s="1">
        <v>75</v>
      </c>
      <c r="G277" s="1">
        <v>9.75</v>
      </c>
      <c r="H277" s="1">
        <v>5.9999999999999995E-4</v>
      </c>
      <c r="I277" s="1">
        <v>1</v>
      </c>
    </row>
    <row r="278" spans="3:9" x14ac:dyDescent="0.2">
      <c r="C278" t="s">
        <v>514</v>
      </c>
      <c r="D278" s="28">
        <v>1</v>
      </c>
      <c r="E278" s="1">
        <v>39.999400000000001</v>
      </c>
      <c r="F278" s="1">
        <v>72.900000000000006</v>
      </c>
      <c r="G278" s="1">
        <v>9.75</v>
      </c>
      <c r="H278" s="1">
        <v>5.9999999999999995E-4</v>
      </c>
      <c r="I278" s="1">
        <v>1</v>
      </c>
    </row>
    <row r="279" spans="3:9" x14ac:dyDescent="0.2">
      <c r="C279" t="s">
        <v>514</v>
      </c>
      <c r="D279" s="28">
        <v>1</v>
      </c>
      <c r="E279" s="1">
        <v>40.0002</v>
      </c>
      <c r="F279" s="1">
        <v>72.900000000000006</v>
      </c>
      <c r="G279" s="1">
        <v>9.75</v>
      </c>
      <c r="H279" s="1">
        <v>5.9999999999999995E-4</v>
      </c>
      <c r="I279" s="1">
        <v>1</v>
      </c>
    </row>
    <row r="280" spans="3:9" x14ac:dyDescent="0.2">
      <c r="C280" t="s">
        <v>514</v>
      </c>
      <c r="D280" s="28">
        <v>1</v>
      </c>
      <c r="E280" s="1">
        <v>40.000100000000003</v>
      </c>
      <c r="F280" s="1">
        <v>74.8</v>
      </c>
      <c r="G280" s="1">
        <v>9.75</v>
      </c>
      <c r="H280" s="1">
        <v>5.9999999999999995E-4</v>
      </c>
      <c r="I280" s="1">
        <v>1</v>
      </c>
    </row>
    <row r="281" spans="3:9" x14ac:dyDescent="0.2">
      <c r="C281" t="s">
        <v>514</v>
      </c>
      <c r="D281" s="28">
        <v>1</v>
      </c>
      <c r="E281" s="1">
        <v>39.999699999999997</v>
      </c>
      <c r="F281" s="1">
        <v>87.3</v>
      </c>
      <c r="G281" s="1">
        <v>9.75</v>
      </c>
      <c r="H281" s="1">
        <v>5.9999999999999995E-4</v>
      </c>
      <c r="I281" s="1">
        <v>1</v>
      </c>
    </row>
    <row r="282" spans="3:9" x14ac:dyDescent="0.2">
      <c r="C282" t="s">
        <v>514</v>
      </c>
      <c r="D282" s="28">
        <v>1</v>
      </c>
      <c r="E282" s="1">
        <v>39.999600000000001</v>
      </c>
      <c r="F282" s="1">
        <v>106.4</v>
      </c>
      <c r="G282" s="1">
        <v>9.75</v>
      </c>
      <c r="H282" s="1">
        <v>5.9999999999999995E-4</v>
      </c>
      <c r="I282" s="1">
        <v>1</v>
      </c>
    </row>
    <row r="283" spans="3:9" x14ac:dyDescent="0.2">
      <c r="C283" t="s">
        <v>514</v>
      </c>
      <c r="D283" s="28">
        <v>1</v>
      </c>
      <c r="E283" s="1">
        <v>39.999699999999997</v>
      </c>
      <c r="F283" s="1">
        <v>122.5</v>
      </c>
      <c r="G283" s="1">
        <v>9.75</v>
      </c>
      <c r="H283" s="1">
        <v>5.9999999999999995E-4</v>
      </c>
      <c r="I283" s="1">
        <v>1</v>
      </c>
    </row>
    <row r="284" spans="3:9" x14ac:dyDescent="0.2">
      <c r="C284" t="s">
        <v>514</v>
      </c>
      <c r="D284" s="28">
        <v>1</v>
      </c>
      <c r="E284" s="1">
        <v>39.999499999999998</v>
      </c>
      <c r="F284" s="1">
        <v>134</v>
      </c>
      <c r="G284" s="1">
        <v>9.75</v>
      </c>
      <c r="H284" s="1">
        <v>5.9999999999999995E-4</v>
      </c>
      <c r="I284" s="1">
        <v>1</v>
      </c>
    </row>
    <row r="285" spans="3:9" x14ac:dyDescent="0.2">
      <c r="C285" t="s">
        <v>514</v>
      </c>
      <c r="D285" s="28">
        <v>1</v>
      </c>
      <c r="E285" s="1">
        <v>39.9998</v>
      </c>
      <c r="F285" s="1">
        <v>142.6</v>
      </c>
      <c r="G285" s="1">
        <v>9.75</v>
      </c>
      <c r="H285" s="1">
        <v>5.9999999999999995E-4</v>
      </c>
      <c r="I285" s="1">
        <v>1</v>
      </c>
    </row>
    <row r="286" spans="3:9" x14ac:dyDescent="0.2">
      <c r="C286" t="s">
        <v>514</v>
      </c>
      <c r="D286" s="28">
        <v>1</v>
      </c>
      <c r="E286" s="1">
        <v>40</v>
      </c>
      <c r="F286" s="1">
        <v>142</v>
      </c>
      <c r="G286" s="1">
        <v>9.75</v>
      </c>
      <c r="H286" s="1">
        <v>5.9999999999999995E-4</v>
      </c>
      <c r="I286" s="1">
        <v>1</v>
      </c>
    </row>
    <row r="287" spans="3:9" x14ac:dyDescent="0.2">
      <c r="C287" t="s">
        <v>514</v>
      </c>
      <c r="D287" s="28">
        <v>1</v>
      </c>
      <c r="E287" s="1">
        <v>39.999600000000001</v>
      </c>
      <c r="F287" s="1">
        <v>127.9</v>
      </c>
      <c r="G287" s="1">
        <v>9.75</v>
      </c>
      <c r="H287" s="1">
        <v>5.9999999999999995E-4</v>
      </c>
      <c r="I287" s="1">
        <v>1</v>
      </c>
    </row>
    <row r="288" spans="3:9" x14ac:dyDescent="0.2">
      <c r="C288" t="s">
        <v>514</v>
      </c>
      <c r="D288" s="28">
        <v>1</v>
      </c>
      <c r="E288" s="1">
        <v>40.000300000000003</v>
      </c>
      <c r="F288" s="1">
        <v>115</v>
      </c>
      <c r="G288" s="1">
        <v>9.75</v>
      </c>
      <c r="H288" s="1">
        <v>5.9999999999999995E-4</v>
      </c>
      <c r="I288" s="1">
        <v>1</v>
      </c>
    </row>
    <row r="289" spans="3:9" x14ac:dyDescent="0.2">
      <c r="C289" t="s">
        <v>514</v>
      </c>
      <c r="D289" s="28">
        <v>1</v>
      </c>
      <c r="E289" s="1">
        <v>40.0002</v>
      </c>
      <c r="F289" s="1">
        <v>110.9</v>
      </c>
      <c r="G289" s="1">
        <v>9.75</v>
      </c>
      <c r="H289" s="1">
        <v>5.9999999999999995E-4</v>
      </c>
      <c r="I289" s="1">
        <v>1</v>
      </c>
    </row>
    <row r="290" spans="3:9" x14ac:dyDescent="0.2">
      <c r="C290" t="s">
        <v>514</v>
      </c>
      <c r="D290" s="28">
        <v>1</v>
      </c>
      <c r="E290" s="1">
        <v>40.0002</v>
      </c>
      <c r="F290" s="1">
        <v>106.8</v>
      </c>
      <c r="G290" s="1">
        <v>9.75</v>
      </c>
      <c r="H290" s="1">
        <v>5.9999999999999995E-4</v>
      </c>
      <c r="I290" s="1">
        <v>1</v>
      </c>
    </row>
    <row r="291" spans="3:9" x14ac:dyDescent="0.2">
      <c r="C291" t="s">
        <v>514</v>
      </c>
      <c r="D291" s="28">
        <v>1</v>
      </c>
      <c r="E291" s="1">
        <v>40.000300000000003</v>
      </c>
      <c r="F291" s="1">
        <v>100.6</v>
      </c>
      <c r="G291" s="1">
        <v>9.75</v>
      </c>
      <c r="H291" s="1">
        <v>5.9999999999999995E-4</v>
      </c>
      <c r="I291" s="1">
        <v>1</v>
      </c>
    </row>
    <row r="292" spans="3:9" x14ac:dyDescent="0.2">
      <c r="C292" t="s">
        <v>514</v>
      </c>
      <c r="D292" s="28">
        <v>1</v>
      </c>
      <c r="E292" s="1">
        <v>40.000399999999999</v>
      </c>
      <c r="F292" s="1">
        <v>99.9</v>
      </c>
      <c r="G292" s="1">
        <v>9.75</v>
      </c>
      <c r="H292" s="1">
        <v>5.9999999999999995E-4</v>
      </c>
      <c r="I292" s="1">
        <v>1</v>
      </c>
    </row>
    <row r="293" spans="3:9" x14ac:dyDescent="0.2">
      <c r="C293" t="s">
        <v>514</v>
      </c>
      <c r="D293" s="28">
        <v>1</v>
      </c>
      <c r="E293" s="1">
        <v>39.9998</v>
      </c>
      <c r="F293" s="1">
        <v>101.4</v>
      </c>
      <c r="G293" s="1">
        <v>9.75</v>
      </c>
      <c r="H293" s="1">
        <v>5.9999999999999995E-4</v>
      </c>
      <c r="I293" s="1">
        <v>1</v>
      </c>
    </row>
    <row r="294" spans="3:9" x14ac:dyDescent="0.2">
      <c r="C294" t="s">
        <v>514</v>
      </c>
      <c r="D294" s="28">
        <v>1</v>
      </c>
      <c r="E294" s="1">
        <v>39.9998</v>
      </c>
      <c r="F294" s="1">
        <v>104.4</v>
      </c>
      <c r="G294" s="1">
        <v>9.75</v>
      </c>
      <c r="H294" s="1">
        <v>5.9999999999999995E-4</v>
      </c>
      <c r="I294" s="1">
        <v>1</v>
      </c>
    </row>
    <row r="295" spans="3:9" x14ac:dyDescent="0.2">
      <c r="C295" t="s">
        <v>514</v>
      </c>
      <c r="D295" s="28">
        <v>1</v>
      </c>
      <c r="E295" s="1">
        <v>40.000300000000003</v>
      </c>
      <c r="F295" s="1">
        <v>107.5</v>
      </c>
      <c r="G295" s="1">
        <v>9.75</v>
      </c>
      <c r="H295" s="1">
        <v>5.9999999999999995E-4</v>
      </c>
      <c r="I295" s="1">
        <v>1</v>
      </c>
    </row>
    <row r="296" spans="3:9" x14ac:dyDescent="0.2">
      <c r="C296" t="s">
        <v>514</v>
      </c>
      <c r="D296" s="28">
        <v>1</v>
      </c>
      <c r="E296" s="1">
        <v>39.9998</v>
      </c>
      <c r="F296" s="1">
        <v>110.5</v>
      </c>
      <c r="G296" s="1">
        <v>9.75</v>
      </c>
      <c r="H296" s="1">
        <v>5.9999999999999995E-4</v>
      </c>
      <c r="I296" s="1">
        <v>1</v>
      </c>
    </row>
    <row r="297" spans="3:9" x14ac:dyDescent="0.2">
      <c r="C297" t="s">
        <v>514</v>
      </c>
      <c r="D297" s="28">
        <v>1</v>
      </c>
      <c r="E297" s="1">
        <v>40.000399999999999</v>
      </c>
      <c r="F297" s="1">
        <v>118.9</v>
      </c>
      <c r="G297" s="1">
        <v>9.75</v>
      </c>
      <c r="H297" s="1">
        <v>5.9999999999999995E-4</v>
      </c>
      <c r="I297" s="1">
        <v>1</v>
      </c>
    </row>
    <row r="298" spans="3:9" x14ac:dyDescent="0.2">
      <c r="C298" t="s">
        <v>514</v>
      </c>
      <c r="D298" s="28">
        <v>1</v>
      </c>
      <c r="E298" s="1">
        <v>40.000500000000002</v>
      </c>
      <c r="F298" s="1">
        <v>126.2</v>
      </c>
      <c r="G298" s="1">
        <v>9.75</v>
      </c>
      <c r="H298" s="1">
        <v>5.9999999999999995E-4</v>
      </c>
      <c r="I298" s="1">
        <v>1</v>
      </c>
    </row>
    <row r="299" spans="3:9" x14ac:dyDescent="0.2">
      <c r="C299" t="s">
        <v>514</v>
      </c>
      <c r="D299" s="28">
        <v>1</v>
      </c>
      <c r="E299" s="1">
        <v>39.999899999999997</v>
      </c>
      <c r="F299" s="1">
        <v>137.80000000000001</v>
      </c>
      <c r="G299" s="1">
        <v>9.75</v>
      </c>
      <c r="H299" s="1">
        <v>5.9999999999999995E-4</v>
      </c>
      <c r="I299" s="1">
        <v>1</v>
      </c>
    </row>
    <row r="300" spans="3:9" x14ac:dyDescent="0.2">
      <c r="C300" t="s">
        <v>514</v>
      </c>
      <c r="D300" s="28">
        <v>1</v>
      </c>
      <c r="E300" s="1">
        <v>40</v>
      </c>
      <c r="F300" s="1">
        <v>147.19999999999999</v>
      </c>
      <c r="G300" s="1">
        <v>9.75</v>
      </c>
      <c r="H300" s="1">
        <v>5.9999999999999995E-4</v>
      </c>
      <c r="I300" s="1">
        <v>1</v>
      </c>
    </row>
    <row r="301" spans="3:9" x14ac:dyDescent="0.2">
      <c r="C301" t="s">
        <v>514</v>
      </c>
      <c r="D301" s="28">
        <v>1</v>
      </c>
      <c r="E301" s="1">
        <v>40.0002</v>
      </c>
      <c r="F301" s="1">
        <v>156.30000000000001</v>
      </c>
      <c r="G301" s="1">
        <v>9.75</v>
      </c>
      <c r="H301" s="1">
        <v>5.9999999999999995E-4</v>
      </c>
      <c r="I301" s="1">
        <v>1</v>
      </c>
    </row>
    <row r="302" spans="3:9" x14ac:dyDescent="0.2">
      <c r="C302" t="s">
        <v>514</v>
      </c>
      <c r="D302" s="28">
        <v>1</v>
      </c>
      <c r="E302" s="1">
        <v>40</v>
      </c>
      <c r="F302" s="1">
        <v>168.5</v>
      </c>
      <c r="G302" s="1">
        <v>9.75</v>
      </c>
      <c r="H302" s="1">
        <v>5.9999999999999995E-4</v>
      </c>
      <c r="I302" s="1">
        <v>1</v>
      </c>
    </row>
    <row r="303" spans="3:9" x14ac:dyDescent="0.2">
      <c r="C303" t="s">
        <v>514</v>
      </c>
      <c r="D303" s="28">
        <v>1</v>
      </c>
      <c r="E303" s="1">
        <v>39.999400000000001</v>
      </c>
      <c r="F303" s="1">
        <v>179.5</v>
      </c>
      <c r="G303" s="1">
        <v>9.75</v>
      </c>
      <c r="H303" s="1">
        <v>5.9999999999999995E-4</v>
      </c>
      <c r="I303" s="1">
        <v>1</v>
      </c>
    </row>
    <row r="304" spans="3:9" x14ac:dyDescent="0.2">
      <c r="C304" t="s">
        <v>514</v>
      </c>
      <c r="D304" s="28">
        <v>1</v>
      </c>
      <c r="E304" s="1">
        <v>40.000300000000003</v>
      </c>
      <c r="F304" s="1">
        <v>191.3</v>
      </c>
      <c r="G304" s="1">
        <v>9.75</v>
      </c>
      <c r="H304" s="1">
        <v>5.9999999999999995E-4</v>
      </c>
      <c r="I304" s="1">
        <v>1</v>
      </c>
    </row>
    <row r="305" spans="3:9" x14ac:dyDescent="0.2">
      <c r="C305" t="s">
        <v>514</v>
      </c>
      <c r="D305" s="28">
        <v>1</v>
      </c>
      <c r="E305" s="1">
        <v>39.9998</v>
      </c>
      <c r="F305" s="1">
        <v>199.9</v>
      </c>
      <c r="G305" s="1">
        <v>9.75</v>
      </c>
      <c r="H305" s="1">
        <v>5.9999999999999995E-4</v>
      </c>
      <c r="I305" s="1">
        <v>1</v>
      </c>
    </row>
    <row r="306" spans="3:9" x14ac:dyDescent="0.2">
      <c r="C306" t="s">
        <v>514</v>
      </c>
      <c r="D306" s="28">
        <v>1</v>
      </c>
      <c r="E306" s="1">
        <v>40.000100000000003</v>
      </c>
      <c r="F306" s="1">
        <v>207.7</v>
      </c>
      <c r="G306" s="1">
        <v>9.75</v>
      </c>
      <c r="H306" s="1">
        <v>5.9999999999999995E-4</v>
      </c>
      <c r="I306" s="1">
        <v>1</v>
      </c>
    </row>
    <row r="307" spans="3:9" x14ac:dyDescent="0.2">
      <c r="C307" t="s">
        <v>514</v>
      </c>
      <c r="D307" s="28">
        <v>1</v>
      </c>
      <c r="E307" s="1">
        <v>40</v>
      </c>
      <c r="F307" s="1">
        <v>215.2</v>
      </c>
      <c r="G307" s="1">
        <v>9.75</v>
      </c>
      <c r="H307" s="1">
        <v>5.9999999999999995E-4</v>
      </c>
      <c r="I307" s="1">
        <v>1</v>
      </c>
    </row>
    <row r="308" spans="3:9" x14ac:dyDescent="0.2">
      <c r="C308" t="s">
        <v>514</v>
      </c>
      <c r="D308" s="28">
        <v>1</v>
      </c>
      <c r="E308" s="1">
        <v>40.000500000000002</v>
      </c>
      <c r="F308" s="1">
        <v>231.1</v>
      </c>
      <c r="G308" s="1">
        <v>9.75</v>
      </c>
      <c r="H308" s="1">
        <v>5.9999999999999995E-4</v>
      </c>
      <c r="I308" s="1">
        <v>1</v>
      </c>
    </row>
    <row r="309" spans="3:9" x14ac:dyDescent="0.2">
      <c r="C309" t="s">
        <v>514</v>
      </c>
      <c r="D309" s="28">
        <v>1</v>
      </c>
      <c r="E309" s="1">
        <v>39.999400000000001</v>
      </c>
      <c r="F309" s="1">
        <v>242.1</v>
      </c>
      <c r="G309" s="1">
        <v>9.75</v>
      </c>
      <c r="H309" s="1">
        <v>5.9999999999999995E-4</v>
      </c>
      <c r="I309" s="1">
        <v>1</v>
      </c>
    </row>
    <row r="310" spans="3:9" x14ac:dyDescent="0.2">
      <c r="C310" t="s">
        <v>514</v>
      </c>
      <c r="D310" s="28">
        <v>1</v>
      </c>
      <c r="E310" s="1">
        <v>40.000500000000002</v>
      </c>
      <c r="F310" s="1">
        <v>250.8</v>
      </c>
      <c r="G310" s="1">
        <v>9.75</v>
      </c>
      <c r="H310" s="1">
        <v>5.9999999999999995E-4</v>
      </c>
      <c r="I310" s="1">
        <v>1</v>
      </c>
    </row>
    <row r="311" spans="3:9" x14ac:dyDescent="0.2">
      <c r="C311" t="s">
        <v>514</v>
      </c>
      <c r="D311" s="28">
        <v>1</v>
      </c>
      <c r="E311" s="1">
        <v>40.000100000000003</v>
      </c>
      <c r="F311" s="1">
        <v>256.39999999999998</v>
      </c>
      <c r="G311" s="1">
        <v>9.75</v>
      </c>
      <c r="H311" s="1">
        <v>5.9999999999999995E-4</v>
      </c>
      <c r="I311" s="1">
        <v>1</v>
      </c>
    </row>
    <row r="312" spans="3:9" x14ac:dyDescent="0.2">
      <c r="C312" t="s">
        <v>514</v>
      </c>
      <c r="D312" s="28">
        <v>1</v>
      </c>
      <c r="E312" s="1">
        <v>39.999699999999997</v>
      </c>
      <c r="F312" s="1">
        <v>253.1</v>
      </c>
      <c r="G312" s="1">
        <v>9.75</v>
      </c>
      <c r="H312" s="1">
        <v>5.9999999999999995E-4</v>
      </c>
      <c r="I312" s="1">
        <v>1</v>
      </c>
    </row>
    <row r="313" spans="3:9" x14ac:dyDescent="0.2">
      <c r="C313" t="s">
        <v>514</v>
      </c>
      <c r="D313" s="28">
        <v>1</v>
      </c>
      <c r="E313" s="1">
        <v>40.0002</v>
      </c>
      <c r="F313" s="1">
        <v>237.3</v>
      </c>
      <c r="G313" s="1">
        <v>9.75</v>
      </c>
      <c r="H313" s="1">
        <v>5.9999999999999995E-4</v>
      </c>
      <c r="I313" s="1">
        <v>1</v>
      </c>
    </row>
    <row r="314" spans="3:9" x14ac:dyDescent="0.2">
      <c r="C314" t="s">
        <v>514</v>
      </c>
      <c r="D314" s="28">
        <v>1</v>
      </c>
      <c r="E314" s="1">
        <v>40.000500000000002</v>
      </c>
      <c r="F314" s="1">
        <v>228.6</v>
      </c>
      <c r="G314" s="1">
        <v>9.75</v>
      </c>
      <c r="H314" s="1">
        <v>5.9999999999999995E-4</v>
      </c>
      <c r="I314" s="1">
        <v>1</v>
      </c>
    </row>
    <row r="315" spans="3:9" x14ac:dyDescent="0.2">
      <c r="C315" t="s">
        <v>514</v>
      </c>
      <c r="D315" s="28">
        <v>1</v>
      </c>
      <c r="E315" s="1">
        <v>39.9998</v>
      </c>
      <c r="F315" s="1">
        <v>213.6</v>
      </c>
      <c r="G315" s="1">
        <v>9.75</v>
      </c>
      <c r="H315" s="1">
        <v>5.9999999999999995E-4</v>
      </c>
      <c r="I315" s="1">
        <v>1</v>
      </c>
    </row>
    <row r="316" spans="3:9" x14ac:dyDescent="0.2">
      <c r="C316" t="s">
        <v>514</v>
      </c>
      <c r="D316" s="28">
        <v>1</v>
      </c>
      <c r="E316" s="1">
        <v>40.000500000000002</v>
      </c>
      <c r="F316" s="1">
        <v>204.9</v>
      </c>
      <c r="G316" s="1">
        <v>9.75</v>
      </c>
      <c r="H316" s="1">
        <v>5.9999999999999995E-4</v>
      </c>
      <c r="I316" s="1">
        <v>1</v>
      </c>
    </row>
    <row r="317" spans="3:9" x14ac:dyDescent="0.2">
      <c r="C317" t="s">
        <v>514</v>
      </c>
      <c r="D317" s="28">
        <v>1</v>
      </c>
      <c r="E317" s="1">
        <v>40.0002</v>
      </c>
      <c r="F317" s="1">
        <v>214</v>
      </c>
      <c r="G317" s="1">
        <v>9.75</v>
      </c>
      <c r="H317" s="1">
        <v>5.9999999999999995E-4</v>
      </c>
      <c r="I317" s="1">
        <v>1</v>
      </c>
    </row>
    <row r="318" spans="3:9" x14ac:dyDescent="0.2">
      <c r="C318" t="s">
        <v>514</v>
      </c>
      <c r="D318" s="28">
        <v>1</v>
      </c>
      <c r="E318" s="1">
        <v>39.999899999999997</v>
      </c>
      <c r="F318" s="1">
        <v>224.8</v>
      </c>
      <c r="G318" s="1">
        <v>9.75</v>
      </c>
      <c r="H318" s="1">
        <v>5.9999999999999995E-4</v>
      </c>
      <c r="I318" s="1">
        <v>1</v>
      </c>
    </row>
    <row r="319" spans="3:9" x14ac:dyDescent="0.2">
      <c r="C319" t="s">
        <v>514</v>
      </c>
      <c r="D319" s="28">
        <v>1</v>
      </c>
      <c r="E319" s="1">
        <v>40.000500000000002</v>
      </c>
      <c r="F319" s="1">
        <v>238.2</v>
      </c>
      <c r="G319" s="1">
        <v>9.75</v>
      </c>
      <c r="H319" s="1">
        <v>5.9999999999999995E-4</v>
      </c>
      <c r="I319" s="1">
        <v>1</v>
      </c>
    </row>
    <row r="320" spans="3:9" x14ac:dyDescent="0.2">
      <c r="C320" t="s">
        <v>514</v>
      </c>
      <c r="D320" s="28">
        <v>1</v>
      </c>
      <c r="E320" s="1">
        <v>40.0002</v>
      </c>
      <c r="F320" s="1">
        <v>254</v>
      </c>
      <c r="G320" s="1">
        <v>9.75</v>
      </c>
      <c r="H320" s="1">
        <v>5.9999999999999995E-4</v>
      </c>
      <c r="I320" s="1">
        <v>1</v>
      </c>
    </row>
    <row r="321" spans="3:9" x14ac:dyDescent="0.2">
      <c r="C321" t="s">
        <v>514</v>
      </c>
      <c r="D321" s="28">
        <v>1</v>
      </c>
      <c r="E321" s="1">
        <v>39.999899999999997</v>
      </c>
      <c r="F321" s="1">
        <v>265.60000000000002</v>
      </c>
      <c r="G321" s="1">
        <v>9.75</v>
      </c>
      <c r="H321" s="1">
        <v>5.9999999999999995E-4</v>
      </c>
      <c r="I321" s="1">
        <v>1</v>
      </c>
    </row>
    <row r="322" spans="3:9" x14ac:dyDescent="0.2">
      <c r="C322" t="s">
        <v>514</v>
      </c>
      <c r="D322" s="28">
        <v>1</v>
      </c>
      <c r="E322" s="1">
        <v>40.000300000000003</v>
      </c>
      <c r="F322" s="1">
        <v>271.39999999999998</v>
      </c>
      <c r="G322" s="1">
        <v>9.75</v>
      </c>
      <c r="H322" s="1">
        <v>5.9999999999999995E-4</v>
      </c>
      <c r="I322" s="1">
        <v>1</v>
      </c>
    </row>
    <row r="323" spans="3:9" x14ac:dyDescent="0.2">
      <c r="C323" t="s">
        <v>514</v>
      </c>
      <c r="D323" s="28">
        <v>1</v>
      </c>
      <c r="E323" s="1">
        <v>39.999699999999997</v>
      </c>
      <c r="F323" s="1">
        <v>273.7</v>
      </c>
      <c r="G323" s="1">
        <v>9.75</v>
      </c>
      <c r="H323" s="1">
        <v>5.9999999999999995E-4</v>
      </c>
      <c r="I323" s="1">
        <v>1</v>
      </c>
    </row>
    <row r="324" spans="3:9" x14ac:dyDescent="0.2">
      <c r="C324" t="s">
        <v>514</v>
      </c>
      <c r="D324" s="28">
        <v>1</v>
      </c>
      <c r="E324" s="1">
        <v>40.000100000000003</v>
      </c>
      <c r="F324" s="1">
        <v>275.89999999999998</v>
      </c>
      <c r="G324" s="1">
        <v>9.75</v>
      </c>
      <c r="H324" s="1">
        <v>5.9999999999999995E-4</v>
      </c>
      <c r="I324" s="1">
        <v>1</v>
      </c>
    </row>
    <row r="325" spans="3:9" x14ac:dyDescent="0.2">
      <c r="C325" t="s">
        <v>514</v>
      </c>
      <c r="D325" s="28">
        <v>1</v>
      </c>
      <c r="E325" s="1">
        <v>39.999600000000001</v>
      </c>
      <c r="F325" s="1">
        <v>276.8</v>
      </c>
      <c r="G325" s="1">
        <v>9.75</v>
      </c>
      <c r="H325" s="1">
        <v>5.9999999999999995E-4</v>
      </c>
      <c r="I325" s="1">
        <v>1</v>
      </c>
    </row>
    <row r="326" spans="3:9" x14ac:dyDescent="0.2">
      <c r="C326" t="s">
        <v>514</v>
      </c>
      <c r="D326" s="28">
        <v>1</v>
      </c>
      <c r="E326" s="1">
        <v>40.000100000000003</v>
      </c>
      <c r="F326" s="1">
        <v>278.7</v>
      </c>
      <c r="G326" s="1">
        <v>9.75</v>
      </c>
      <c r="H326" s="1">
        <v>5.9999999999999995E-4</v>
      </c>
      <c r="I326" s="1">
        <v>1</v>
      </c>
    </row>
    <row r="327" spans="3:9" x14ac:dyDescent="0.2">
      <c r="C327" t="s">
        <v>514</v>
      </c>
      <c r="D327" s="28">
        <v>1</v>
      </c>
      <c r="E327" s="1">
        <v>40.000300000000003</v>
      </c>
      <c r="F327" s="1">
        <v>280.5</v>
      </c>
      <c r="G327" s="1">
        <v>9.75</v>
      </c>
      <c r="H327" s="1">
        <v>5.9999999999999995E-4</v>
      </c>
      <c r="I327" s="1">
        <v>1</v>
      </c>
    </row>
    <row r="328" spans="3:9" x14ac:dyDescent="0.2">
      <c r="C328" t="s">
        <v>514</v>
      </c>
      <c r="D328" s="28">
        <v>1</v>
      </c>
      <c r="E328" s="1">
        <v>39.999899999999997</v>
      </c>
      <c r="F328" s="1">
        <v>281.8</v>
      </c>
      <c r="G328" s="1">
        <v>9.75</v>
      </c>
      <c r="H328" s="1">
        <v>5.9999999999999995E-4</v>
      </c>
      <c r="I328" s="1">
        <v>1</v>
      </c>
    </row>
    <row r="329" spans="3:9" x14ac:dyDescent="0.2">
      <c r="C329" t="s">
        <v>514</v>
      </c>
      <c r="D329" s="28">
        <v>1</v>
      </c>
      <c r="E329" s="1">
        <v>39.999899999999997</v>
      </c>
      <c r="F329" s="1">
        <v>283.10000000000002</v>
      </c>
      <c r="G329" s="1">
        <v>9.75</v>
      </c>
      <c r="H329" s="1">
        <v>5.9999999999999995E-4</v>
      </c>
      <c r="I329" s="1">
        <v>1</v>
      </c>
    </row>
    <row r="330" spans="3:9" x14ac:dyDescent="0.2">
      <c r="C330" t="s">
        <v>514</v>
      </c>
      <c r="D330" s="28">
        <v>1</v>
      </c>
      <c r="E330" s="1">
        <v>40</v>
      </c>
      <c r="F330" s="1">
        <v>283.7</v>
      </c>
      <c r="G330" s="1">
        <v>9.75</v>
      </c>
      <c r="H330" s="1">
        <v>5.9999999999999995E-4</v>
      </c>
      <c r="I330" s="1">
        <v>1</v>
      </c>
    </row>
    <row r="331" spans="3:9" x14ac:dyDescent="0.2">
      <c r="C331" t="s">
        <v>514</v>
      </c>
      <c r="D331" s="28">
        <v>1</v>
      </c>
      <c r="E331" s="1">
        <v>40</v>
      </c>
      <c r="F331" s="1">
        <v>284.3</v>
      </c>
      <c r="G331" s="1">
        <v>9.75</v>
      </c>
      <c r="H331" s="1">
        <v>5.9999999999999995E-4</v>
      </c>
      <c r="I331" s="1">
        <v>1</v>
      </c>
    </row>
    <row r="332" spans="3:9" x14ac:dyDescent="0.2">
      <c r="C332" t="s">
        <v>514</v>
      </c>
      <c r="D332" s="28">
        <v>1</v>
      </c>
      <c r="E332" s="1">
        <v>39.999699999999997</v>
      </c>
      <c r="F332" s="1">
        <v>286.7</v>
      </c>
      <c r="G332" s="1">
        <v>9.75</v>
      </c>
      <c r="H332" s="1">
        <v>5.9999999999999995E-4</v>
      </c>
      <c r="I332" s="1">
        <v>1</v>
      </c>
    </row>
    <row r="333" spans="3:9" x14ac:dyDescent="0.2">
      <c r="C333" t="s">
        <v>514</v>
      </c>
      <c r="D333" s="28">
        <v>1</v>
      </c>
      <c r="E333" s="1">
        <v>39.999600000000001</v>
      </c>
      <c r="F333" s="1">
        <v>285.8</v>
      </c>
      <c r="G333" s="1">
        <v>9.75</v>
      </c>
      <c r="H333" s="1">
        <v>5.9999999999999995E-4</v>
      </c>
      <c r="I333" s="1">
        <v>1</v>
      </c>
    </row>
    <row r="334" spans="3:9" x14ac:dyDescent="0.2">
      <c r="C334" t="s">
        <v>514</v>
      </c>
      <c r="D334" s="28">
        <v>1</v>
      </c>
      <c r="E334" s="1">
        <v>40.000300000000003</v>
      </c>
      <c r="F334" s="1">
        <v>288.89999999999998</v>
      </c>
      <c r="G334" s="1">
        <v>9.75</v>
      </c>
      <c r="H334" s="1">
        <v>5.9999999999999995E-4</v>
      </c>
      <c r="I334" s="1">
        <v>1</v>
      </c>
    </row>
    <row r="335" spans="3:9" x14ac:dyDescent="0.2">
      <c r="C335" t="s">
        <v>514</v>
      </c>
      <c r="D335" s="28">
        <v>1</v>
      </c>
      <c r="E335" s="1">
        <v>39.999600000000001</v>
      </c>
      <c r="F335" s="1">
        <v>287.89999999999998</v>
      </c>
      <c r="G335" s="1">
        <v>9.75</v>
      </c>
      <c r="H335" s="1">
        <v>5.9999999999999995E-4</v>
      </c>
      <c r="I335" s="1">
        <v>1</v>
      </c>
    </row>
    <row r="336" spans="3:9" x14ac:dyDescent="0.2">
      <c r="C336" t="s">
        <v>514</v>
      </c>
      <c r="D336" s="28">
        <v>1</v>
      </c>
      <c r="E336" s="1">
        <v>39.999600000000001</v>
      </c>
      <c r="F336" s="1">
        <v>288.89999999999998</v>
      </c>
      <c r="G336" s="1">
        <v>9.75</v>
      </c>
      <c r="H336" s="1">
        <v>5.9999999999999995E-4</v>
      </c>
      <c r="I336" s="1">
        <v>1</v>
      </c>
    </row>
    <row r="337" spans="3:9" x14ac:dyDescent="0.2">
      <c r="C337" t="s">
        <v>514</v>
      </c>
      <c r="D337" s="28">
        <v>1</v>
      </c>
      <c r="E337" s="1">
        <v>40.0002</v>
      </c>
      <c r="F337" s="1">
        <v>289.2</v>
      </c>
      <c r="G337" s="1">
        <v>9.75</v>
      </c>
      <c r="H337" s="1">
        <v>5.9999999999999995E-4</v>
      </c>
      <c r="I337" s="1">
        <v>1</v>
      </c>
    </row>
    <row r="338" spans="3:9" x14ac:dyDescent="0.2">
      <c r="C338" t="s">
        <v>514</v>
      </c>
      <c r="D338" s="28">
        <v>1</v>
      </c>
      <c r="E338" s="1">
        <v>39.999899999999997</v>
      </c>
      <c r="F338" s="1">
        <v>289.60000000000002</v>
      </c>
      <c r="G338" s="1">
        <v>9.75</v>
      </c>
      <c r="H338" s="1">
        <v>5.9999999999999995E-4</v>
      </c>
      <c r="I338" s="1">
        <v>1</v>
      </c>
    </row>
    <row r="339" spans="3:9" x14ac:dyDescent="0.2">
      <c r="C339" t="s">
        <v>514</v>
      </c>
      <c r="D339" s="28">
        <v>1</v>
      </c>
      <c r="E339" s="1">
        <v>39.999600000000001</v>
      </c>
      <c r="F339" s="1">
        <v>290.60000000000002</v>
      </c>
      <c r="G339" s="1">
        <v>9.75</v>
      </c>
      <c r="H339" s="1">
        <v>5.9999999999999995E-4</v>
      </c>
      <c r="I339" s="1">
        <v>1</v>
      </c>
    </row>
    <row r="340" spans="3:9" x14ac:dyDescent="0.2">
      <c r="C340" t="s">
        <v>514</v>
      </c>
      <c r="D340" s="28">
        <v>1</v>
      </c>
      <c r="E340" s="1">
        <v>39.999600000000001</v>
      </c>
      <c r="F340" s="1">
        <v>291.5</v>
      </c>
      <c r="G340" s="1">
        <v>9.75</v>
      </c>
      <c r="H340" s="1">
        <v>5.9999999999999995E-4</v>
      </c>
      <c r="I340" s="1">
        <v>1</v>
      </c>
    </row>
    <row r="341" spans="3:9" x14ac:dyDescent="0.2">
      <c r="C341" t="s">
        <v>514</v>
      </c>
      <c r="D341" s="28">
        <v>1</v>
      </c>
      <c r="E341" s="1">
        <v>40.000300000000003</v>
      </c>
      <c r="F341" s="1">
        <v>293.3</v>
      </c>
      <c r="G341" s="1">
        <v>9.75</v>
      </c>
      <c r="H341" s="1">
        <v>5.9999999999999995E-4</v>
      </c>
      <c r="I341" s="1">
        <v>1</v>
      </c>
    </row>
    <row r="342" spans="3:9" x14ac:dyDescent="0.2">
      <c r="C342" t="s">
        <v>514</v>
      </c>
      <c r="D342" s="28">
        <v>1</v>
      </c>
      <c r="E342" s="1">
        <v>40.000100000000003</v>
      </c>
      <c r="F342" s="1">
        <v>291.7</v>
      </c>
      <c r="G342" s="1">
        <v>9.75</v>
      </c>
      <c r="H342" s="1">
        <v>5.9999999999999995E-4</v>
      </c>
      <c r="I342" s="1">
        <v>1</v>
      </c>
    </row>
    <row r="343" spans="3:9" x14ac:dyDescent="0.2">
      <c r="C343" t="s">
        <v>514</v>
      </c>
      <c r="D343" s="28">
        <v>1</v>
      </c>
      <c r="E343" s="1">
        <v>39.999699999999997</v>
      </c>
      <c r="F343" s="1">
        <v>290.3</v>
      </c>
      <c r="G343" s="1">
        <v>9.75</v>
      </c>
      <c r="H343" s="1">
        <v>5.9999999999999995E-4</v>
      </c>
      <c r="I343" s="1">
        <v>1</v>
      </c>
    </row>
    <row r="344" spans="3:9" x14ac:dyDescent="0.2">
      <c r="C344" t="s">
        <v>514</v>
      </c>
      <c r="D344" s="28">
        <v>1</v>
      </c>
      <c r="E344" s="1">
        <v>40.000399999999999</v>
      </c>
      <c r="F344" s="1">
        <v>289.10000000000002</v>
      </c>
      <c r="G344" s="1">
        <v>9.75</v>
      </c>
      <c r="H344" s="1">
        <v>5.9999999999999995E-4</v>
      </c>
      <c r="I344" s="1">
        <v>1</v>
      </c>
    </row>
    <row r="345" spans="3:9" x14ac:dyDescent="0.2">
      <c r="C345" t="s">
        <v>514</v>
      </c>
      <c r="D345" s="28">
        <v>1</v>
      </c>
      <c r="E345" s="1">
        <v>39.999699999999997</v>
      </c>
      <c r="F345" s="1">
        <v>285.8</v>
      </c>
      <c r="G345" s="1">
        <v>9.75</v>
      </c>
      <c r="H345" s="1">
        <v>5.9999999999999995E-4</v>
      </c>
      <c r="I345" s="1">
        <v>1</v>
      </c>
    </row>
    <row r="346" spans="3:9" x14ac:dyDescent="0.2">
      <c r="C346" t="s">
        <v>514</v>
      </c>
      <c r="D346" s="28">
        <v>1</v>
      </c>
      <c r="E346" s="1">
        <v>40.000300000000003</v>
      </c>
      <c r="F346" s="1">
        <v>282.10000000000002</v>
      </c>
      <c r="G346" s="1">
        <v>9.75</v>
      </c>
      <c r="H346" s="1">
        <v>5.9999999999999995E-4</v>
      </c>
      <c r="I346" s="1">
        <v>1</v>
      </c>
    </row>
    <row r="347" spans="3:9" x14ac:dyDescent="0.2">
      <c r="C347" t="s">
        <v>514</v>
      </c>
      <c r="D347" s="28">
        <v>1</v>
      </c>
      <c r="E347" s="1">
        <v>39.999499999999998</v>
      </c>
      <c r="F347" s="1">
        <v>278.10000000000002</v>
      </c>
      <c r="G347" s="1">
        <v>9.75</v>
      </c>
      <c r="H347" s="1">
        <v>5.9999999999999995E-4</v>
      </c>
      <c r="I347" s="1">
        <v>1</v>
      </c>
    </row>
    <row r="348" spans="3:9" x14ac:dyDescent="0.2">
      <c r="C348" t="s">
        <v>514</v>
      </c>
      <c r="D348" s="28">
        <v>1</v>
      </c>
      <c r="E348" s="1">
        <v>40</v>
      </c>
      <c r="F348" s="1">
        <v>270.60000000000002</v>
      </c>
      <c r="G348" s="1">
        <v>9.75</v>
      </c>
      <c r="H348" s="1">
        <v>5.9999999999999995E-4</v>
      </c>
      <c r="I348" s="1">
        <v>1</v>
      </c>
    </row>
    <row r="349" spans="3:9" x14ac:dyDescent="0.2">
      <c r="C349" t="s">
        <v>514</v>
      </c>
      <c r="D349" s="28">
        <v>1</v>
      </c>
      <c r="E349" s="1">
        <v>40.0002</v>
      </c>
      <c r="F349" s="1">
        <v>264.5</v>
      </c>
      <c r="G349" s="1">
        <v>9.75</v>
      </c>
      <c r="H349" s="1">
        <v>5.9999999999999995E-4</v>
      </c>
      <c r="I349" s="1">
        <v>1</v>
      </c>
    </row>
    <row r="350" spans="3:9" x14ac:dyDescent="0.2">
      <c r="C350" t="s">
        <v>514</v>
      </c>
      <c r="D350" s="28">
        <v>1</v>
      </c>
      <c r="E350" s="1">
        <v>39.999699999999997</v>
      </c>
      <c r="F350" s="1">
        <v>266.8</v>
      </c>
      <c r="G350" s="1">
        <v>9.75</v>
      </c>
      <c r="H350" s="1">
        <v>5.9999999999999995E-4</v>
      </c>
      <c r="I350" s="1">
        <v>1</v>
      </c>
    </row>
    <row r="351" spans="3:9" x14ac:dyDescent="0.2">
      <c r="C351" t="s">
        <v>514</v>
      </c>
      <c r="D351" s="28">
        <v>1</v>
      </c>
      <c r="E351" s="1">
        <v>40.000100000000003</v>
      </c>
      <c r="F351" s="1">
        <v>262.2</v>
      </c>
      <c r="G351" s="1">
        <v>9.75</v>
      </c>
      <c r="H351" s="1">
        <v>5.9999999999999995E-4</v>
      </c>
      <c r="I351" s="1">
        <v>1</v>
      </c>
    </row>
    <row r="352" spans="3:9" x14ac:dyDescent="0.2">
      <c r="C352" t="s">
        <v>514</v>
      </c>
      <c r="D352" s="28">
        <v>1</v>
      </c>
      <c r="E352" s="1">
        <v>40.000399999999999</v>
      </c>
      <c r="F352" s="1">
        <v>262.3</v>
      </c>
      <c r="G352" s="1">
        <v>9.75</v>
      </c>
      <c r="H352" s="1">
        <v>5.9999999999999995E-4</v>
      </c>
      <c r="I352" s="1">
        <v>1</v>
      </c>
    </row>
    <row r="353" spans="3:9" x14ac:dyDescent="0.2">
      <c r="C353" t="s">
        <v>514</v>
      </c>
      <c r="D353" s="28">
        <v>1</v>
      </c>
      <c r="E353" s="1">
        <v>40.000300000000003</v>
      </c>
      <c r="F353" s="1">
        <v>264.89999999999998</v>
      </c>
      <c r="G353" s="1">
        <v>9.75</v>
      </c>
      <c r="H353" s="1">
        <v>5.9999999999999995E-4</v>
      </c>
      <c r="I353" s="1">
        <v>1</v>
      </c>
    </row>
    <row r="354" spans="3:9" x14ac:dyDescent="0.2">
      <c r="C354" t="s">
        <v>514</v>
      </c>
      <c r="D354" s="28">
        <v>1</v>
      </c>
      <c r="E354" s="1">
        <v>40.000300000000003</v>
      </c>
      <c r="F354" s="1">
        <v>277.3</v>
      </c>
      <c r="G354" s="1">
        <v>9.75</v>
      </c>
      <c r="H354" s="1">
        <v>5.9999999999999995E-4</v>
      </c>
      <c r="I354" s="1">
        <v>1</v>
      </c>
    </row>
    <row r="355" spans="3:9" x14ac:dyDescent="0.2">
      <c r="C355" t="s">
        <v>514</v>
      </c>
      <c r="D355" s="28">
        <v>1</v>
      </c>
      <c r="E355" s="1">
        <v>40.000500000000002</v>
      </c>
      <c r="F355" s="1">
        <v>290.8</v>
      </c>
      <c r="G355" s="1">
        <v>9.75</v>
      </c>
      <c r="H355" s="1">
        <v>5.9999999999999995E-4</v>
      </c>
      <c r="I355" s="1">
        <v>1</v>
      </c>
    </row>
    <row r="356" spans="3:9" x14ac:dyDescent="0.2">
      <c r="C356" t="s">
        <v>514</v>
      </c>
      <c r="D356" s="28">
        <v>1</v>
      </c>
      <c r="E356" s="1">
        <v>39.999499999999998</v>
      </c>
      <c r="F356" s="1">
        <v>287.2</v>
      </c>
      <c r="G356" s="1">
        <v>9.75</v>
      </c>
      <c r="H356" s="1">
        <v>5.9999999999999995E-4</v>
      </c>
      <c r="I356" s="1">
        <v>1</v>
      </c>
    </row>
    <row r="357" spans="3:9" x14ac:dyDescent="0.2">
      <c r="C357" t="s">
        <v>514</v>
      </c>
      <c r="D357" s="28">
        <v>1</v>
      </c>
      <c r="E357" s="1">
        <v>40.000500000000002</v>
      </c>
      <c r="F357" s="1">
        <v>273.8</v>
      </c>
      <c r="G357" s="1">
        <v>9.75</v>
      </c>
      <c r="H357" s="1">
        <v>5.9999999999999995E-4</v>
      </c>
      <c r="I357" s="1">
        <v>1</v>
      </c>
    </row>
    <row r="358" spans="3:9" x14ac:dyDescent="0.2">
      <c r="C358" t="s">
        <v>514</v>
      </c>
      <c r="D358" s="28">
        <v>1</v>
      </c>
      <c r="E358" s="1">
        <v>40</v>
      </c>
      <c r="F358" s="1">
        <v>263.8</v>
      </c>
      <c r="G358" s="1">
        <v>9.75</v>
      </c>
      <c r="H358" s="1">
        <v>5.9999999999999995E-4</v>
      </c>
      <c r="I358" s="1">
        <v>1</v>
      </c>
    </row>
    <row r="359" spans="3:9" x14ac:dyDescent="0.2">
      <c r="C359" t="s">
        <v>514</v>
      </c>
      <c r="D359" s="28">
        <v>1</v>
      </c>
      <c r="E359" s="1">
        <v>40.000500000000002</v>
      </c>
      <c r="F359" s="1">
        <v>256.5</v>
      </c>
      <c r="G359" s="1">
        <v>9.75</v>
      </c>
      <c r="H359" s="1">
        <v>5.9999999999999995E-4</v>
      </c>
      <c r="I359" s="1">
        <v>1</v>
      </c>
    </row>
    <row r="360" spans="3:9" x14ac:dyDescent="0.2">
      <c r="C360" t="s">
        <v>514</v>
      </c>
      <c r="D360" s="28">
        <v>1</v>
      </c>
      <c r="E360" s="1">
        <v>40.000100000000003</v>
      </c>
      <c r="F360" s="1">
        <v>251.9</v>
      </c>
      <c r="G360" s="1">
        <v>9.75</v>
      </c>
      <c r="H360" s="1">
        <v>5.9999999999999995E-4</v>
      </c>
      <c r="I360" s="1">
        <v>1</v>
      </c>
    </row>
    <row r="361" spans="3:9" x14ac:dyDescent="0.2">
      <c r="C361" t="s">
        <v>514</v>
      </c>
      <c r="D361" s="28">
        <v>1</v>
      </c>
      <c r="E361" s="1">
        <v>39.999699999999997</v>
      </c>
      <c r="F361" s="1">
        <v>255.3</v>
      </c>
      <c r="G361" s="1">
        <v>9.75</v>
      </c>
      <c r="H361" s="1">
        <v>5.9999999999999995E-4</v>
      </c>
      <c r="I361" s="1">
        <v>1</v>
      </c>
    </row>
    <row r="362" spans="3:9" x14ac:dyDescent="0.2">
      <c r="C362" t="s">
        <v>514</v>
      </c>
      <c r="D362" s="28">
        <v>1</v>
      </c>
      <c r="E362" s="1">
        <v>39.9998</v>
      </c>
      <c r="F362" s="1">
        <v>246</v>
      </c>
      <c r="G362" s="1">
        <v>9.75</v>
      </c>
      <c r="H362" s="1">
        <v>5.9999999999999995E-4</v>
      </c>
      <c r="I362" s="1">
        <v>1</v>
      </c>
    </row>
    <row r="363" spans="3:9" x14ac:dyDescent="0.2">
      <c r="C363" t="s">
        <v>514</v>
      </c>
      <c r="D363" s="28">
        <v>1</v>
      </c>
      <c r="E363" s="1">
        <v>39.999699999999997</v>
      </c>
      <c r="F363" s="1">
        <v>237.8</v>
      </c>
      <c r="G363" s="1">
        <v>9.75</v>
      </c>
      <c r="H363" s="1">
        <v>5.9999999999999995E-4</v>
      </c>
      <c r="I363" s="1">
        <v>1</v>
      </c>
    </row>
    <row r="364" spans="3:9" x14ac:dyDescent="0.2">
      <c r="C364" t="s">
        <v>514</v>
      </c>
      <c r="D364" s="28">
        <v>1</v>
      </c>
      <c r="E364" s="1">
        <v>40.000300000000003</v>
      </c>
      <c r="F364" s="1">
        <v>239.8</v>
      </c>
      <c r="G364" s="1">
        <v>9.75</v>
      </c>
      <c r="H364" s="1">
        <v>5.9999999999999995E-4</v>
      </c>
      <c r="I364" s="1">
        <v>1</v>
      </c>
    </row>
    <row r="365" spans="3:9" x14ac:dyDescent="0.2">
      <c r="C365" t="s">
        <v>514</v>
      </c>
      <c r="D365" s="28">
        <v>1</v>
      </c>
      <c r="E365" s="1">
        <v>39.999499999999998</v>
      </c>
      <c r="F365" s="1">
        <v>242.7</v>
      </c>
      <c r="G365" s="1">
        <v>9.75</v>
      </c>
      <c r="H365" s="1">
        <v>5.9999999999999995E-4</v>
      </c>
      <c r="I365" s="1">
        <v>1</v>
      </c>
    </row>
    <row r="366" spans="3:9" x14ac:dyDescent="0.2">
      <c r="C366" t="s">
        <v>514</v>
      </c>
      <c r="D366" s="28">
        <v>1</v>
      </c>
      <c r="E366" s="1">
        <v>39.999499999999998</v>
      </c>
      <c r="F366" s="1">
        <v>245.6</v>
      </c>
      <c r="G366" s="1">
        <v>9.75</v>
      </c>
      <c r="H366" s="1">
        <v>5.9999999999999995E-4</v>
      </c>
      <c r="I366" s="1">
        <v>1</v>
      </c>
    </row>
    <row r="367" spans="3:9" x14ac:dyDescent="0.2">
      <c r="C367" t="s">
        <v>514</v>
      </c>
      <c r="D367" s="28">
        <v>1</v>
      </c>
      <c r="E367" s="1">
        <v>39.999499999999998</v>
      </c>
      <c r="F367" s="1">
        <v>248.5</v>
      </c>
      <c r="G367" s="1">
        <v>9.75</v>
      </c>
      <c r="H367" s="1">
        <v>5.9999999999999995E-4</v>
      </c>
      <c r="I367" s="1">
        <v>1</v>
      </c>
    </row>
    <row r="368" spans="3:9" x14ac:dyDescent="0.2">
      <c r="C368" t="s">
        <v>514</v>
      </c>
      <c r="D368" s="28">
        <v>1</v>
      </c>
      <c r="E368" s="1">
        <v>40.000100000000003</v>
      </c>
      <c r="F368" s="1">
        <v>250.1</v>
      </c>
      <c r="G368" s="1">
        <v>9.75</v>
      </c>
      <c r="H368" s="1">
        <v>5.9999999999999995E-4</v>
      </c>
      <c r="I368" s="1">
        <v>1</v>
      </c>
    </row>
    <row r="369" spans="3:9" x14ac:dyDescent="0.2">
      <c r="C369" t="s">
        <v>514</v>
      </c>
      <c r="D369" s="28">
        <v>1</v>
      </c>
      <c r="E369" s="1">
        <v>39.9998</v>
      </c>
      <c r="F369" s="1">
        <v>249.6</v>
      </c>
      <c r="G369" s="1">
        <v>9.75</v>
      </c>
      <c r="H369" s="1">
        <v>5.9999999999999995E-4</v>
      </c>
      <c r="I369" s="1">
        <v>1</v>
      </c>
    </row>
    <row r="370" spans="3:9" x14ac:dyDescent="0.2">
      <c r="C370" t="s">
        <v>514</v>
      </c>
      <c r="D370" s="28">
        <v>1</v>
      </c>
      <c r="E370" s="1">
        <v>39.999499999999998</v>
      </c>
      <c r="F370" s="1">
        <v>246</v>
      </c>
      <c r="G370" s="1">
        <v>9.75</v>
      </c>
      <c r="H370" s="1">
        <v>5.9999999999999995E-4</v>
      </c>
      <c r="I370" s="1">
        <v>1</v>
      </c>
    </row>
    <row r="371" spans="3:9" x14ac:dyDescent="0.2">
      <c r="C371" t="s">
        <v>514</v>
      </c>
      <c r="D371" s="28">
        <v>1</v>
      </c>
      <c r="E371" s="1">
        <v>40.000100000000003</v>
      </c>
      <c r="F371" s="1">
        <v>240.4</v>
      </c>
      <c r="G371" s="1">
        <v>9.75</v>
      </c>
      <c r="H371" s="1">
        <v>5.9999999999999995E-4</v>
      </c>
      <c r="I371" s="1">
        <v>1</v>
      </c>
    </row>
    <row r="372" spans="3:9" x14ac:dyDescent="0.2">
      <c r="C372" t="s">
        <v>514</v>
      </c>
      <c r="D372" s="28">
        <v>1</v>
      </c>
      <c r="E372" s="1">
        <v>39.999699999999997</v>
      </c>
      <c r="F372" s="1">
        <v>238</v>
      </c>
      <c r="G372" s="1">
        <v>9.75</v>
      </c>
      <c r="H372" s="1">
        <v>5.9999999999999995E-4</v>
      </c>
      <c r="I372" s="1">
        <v>1</v>
      </c>
    </row>
    <row r="373" spans="3:9" x14ac:dyDescent="0.2">
      <c r="C373" t="s">
        <v>514</v>
      </c>
      <c r="D373" s="28">
        <v>1</v>
      </c>
      <c r="E373" s="1">
        <v>40.000300000000003</v>
      </c>
      <c r="F373" s="1">
        <v>233.1</v>
      </c>
      <c r="G373" s="1">
        <v>9.75</v>
      </c>
      <c r="H373" s="1">
        <v>5.9999999999999995E-4</v>
      </c>
      <c r="I373" s="1">
        <v>1</v>
      </c>
    </row>
    <row r="374" spans="3:9" x14ac:dyDescent="0.2">
      <c r="C374" t="s">
        <v>514</v>
      </c>
      <c r="D374" s="28">
        <v>1</v>
      </c>
      <c r="E374" s="1">
        <v>39.9998</v>
      </c>
      <c r="F374" s="1">
        <v>230.1</v>
      </c>
      <c r="G374" s="1">
        <v>9.75</v>
      </c>
      <c r="H374" s="1">
        <v>5.9999999999999995E-4</v>
      </c>
      <c r="I374" s="1">
        <v>1</v>
      </c>
    </row>
    <row r="375" spans="3:9" x14ac:dyDescent="0.2">
      <c r="C375" t="s">
        <v>514</v>
      </c>
      <c r="D375" s="28">
        <v>1</v>
      </c>
      <c r="E375" s="1">
        <v>40.000500000000002</v>
      </c>
      <c r="F375" s="1">
        <v>225</v>
      </c>
      <c r="G375" s="1">
        <v>9.75</v>
      </c>
      <c r="H375" s="1">
        <v>5.9999999999999995E-4</v>
      </c>
      <c r="I375" s="1">
        <v>1</v>
      </c>
    </row>
    <row r="376" spans="3:9" x14ac:dyDescent="0.2">
      <c r="C376" t="s">
        <v>514</v>
      </c>
      <c r="D376" s="28">
        <v>1</v>
      </c>
      <c r="E376" s="1">
        <v>39.999499999999998</v>
      </c>
      <c r="F376" s="1">
        <v>222.1</v>
      </c>
      <c r="G376" s="1">
        <v>9.75</v>
      </c>
      <c r="H376" s="1">
        <v>5.9999999999999995E-4</v>
      </c>
      <c r="I376" s="1">
        <v>1</v>
      </c>
    </row>
    <row r="377" spans="3:9" x14ac:dyDescent="0.2">
      <c r="C377" t="s">
        <v>514</v>
      </c>
      <c r="D377" s="28">
        <v>1</v>
      </c>
      <c r="E377" s="1">
        <v>40.0002</v>
      </c>
      <c r="F377" s="1">
        <v>229.7</v>
      </c>
      <c r="G377" s="1">
        <v>9.75</v>
      </c>
      <c r="H377" s="1">
        <v>5.9999999999999995E-4</v>
      </c>
      <c r="I377" s="1">
        <v>1</v>
      </c>
    </row>
    <row r="378" spans="3:9" x14ac:dyDescent="0.2">
      <c r="C378" t="s">
        <v>514</v>
      </c>
      <c r="D378" s="28">
        <v>1</v>
      </c>
      <c r="E378" s="1">
        <v>40.000500000000002</v>
      </c>
      <c r="F378" s="1">
        <v>243.2</v>
      </c>
      <c r="G378" s="1">
        <v>9.75</v>
      </c>
      <c r="H378" s="1">
        <v>5.9999999999999995E-4</v>
      </c>
      <c r="I378" s="1">
        <v>1</v>
      </c>
    </row>
    <row r="379" spans="3:9" x14ac:dyDescent="0.2">
      <c r="C379" t="s">
        <v>514</v>
      </c>
      <c r="D379" s="28">
        <v>1</v>
      </c>
      <c r="E379" s="1">
        <v>39.999899999999997</v>
      </c>
      <c r="F379" s="1">
        <v>261</v>
      </c>
      <c r="G379" s="1">
        <v>9.75</v>
      </c>
      <c r="H379" s="1">
        <v>5.9999999999999995E-4</v>
      </c>
      <c r="I379" s="1">
        <v>1</v>
      </c>
    </row>
    <row r="380" spans="3:9" x14ac:dyDescent="0.2">
      <c r="C380" t="s">
        <v>514</v>
      </c>
      <c r="D380" s="28">
        <v>1</v>
      </c>
      <c r="E380" s="1">
        <v>39.999499999999998</v>
      </c>
      <c r="F380" s="1">
        <v>272.5</v>
      </c>
      <c r="G380" s="1">
        <v>9.75</v>
      </c>
      <c r="H380" s="1">
        <v>5.9999999999999995E-4</v>
      </c>
      <c r="I380" s="1">
        <v>1</v>
      </c>
    </row>
    <row r="381" spans="3:9" x14ac:dyDescent="0.2">
      <c r="C381" t="s">
        <v>514</v>
      </c>
      <c r="D381" s="28">
        <v>1</v>
      </c>
      <c r="E381" s="1">
        <v>40.000100000000003</v>
      </c>
      <c r="F381" s="1">
        <v>276.89999999999998</v>
      </c>
      <c r="G381" s="1">
        <v>9.75</v>
      </c>
      <c r="H381" s="1">
        <v>5.9999999999999995E-4</v>
      </c>
      <c r="I381" s="1">
        <v>1</v>
      </c>
    </row>
    <row r="382" spans="3:9" x14ac:dyDescent="0.2">
      <c r="C382" t="s">
        <v>514</v>
      </c>
      <c r="D382" s="28">
        <v>1</v>
      </c>
      <c r="E382" s="1">
        <v>39.999499999999998</v>
      </c>
      <c r="F382" s="1">
        <v>274</v>
      </c>
      <c r="G382" s="1">
        <v>9.75</v>
      </c>
      <c r="H382" s="1">
        <v>5.9999999999999995E-4</v>
      </c>
      <c r="I382" s="1">
        <v>1</v>
      </c>
    </row>
    <row r="383" spans="3:9" x14ac:dyDescent="0.2">
      <c r="C383" t="s">
        <v>514</v>
      </c>
      <c r="D383" s="28">
        <v>1</v>
      </c>
      <c r="E383" s="1">
        <v>39.999899999999997</v>
      </c>
      <c r="F383" s="1">
        <v>272.89999999999998</v>
      </c>
      <c r="G383" s="1">
        <v>9.75</v>
      </c>
      <c r="H383" s="1">
        <v>5.9999999999999995E-4</v>
      </c>
      <c r="I383" s="1">
        <v>1</v>
      </c>
    </row>
    <row r="384" spans="3:9" x14ac:dyDescent="0.2">
      <c r="C384" t="s">
        <v>514</v>
      </c>
      <c r="D384" s="28">
        <v>1</v>
      </c>
      <c r="E384" s="1">
        <v>39.999600000000001</v>
      </c>
      <c r="F384" s="1">
        <v>284</v>
      </c>
      <c r="G384" s="1">
        <v>9.75</v>
      </c>
      <c r="H384" s="1">
        <v>5.9999999999999995E-4</v>
      </c>
      <c r="I384" s="1">
        <v>1</v>
      </c>
    </row>
    <row r="385" spans="3:9" x14ac:dyDescent="0.2">
      <c r="C385" t="s">
        <v>514</v>
      </c>
      <c r="D385" s="28">
        <v>1</v>
      </c>
      <c r="E385" s="1">
        <v>39.999699999999997</v>
      </c>
      <c r="F385" s="1">
        <v>298.39999999999998</v>
      </c>
      <c r="G385" s="1">
        <v>9.75</v>
      </c>
      <c r="H385" s="1">
        <v>5.9999999999999995E-4</v>
      </c>
      <c r="I385" s="1">
        <v>1</v>
      </c>
    </row>
    <row r="386" spans="3:9" x14ac:dyDescent="0.2">
      <c r="C386" t="s">
        <v>514</v>
      </c>
      <c r="D386" s="28">
        <v>1</v>
      </c>
      <c r="E386" s="1">
        <v>39.999899999999997</v>
      </c>
      <c r="F386" s="1">
        <v>314.39999999999998</v>
      </c>
      <c r="G386" s="1">
        <v>9.75</v>
      </c>
      <c r="H386" s="1">
        <v>5.9999999999999995E-4</v>
      </c>
      <c r="I386" s="1">
        <v>1</v>
      </c>
    </row>
    <row r="387" spans="3:9" x14ac:dyDescent="0.2">
      <c r="C387" t="s">
        <v>514</v>
      </c>
      <c r="D387" s="28">
        <v>1</v>
      </c>
      <c r="E387" s="1">
        <v>40.000500000000002</v>
      </c>
      <c r="F387" s="1">
        <v>327.8</v>
      </c>
      <c r="G387" s="1">
        <v>9.75</v>
      </c>
      <c r="H387" s="1">
        <v>5.9999999999999995E-4</v>
      </c>
      <c r="I387" s="1">
        <v>1</v>
      </c>
    </row>
    <row r="388" spans="3:9" x14ac:dyDescent="0.2">
      <c r="C388" t="s">
        <v>514</v>
      </c>
      <c r="D388" s="28">
        <v>1</v>
      </c>
      <c r="E388" s="1">
        <v>40.000599999999999</v>
      </c>
      <c r="F388" s="1">
        <v>339.5</v>
      </c>
      <c r="G388" s="1">
        <v>9.75</v>
      </c>
      <c r="H388" s="1">
        <v>5.9999999999999995E-4</v>
      </c>
      <c r="I388" s="1">
        <v>1</v>
      </c>
    </row>
    <row r="389" spans="3:9" x14ac:dyDescent="0.2">
      <c r="C389" t="s">
        <v>514</v>
      </c>
      <c r="D389" s="28">
        <v>1</v>
      </c>
      <c r="E389" s="1">
        <v>40.000599999999999</v>
      </c>
      <c r="F389" s="1">
        <v>351.2</v>
      </c>
      <c r="G389" s="1">
        <v>9.75</v>
      </c>
      <c r="H389" s="1">
        <v>5.9999999999999995E-4</v>
      </c>
      <c r="I389" s="1">
        <v>1</v>
      </c>
    </row>
    <row r="390" spans="3:9" x14ac:dyDescent="0.2">
      <c r="C390" t="s">
        <v>514</v>
      </c>
      <c r="D390" s="28">
        <v>1</v>
      </c>
      <c r="E390" s="1">
        <v>40</v>
      </c>
      <c r="F390" s="1">
        <v>368.7</v>
      </c>
      <c r="G390" s="1">
        <v>9.75</v>
      </c>
      <c r="H390" s="1">
        <v>5.9999999999999995E-4</v>
      </c>
      <c r="I390" s="1">
        <v>1</v>
      </c>
    </row>
    <row r="391" spans="3:9" x14ac:dyDescent="0.2">
      <c r="C391" t="s">
        <v>514</v>
      </c>
      <c r="D391" s="28">
        <v>1</v>
      </c>
      <c r="E391" s="1">
        <v>39.999600000000001</v>
      </c>
      <c r="F391" s="1">
        <v>377.7</v>
      </c>
      <c r="G391" s="1">
        <v>9.75</v>
      </c>
      <c r="H391" s="1">
        <v>5.9999999999999995E-4</v>
      </c>
      <c r="I391" s="1">
        <v>1</v>
      </c>
    </row>
    <row r="392" spans="3:9" x14ac:dyDescent="0.2">
      <c r="C392" t="s">
        <v>514</v>
      </c>
      <c r="D392" s="28">
        <v>1</v>
      </c>
      <c r="E392" s="1">
        <v>39.999499999999998</v>
      </c>
      <c r="F392" s="1">
        <v>381.7</v>
      </c>
      <c r="G392" s="1">
        <v>9.75</v>
      </c>
      <c r="H392" s="1">
        <v>5.9999999999999995E-4</v>
      </c>
      <c r="I392" s="1">
        <v>1</v>
      </c>
    </row>
    <row r="393" spans="3:9" x14ac:dyDescent="0.2">
      <c r="C393" t="s">
        <v>514</v>
      </c>
      <c r="D393" s="28">
        <v>1</v>
      </c>
      <c r="E393" s="1">
        <v>39.9998</v>
      </c>
      <c r="F393" s="1">
        <v>409.7</v>
      </c>
      <c r="G393" s="1">
        <v>9.75</v>
      </c>
      <c r="H393" s="1">
        <v>5.9999999999999995E-4</v>
      </c>
      <c r="I393" s="1">
        <v>1</v>
      </c>
    </row>
    <row r="394" spans="3:9" x14ac:dyDescent="0.2">
      <c r="C394" t="s">
        <v>514</v>
      </c>
      <c r="D394" s="28">
        <v>1</v>
      </c>
      <c r="E394" s="1">
        <v>40.000100000000003</v>
      </c>
      <c r="F394" s="1">
        <v>380.2</v>
      </c>
      <c r="G394" s="1">
        <v>9.75</v>
      </c>
      <c r="H394" s="1">
        <v>5.9999999999999995E-4</v>
      </c>
      <c r="I394" s="1">
        <v>1</v>
      </c>
    </row>
    <row r="395" spans="3:9" x14ac:dyDescent="0.2">
      <c r="C395" t="s">
        <v>514</v>
      </c>
      <c r="D395" s="28">
        <v>1</v>
      </c>
      <c r="E395" s="1">
        <v>40.000300000000003</v>
      </c>
      <c r="F395" s="1">
        <v>358</v>
      </c>
      <c r="G395" s="1">
        <v>9.75</v>
      </c>
      <c r="H395" s="1">
        <v>5.9999999999999995E-4</v>
      </c>
      <c r="I395" s="1">
        <v>1</v>
      </c>
    </row>
    <row r="396" spans="3:9" x14ac:dyDescent="0.2">
      <c r="C396" t="s">
        <v>514</v>
      </c>
      <c r="D396" s="28">
        <v>1</v>
      </c>
      <c r="E396" s="1">
        <v>39.999600000000001</v>
      </c>
      <c r="F396" s="1">
        <v>338.7</v>
      </c>
      <c r="G396" s="1">
        <v>9.75</v>
      </c>
      <c r="H396" s="1">
        <v>5.9999999999999995E-4</v>
      </c>
      <c r="I396" s="1">
        <v>1</v>
      </c>
    </row>
    <row r="397" spans="3:9" x14ac:dyDescent="0.2">
      <c r="C397" t="s">
        <v>514</v>
      </c>
      <c r="D397" s="28">
        <v>1</v>
      </c>
      <c r="E397" s="1">
        <v>39.999699999999997</v>
      </c>
      <c r="F397" s="1">
        <v>319.2</v>
      </c>
      <c r="G397" s="1">
        <v>9.75</v>
      </c>
      <c r="H397" s="1">
        <v>5.9999999999999995E-4</v>
      </c>
      <c r="I397" s="1">
        <v>1</v>
      </c>
    </row>
    <row r="398" spans="3:9" x14ac:dyDescent="0.2">
      <c r="C398" t="s">
        <v>514</v>
      </c>
      <c r="D398" s="28">
        <v>1</v>
      </c>
      <c r="E398" s="1">
        <v>40</v>
      </c>
      <c r="F398" s="1">
        <v>309.8</v>
      </c>
      <c r="G398" s="1">
        <v>9.75</v>
      </c>
      <c r="H398" s="1">
        <v>5.9999999999999995E-4</v>
      </c>
      <c r="I398" s="1">
        <v>1</v>
      </c>
    </row>
    <row r="399" spans="3:9" x14ac:dyDescent="0.2">
      <c r="C399" t="s">
        <v>514</v>
      </c>
      <c r="D399" s="28">
        <v>1</v>
      </c>
      <c r="E399" s="1">
        <v>39.999499999999998</v>
      </c>
      <c r="F399" s="1">
        <v>313.39999999999998</v>
      </c>
      <c r="G399" s="1">
        <v>9.75</v>
      </c>
      <c r="H399" s="1">
        <v>5.9999999999999995E-4</v>
      </c>
      <c r="I399" s="1">
        <v>1</v>
      </c>
    </row>
    <row r="400" spans="3:9" x14ac:dyDescent="0.2">
      <c r="C400" t="s">
        <v>514</v>
      </c>
      <c r="D400" s="28">
        <v>1</v>
      </c>
      <c r="E400" s="1">
        <v>40.000399999999999</v>
      </c>
      <c r="F400" s="1">
        <v>307.39999999999998</v>
      </c>
      <c r="G400" s="1">
        <v>9.75</v>
      </c>
      <c r="H400" s="1">
        <v>5.9999999999999995E-4</v>
      </c>
      <c r="I400" s="1">
        <v>1</v>
      </c>
    </row>
    <row r="401" spans="3:9" x14ac:dyDescent="0.2">
      <c r="C401" t="s">
        <v>514</v>
      </c>
      <c r="D401" s="28">
        <v>1</v>
      </c>
      <c r="E401" s="1">
        <v>39.9998</v>
      </c>
      <c r="F401" s="1">
        <v>297.3</v>
      </c>
      <c r="G401" s="1">
        <v>9.75</v>
      </c>
      <c r="H401" s="1">
        <v>5.9999999999999995E-4</v>
      </c>
      <c r="I401" s="1">
        <v>1</v>
      </c>
    </row>
    <row r="402" spans="3:9" x14ac:dyDescent="0.2">
      <c r="C402" t="s">
        <v>514</v>
      </c>
      <c r="D402" s="28">
        <v>1</v>
      </c>
      <c r="E402" s="1">
        <v>40.0002</v>
      </c>
      <c r="F402" s="1">
        <v>281.60000000000002</v>
      </c>
      <c r="G402" s="1">
        <v>9.75</v>
      </c>
      <c r="H402" s="1">
        <v>5.9999999999999995E-4</v>
      </c>
      <c r="I402" s="1">
        <v>1</v>
      </c>
    </row>
    <row r="403" spans="3:9" x14ac:dyDescent="0.2">
      <c r="C403" t="s">
        <v>514</v>
      </c>
      <c r="D403" s="28">
        <v>1</v>
      </c>
      <c r="E403" s="1">
        <v>39.9998</v>
      </c>
      <c r="F403" s="1">
        <v>260.39999999999998</v>
      </c>
      <c r="G403" s="1">
        <v>9.75</v>
      </c>
      <c r="H403" s="1">
        <v>5.9999999999999995E-4</v>
      </c>
      <c r="I403" s="1">
        <v>1</v>
      </c>
    </row>
    <row r="404" spans="3:9" x14ac:dyDescent="0.2">
      <c r="C404" t="s">
        <v>514</v>
      </c>
      <c r="D404" s="28">
        <v>1</v>
      </c>
      <c r="E404" s="1">
        <v>40.000100000000003</v>
      </c>
      <c r="F404" s="1">
        <v>244.1</v>
      </c>
      <c r="G404" s="1">
        <v>9.75</v>
      </c>
      <c r="H404" s="1">
        <v>5.9999999999999995E-4</v>
      </c>
      <c r="I404" s="1">
        <v>1</v>
      </c>
    </row>
    <row r="405" spans="3:9" x14ac:dyDescent="0.2">
      <c r="C405" t="s">
        <v>514</v>
      </c>
      <c r="D405" s="28">
        <v>1</v>
      </c>
      <c r="E405" s="1">
        <v>40</v>
      </c>
      <c r="F405" s="1">
        <v>228.8</v>
      </c>
      <c r="G405" s="1">
        <v>9.75</v>
      </c>
      <c r="H405" s="1">
        <v>5.9999999999999995E-4</v>
      </c>
      <c r="I405" s="1">
        <v>1</v>
      </c>
    </row>
    <row r="406" spans="3:9" x14ac:dyDescent="0.2">
      <c r="C406" t="s">
        <v>514</v>
      </c>
      <c r="D406" s="28">
        <v>1</v>
      </c>
      <c r="E406" s="1">
        <v>39.999499999999998</v>
      </c>
      <c r="F406" s="1">
        <v>225.2</v>
      </c>
      <c r="G406" s="1">
        <v>9.75</v>
      </c>
      <c r="H406" s="1">
        <v>5.9999999999999995E-4</v>
      </c>
      <c r="I406" s="1">
        <v>1</v>
      </c>
    </row>
    <row r="407" spans="3:9" x14ac:dyDescent="0.2">
      <c r="C407" t="s">
        <v>514</v>
      </c>
      <c r="D407" s="28">
        <v>1</v>
      </c>
      <c r="E407" s="1">
        <v>40.000100000000003</v>
      </c>
      <c r="F407" s="1">
        <v>230.9</v>
      </c>
      <c r="G407" s="1">
        <v>9.75</v>
      </c>
      <c r="H407" s="1">
        <v>5.9999999999999995E-4</v>
      </c>
      <c r="I407" s="1">
        <v>1</v>
      </c>
    </row>
    <row r="408" spans="3:9" x14ac:dyDescent="0.2">
      <c r="C408" t="s">
        <v>514</v>
      </c>
      <c r="D408" s="28">
        <v>1</v>
      </c>
      <c r="E408" s="1">
        <v>40.000500000000002</v>
      </c>
      <c r="F408" s="1">
        <v>225.6</v>
      </c>
      <c r="G408" s="1">
        <v>9.75</v>
      </c>
      <c r="H408" s="1">
        <v>5.9999999999999995E-4</v>
      </c>
      <c r="I408" s="1">
        <v>1</v>
      </c>
    </row>
    <row r="409" spans="3:9" x14ac:dyDescent="0.2">
      <c r="C409" t="s">
        <v>514</v>
      </c>
      <c r="D409" s="28">
        <v>1</v>
      </c>
      <c r="E409" s="1">
        <v>39.9998</v>
      </c>
      <c r="F409" s="1">
        <v>218.7</v>
      </c>
      <c r="G409" s="1">
        <v>9.75</v>
      </c>
      <c r="H409" s="1">
        <v>5.9999999999999995E-4</v>
      </c>
      <c r="I409" s="1">
        <v>1</v>
      </c>
    </row>
    <row r="410" spans="3:9" x14ac:dyDescent="0.2">
      <c r="C410" t="s">
        <v>514</v>
      </c>
      <c r="D410" s="28">
        <v>1</v>
      </c>
      <c r="E410" s="1">
        <v>40.000500000000002</v>
      </c>
      <c r="F410" s="1">
        <v>195.7</v>
      </c>
      <c r="G410" s="1">
        <v>9.75</v>
      </c>
      <c r="H410" s="1">
        <v>5.9999999999999995E-4</v>
      </c>
      <c r="I410" s="1">
        <v>1</v>
      </c>
    </row>
    <row r="411" spans="3:9" x14ac:dyDescent="0.2">
      <c r="C411" t="s">
        <v>514</v>
      </c>
      <c r="D411" s="28">
        <v>1</v>
      </c>
      <c r="E411" s="1">
        <v>40</v>
      </c>
      <c r="F411" s="1">
        <v>177.7</v>
      </c>
      <c r="G411" s="1">
        <v>9.75</v>
      </c>
      <c r="H411" s="1">
        <v>5.9999999999999995E-4</v>
      </c>
      <c r="I411" s="1">
        <v>1</v>
      </c>
    </row>
    <row r="412" spans="3:9" x14ac:dyDescent="0.2">
      <c r="C412" t="s">
        <v>514</v>
      </c>
      <c r="D412" s="28">
        <v>1</v>
      </c>
      <c r="E412" s="1">
        <v>40.0002</v>
      </c>
      <c r="F412" s="1">
        <v>173.9</v>
      </c>
      <c r="G412" s="1">
        <v>9.75</v>
      </c>
      <c r="H412" s="1">
        <v>5.9999999999999995E-4</v>
      </c>
      <c r="I412" s="1">
        <v>1</v>
      </c>
    </row>
    <row r="413" spans="3:9" x14ac:dyDescent="0.2">
      <c r="C413" t="s">
        <v>514</v>
      </c>
      <c r="D413" s="28">
        <v>1</v>
      </c>
      <c r="E413" s="1">
        <v>39.999600000000001</v>
      </c>
      <c r="F413" s="1">
        <v>174.9</v>
      </c>
      <c r="G413" s="1">
        <v>9.75</v>
      </c>
      <c r="H413" s="1">
        <v>5.9999999999999995E-4</v>
      </c>
      <c r="I413" s="1">
        <v>1</v>
      </c>
    </row>
    <row r="414" spans="3:9" x14ac:dyDescent="0.2">
      <c r="C414" t="s">
        <v>514</v>
      </c>
      <c r="D414" s="28">
        <v>1</v>
      </c>
      <c r="E414" s="1">
        <v>40.000399999999999</v>
      </c>
      <c r="F414" s="1">
        <v>173.7</v>
      </c>
      <c r="G414" s="1">
        <v>9.75</v>
      </c>
      <c r="H414" s="1">
        <v>5.9999999999999995E-4</v>
      </c>
      <c r="I414" s="1">
        <v>1</v>
      </c>
    </row>
    <row r="415" spans="3:9" x14ac:dyDescent="0.2">
      <c r="C415" t="s">
        <v>514</v>
      </c>
      <c r="D415" s="28">
        <v>1</v>
      </c>
      <c r="E415" s="1">
        <v>39.999600000000001</v>
      </c>
      <c r="F415" s="1">
        <v>180.7</v>
      </c>
      <c r="G415" s="1">
        <v>9.75</v>
      </c>
      <c r="H415" s="1">
        <v>5.9999999999999995E-4</v>
      </c>
      <c r="I415" s="1">
        <v>1</v>
      </c>
    </row>
    <row r="416" spans="3:9" x14ac:dyDescent="0.2">
      <c r="C416" t="s">
        <v>514</v>
      </c>
      <c r="D416" s="28">
        <v>1</v>
      </c>
      <c r="E416" s="1">
        <v>40</v>
      </c>
      <c r="F416" s="1">
        <v>181.3</v>
      </c>
      <c r="G416" s="1">
        <v>9.75</v>
      </c>
      <c r="H416" s="1">
        <v>5.9999999999999995E-4</v>
      </c>
      <c r="I416" s="1">
        <v>1</v>
      </c>
    </row>
    <row r="417" spans="3:9" x14ac:dyDescent="0.2">
      <c r="C417" t="s">
        <v>514</v>
      </c>
      <c r="D417" s="28">
        <v>1</v>
      </c>
      <c r="E417" s="1">
        <v>40</v>
      </c>
      <c r="F417" s="1">
        <v>173.3</v>
      </c>
      <c r="G417" s="1">
        <v>9.75</v>
      </c>
      <c r="H417" s="1">
        <v>5.9999999999999995E-4</v>
      </c>
      <c r="I417" s="1">
        <v>1</v>
      </c>
    </row>
    <row r="418" spans="3:9" x14ac:dyDescent="0.2">
      <c r="C418" t="s">
        <v>514</v>
      </c>
      <c r="D418" s="28">
        <v>1</v>
      </c>
      <c r="E418" s="1">
        <v>39.999699999999997</v>
      </c>
      <c r="F418" s="1">
        <v>156.9</v>
      </c>
      <c r="G418" s="1">
        <v>9.75</v>
      </c>
      <c r="H418" s="1">
        <v>5.9999999999999995E-4</v>
      </c>
      <c r="I418" s="1">
        <v>1</v>
      </c>
    </row>
    <row r="419" spans="3:9" x14ac:dyDescent="0.2">
      <c r="C419" t="s">
        <v>514</v>
      </c>
      <c r="D419" s="28">
        <v>1</v>
      </c>
      <c r="E419" s="1">
        <v>39.999699999999997</v>
      </c>
      <c r="F419" s="1">
        <v>140.80000000000001</v>
      </c>
      <c r="G419" s="1">
        <v>9.75</v>
      </c>
      <c r="H419" s="1">
        <v>5.9999999999999995E-4</v>
      </c>
      <c r="I419" s="1">
        <v>1</v>
      </c>
    </row>
    <row r="420" spans="3:9" x14ac:dyDescent="0.2">
      <c r="C420" t="s">
        <v>514</v>
      </c>
      <c r="D420" s="28">
        <v>1</v>
      </c>
      <c r="E420" s="1">
        <v>40.000100000000003</v>
      </c>
      <c r="F420" s="1">
        <v>131.19999999999999</v>
      </c>
      <c r="G420" s="1">
        <v>9.75</v>
      </c>
      <c r="H420" s="1">
        <v>5.9999999999999995E-4</v>
      </c>
      <c r="I420" s="1">
        <v>1</v>
      </c>
    </row>
    <row r="421" spans="3:9" x14ac:dyDescent="0.2">
      <c r="C421" t="s">
        <v>514</v>
      </c>
      <c r="D421" s="28">
        <v>1</v>
      </c>
      <c r="E421" s="1">
        <v>39.999600000000001</v>
      </c>
      <c r="F421" s="1">
        <v>125.3</v>
      </c>
      <c r="G421" s="1">
        <v>9.75</v>
      </c>
      <c r="H421" s="1">
        <v>5.9999999999999995E-4</v>
      </c>
      <c r="I421" s="1">
        <v>1</v>
      </c>
    </row>
    <row r="422" spans="3:9" x14ac:dyDescent="0.2">
      <c r="C422" t="s">
        <v>514</v>
      </c>
      <c r="D422" s="28">
        <v>1</v>
      </c>
      <c r="E422" s="1">
        <v>40.000500000000002</v>
      </c>
      <c r="F422" s="1">
        <v>120.2</v>
      </c>
      <c r="G422" s="1">
        <v>9.75</v>
      </c>
      <c r="H422" s="1">
        <v>5.9999999999999995E-4</v>
      </c>
      <c r="I422" s="1">
        <v>1</v>
      </c>
    </row>
    <row r="423" spans="3:9" x14ac:dyDescent="0.2">
      <c r="C423" t="s">
        <v>514</v>
      </c>
      <c r="D423" s="28">
        <v>1</v>
      </c>
      <c r="E423" s="1">
        <v>40.000399999999999</v>
      </c>
      <c r="F423" s="1">
        <v>114.7</v>
      </c>
      <c r="G423" s="1">
        <v>9.75</v>
      </c>
      <c r="H423" s="1">
        <v>5.9999999999999995E-4</v>
      </c>
      <c r="I423" s="1">
        <v>1</v>
      </c>
    </row>
    <row r="424" spans="3:9" x14ac:dyDescent="0.2">
      <c r="C424" t="s">
        <v>514</v>
      </c>
      <c r="D424" s="28">
        <v>1</v>
      </c>
      <c r="E424" s="1">
        <v>40.000399999999999</v>
      </c>
      <c r="F424" s="1">
        <v>109.2</v>
      </c>
      <c r="G424" s="1">
        <v>9.75</v>
      </c>
      <c r="H424" s="1">
        <v>5.9999999999999995E-4</v>
      </c>
      <c r="I424" s="1">
        <v>1</v>
      </c>
    </row>
    <row r="425" spans="3:9" x14ac:dyDescent="0.2">
      <c r="C425" t="s">
        <v>514</v>
      </c>
      <c r="D425" s="28">
        <v>1</v>
      </c>
      <c r="E425" s="1">
        <v>40.000399999999999</v>
      </c>
      <c r="F425" s="1">
        <v>109.3</v>
      </c>
      <c r="G425" s="1">
        <v>9.75</v>
      </c>
      <c r="H425" s="1">
        <v>5.9999999999999995E-4</v>
      </c>
      <c r="I425" s="1">
        <v>1</v>
      </c>
    </row>
    <row r="426" spans="3:9" x14ac:dyDescent="0.2">
      <c r="C426" t="s">
        <v>514</v>
      </c>
      <c r="D426" s="28">
        <v>1</v>
      </c>
      <c r="E426" s="1">
        <v>40.0002</v>
      </c>
      <c r="F426" s="1">
        <v>109</v>
      </c>
      <c r="G426" s="1">
        <v>9.75</v>
      </c>
      <c r="H426" s="1">
        <v>5.9999999999999995E-4</v>
      </c>
      <c r="I426" s="1">
        <v>1</v>
      </c>
    </row>
    <row r="427" spans="3:9" x14ac:dyDescent="0.2">
      <c r="C427" t="s">
        <v>514</v>
      </c>
      <c r="D427" s="28">
        <v>1</v>
      </c>
      <c r="E427" s="1">
        <v>40.000300000000003</v>
      </c>
      <c r="F427" s="1">
        <v>105.9</v>
      </c>
      <c r="G427" s="1">
        <v>9.75</v>
      </c>
      <c r="H427" s="1">
        <v>5.9999999999999995E-4</v>
      </c>
      <c r="I427" s="1">
        <v>1</v>
      </c>
    </row>
    <row r="428" spans="3:9" x14ac:dyDescent="0.2">
      <c r="C428" t="s">
        <v>514</v>
      </c>
      <c r="D428" s="28">
        <v>1</v>
      </c>
      <c r="E428" s="1">
        <v>39.999899999999997</v>
      </c>
      <c r="F428" s="1">
        <v>98.7</v>
      </c>
      <c r="G428" s="1">
        <v>9.75</v>
      </c>
      <c r="H428" s="1">
        <v>5.9999999999999995E-4</v>
      </c>
      <c r="I428" s="1">
        <v>1</v>
      </c>
    </row>
    <row r="429" spans="3:9" x14ac:dyDescent="0.2">
      <c r="C429" t="s">
        <v>514</v>
      </c>
      <c r="D429" s="28">
        <v>1</v>
      </c>
      <c r="E429" s="1">
        <v>39.999499999999998</v>
      </c>
      <c r="F429" s="1">
        <v>98.9</v>
      </c>
      <c r="G429" s="1">
        <v>9.75</v>
      </c>
      <c r="H429" s="1">
        <v>5.9999999999999995E-4</v>
      </c>
      <c r="I429" s="1">
        <v>1</v>
      </c>
    </row>
    <row r="430" spans="3:9" x14ac:dyDescent="0.2">
      <c r="C430" t="s">
        <v>514</v>
      </c>
      <c r="D430" s="28">
        <v>1</v>
      </c>
      <c r="E430" s="1">
        <v>40</v>
      </c>
      <c r="F430" s="1">
        <v>98.3</v>
      </c>
      <c r="G430" s="1">
        <v>9.75</v>
      </c>
      <c r="H430" s="1">
        <v>5.9999999999999995E-4</v>
      </c>
      <c r="I430" s="1">
        <v>1</v>
      </c>
    </row>
    <row r="431" spans="3:9" x14ac:dyDescent="0.2">
      <c r="C431" t="s">
        <v>514</v>
      </c>
      <c r="D431" s="28">
        <v>1</v>
      </c>
      <c r="E431" s="1">
        <v>39.999699999999997</v>
      </c>
      <c r="F431" s="1">
        <v>95</v>
      </c>
      <c r="G431" s="1">
        <v>9.75</v>
      </c>
      <c r="H431" s="1">
        <v>5.9999999999999995E-4</v>
      </c>
      <c r="I431" s="1">
        <v>1</v>
      </c>
    </row>
    <row r="432" spans="3:9" x14ac:dyDescent="0.2">
      <c r="C432" t="s">
        <v>514</v>
      </c>
      <c r="D432" s="28">
        <v>1</v>
      </c>
      <c r="E432" s="1">
        <v>40.000300000000003</v>
      </c>
      <c r="F432" s="1">
        <v>92.4</v>
      </c>
      <c r="G432" s="1">
        <v>9.75</v>
      </c>
      <c r="H432" s="1">
        <v>5.9999999999999995E-4</v>
      </c>
      <c r="I432" s="1">
        <v>1</v>
      </c>
    </row>
    <row r="433" spans="3:9" x14ac:dyDescent="0.2">
      <c r="C433" t="s">
        <v>514</v>
      </c>
      <c r="D433" s="28">
        <v>1</v>
      </c>
      <c r="E433" s="1">
        <v>40.0002</v>
      </c>
      <c r="F433" s="1">
        <v>92.4</v>
      </c>
      <c r="G433" s="1">
        <v>9.75</v>
      </c>
      <c r="H433" s="1">
        <v>5.9999999999999995E-4</v>
      </c>
      <c r="I433" s="1">
        <v>1</v>
      </c>
    </row>
    <row r="434" spans="3:9" x14ac:dyDescent="0.2">
      <c r="C434" t="s">
        <v>514</v>
      </c>
      <c r="D434" s="28">
        <v>1</v>
      </c>
      <c r="E434" s="1">
        <v>40.000100000000003</v>
      </c>
      <c r="F434" s="1">
        <v>88</v>
      </c>
      <c r="G434" s="1">
        <v>9.75</v>
      </c>
      <c r="H434" s="1">
        <v>5.9999999999999995E-4</v>
      </c>
      <c r="I434" s="1">
        <v>1</v>
      </c>
    </row>
    <row r="435" spans="3:9" x14ac:dyDescent="0.2">
      <c r="C435" t="s">
        <v>514</v>
      </c>
      <c r="D435" s="28">
        <v>1</v>
      </c>
      <c r="E435" s="1">
        <v>39.9998</v>
      </c>
      <c r="F435" s="1">
        <v>90.7</v>
      </c>
      <c r="G435" s="1">
        <v>9.75</v>
      </c>
      <c r="H435" s="1">
        <v>5.9999999999999995E-4</v>
      </c>
      <c r="I435" s="1">
        <v>1</v>
      </c>
    </row>
    <row r="436" spans="3:9" x14ac:dyDescent="0.2">
      <c r="C436" t="s">
        <v>514</v>
      </c>
      <c r="D436" s="28">
        <v>1</v>
      </c>
      <c r="E436" s="1">
        <v>39.999499999999998</v>
      </c>
      <c r="F436" s="1">
        <v>87.8</v>
      </c>
      <c r="G436" s="1">
        <v>9.75</v>
      </c>
      <c r="H436" s="1">
        <v>5.9999999999999995E-4</v>
      </c>
      <c r="I436" s="1">
        <v>1</v>
      </c>
    </row>
    <row r="437" spans="3:9" x14ac:dyDescent="0.2">
      <c r="C437" t="s">
        <v>514</v>
      </c>
      <c r="D437" s="28">
        <v>1</v>
      </c>
      <c r="E437" s="1">
        <v>39.999600000000001</v>
      </c>
      <c r="F437" s="1">
        <v>80.7</v>
      </c>
      <c r="G437" s="1">
        <v>9.75</v>
      </c>
      <c r="H437" s="1">
        <v>5.9999999999999995E-4</v>
      </c>
      <c r="I437" s="1">
        <v>1</v>
      </c>
    </row>
    <row r="438" spans="3:9" x14ac:dyDescent="0.2">
      <c r="C438" t="s">
        <v>514</v>
      </c>
      <c r="D438" s="28">
        <v>1</v>
      </c>
      <c r="E438" s="1">
        <v>39.9998</v>
      </c>
      <c r="F438" s="1">
        <v>81.2</v>
      </c>
      <c r="G438" s="1">
        <v>9.75</v>
      </c>
      <c r="H438" s="1">
        <v>5.9999999999999995E-4</v>
      </c>
      <c r="I438" s="1">
        <v>1</v>
      </c>
    </row>
    <row r="439" spans="3:9" x14ac:dyDescent="0.2">
      <c r="C439" t="s">
        <v>514</v>
      </c>
      <c r="D439" s="28">
        <v>1</v>
      </c>
      <c r="E439" s="1">
        <v>560</v>
      </c>
      <c r="F439" s="1">
        <v>156.9</v>
      </c>
      <c r="G439" s="1">
        <v>9.75</v>
      </c>
      <c r="H439" s="1">
        <v>5.9999999999999995E-4</v>
      </c>
      <c r="I439" s="1">
        <v>1</v>
      </c>
    </row>
    <row r="440" spans="3:9" x14ac:dyDescent="0.2">
      <c r="C440" t="s">
        <v>514</v>
      </c>
      <c r="D440" s="28">
        <v>1</v>
      </c>
      <c r="E440" s="1">
        <v>80.000100000000003</v>
      </c>
      <c r="F440" s="1">
        <v>92.4</v>
      </c>
      <c r="G440" s="1">
        <v>9.75</v>
      </c>
      <c r="H440" s="1">
        <v>5.9999999999999995E-4</v>
      </c>
      <c r="I440" s="1">
        <v>1</v>
      </c>
    </row>
    <row r="441" spans="3:9" x14ac:dyDescent="0.2">
      <c r="C441" t="s">
        <v>514</v>
      </c>
      <c r="D441" s="28">
        <v>1</v>
      </c>
      <c r="E441" s="1">
        <v>40.000100000000003</v>
      </c>
      <c r="F441" s="1">
        <v>88</v>
      </c>
      <c r="G441" s="1">
        <v>9.75</v>
      </c>
      <c r="H441" s="1">
        <v>5.9999999999999995E-4</v>
      </c>
      <c r="I441" s="1">
        <v>1</v>
      </c>
    </row>
    <row r="442" spans="3:9" x14ac:dyDescent="0.2">
      <c r="C442" t="s">
        <v>514</v>
      </c>
      <c r="D442" s="28">
        <v>1</v>
      </c>
      <c r="E442" s="1">
        <v>39.9998</v>
      </c>
      <c r="F442" s="1">
        <v>90.7</v>
      </c>
      <c r="G442" s="1">
        <v>9.75</v>
      </c>
      <c r="H442" s="1">
        <v>5.9999999999999995E-4</v>
      </c>
      <c r="I442" s="1">
        <v>1</v>
      </c>
    </row>
    <row r="443" spans="3:9" x14ac:dyDescent="0.2">
      <c r="C443" t="s">
        <v>514</v>
      </c>
      <c r="D443" s="28">
        <v>1</v>
      </c>
      <c r="E443" s="1">
        <v>145.19999999999999</v>
      </c>
      <c r="F443" s="1">
        <v>-54.5</v>
      </c>
      <c r="G443" s="1">
        <v>9.75</v>
      </c>
      <c r="H443" s="1">
        <v>5.9999999999999995E-4</v>
      </c>
      <c r="I443" s="1">
        <v>1</v>
      </c>
    </row>
    <row r="444" spans="3:9" x14ac:dyDescent="0.2">
      <c r="C444" t="s">
        <v>514</v>
      </c>
      <c r="D444" s="28">
        <v>1</v>
      </c>
      <c r="E444" s="1">
        <v>39.999600000000001</v>
      </c>
      <c r="F444" s="1">
        <v>-53.6</v>
      </c>
      <c r="G444" s="1">
        <v>9.75</v>
      </c>
      <c r="H444" s="1">
        <v>5.9999999999999995E-4</v>
      </c>
      <c r="I444" s="1">
        <v>1</v>
      </c>
    </row>
    <row r="445" spans="3:9" x14ac:dyDescent="0.2">
      <c r="C445" t="s">
        <v>514</v>
      </c>
      <c r="D445" s="28">
        <v>1</v>
      </c>
      <c r="E445" s="1">
        <v>40.0002</v>
      </c>
      <c r="F445" s="1">
        <v>-53.6</v>
      </c>
      <c r="G445" s="1">
        <v>9.75</v>
      </c>
      <c r="H445" s="1">
        <v>5.9999999999999995E-4</v>
      </c>
      <c r="I445" s="1">
        <v>1</v>
      </c>
    </row>
    <row r="446" spans="3:9" x14ac:dyDescent="0.2">
      <c r="C446" t="s">
        <v>514</v>
      </c>
      <c r="D446" s="28">
        <v>1</v>
      </c>
      <c r="E446" s="1">
        <v>40</v>
      </c>
      <c r="F446" s="1">
        <v>-53</v>
      </c>
      <c r="G446" s="1">
        <v>9.75</v>
      </c>
      <c r="H446" s="1">
        <v>5.9999999999999995E-4</v>
      </c>
      <c r="I446" s="1">
        <v>1</v>
      </c>
    </row>
    <row r="447" spans="3:9" x14ac:dyDescent="0.2">
      <c r="C447" t="s">
        <v>514</v>
      </c>
      <c r="D447" s="28">
        <v>1</v>
      </c>
      <c r="E447" s="1">
        <v>39.999899999999997</v>
      </c>
      <c r="F447" s="1">
        <v>-52.2</v>
      </c>
      <c r="G447" s="1">
        <v>9.75</v>
      </c>
      <c r="H447" s="1">
        <v>5.9999999999999995E-4</v>
      </c>
      <c r="I447" s="1">
        <v>1</v>
      </c>
    </row>
    <row r="448" spans="3:9" x14ac:dyDescent="0.2">
      <c r="C448" t="s">
        <v>514</v>
      </c>
      <c r="D448" s="28">
        <v>1</v>
      </c>
      <c r="E448" s="1">
        <v>40.000100000000003</v>
      </c>
      <c r="F448" s="1">
        <v>-53.8</v>
      </c>
      <c r="G448" s="1">
        <v>9.75</v>
      </c>
      <c r="H448" s="1">
        <v>5.9999999999999995E-4</v>
      </c>
      <c r="I448" s="1">
        <v>1</v>
      </c>
    </row>
    <row r="449" spans="3:9" x14ac:dyDescent="0.2">
      <c r="C449" t="s">
        <v>514</v>
      </c>
      <c r="D449" s="28">
        <v>1</v>
      </c>
      <c r="E449" s="1">
        <v>39.999499999999998</v>
      </c>
      <c r="F449" s="1">
        <v>-55.5</v>
      </c>
      <c r="G449" s="1">
        <v>9.75</v>
      </c>
      <c r="H449" s="1">
        <v>5.9999999999999995E-4</v>
      </c>
      <c r="I449" s="1">
        <v>1</v>
      </c>
    </row>
    <row r="450" spans="3:9" x14ac:dyDescent="0.2">
      <c r="C450" t="s">
        <v>514</v>
      </c>
      <c r="D450" s="28">
        <v>1</v>
      </c>
      <c r="E450" s="1">
        <v>39.999600000000001</v>
      </c>
      <c r="F450" s="1">
        <v>-61.4</v>
      </c>
      <c r="G450" s="1">
        <v>9.75</v>
      </c>
      <c r="H450" s="1">
        <v>5.9999999999999995E-4</v>
      </c>
      <c r="I450" s="1">
        <v>1</v>
      </c>
    </row>
    <row r="451" spans="3:9" x14ac:dyDescent="0.2">
      <c r="C451" t="s">
        <v>514</v>
      </c>
      <c r="D451" s="28">
        <v>1</v>
      </c>
      <c r="E451" s="1">
        <v>39.999899999999997</v>
      </c>
      <c r="F451" s="1">
        <v>-64.599999999999994</v>
      </c>
      <c r="G451" s="1">
        <v>9.75</v>
      </c>
      <c r="H451" s="1">
        <v>5.9999999999999995E-4</v>
      </c>
      <c r="I451" s="1">
        <v>1</v>
      </c>
    </row>
    <row r="452" spans="3:9" x14ac:dyDescent="0.2">
      <c r="C452" t="s">
        <v>514</v>
      </c>
      <c r="D452" s="28">
        <v>1</v>
      </c>
      <c r="E452" s="1">
        <v>40.000300000000003</v>
      </c>
      <c r="F452" s="1">
        <v>-70.400000000000006</v>
      </c>
      <c r="G452" s="1">
        <v>9.75</v>
      </c>
      <c r="H452" s="1">
        <v>5.9999999999999995E-4</v>
      </c>
      <c r="I452" s="1">
        <v>1</v>
      </c>
    </row>
    <row r="453" spans="3:9" x14ac:dyDescent="0.2">
      <c r="C453" t="s">
        <v>514</v>
      </c>
      <c r="D453" s="28">
        <v>1</v>
      </c>
      <c r="E453" s="1">
        <v>40.000500000000002</v>
      </c>
      <c r="F453" s="1">
        <v>-79.099999999999994</v>
      </c>
      <c r="G453" s="1">
        <v>9.75</v>
      </c>
      <c r="H453" s="1">
        <v>5.9999999999999995E-4</v>
      </c>
      <c r="I453" s="1">
        <v>1</v>
      </c>
    </row>
    <row r="454" spans="3:9" x14ac:dyDescent="0.2">
      <c r="C454" t="s">
        <v>514</v>
      </c>
      <c r="D454" s="28">
        <v>1</v>
      </c>
      <c r="E454" s="1">
        <v>40.000100000000003</v>
      </c>
      <c r="F454" s="1">
        <v>-86.5</v>
      </c>
      <c r="G454" s="1">
        <v>9.75</v>
      </c>
      <c r="H454" s="1">
        <v>5.9999999999999995E-4</v>
      </c>
      <c r="I454" s="1">
        <v>1</v>
      </c>
    </row>
    <row r="455" spans="3:9" x14ac:dyDescent="0.2">
      <c r="C455" t="s">
        <v>514</v>
      </c>
      <c r="D455" s="28">
        <v>1</v>
      </c>
      <c r="E455" s="1">
        <v>40.000300000000003</v>
      </c>
      <c r="F455" s="1">
        <v>-89.1</v>
      </c>
      <c r="G455" s="1">
        <v>9.75</v>
      </c>
      <c r="H455" s="1">
        <v>5.9999999999999995E-4</v>
      </c>
      <c r="I455" s="1">
        <v>1</v>
      </c>
    </row>
    <row r="456" spans="3:9" x14ac:dyDescent="0.2">
      <c r="C456" t="s">
        <v>514</v>
      </c>
      <c r="D456" s="28">
        <v>1</v>
      </c>
      <c r="E456" s="1">
        <v>40</v>
      </c>
      <c r="F456" s="1">
        <v>-89.7</v>
      </c>
      <c r="G456" s="1">
        <v>9.75</v>
      </c>
      <c r="H456" s="1">
        <v>5.9999999999999995E-4</v>
      </c>
      <c r="I456" s="1">
        <v>1</v>
      </c>
    </row>
    <row r="457" spans="3:9" x14ac:dyDescent="0.2">
      <c r="C457" t="s">
        <v>514</v>
      </c>
      <c r="D457" s="28">
        <v>1</v>
      </c>
      <c r="E457" s="1">
        <v>40.000300000000003</v>
      </c>
      <c r="F457" s="1">
        <v>-83.9</v>
      </c>
      <c r="G457" s="1">
        <v>9.75</v>
      </c>
      <c r="H457" s="1">
        <v>5.9999999999999995E-4</v>
      </c>
      <c r="I457" s="1">
        <v>1</v>
      </c>
    </row>
    <row r="458" spans="3:9" x14ac:dyDescent="0.2">
      <c r="C458" t="s">
        <v>514</v>
      </c>
      <c r="D458" s="28">
        <v>1</v>
      </c>
      <c r="E458" s="1">
        <v>39.999600000000001</v>
      </c>
      <c r="F458" s="1">
        <v>-77.3</v>
      </c>
      <c r="G458" s="1">
        <v>9.75</v>
      </c>
      <c r="H458" s="1">
        <v>5.9999999999999995E-4</v>
      </c>
      <c r="I458" s="1">
        <v>1</v>
      </c>
    </row>
    <row r="459" spans="3:9" x14ac:dyDescent="0.2">
      <c r="C459" t="s">
        <v>514</v>
      </c>
      <c r="D459" s="28">
        <v>1</v>
      </c>
      <c r="E459" s="1">
        <v>40</v>
      </c>
      <c r="F459" s="1">
        <v>-67.900000000000006</v>
      </c>
      <c r="G459" s="1">
        <v>9.75</v>
      </c>
      <c r="H459" s="1">
        <v>5.9999999999999995E-4</v>
      </c>
      <c r="I459" s="1">
        <v>1</v>
      </c>
    </row>
    <row r="460" spans="3:9" x14ac:dyDescent="0.2">
      <c r="C460" t="s">
        <v>514</v>
      </c>
      <c r="D460" s="28">
        <v>1</v>
      </c>
      <c r="E460" s="1">
        <v>39.999899999999997</v>
      </c>
      <c r="F460" s="1">
        <v>-54</v>
      </c>
      <c r="G460" s="1">
        <v>9.75</v>
      </c>
      <c r="H460" s="1">
        <v>5.9999999999999995E-4</v>
      </c>
      <c r="I460" s="1">
        <v>1</v>
      </c>
    </row>
    <row r="461" spans="3:9" x14ac:dyDescent="0.2">
      <c r="C461" t="s">
        <v>514</v>
      </c>
      <c r="D461" s="28">
        <v>1</v>
      </c>
      <c r="E461" s="1">
        <v>39.999899999999997</v>
      </c>
      <c r="F461" s="1">
        <v>-40.200000000000003</v>
      </c>
      <c r="G461" s="1">
        <v>9.75</v>
      </c>
      <c r="H461" s="1">
        <v>5.9999999999999995E-4</v>
      </c>
      <c r="I461" s="1">
        <v>1</v>
      </c>
    </row>
    <row r="462" spans="3:9" x14ac:dyDescent="0.2">
      <c r="C462" t="s">
        <v>514</v>
      </c>
      <c r="D462" s="28">
        <v>1</v>
      </c>
      <c r="E462" s="1">
        <v>40.0002</v>
      </c>
      <c r="F462" s="1">
        <v>-27</v>
      </c>
      <c r="G462" s="1">
        <v>9.75</v>
      </c>
      <c r="H462" s="1">
        <v>5.9999999999999995E-4</v>
      </c>
      <c r="I462" s="1">
        <v>1</v>
      </c>
    </row>
    <row r="463" spans="3:9" x14ac:dyDescent="0.2">
      <c r="C463" t="s">
        <v>514</v>
      </c>
      <c r="D463" s="28">
        <v>1</v>
      </c>
      <c r="E463" s="1">
        <v>39.999699999999997</v>
      </c>
      <c r="F463" s="1">
        <v>-14.5</v>
      </c>
      <c r="G463" s="1">
        <v>9.75</v>
      </c>
      <c r="H463" s="1">
        <v>5.9999999999999995E-4</v>
      </c>
      <c r="I463" s="1">
        <v>1</v>
      </c>
    </row>
    <row r="464" spans="3:9" x14ac:dyDescent="0.2">
      <c r="C464" t="s">
        <v>514</v>
      </c>
      <c r="D464" s="28">
        <v>1</v>
      </c>
      <c r="E464" s="1">
        <v>40</v>
      </c>
      <c r="F464" s="1">
        <v>0.8</v>
      </c>
      <c r="G464" s="1">
        <v>9.75</v>
      </c>
      <c r="H464" s="1">
        <v>5.9999999999999995E-4</v>
      </c>
      <c r="I464" s="1">
        <v>1</v>
      </c>
    </row>
    <row r="465" spans="4:9" x14ac:dyDescent="0.2">
      <c r="D465" s="28">
        <v>1</v>
      </c>
      <c r="E465" s="1">
        <v>40</v>
      </c>
      <c r="F465" s="1">
        <v>0</v>
      </c>
      <c r="G465" s="1">
        <v>9.75</v>
      </c>
      <c r="H465" s="1">
        <v>5.9999999999999995E-4</v>
      </c>
      <c r="I465" s="1">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E7A59AC4-8DAE-41AC-950B-6677D1EE462B}">
            <x14:iconSet iconSet="3Symbols2" showValue="0" custom="1">
              <x14:cfvo type="percent">
                <xm:f>0</xm:f>
              </x14:cfvo>
              <x14:cfvo type="num">
                <xm:f>0</xm:f>
              </x14:cfvo>
              <x14:cfvo type="num" gte="0">
                <xm:f>0</xm:f>
              </x14:cfvo>
              <x14:cfIcon iconSet="NoIcons" iconId="0"/>
              <x14:cfIcon iconSet="3Symbols2" iconId="2"/>
              <x14:cfIcon iconSet="3Symbols2" iconId="0"/>
            </x14:iconSet>
          </x14:cfRule>
          <xm:sqref>D1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5:L53"/>
  <sheetViews>
    <sheetView showGridLines="0" topLeftCell="A4" workbookViewId="0"/>
  </sheetViews>
  <sheetFormatPr defaultColWidth="9.33203125" defaultRowHeight="12" x14ac:dyDescent="0.2"/>
  <cols>
    <col min="1" max="1" width="6.5" customWidth="1"/>
    <col min="2" max="2" width="49.1640625" style="28" customWidth="1"/>
    <col min="3" max="3" width="10.1640625" customWidth="1"/>
    <col min="4" max="4" width="17.6640625" style="28" customWidth="1"/>
    <col min="5" max="12" width="13.1640625" style="1" customWidth="1"/>
  </cols>
  <sheetData>
    <row r="5" spans="1:12" x14ac:dyDescent="0.2">
      <c r="G5" s="57"/>
    </row>
    <row r="6" spans="1:12" x14ac:dyDescent="0.2">
      <c r="B6" s="13" t="s">
        <v>9</v>
      </c>
    </row>
    <row r="7" spans="1:12" x14ac:dyDescent="0.2">
      <c r="A7" s="29"/>
      <c r="B7" s="30"/>
      <c r="C7" s="384" t="s">
        <v>10</v>
      </c>
      <c r="D7" s="381" t="s">
        <v>370</v>
      </c>
      <c r="E7" s="3" t="s">
        <v>19</v>
      </c>
      <c r="F7" s="3" t="s">
        <v>17</v>
      </c>
      <c r="G7" s="3" t="s">
        <v>13</v>
      </c>
      <c r="H7" s="3" t="s">
        <v>17</v>
      </c>
      <c r="I7" s="3" t="s">
        <v>14</v>
      </c>
      <c r="J7" s="3" t="s">
        <v>23</v>
      </c>
      <c r="K7" s="3" t="s">
        <v>15</v>
      </c>
      <c r="L7" s="4" t="s">
        <v>16</v>
      </c>
    </row>
    <row r="8" spans="1:12" x14ac:dyDescent="0.2">
      <c r="A8" s="32" t="s">
        <v>10</v>
      </c>
      <c r="B8" s="33" t="s">
        <v>11</v>
      </c>
      <c r="C8" s="385" t="s">
        <v>12</v>
      </c>
      <c r="D8" s="382" t="s">
        <v>12</v>
      </c>
      <c r="E8" s="6" t="s">
        <v>20</v>
      </c>
      <c r="F8" s="6" t="s">
        <v>18</v>
      </c>
      <c r="G8" s="6" t="s">
        <v>21</v>
      </c>
      <c r="H8" s="6" t="s">
        <v>22</v>
      </c>
      <c r="I8" s="6" t="s">
        <v>21</v>
      </c>
      <c r="J8" s="6" t="s">
        <v>18</v>
      </c>
      <c r="K8" s="6" t="s">
        <v>21</v>
      </c>
      <c r="L8" s="7" t="s">
        <v>24</v>
      </c>
    </row>
    <row r="9" spans="1:12" x14ac:dyDescent="0.2">
      <c r="A9" s="35"/>
      <c r="B9" s="36"/>
      <c r="C9" s="386"/>
      <c r="D9" s="383"/>
      <c r="E9" s="37" t="s">
        <v>0</v>
      </c>
      <c r="F9" s="37" t="s">
        <v>26</v>
      </c>
      <c r="G9" s="37" t="s">
        <v>26</v>
      </c>
      <c r="H9" s="37" t="s">
        <v>26</v>
      </c>
      <c r="I9" s="37" t="s">
        <v>26</v>
      </c>
      <c r="J9" s="37" t="s">
        <v>26</v>
      </c>
      <c r="K9" s="37" t="s">
        <v>26</v>
      </c>
      <c r="L9" s="38"/>
    </row>
    <row r="10" spans="1:12" ht="13.9" customHeight="1" x14ac:dyDescent="0.2">
      <c r="A10" s="15">
        <v>0</v>
      </c>
      <c r="C10" s="387">
        <v>0</v>
      </c>
      <c r="D10" s="28" t="s">
        <v>154</v>
      </c>
      <c r="E10" s="394">
        <v>0</v>
      </c>
      <c r="F10" s="8"/>
    </row>
    <row r="11" spans="1:12" ht="13.9" customHeight="1" x14ac:dyDescent="0.2">
      <c r="A11" s="15">
        <v>1</v>
      </c>
      <c r="C11" s="387">
        <v>1</v>
      </c>
      <c r="D11" s="28" t="s">
        <v>17</v>
      </c>
      <c r="E11" s="394">
        <v>86.06</v>
      </c>
      <c r="F11" s="8">
        <v>6.1840000000000002</v>
      </c>
      <c r="G11" s="1">
        <v>5.9999999999999995E-4</v>
      </c>
      <c r="L11" s="1">
        <v>1</v>
      </c>
    </row>
    <row r="12" spans="1:12" ht="13.9" customHeight="1" x14ac:dyDescent="0.2">
      <c r="A12" s="15">
        <v>2</v>
      </c>
      <c r="B12" s="28" t="s">
        <v>517</v>
      </c>
      <c r="C12" s="387">
        <v>2</v>
      </c>
      <c r="D12" s="28" t="s">
        <v>521</v>
      </c>
      <c r="E12" s="394"/>
      <c r="F12" s="8">
        <v>5.8120000000000003</v>
      </c>
    </row>
    <row r="13" spans="1:12" ht="13.9" customHeight="1" x14ac:dyDescent="0.2">
      <c r="A13" s="15">
        <v>3</v>
      </c>
      <c r="C13" s="387">
        <v>1</v>
      </c>
      <c r="D13" s="28" t="s">
        <v>17</v>
      </c>
      <c r="E13" s="394">
        <v>4682.2299999999996</v>
      </c>
      <c r="F13" s="8">
        <v>6.1840000000000002</v>
      </c>
      <c r="G13" s="1">
        <v>5.9999999999999995E-4</v>
      </c>
      <c r="L13" s="1">
        <v>1</v>
      </c>
    </row>
    <row r="14" spans="1:12" ht="13.9" customHeight="1" x14ac:dyDescent="0.2">
      <c r="A14" s="15">
        <v>4</v>
      </c>
      <c r="C14" s="387">
        <v>3</v>
      </c>
      <c r="D14" s="28" t="s">
        <v>386</v>
      </c>
      <c r="E14" s="394">
        <v>0</v>
      </c>
      <c r="F14" s="8">
        <v>5.125</v>
      </c>
      <c r="G14" s="1">
        <v>5.9999999999999995E-4</v>
      </c>
      <c r="H14" s="1">
        <v>0</v>
      </c>
      <c r="I14" s="1">
        <v>5.9999999999999995E-4</v>
      </c>
      <c r="J14" s="1">
        <v>0</v>
      </c>
      <c r="K14" s="1">
        <v>5.9999999999999995E-4</v>
      </c>
      <c r="L14" s="1">
        <v>1</v>
      </c>
    </row>
    <row r="15" spans="1:12" ht="13.9" customHeight="1" x14ac:dyDescent="0.2">
      <c r="A15" s="15">
        <v>5</v>
      </c>
      <c r="B15" s="28" t="s">
        <v>518</v>
      </c>
      <c r="C15" s="387">
        <v>1</v>
      </c>
      <c r="D15" s="28" t="s">
        <v>17</v>
      </c>
      <c r="E15" s="394">
        <v>4745.5200000000004</v>
      </c>
      <c r="F15" s="8">
        <v>6.1840000000000002</v>
      </c>
      <c r="G15" s="1">
        <v>5.9999999999999995E-4</v>
      </c>
      <c r="L15" s="1">
        <v>1</v>
      </c>
    </row>
    <row r="16" spans="1:12" ht="13.9" customHeight="1" x14ac:dyDescent="0.2">
      <c r="A16" s="15">
        <v>6</v>
      </c>
      <c r="B16" s="28" t="s">
        <v>519</v>
      </c>
      <c r="C16" s="387">
        <v>3</v>
      </c>
      <c r="D16" s="28" t="s">
        <v>386</v>
      </c>
      <c r="E16" s="394">
        <v>0</v>
      </c>
      <c r="F16" s="8">
        <v>5.5</v>
      </c>
      <c r="G16" s="1">
        <v>5.9999999999999995E-4</v>
      </c>
      <c r="H16" s="1">
        <v>0</v>
      </c>
      <c r="I16" s="1">
        <v>5.9999999999999995E-4</v>
      </c>
      <c r="J16" s="1">
        <v>0</v>
      </c>
      <c r="K16" s="1">
        <v>5.9999999999999995E-4</v>
      </c>
      <c r="L16" s="1">
        <v>1</v>
      </c>
    </row>
    <row r="17" spans="1:12" ht="13.9" customHeight="1" x14ac:dyDescent="0.2">
      <c r="A17" s="15">
        <v>7</v>
      </c>
      <c r="C17" s="387">
        <v>1</v>
      </c>
      <c r="D17" s="28" t="s">
        <v>17</v>
      </c>
      <c r="E17" s="394">
        <v>4767</v>
      </c>
      <c r="F17" s="8">
        <v>6.1840000000000002</v>
      </c>
      <c r="G17" s="1">
        <v>5.9999999999999995E-4</v>
      </c>
      <c r="L17" s="1">
        <v>1</v>
      </c>
    </row>
    <row r="18" spans="1:12" ht="13.9" customHeight="1" x14ac:dyDescent="0.2">
      <c r="A18" s="15">
        <v>8</v>
      </c>
      <c r="C18" s="387">
        <v>4</v>
      </c>
      <c r="D18" s="28" t="s">
        <v>23</v>
      </c>
      <c r="E18" s="394">
        <v>5173.8</v>
      </c>
      <c r="F18" s="8"/>
      <c r="J18" s="1">
        <v>6.1840000000000002</v>
      </c>
      <c r="K18" s="1">
        <v>5.9999999999999995E-4</v>
      </c>
      <c r="L18" s="1">
        <v>1</v>
      </c>
    </row>
    <row r="19" spans="1:12" ht="13.9" customHeight="1" x14ac:dyDescent="0.2">
      <c r="A19" s="15">
        <v>9</v>
      </c>
      <c r="C19" s="387">
        <v>4</v>
      </c>
      <c r="D19" s="28" t="s">
        <v>23</v>
      </c>
      <c r="E19" s="394">
        <v>5184.7</v>
      </c>
      <c r="F19" s="8"/>
      <c r="J19" s="1">
        <v>4.3579999999999997</v>
      </c>
      <c r="K19" s="1">
        <v>5.9999999999999995E-4</v>
      </c>
      <c r="L19" s="1">
        <v>1</v>
      </c>
    </row>
    <row r="20" spans="1:12" ht="13.9" customHeight="1" x14ac:dyDescent="0.2">
      <c r="A20" s="15">
        <v>10</v>
      </c>
      <c r="B20" s="28" t="s">
        <v>519</v>
      </c>
      <c r="C20" s="387">
        <v>3</v>
      </c>
      <c r="D20" s="28" t="s">
        <v>386</v>
      </c>
      <c r="E20" s="394">
        <v>0</v>
      </c>
      <c r="F20" s="8">
        <v>3.75</v>
      </c>
      <c r="G20" s="1">
        <v>5.9999999999999995E-4</v>
      </c>
      <c r="H20" s="1">
        <v>0</v>
      </c>
      <c r="I20" s="1">
        <v>5.9999999999999995E-4</v>
      </c>
      <c r="J20" s="1">
        <v>0</v>
      </c>
      <c r="K20" s="1">
        <v>5.9999999999999995E-4</v>
      </c>
      <c r="L20" s="1">
        <v>1</v>
      </c>
    </row>
    <row r="21" spans="1:12" ht="13.9" customHeight="1" x14ac:dyDescent="0.2">
      <c r="A21" s="15">
        <v>11</v>
      </c>
      <c r="C21" s="387">
        <v>4</v>
      </c>
      <c r="D21" s="28" t="s">
        <v>23</v>
      </c>
      <c r="E21" s="394">
        <v>5188.1000000000004</v>
      </c>
      <c r="F21" s="8"/>
      <c r="J21" s="1">
        <v>3.92</v>
      </c>
      <c r="K21" s="1">
        <v>5.9999999999999995E-4</v>
      </c>
      <c r="L21" s="1">
        <v>1</v>
      </c>
    </row>
    <row r="22" spans="1:12" ht="13.9" customHeight="1" x14ac:dyDescent="0.2">
      <c r="A22" s="15">
        <v>12</v>
      </c>
      <c r="B22" s="28" t="s">
        <v>520</v>
      </c>
      <c r="C22" s="387">
        <v>3</v>
      </c>
      <c r="D22" s="28" t="s">
        <v>386</v>
      </c>
      <c r="E22" s="394">
        <v>0</v>
      </c>
      <c r="F22" s="8">
        <v>3.4460000000000002</v>
      </c>
      <c r="G22" s="1">
        <v>5.9999999999999995E-4</v>
      </c>
      <c r="H22" s="1">
        <v>0</v>
      </c>
      <c r="I22" s="1">
        <v>5.9999999999999995E-4</v>
      </c>
      <c r="J22" s="1">
        <v>0</v>
      </c>
      <c r="K22" s="1">
        <v>5.9999999999999995E-4</v>
      </c>
      <c r="L22" s="1">
        <v>1</v>
      </c>
    </row>
    <row r="23" spans="1:12" ht="13.9" customHeight="1" x14ac:dyDescent="0.2">
      <c r="A23" s="15">
        <v>13</v>
      </c>
      <c r="C23" s="387">
        <v>4</v>
      </c>
      <c r="D23" s="28" t="s">
        <v>23</v>
      </c>
      <c r="E23" s="394">
        <v>5258</v>
      </c>
      <c r="F23" s="8"/>
      <c r="J23" s="1">
        <v>4.4080000000000004</v>
      </c>
      <c r="K23" s="1">
        <v>5.9999999999999995E-4</v>
      </c>
      <c r="L23" s="1">
        <v>1</v>
      </c>
    </row>
    <row r="24" spans="1:12" ht="13.9" customHeight="1" x14ac:dyDescent="0.2">
      <c r="A24" s="15"/>
      <c r="C24" s="387"/>
      <c r="E24" s="394"/>
      <c r="F24" s="8"/>
    </row>
    <row r="25" spans="1:12" ht="13.9" customHeight="1" x14ac:dyDescent="0.2">
      <c r="A25" s="15"/>
      <c r="C25" s="387"/>
      <c r="E25" s="394"/>
      <c r="F25" s="8"/>
    </row>
    <row r="26" spans="1:12" ht="13.9" customHeight="1" x14ac:dyDescent="0.2">
      <c r="A26" s="15"/>
      <c r="C26" s="387"/>
      <c r="E26" s="394"/>
      <c r="F26" s="8"/>
    </row>
    <row r="27" spans="1:12" ht="13.9" customHeight="1" x14ac:dyDescent="0.2">
      <c r="A27" s="15"/>
      <c r="C27" s="387"/>
      <c r="E27" s="394"/>
      <c r="F27" s="8"/>
    </row>
    <row r="28" spans="1:12" ht="13.9" customHeight="1" x14ac:dyDescent="0.2">
      <c r="A28" s="15"/>
      <c r="C28" s="387"/>
      <c r="E28" s="394"/>
      <c r="F28" s="8"/>
    </row>
    <row r="29" spans="1:12" ht="13.9" customHeight="1" x14ac:dyDescent="0.2">
      <c r="A29" s="15"/>
      <c r="C29" s="387"/>
      <c r="E29" s="394"/>
      <c r="F29" s="8"/>
    </row>
    <row r="30" spans="1:12" ht="13.9" customHeight="1" x14ac:dyDescent="0.2">
      <c r="A30" s="15"/>
      <c r="C30" s="387"/>
      <c r="E30" s="394"/>
      <c r="F30" s="8"/>
    </row>
    <row r="31" spans="1:12" x14ac:dyDescent="0.2">
      <c r="A31" s="15"/>
      <c r="C31" s="387"/>
      <c r="E31" s="394"/>
      <c r="F31" s="8"/>
    </row>
    <row r="32" spans="1:12" x14ac:dyDescent="0.2">
      <c r="A32" s="15"/>
      <c r="C32" s="387"/>
      <c r="E32" s="394"/>
      <c r="F32" s="8"/>
    </row>
    <row r="33" spans="1:6" x14ac:dyDescent="0.2">
      <c r="A33" s="15"/>
      <c r="C33" s="387"/>
      <c r="E33" s="394"/>
      <c r="F33" s="8"/>
    </row>
    <row r="34" spans="1:6" x14ac:dyDescent="0.2">
      <c r="A34" s="15"/>
      <c r="C34" s="387"/>
      <c r="E34" s="394"/>
      <c r="F34" s="8"/>
    </row>
    <row r="35" spans="1:6" x14ac:dyDescent="0.2">
      <c r="A35" s="15"/>
      <c r="C35" s="387"/>
      <c r="E35" s="394"/>
      <c r="F35" s="8"/>
    </row>
    <row r="36" spans="1:6" x14ac:dyDescent="0.2">
      <c r="A36" s="15"/>
      <c r="C36" s="387"/>
      <c r="E36" s="394"/>
      <c r="F36" s="8"/>
    </row>
    <row r="37" spans="1:6" x14ac:dyDescent="0.2">
      <c r="A37" s="15"/>
      <c r="C37" s="387"/>
      <c r="E37" s="394"/>
      <c r="F37" s="8"/>
    </row>
    <row r="38" spans="1:6" x14ac:dyDescent="0.2">
      <c r="A38" s="15"/>
      <c r="C38" s="387"/>
      <c r="E38" s="394"/>
      <c r="F38" s="8"/>
    </row>
    <row r="39" spans="1:6" x14ac:dyDescent="0.2">
      <c r="A39" s="15"/>
      <c r="C39" s="387"/>
      <c r="E39" s="394"/>
      <c r="F39" s="8"/>
    </row>
    <row r="40" spans="1:6" x14ac:dyDescent="0.2">
      <c r="A40" s="15"/>
      <c r="C40" s="387"/>
      <c r="E40" s="394"/>
      <c r="F40" s="8"/>
    </row>
    <row r="41" spans="1:6" x14ac:dyDescent="0.2">
      <c r="A41" s="15"/>
      <c r="C41" s="387"/>
      <c r="E41" s="394"/>
      <c r="F41" s="8"/>
    </row>
    <row r="42" spans="1:6" x14ac:dyDescent="0.2">
      <c r="A42" s="15"/>
      <c r="C42" s="387"/>
      <c r="E42" s="394"/>
      <c r="F42" s="8"/>
    </row>
    <row r="43" spans="1:6" x14ac:dyDescent="0.2">
      <c r="A43" s="15"/>
      <c r="C43" s="387"/>
      <c r="E43" s="394"/>
      <c r="F43" s="8"/>
    </row>
    <row r="44" spans="1:6" x14ac:dyDescent="0.2">
      <c r="A44" s="15"/>
      <c r="C44" s="387"/>
      <c r="E44" s="394"/>
      <c r="F44" s="8"/>
    </row>
    <row r="45" spans="1:6" x14ac:dyDescent="0.2">
      <c r="A45" s="15"/>
      <c r="C45" s="387"/>
      <c r="E45" s="394"/>
      <c r="F45" s="8"/>
    </row>
    <row r="46" spans="1:6" x14ac:dyDescent="0.2">
      <c r="A46" s="15"/>
      <c r="C46" s="387"/>
      <c r="E46" s="394"/>
      <c r="F46" s="8"/>
    </row>
    <row r="47" spans="1:6" x14ac:dyDescent="0.2">
      <c r="A47" s="15"/>
      <c r="C47" s="387"/>
      <c r="E47" s="394"/>
      <c r="F47" s="8"/>
    </row>
    <row r="48" spans="1:6" x14ac:dyDescent="0.2">
      <c r="A48" s="15"/>
      <c r="C48" s="387"/>
      <c r="E48" s="394"/>
      <c r="F48" s="8"/>
    </row>
    <row r="49" spans="1:6" x14ac:dyDescent="0.2">
      <c r="A49" s="15"/>
      <c r="C49" s="387"/>
      <c r="E49" s="394"/>
      <c r="F49" s="8"/>
    </row>
    <row r="50" spans="1:6" x14ac:dyDescent="0.2">
      <c r="A50" s="15"/>
      <c r="C50" s="387"/>
      <c r="E50" s="394"/>
      <c r="F50" s="8"/>
    </row>
    <row r="51" spans="1:6" x14ac:dyDescent="0.2">
      <c r="A51" s="15"/>
      <c r="C51" s="387"/>
      <c r="E51" s="394"/>
      <c r="F51" s="8"/>
    </row>
    <row r="52" spans="1:6" x14ac:dyDescent="0.2">
      <c r="A52" s="15"/>
      <c r="C52" s="387"/>
      <c r="E52" s="394"/>
      <c r="F52" s="8"/>
    </row>
    <row r="53" spans="1:6" x14ac:dyDescent="0.2">
      <c r="A53" s="15"/>
      <c r="C53" s="387"/>
      <c r="E53" s="394"/>
      <c r="F53" s="8"/>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B2:F100"/>
  <sheetViews>
    <sheetView showGridLines="0" workbookViewId="0"/>
  </sheetViews>
  <sheetFormatPr defaultColWidth="9.33203125" defaultRowHeight="12" x14ac:dyDescent="0.2"/>
  <cols>
    <col min="1" max="1" width="4.1640625" customWidth="1"/>
    <col min="2" max="2" width="8" style="58" customWidth="1"/>
    <col min="3" max="3" width="17.5" customWidth="1"/>
    <col min="4" max="5" width="18.33203125" customWidth="1"/>
    <col min="6" max="6" width="3.33203125" customWidth="1"/>
  </cols>
  <sheetData>
    <row r="2" spans="2:6" x14ac:dyDescent="0.2">
      <c r="B2" s="72" t="s">
        <v>41</v>
      </c>
      <c r="C2" s="60"/>
      <c r="D2" s="64">
        <v>1.4266254899999999</v>
      </c>
      <c r="E2" s="63" t="s">
        <v>34</v>
      </c>
    </row>
    <row r="3" spans="2:6" x14ac:dyDescent="0.2">
      <c r="B3" s="28"/>
      <c r="D3" s="65"/>
    </row>
    <row r="4" spans="2:6" x14ac:dyDescent="0.2">
      <c r="B4" s="72" t="s">
        <v>42</v>
      </c>
      <c r="C4" s="60"/>
      <c r="D4" s="59" t="s">
        <v>493</v>
      </c>
      <c r="E4" s="62">
        <v>1</v>
      </c>
      <c r="F4" s="61"/>
    </row>
    <row r="6" spans="2:6" x14ac:dyDescent="0.2">
      <c r="B6" s="67"/>
      <c r="C6" s="13"/>
      <c r="D6" s="1"/>
      <c r="E6" s="1"/>
    </row>
    <row r="7" spans="2:6" x14ac:dyDescent="0.2">
      <c r="B7" s="68"/>
      <c r="C7" s="3"/>
      <c r="D7" s="3"/>
      <c r="E7" s="4" t="s">
        <v>39</v>
      </c>
    </row>
    <row r="8" spans="2:6" x14ac:dyDescent="0.2">
      <c r="B8" s="69" t="s">
        <v>10</v>
      </c>
      <c r="C8" s="6" t="s">
        <v>2</v>
      </c>
      <c r="D8" s="6" t="s">
        <v>1</v>
      </c>
      <c r="E8" s="7" t="s">
        <v>40</v>
      </c>
    </row>
    <row r="9" spans="2:6" x14ac:dyDescent="0.2">
      <c r="B9" s="70"/>
      <c r="C9" s="11" t="s">
        <v>0</v>
      </c>
      <c r="D9" s="11" t="s">
        <v>0</v>
      </c>
      <c r="E9" s="12" t="s">
        <v>33</v>
      </c>
    </row>
    <row r="10" spans="2:6" x14ac:dyDescent="0.2">
      <c r="B10" s="71">
        <v>0</v>
      </c>
      <c r="C10" s="66">
        <v>0</v>
      </c>
      <c r="D10" s="66">
        <v>0</v>
      </c>
      <c r="E10" s="66">
        <v>66.92</v>
      </c>
    </row>
    <row r="11" spans="2:6" x14ac:dyDescent="0.2">
      <c r="B11" s="71">
        <v>1</v>
      </c>
      <c r="C11" s="66">
        <v>2138.8000000000002</v>
      </c>
      <c r="D11" s="66">
        <v>2140</v>
      </c>
      <c r="E11" s="66">
        <v>123</v>
      </c>
    </row>
    <row r="12" spans="2:6" x14ac:dyDescent="0.2">
      <c r="B12" s="71">
        <v>2</v>
      </c>
      <c r="C12" s="66">
        <v>3234.23</v>
      </c>
      <c r="D12" s="66">
        <v>3242</v>
      </c>
      <c r="E12" s="66">
        <v>164.6</v>
      </c>
    </row>
    <row r="13" spans="2:6" x14ac:dyDescent="0.2">
      <c r="B13" s="71">
        <v>3</v>
      </c>
      <c r="C13" s="66">
        <v>4675.59</v>
      </c>
      <c r="D13" s="66">
        <v>4898</v>
      </c>
      <c r="E13" s="66">
        <v>202.7</v>
      </c>
    </row>
    <row r="14" spans="2:6" x14ac:dyDescent="0.2">
      <c r="B14" s="71">
        <v>4</v>
      </c>
      <c r="C14" s="66">
        <v>4848.63</v>
      </c>
      <c r="D14" s="66">
        <v>5224</v>
      </c>
      <c r="E14" s="66">
        <v>224.2</v>
      </c>
    </row>
    <row r="15" spans="2:6" x14ac:dyDescent="0.2">
      <c r="B15" s="71">
        <v>5</v>
      </c>
      <c r="C15" s="66">
        <v>4866.3</v>
      </c>
      <c r="D15" s="66">
        <v>5258</v>
      </c>
      <c r="E15" s="66">
        <v>225</v>
      </c>
    </row>
    <row r="16" spans="2:6" x14ac:dyDescent="0.2">
      <c r="B16" s="71"/>
      <c r="C16" s="66"/>
      <c r="D16" s="66"/>
      <c r="E16" s="66"/>
    </row>
    <row r="17" spans="2:5" x14ac:dyDescent="0.2">
      <c r="B17" s="71"/>
      <c r="C17" s="66"/>
      <c r="D17" s="66"/>
      <c r="E17" s="66"/>
    </row>
    <row r="18" spans="2:5" x14ac:dyDescent="0.2">
      <c r="B18" s="71"/>
      <c r="C18" s="66"/>
      <c r="D18" s="66"/>
      <c r="E18" s="66"/>
    </row>
    <row r="19" spans="2:5" x14ac:dyDescent="0.2">
      <c r="B19" s="71"/>
      <c r="C19" s="66"/>
      <c r="D19" s="66"/>
      <c r="E19" s="66"/>
    </row>
    <row r="20" spans="2:5" x14ac:dyDescent="0.2">
      <c r="B20" s="71"/>
      <c r="C20" s="66"/>
      <c r="D20" s="66"/>
      <c r="E20" s="66"/>
    </row>
    <row r="21" spans="2:5" x14ac:dyDescent="0.2">
      <c r="B21" s="71"/>
      <c r="C21" s="66"/>
      <c r="D21" s="66"/>
      <c r="E21" s="66"/>
    </row>
    <row r="22" spans="2:5" x14ac:dyDescent="0.2">
      <c r="B22" s="71"/>
      <c r="C22" s="66"/>
      <c r="D22" s="66"/>
      <c r="E22" s="66"/>
    </row>
    <row r="23" spans="2:5" x14ac:dyDescent="0.2">
      <c r="B23" s="71"/>
      <c r="C23" s="66"/>
      <c r="D23" s="66"/>
      <c r="E23" s="66"/>
    </row>
    <row r="24" spans="2:5" x14ac:dyDescent="0.2">
      <c r="B24" s="71"/>
      <c r="C24" s="66"/>
      <c r="D24" s="66"/>
      <c r="E24" s="66"/>
    </row>
    <row r="25" spans="2:5" x14ac:dyDescent="0.2">
      <c r="B25" s="71"/>
      <c r="C25" s="66"/>
      <c r="D25" s="66"/>
      <c r="E25" s="66"/>
    </row>
    <row r="26" spans="2:5" x14ac:dyDescent="0.2">
      <c r="B26" s="71"/>
      <c r="C26" s="66"/>
      <c r="D26" s="66"/>
      <c r="E26" s="66"/>
    </row>
    <row r="27" spans="2:5" x14ac:dyDescent="0.2">
      <c r="B27" s="71"/>
      <c r="C27" s="66"/>
      <c r="D27" s="66"/>
      <c r="E27" s="66"/>
    </row>
    <row r="28" spans="2:5" x14ac:dyDescent="0.2">
      <c r="B28" s="71"/>
      <c r="C28" s="66"/>
      <c r="D28" s="66"/>
      <c r="E28" s="66"/>
    </row>
    <row r="29" spans="2:5" x14ac:dyDescent="0.2">
      <c r="B29" s="71"/>
      <c r="C29" s="66"/>
      <c r="D29" s="66"/>
      <c r="E29" s="66"/>
    </row>
    <row r="30" spans="2:5" x14ac:dyDescent="0.2">
      <c r="B30" s="71"/>
      <c r="C30" s="66"/>
      <c r="D30" s="66"/>
      <c r="E30" s="66"/>
    </row>
    <row r="31" spans="2:5" x14ac:dyDescent="0.2">
      <c r="B31" s="71"/>
      <c r="C31" s="66"/>
      <c r="D31" s="66"/>
      <c r="E31" s="66"/>
    </row>
    <row r="32" spans="2:5" x14ac:dyDescent="0.2">
      <c r="B32" s="71"/>
      <c r="C32" s="66"/>
      <c r="D32" s="66"/>
      <c r="E32" s="66"/>
    </row>
    <row r="33" spans="2:5" x14ac:dyDescent="0.2">
      <c r="B33" s="71"/>
      <c r="C33" s="66"/>
      <c r="D33" s="66"/>
      <c r="E33" s="66"/>
    </row>
    <row r="34" spans="2:5" x14ac:dyDescent="0.2">
      <c r="B34" s="71"/>
      <c r="C34" s="66"/>
      <c r="D34" s="66"/>
      <c r="E34" s="66"/>
    </row>
    <row r="35" spans="2:5" x14ac:dyDescent="0.2">
      <c r="B35" s="71"/>
      <c r="C35" s="66"/>
      <c r="D35" s="66"/>
      <c r="E35" s="66"/>
    </row>
    <row r="36" spans="2:5" x14ac:dyDescent="0.2">
      <c r="B36" s="71"/>
      <c r="C36" s="66"/>
      <c r="D36" s="66"/>
      <c r="E36" s="66"/>
    </row>
    <row r="37" spans="2:5" x14ac:dyDescent="0.2">
      <c r="B37" s="71"/>
      <c r="C37" s="66"/>
      <c r="D37" s="66"/>
      <c r="E37" s="66"/>
    </row>
    <row r="38" spans="2:5" x14ac:dyDescent="0.2">
      <c r="B38" s="71"/>
      <c r="C38" s="66"/>
      <c r="D38" s="66"/>
      <c r="E38" s="66"/>
    </row>
    <row r="39" spans="2:5" x14ac:dyDescent="0.2">
      <c r="B39" s="71"/>
      <c r="C39" s="66"/>
      <c r="D39" s="66"/>
      <c r="E39" s="66"/>
    </row>
    <row r="40" spans="2:5" x14ac:dyDescent="0.2">
      <c r="B40" s="71"/>
      <c r="C40" s="66"/>
      <c r="D40" s="66"/>
      <c r="E40" s="66"/>
    </row>
    <row r="41" spans="2:5" x14ac:dyDescent="0.2">
      <c r="B41" s="71"/>
      <c r="C41" s="66"/>
      <c r="D41" s="66"/>
      <c r="E41" s="66"/>
    </row>
    <row r="42" spans="2:5" x14ac:dyDescent="0.2">
      <c r="B42" s="71"/>
      <c r="C42" s="66"/>
      <c r="D42" s="66"/>
      <c r="E42" s="66"/>
    </row>
    <row r="43" spans="2:5" x14ac:dyDescent="0.2">
      <c r="B43" s="71"/>
      <c r="C43" s="66"/>
      <c r="D43" s="66"/>
      <c r="E43" s="66"/>
    </row>
    <row r="44" spans="2:5" x14ac:dyDescent="0.2">
      <c r="B44" s="71"/>
      <c r="C44" s="66"/>
      <c r="D44" s="66"/>
      <c r="E44" s="66"/>
    </row>
    <row r="45" spans="2:5" x14ac:dyDescent="0.2">
      <c r="B45" s="71"/>
      <c r="C45" s="66"/>
      <c r="D45" s="66"/>
      <c r="E45" s="66"/>
    </row>
    <row r="46" spans="2:5" x14ac:dyDescent="0.2">
      <c r="B46" s="71"/>
      <c r="C46" s="66"/>
      <c r="D46" s="66"/>
      <c r="E46" s="66"/>
    </row>
    <row r="47" spans="2:5" x14ac:dyDescent="0.2">
      <c r="B47" s="71"/>
      <c r="C47" s="66"/>
      <c r="D47" s="66"/>
      <c r="E47" s="66"/>
    </row>
    <row r="48" spans="2:5" x14ac:dyDescent="0.2">
      <c r="B48" s="71"/>
      <c r="C48" s="66"/>
      <c r="D48" s="66"/>
      <c r="E48" s="66"/>
    </row>
    <row r="49" spans="2:5" x14ac:dyDescent="0.2">
      <c r="B49" s="71"/>
      <c r="C49" s="66"/>
      <c r="D49" s="66"/>
      <c r="E49" s="66"/>
    </row>
    <row r="50" spans="2:5" x14ac:dyDescent="0.2">
      <c r="B50" s="71"/>
      <c r="C50" s="66"/>
      <c r="D50" s="66"/>
      <c r="E50" s="66"/>
    </row>
    <row r="51" spans="2:5" x14ac:dyDescent="0.2">
      <c r="B51" s="71"/>
      <c r="C51" s="66"/>
      <c r="D51" s="66"/>
      <c r="E51" s="66"/>
    </row>
    <row r="52" spans="2:5" x14ac:dyDescent="0.2">
      <c r="B52" s="71"/>
      <c r="C52" s="66"/>
      <c r="D52" s="66"/>
      <c r="E52" s="66"/>
    </row>
    <row r="53" spans="2:5" x14ac:dyDescent="0.2">
      <c r="B53" s="71"/>
      <c r="C53" s="66"/>
      <c r="D53" s="66"/>
      <c r="E53" s="66"/>
    </row>
    <row r="54" spans="2:5" x14ac:dyDescent="0.2">
      <c r="B54" s="71"/>
      <c r="C54" s="66"/>
      <c r="D54" s="66"/>
      <c r="E54" s="66"/>
    </row>
    <row r="55" spans="2:5" x14ac:dyDescent="0.2">
      <c r="B55" s="71"/>
      <c r="C55" s="66"/>
      <c r="D55" s="66"/>
      <c r="E55" s="66"/>
    </row>
    <row r="56" spans="2:5" x14ac:dyDescent="0.2">
      <c r="B56" s="71"/>
      <c r="C56" s="66"/>
      <c r="D56" s="66"/>
      <c r="E56" s="66"/>
    </row>
    <row r="57" spans="2:5" x14ac:dyDescent="0.2">
      <c r="B57" s="71"/>
      <c r="C57" s="66"/>
      <c r="D57" s="66"/>
      <c r="E57" s="66"/>
    </row>
    <row r="58" spans="2:5" x14ac:dyDescent="0.2">
      <c r="B58" s="71"/>
      <c r="C58" s="66"/>
      <c r="D58" s="66"/>
      <c r="E58" s="66"/>
    </row>
    <row r="59" spans="2:5" x14ac:dyDescent="0.2">
      <c r="B59" s="71"/>
      <c r="C59" s="66"/>
      <c r="D59" s="66"/>
      <c r="E59" s="66"/>
    </row>
    <row r="60" spans="2:5" x14ac:dyDescent="0.2">
      <c r="B60" s="71"/>
      <c r="C60" s="66"/>
      <c r="D60" s="66"/>
      <c r="E60" s="66"/>
    </row>
    <row r="61" spans="2:5" x14ac:dyDescent="0.2">
      <c r="B61" s="71"/>
      <c r="C61" s="66"/>
      <c r="D61" s="66"/>
      <c r="E61" s="66"/>
    </row>
    <row r="62" spans="2:5" x14ac:dyDescent="0.2">
      <c r="B62" s="71"/>
      <c r="C62" s="66"/>
      <c r="D62" s="66"/>
      <c r="E62" s="66"/>
    </row>
    <row r="63" spans="2:5" x14ac:dyDescent="0.2">
      <c r="B63" s="71"/>
      <c r="C63" s="66"/>
      <c r="D63" s="66"/>
      <c r="E63" s="66"/>
    </row>
    <row r="64" spans="2:5" x14ac:dyDescent="0.2">
      <c r="B64" s="71"/>
      <c r="C64" s="66"/>
      <c r="D64" s="66"/>
      <c r="E64" s="66"/>
    </row>
    <row r="65" spans="2:5" x14ac:dyDescent="0.2">
      <c r="B65" s="71"/>
      <c r="C65" s="66"/>
      <c r="D65" s="66"/>
      <c r="E65" s="66"/>
    </row>
    <row r="66" spans="2:5" x14ac:dyDescent="0.2">
      <c r="B66" s="71"/>
      <c r="C66" s="66"/>
      <c r="D66" s="66"/>
      <c r="E66" s="66"/>
    </row>
    <row r="67" spans="2:5" x14ac:dyDescent="0.2">
      <c r="B67" s="71"/>
      <c r="C67" s="66"/>
      <c r="D67" s="66"/>
      <c r="E67" s="66"/>
    </row>
    <row r="68" spans="2:5" x14ac:dyDescent="0.2">
      <c r="B68" s="71"/>
      <c r="C68" s="66"/>
      <c r="D68" s="66"/>
      <c r="E68" s="66"/>
    </row>
    <row r="69" spans="2:5" x14ac:dyDescent="0.2">
      <c r="B69" s="71"/>
      <c r="C69" s="66"/>
      <c r="D69" s="66"/>
      <c r="E69" s="66"/>
    </row>
    <row r="70" spans="2:5" x14ac:dyDescent="0.2">
      <c r="B70" s="71"/>
      <c r="C70" s="66"/>
      <c r="D70" s="66"/>
      <c r="E70" s="66"/>
    </row>
    <row r="71" spans="2:5" x14ac:dyDescent="0.2">
      <c r="B71" s="71"/>
      <c r="C71" s="66"/>
      <c r="D71" s="66"/>
      <c r="E71" s="66"/>
    </row>
    <row r="72" spans="2:5" x14ac:dyDescent="0.2">
      <c r="B72" s="71"/>
      <c r="C72" s="66"/>
      <c r="D72" s="66"/>
      <c r="E72" s="66"/>
    </row>
    <row r="73" spans="2:5" x14ac:dyDescent="0.2">
      <c r="B73" s="71"/>
      <c r="C73" s="66"/>
      <c r="D73" s="66"/>
      <c r="E73" s="66"/>
    </row>
    <row r="74" spans="2:5" x14ac:dyDescent="0.2">
      <c r="B74" s="71"/>
      <c r="C74" s="66"/>
      <c r="D74" s="66"/>
      <c r="E74" s="66"/>
    </row>
    <row r="75" spans="2:5" x14ac:dyDescent="0.2">
      <c r="B75" s="71"/>
      <c r="C75" s="66"/>
      <c r="D75" s="66"/>
      <c r="E75" s="66"/>
    </row>
    <row r="76" spans="2:5" x14ac:dyDescent="0.2">
      <c r="B76" s="71"/>
      <c r="C76" s="66"/>
      <c r="D76" s="66"/>
      <c r="E76" s="66"/>
    </row>
    <row r="77" spans="2:5" x14ac:dyDescent="0.2">
      <c r="B77" s="71"/>
      <c r="C77" s="66"/>
      <c r="D77" s="66"/>
      <c r="E77" s="66"/>
    </row>
    <row r="78" spans="2:5" x14ac:dyDescent="0.2">
      <c r="B78" s="71"/>
      <c r="C78" s="66"/>
      <c r="D78" s="66"/>
      <c r="E78" s="66"/>
    </row>
    <row r="79" spans="2:5" x14ac:dyDescent="0.2">
      <c r="B79" s="71"/>
      <c r="C79" s="66"/>
      <c r="D79" s="66"/>
      <c r="E79" s="66"/>
    </row>
    <row r="80" spans="2:5" x14ac:dyDescent="0.2">
      <c r="B80" s="71"/>
      <c r="C80" s="66"/>
      <c r="D80" s="66"/>
      <c r="E80" s="66"/>
    </row>
    <row r="81" spans="2:5" x14ac:dyDescent="0.2">
      <c r="B81" s="71"/>
      <c r="C81" s="66"/>
      <c r="D81" s="66"/>
      <c r="E81" s="66"/>
    </row>
    <row r="82" spans="2:5" x14ac:dyDescent="0.2">
      <c r="B82" s="71"/>
      <c r="C82" s="66"/>
      <c r="D82" s="66"/>
      <c r="E82" s="66"/>
    </row>
    <row r="83" spans="2:5" x14ac:dyDescent="0.2">
      <c r="B83" s="71"/>
      <c r="C83" s="66"/>
      <c r="D83" s="66"/>
      <c r="E83" s="66"/>
    </row>
    <row r="84" spans="2:5" x14ac:dyDescent="0.2">
      <c r="B84" s="71"/>
      <c r="C84" s="66"/>
      <c r="D84" s="66"/>
      <c r="E84" s="66"/>
    </row>
    <row r="85" spans="2:5" x14ac:dyDescent="0.2">
      <c r="B85" s="71"/>
      <c r="C85" s="66"/>
      <c r="D85" s="66"/>
      <c r="E85" s="66"/>
    </row>
    <row r="86" spans="2:5" x14ac:dyDescent="0.2">
      <c r="B86" s="71"/>
      <c r="C86" s="66"/>
      <c r="D86" s="66"/>
      <c r="E86" s="66"/>
    </row>
    <row r="87" spans="2:5" x14ac:dyDescent="0.2">
      <c r="B87" s="71"/>
      <c r="C87" s="66"/>
      <c r="D87" s="66"/>
      <c r="E87" s="66"/>
    </row>
    <row r="88" spans="2:5" x14ac:dyDescent="0.2">
      <c r="B88" s="71"/>
      <c r="C88" s="66"/>
      <c r="D88" s="66"/>
      <c r="E88" s="66"/>
    </row>
    <row r="89" spans="2:5" x14ac:dyDescent="0.2">
      <c r="B89" s="71"/>
      <c r="C89" s="66"/>
      <c r="D89" s="66"/>
      <c r="E89" s="66"/>
    </row>
    <row r="90" spans="2:5" x14ac:dyDescent="0.2">
      <c r="B90" s="71"/>
      <c r="C90" s="66"/>
      <c r="D90" s="66"/>
      <c r="E90" s="66"/>
    </row>
    <row r="91" spans="2:5" x14ac:dyDescent="0.2">
      <c r="B91" s="71"/>
      <c r="C91" s="66"/>
      <c r="D91" s="66"/>
      <c r="E91" s="66"/>
    </row>
    <row r="92" spans="2:5" x14ac:dyDescent="0.2">
      <c r="B92" s="71"/>
      <c r="C92" s="66"/>
      <c r="D92" s="66"/>
      <c r="E92" s="66"/>
    </row>
    <row r="93" spans="2:5" x14ac:dyDescent="0.2">
      <c r="B93" s="71"/>
      <c r="C93" s="66"/>
      <c r="D93" s="66"/>
      <c r="E93" s="66"/>
    </row>
    <row r="94" spans="2:5" x14ac:dyDescent="0.2">
      <c r="B94" s="71"/>
      <c r="C94" s="66"/>
      <c r="D94" s="66"/>
      <c r="E94" s="66"/>
    </row>
    <row r="95" spans="2:5" x14ac:dyDescent="0.2">
      <c r="B95" s="71"/>
      <c r="C95" s="66"/>
      <c r="D95" s="66"/>
      <c r="E95" s="66"/>
    </row>
    <row r="96" spans="2:5" x14ac:dyDescent="0.2">
      <c r="B96" s="71"/>
      <c r="C96" s="66"/>
      <c r="D96" s="66"/>
      <c r="E96" s="66"/>
    </row>
    <row r="97" spans="2:5" x14ac:dyDescent="0.2">
      <c r="B97" s="71"/>
      <c r="C97" s="66"/>
      <c r="D97" s="66"/>
      <c r="E97" s="66"/>
    </row>
    <row r="98" spans="2:5" x14ac:dyDescent="0.2">
      <c r="B98" s="71"/>
      <c r="C98" s="66"/>
      <c r="D98" s="66"/>
      <c r="E98" s="66"/>
    </row>
    <row r="99" spans="2:5" x14ac:dyDescent="0.2">
      <c r="B99" s="71"/>
      <c r="C99" s="66"/>
      <c r="D99" s="66"/>
      <c r="E99" s="66"/>
    </row>
    <row r="100" spans="2:5" x14ac:dyDescent="0.2">
      <c r="B100" s="71"/>
      <c r="C100" s="66"/>
      <c r="D100" s="66"/>
      <c r="E100" s="66"/>
    </row>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0000FF"/>
  </sheetPr>
  <dimension ref="B1:P31"/>
  <sheetViews>
    <sheetView showGridLines="0" workbookViewId="0">
      <selection activeCell="F18" sqref="F18"/>
    </sheetView>
  </sheetViews>
  <sheetFormatPr defaultColWidth="9.33203125" defaultRowHeight="12" x14ac:dyDescent="0.2"/>
  <cols>
    <col min="1" max="1" width="3.33203125" customWidth="1"/>
    <col min="2" max="2" width="16.83203125" style="86" customWidth="1"/>
    <col min="3" max="3" width="13.5" style="28" customWidth="1"/>
    <col min="4" max="6" width="15.5" style="15" customWidth="1"/>
    <col min="7" max="7" width="17.33203125" style="15" customWidth="1"/>
    <col min="8" max="8" width="15.5" style="15" customWidth="1"/>
    <col min="9" max="10" width="12" style="15" customWidth="1"/>
    <col min="11" max="11" width="15.5" style="15" customWidth="1"/>
    <col min="12" max="12" width="12.6640625" customWidth="1"/>
    <col min="13" max="13" width="3" customWidth="1"/>
  </cols>
  <sheetData>
    <row r="1" spans="2:16" x14ac:dyDescent="0.2">
      <c r="L1" s="190"/>
    </row>
    <row r="5" spans="2:16" x14ac:dyDescent="0.2">
      <c r="B5" s="13" t="s">
        <v>160</v>
      </c>
    </row>
    <row r="6" spans="2:16" x14ac:dyDescent="0.2">
      <c r="B6" s="84"/>
      <c r="C6" s="79"/>
      <c r="D6" s="80" t="s">
        <v>17</v>
      </c>
      <c r="E6" s="80" t="s">
        <v>17</v>
      </c>
      <c r="F6" s="80" t="s">
        <v>49</v>
      </c>
      <c r="G6" s="80" t="s">
        <v>52</v>
      </c>
      <c r="H6" s="80" t="s">
        <v>54</v>
      </c>
      <c r="I6" s="80"/>
      <c r="J6" s="80"/>
      <c r="K6" s="81" t="s">
        <v>59</v>
      </c>
      <c r="L6" s="274"/>
    </row>
    <row r="7" spans="2:16" x14ac:dyDescent="0.2">
      <c r="B7" s="85"/>
      <c r="C7" s="50"/>
      <c r="D7" s="82" t="s">
        <v>46</v>
      </c>
      <c r="E7" s="82" t="s">
        <v>48</v>
      </c>
      <c r="F7" s="82" t="s">
        <v>50</v>
      </c>
      <c r="G7" s="82" t="s">
        <v>50</v>
      </c>
      <c r="H7" s="82" t="s">
        <v>16</v>
      </c>
      <c r="I7" s="82" t="s">
        <v>56</v>
      </c>
      <c r="J7" s="82" t="s">
        <v>57</v>
      </c>
      <c r="K7" s="83" t="s">
        <v>58</v>
      </c>
      <c r="L7" s="275" t="s">
        <v>161</v>
      </c>
      <c r="N7" s="82" t="s">
        <v>162</v>
      </c>
      <c r="O7" s="82" t="s">
        <v>164</v>
      </c>
      <c r="P7" s="82" t="s">
        <v>166</v>
      </c>
    </row>
    <row r="8" spans="2:16" x14ac:dyDescent="0.2">
      <c r="B8" s="85"/>
      <c r="C8" s="50" t="s">
        <v>44</v>
      </c>
      <c r="D8" s="82" t="s">
        <v>47</v>
      </c>
      <c r="E8" s="82" t="s">
        <v>40</v>
      </c>
      <c r="F8" s="82" t="s">
        <v>51</v>
      </c>
      <c r="G8" s="82" t="s">
        <v>53</v>
      </c>
      <c r="H8" s="82" t="s">
        <v>55</v>
      </c>
      <c r="I8" s="82" t="s">
        <v>20</v>
      </c>
      <c r="J8" s="82" t="s">
        <v>58</v>
      </c>
      <c r="K8" s="83" t="s">
        <v>60</v>
      </c>
      <c r="L8" s="275" t="s">
        <v>82</v>
      </c>
      <c r="N8" s="82" t="s">
        <v>163</v>
      </c>
      <c r="O8" s="82" t="s">
        <v>165</v>
      </c>
      <c r="P8" s="82" t="s">
        <v>167</v>
      </c>
    </row>
    <row r="9" spans="2:16" x14ac:dyDescent="0.2">
      <c r="B9" s="186"/>
      <c r="C9" s="187"/>
      <c r="D9" s="188" t="s">
        <v>45</v>
      </c>
      <c r="E9" s="188"/>
      <c r="F9" s="188"/>
      <c r="G9" s="188"/>
      <c r="H9" s="188" t="s">
        <v>61</v>
      </c>
      <c r="I9" s="188" t="s">
        <v>0</v>
      </c>
      <c r="J9" s="188"/>
      <c r="K9" s="189"/>
      <c r="L9" s="276" t="s">
        <v>34</v>
      </c>
    </row>
    <row r="10" spans="2:16" ht="16.5" customHeight="1" x14ac:dyDescent="0.2">
      <c r="B10" s="194"/>
      <c r="C10" s="195" t="s">
        <v>62</v>
      </c>
      <c r="D10" s="74">
        <v>5576.2</v>
      </c>
      <c r="E10" s="74">
        <v>93</v>
      </c>
      <c r="F10" s="74">
        <v>0.75968992248062017</v>
      </c>
      <c r="G10" s="74">
        <v>25</v>
      </c>
      <c r="H10" s="74">
        <v>8.42</v>
      </c>
      <c r="I10" s="196">
        <v>2400</v>
      </c>
      <c r="J10" s="74">
        <v>6370</v>
      </c>
      <c r="K10" s="197">
        <v>6500</v>
      </c>
      <c r="L10" s="191">
        <v>10.2539</v>
      </c>
    </row>
    <row r="11" spans="2:16" ht="16.5" customHeight="1" x14ac:dyDescent="0.2">
      <c r="B11" s="206"/>
      <c r="C11" s="207" t="s">
        <v>63</v>
      </c>
      <c r="D11" s="208">
        <v>5472.8</v>
      </c>
      <c r="E11" s="208">
        <v>94.9</v>
      </c>
      <c r="F11" s="208">
        <v>0.39715762273901806</v>
      </c>
      <c r="G11" s="208">
        <v>26.877033181522449</v>
      </c>
      <c r="H11" s="208">
        <v>14.15</v>
      </c>
      <c r="I11" s="209">
        <v>2400</v>
      </c>
      <c r="J11" s="208">
        <v>6240</v>
      </c>
      <c r="K11" s="210">
        <v>6500</v>
      </c>
      <c r="L11" s="211">
        <v>15.765599999999999</v>
      </c>
    </row>
    <row r="12" spans="2:16" ht="16.5" customHeight="1" x14ac:dyDescent="0.2">
      <c r="B12" s="198"/>
      <c r="C12" s="28" t="s">
        <v>64</v>
      </c>
      <c r="D12" s="26">
        <v>4190</v>
      </c>
      <c r="E12" s="26">
        <v>101.9</v>
      </c>
      <c r="F12" s="26">
        <v>0.37445692883895132</v>
      </c>
      <c r="G12" s="26">
        <v>28.205641128225647</v>
      </c>
      <c r="H12" s="26">
        <v>23.89</v>
      </c>
      <c r="I12" s="199">
        <v>2400</v>
      </c>
      <c r="J12" s="26">
        <v>5890</v>
      </c>
      <c r="K12" s="200">
        <v>6500</v>
      </c>
      <c r="L12" s="192">
        <v>20.148399999999999</v>
      </c>
    </row>
    <row r="13" spans="2:16" ht="16.5" customHeight="1" x14ac:dyDescent="0.2">
      <c r="B13" s="206"/>
      <c r="C13" s="207"/>
      <c r="D13" s="208"/>
      <c r="E13" s="208"/>
      <c r="F13" s="208"/>
      <c r="G13" s="208"/>
      <c r="H13" s="208"/>
      <c r="I13" s="209"/>
      <c r="J13" s="208"/>
      <c r="K13" s="210"/>
      <c r="L13" s="211"/>
    </row>
    <row r="14" spans="2:16" ht="16.5" customHeight="1" x14ac:dyDescent="0.2">
      <c r="B14" s="198"/>
      <c r="D14" s="26"/>
      <c r="E14" s="26"/>
      <c r="F14" s="26"/>
      <c r="G14" s="26"/>
      <c r="H14" s="26"/>
      <c r="I14" s="199"/>
      <c r="J14" s="26"/>
      <c r="K14" s="200"/>
      <c r="L14" s="192"/>
    </row>
    <row r="15" spans="2:16" ht="16.5" customHeight="1" x14ac:dyDescent="0.2">
      <c r="B15" s="206"/>
      <c r="C15" s="207"/>
      <c r="D15" s="208"/>
      <c r="E15" s="208"/>
      <c r="F15" s="208"/>
      <c r="G15" s="208"/>
      <c r="H15" s="208"/>
      <c r="I15" s="209"/>
      <c r="J15" s="208"/>
      <c r="K15" s="210"/>
      <c r="L15" s="211"/>
    </row>
    <row r="16" spans="2:16" ht="16.5" customHeight="1" x14ac:dyDescent="0.2">
      <c r="B16" s="198"/>
      <c r="D16" s="26"/>
      <c r="E16" s="26"/>
      <c r="F16" s="26"/>
      <c r="G16" s="26"/>
      <c r="H16" s="26"/>
      <c r="I16" s="199"/>
      <c r="J16" s="26"/>
      <c r="K16" s="200"/>
      <c r="L16" s="192"/>
    </row>
    <row r="17" spans="2:12" ht="16.5" customHeight="1" x14ac:dyDescent="0.2">
      <c r="B17" s="206"/>
      <c r="C17" s="207"/>
      <c r="D17" s="208"/>
      <c r="E17" s="208"/>
      <c r="F17" s="208"/>
      <c r="G17" s="208"/>
      <c r="H17" s="208"/>
      <c r="I17" s="209"/>
      <c r="J17" s="208"/>
      <c r="K17" s="210"/>
      <c r="L17" s="211"/>
    </row>
    <row r="18" spans="2:12" ht="16.5" customHeight="1" x14ac:dyDescent="0.2">
      <c r="B18" s="198"/>
      <c r="D18" s="26"/>
      <c r="E18" s="26"/>
      <c r="F18" s="26"/>
      <c r="G18" s="26"/>
      <c r="H18" s="26"/>
      <c r="I18" s="199"/>
      <c r="J18" s="26"/>
      <c r="K18" s="200"/>
      <c r="L18" s="192"/>
    </row>
    <row r="19" spans="2:12" ht="16.5" customHeight="1" x14ac:dyDescent="0.2">
      <c r="B19" s="206"/>
      <c r="C19" s="207"/>
      <c r="D19" s="208"/>
      <c r="E19" s="208"/>
      <c r="F19" s="208"/>
      <c r="G19" s="208"/>
      <c r="H19" s="208"/>
      <c r="I19" s="209"/>
      <c r="J19" s="208"/>
      <c r="K19" s="210"/>
      <c r="L19" s="211"/>
    </row>
    <row r="20" spans="2:12" ht="16.5" customHeight="1" x14ac:dyDescent="0.2">
      <c r="B20" s="198"/>
      <c r="D20" s="26"/>
      <c r="E20" s="26"/>
      <c r="F20" s="26"/>
      <c r="G20" s="26"/>
      <c r="H20" s="26"/>
      <c r="I20" s="199"/>
      <c r="J20" s="26"/>
      <c r="K20" s="200"/>
      <c r="L20" s="192"/>
    </row>
    <row r="21" spans="2:12" ht="16.5" customHeight="1" x14ac:dyDescent="0.2">
      <c r="B21" s="206"/>
      <c r="C21" s="207"/>
      <c r="D21" s="208"/>
      <c r="E21" s="208"/>
      <c r="F21" s="208"/>
      <c r="G21" s="208"/>
      <c r="H21" s="208"/>
      <c r="I21" s="209"/>
      <c r="J21" s="208"/>
      <c r="K21" s="210"/>
      <c r="L21" s="211"/>
    </row>
    <row r="22" spans="2:12" ht="16.5" customHeight="1" x14ac:dyDescent="0.2">
      <c r="B22" s="198"/>
      <c r="D22" s="26"/>
      <c r="E22" s="26"/>
      <c r="F22" s="26"/>
      <c r="G22" s="26"/>
      <c r="H22" s="26"/>
      <c r="I22" s="199"/>
      <c r="J22" s="26"/>
      <c r="K22" s="200"/>
      <c r="L22" s="192"/>
    </row>
    <row r="23" spans="2:12" ht="16.5" customHeight="1" x14ac:dyDescent="0.2">
      <c r="B23" s="206"/>
      <c r="C23" s="207"/>
      <c r="D23" s="208"/>
      <c r="E23" s="208"/>
      <c r="F23" s="208"/>
      <c r="G23" s="208"/>
      <c r="H23" s="208"/>
      <c r="I23" s="209"/>
      <c r="J23" s="208"/>
      <c r="K23" s="210"/>
      <c r="L23" s="211"/>
    </row>
    <row r="24" spans="2:12" ht="16.5" customHeight="1" x14ac:dyDescent="0.2">
      <c r="B24" s="198"/>
      <c r="D24" s="26"/>
      <c r="E24" s="26"/>
      <c r="F24" s="26"/>
      <c r="G24" s="26"/>
      <c r="H24" s="26"/>
      <c r="I24" s="199"/>
      <c r="J24" s="26"/>
      <c r="K24" s="200"/>
      <c r="L24" s="192"/>
    </row>
    <row r="25" spans="2:12" ht="16.5" customHeight="1" x14ac:dyDescent="0.2">
      <c r="B25" s="206"/>
      <c r="C25" s="207"/>
      <c r="D25" s="208"/>
      <c r="E25" s="208"/>
      <c r="F25" s="208"/>
      <c r="G25" s="208"/>
      <c r="H25" s="208"/>
      <c r="I25" s="209"/>
      <c r="J25" s="208"/>
      <c r="K25" s="210"/>
      <c r="L25" s="211"/>
    </row>
    <row r="26" spans="2:12" ht="16.5" customHeight="1" x14ac:dyDescent="0.2">
      <c r="B26" s="198"/>
      <c r="D26" s="26"/>
      <c r="E26" s="26"/>
      <c r="F26" s="26"/>
      <c r="G26" s="26"/>
      <c r="H26" s="26"/>
      <c r="I26" s="199"/>
      <c r="J26" s="26"/>
      <c r="K26" s="200"/>
      <c r="L26" s="192"/>
    </row>
    <row r="27" spans="2:12" ht="16.5" customHeight="1" x14ac:dyDescent="0.2">
      <c r="B27" s="206"/>
      <c r="C27" s="207"/>
      <c r="D27" s="208"/>
      <c r="E27" s="208"/>
      <c r="F27" s="208"/>
      <c r="G27" s="208"/>
      <c r="H27" s="208"/>
      <c r="I27" s="209"/>
      <c r="J27" s="208"/>
      <c r="K27" s="210"/>
      <c r="L27" s="211"/>
    </row>
    <row r="28" spans="2:12" ht="16.5" customHeight="1" x14ac:dyDescent="0.2">
      <c r="B28" s="198"/>
      <c r="D28" s="26"/>
      <c r="E28" s="26"/>
      <c r="F28" s="26"/>
      <c r="G28" s="26"/>
      <c r="H28" s="26"/>
      <c r="I28" s="199"/>
      <c r="J28" s="26"/>
      <c r="K28" s="200"/>
      <c r="L28" s="192"/>
    </row>
    <row r="29" spans="2:12" ht="16.5" customHeight="1" x14ac:dyDescent="0.2">
      <c r="B29" s="206"/>
      <c r="C29" s="207"/>
      <c r="D29" s="208"/>
      <c r="E29" s="208"/>
      <c r="F29" s="208"/>
      <c r="G29" s="208"/>
      <c r="H29" s="208"/>
      <c r="I29" s="209"/>
      <c r="J29" s="208"/>
      <c r="K29" s="210"/>
      <c r="L29" s="211"/>
    </row>
    <row r="30" spans="2:12" ht="16.5" customHeight="1" x14ac:dyDescent="0.2">
      <c r="B30" s="201"/>
      <c r="C30" s="202"/>
      <c r="D30" s="203"/>
      <c r="E30" s="203"/>
      <c r="F30" s="203"/>
      <c r="G30" s="203"/>
      <c r="H30" s="203"/>
      <c r="I30" s="204"/>
      <c r="J30" s="203"/>
      <c r="K30" s="205"/>
      <c r="L30" s="193"/>
    </row>
    <row r="31" spans="2:12" x14ac:dyDescent="0.2">
      <c r="C3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3:AA86"/>
  <sheetViews>
    <sheetView showGridLines="0" workbookViewId="0">
      <selection activeCell="G31" sqref="G31"/>
    </sheetView>
  </sheetViews>
  <sheetFormatPr defaultColWidth="9.33203125" defaultRowHeight="12" x14ac:dyDescent="0.2"/>
  <cols>
    <col min="2" max="2" width="16" customWidth="1"/>
    <col min="3" max="3" width="12.33203125" customWidth="1"/>
    <col min="4" max="4" width="12" customWidth="1"/>
    <col min="5" max="5" width="4" customWidth="1"/>
    <col min="6" max="6" width="29.5" customWidth="1"/>
    <col min="9" max="9" width="10.83203125" customWidth="1"/>
    <col min="10" max="10" width="3.5" customWidth="1"/>
    <col min="20" max="24" width="9.33203125" style="1"/>
    <col min="25" max="25" width="10.5" style="1" bestFit="1" customWidth="1"/>
    <col min="26" max="26" width="9.33203125" style="1"/>
  </cols>
  <sheetData>
    <row r="3" spans="1:27" x14ac:dyDescent="0.2">
      <c r="B3" s="707" t="s">
        <v>168</v>
      </c>
      <c r="C3" s="708"/>
      <c r="D3" s="709"/>
    </row>
    <row r="4" spans="1:27" x14ac:dyDescent="0.2">
      <c r="A4" s="229" t="s">
        <v>175</v>
      </c>
      <c r="B4" s="213" t="s">
        <v>47</v>
      </c>
      <c r="C4" s="220">
        <v>1800</v>
      </c>
      <c r="D4" s="224" t="s">
        <v>45</v>
      </c>
    </row>
    <row r="5" spans="1:27" x14ac:dyDescent="0.2">
      <c r="A5" s="229" t="s">
        <v>176</v>
      </c>
      <c r="B5" s="214" t="s">
        <v>51</v>
      </c>
      <c r="C5" s="1">
        <v>10</v>
      </c>
      <c r="D5" s="225" t="s">
        <v>169</v>
      </c>
    </row>
    <row r="6" spans="1:27" x14ac:dyDescent="0.2">
      <c r="A6" s="229" t="s">
        <v>177</v>
      </c>
      <c r="B6" s="214" t="s">
        <v>53</v>
      </c>
      <c r="C6" s="1">
        <v>45</v>
      </c>
      <c r="D6" s="225"/>
    </row>
    <row r="7" spans="1:27" x14ac:dyDescent="0.2">
      <c r="B7" s="214" t="s">
        <v>170</v>
      </c>
      <c r="C7" s="1">
        <v>2.25</v>
      </c>
      <c r="D7" s="225"/>
    </row>
    <row r="8" spans="1:27" x14ac:dyDescent="0.2">
      <c r="B8" s="214" t="s">
        <v>171</v>
      </c>
      <c r="C8" s="712" t="s">
        <v>174</v>
      </c>
      <c r="D8" s="713"/>
      <c r="T8"/>
      <c r="U8"/>
      <c r="V8"/>
      <c r="W8"/>
      <c r="X8"/>
      <c r="Y8"/>
      <c r="Z8"/>
    </row>
    <row r="9" spans="1:27" x14ac:dyDescent="0.2">
      <c r="B9" s="215" t="s">
        <v>172</v>
      </c>
      <c r="C9" s="710" t="s">
        <v>175</v>
      </c>
      <c r="D9" s="711"/>
      <c r="T9"/>
      <c r="U9"/>
      <c r="V9"/>
      <c r="W9"/>
      <c r="X9"/>
      <c r="Y9"/>
      <c r="Z9"/>
    </row>
    <row r="10" spans="1:27" x14ac:dyDescent="0.2">
      <c r="T10"/>
      <c r="U10"/>
      <c r="V10"/>
      <c r="W10"/>
      <c r="X10"/>
      <c r="Y10"/>
      <c r="Z10"/>
    </row>
    <row r="11" spans="1:27" x14ac:dyDescent="0.2">
      <c r="B11" s="232" t="s">
        <v>173</v>
      </c>
      <c r="C11" s="233" t="s">
        <v>20</v>
      </c>
      <c r="D11" s="234" t="s">
        <v>58</v>
      </c>
      <c r="F11" s="49" t="s">
        <v>201</v>
      </c>
      <c r="T11"/>
      <c r="U11"/>
      <c r="V11"/>
      <c r="W11"/>
      <c r="X11"/>
      <c r="Y11"/>
      <c r="Z11"/>
    </row>
    <row r="12" spans="1:27" x14ac:dyDescent="0.2">
      <c r="B12" s="235"/>
      <c r="C12" s="236" t="s">
        <v>0</v>
      </c>
      <c r="D12" s="237" t="s">
        <v>45</v>
      </c>
      <c r="F12" s="238" t="s">
        <v>178</v>
      </c>
      <c r="G12" s="239" t="s">
        <v>10</v>
      </c>
      <c r="H12" s="239" t="s">
        <v>184</v>
      </c>
      <c r="I12" s="240" t="s">
        <v>200</v>
      </c>
      <c r="T12"/>
      <c r="U12"/>
      <c r="V12"/>
      <c r="W12"/>
      <c r="X12"/>
      <c r="Y12"/>
      <c r="Z12"/>
    </row>
    <row r="13" spans="1:27" ht="17.25" customHeight="1" x14ac:dyDescent="0.2">
      <c r="B13" s="217"/>
      <c r="C13" s="183">
        <v>508</v>
      </c>
      <c r="D13" s="221">
        <v>1702.17</v>
      </c>
      <c r="F13" s="214" t="s">
        <v>179</v>
      </c>
      <c r="G13" s="58">
        <v>0</v>
      </c>
      <c r="H13" s="58">
        <v>1</v>
      </c>
      <c r="I13" s="228">
        <v>1</v>
      </c>
      <c r="T13"/>
      <c r="U13"/>
      <c r="V13"/>
      <c r="W13"/>
      <c r="X13"/>
      <c r="Y13"/>
      <c r="Z13"/>
    </row>
    <row r="14" spans="1:27" ht="17.25" customHeight="1" x14ac:dyDescent="0.2">
      <c r="B14" s="218"/>
      <c r="C14" s="184">
        <v>1508</v>
      </c>
      <c r="D14" s="222">
        <v>1974.88</v>
      </c>
      <c r="F14" s="214" t="s">
        <v>180</v>
      </c>
      <c r="G14" s="58">
        <v>1</v>
      </c>
      <c r="H14" s="58">
        <v>1</v>
      </c>
      <c r="I14" s="228">
        <v>1</v>
      </c>
      <c r="T14"/>
      <c r="U14"/>
      <c r="V14"/>
      <c r="W14"/>
      <c r="X14"/>
      <c r="Y14"/>
      <c r="Z14"/>
    </row>
    <row r="15" spans="1:27" ht="17.25" customHeight="1" x14ac:dyDescent="0.2">
      <c r="B15" s="218"/>
      <c r="C15" s="184">
        <v>2008</v>
      </c>
      <c r="D15" s="222">
        <v>2105.2800000000002</v>
      </c>
      <c r="F15" s="214" t="s">
        <v>181</v>
      </c>
      <c r="G15" s="58">
        <v>3</v>
      </c>
      <c r="H15" s="58">
        <v>0</v>
      </c>
      <c r="I15" s="228">
        <v>0</v>
      </c>
      <c r="T15"/>
      <c r="U15"/>
      <c r="V15"/>
      <c r="W15"/>
      <c r="X15"/>
      <c r="Y15"/>
      <c r="Z15"/>
    </row>
    <row r="16" spans="1:27" ht="17.25" customHeight="1" x14ac:dyDescent="0.2">
      <c r="B16" s="218"/>
      <c r="C16" s="199">
        <v>3008</v>
      </c>
      <c r="D16" s="222">
        <v>2402.6799999999998</v>
      </c>
      <c r="F16" s="214" t="s">
        <v>182</v>
      </c>
      <c r="G16" s="58">
        <v>4</v>
      </c>
      <c r="H16" s="58">
        <v>0</v>
      </c>
      <c r="I16" s="228">
        <v>0</v>
      </c>
      <c r="T16" s="230"/>
      <c r="U16" s="230"/>
      <c r="V16" s="230"/>
      <c r="W16" s="230"/>
      <c r="X16" s="230"/>
      <c r="Y16" s="230"/>
      <c r="Z16" s="230"/>
      <c r="AA16" s="212"/>
    </row>
    <row r="17" spans="2:27" ht="17.25" customHeight="1" x14ac:dyDescent="0.2">
      <c r="B17" s="218"/>
      <c r="C17" s="199">
        <v>3757</v>
      </c>
      <c r="D17" s="222">
        <v>2634.17</v>
      </c>
      <c r="F17" s="214" t="s">
        <v>183</v>
      </c>
      <c r="G17" s="58">
        <v>5</v>
      </c>
      <c r="H17" s="58">
        <v>0</v>
      </c>
      <c r="I17" s="228">
        <v>1</v>
      </c>
      <c r="T17" s="230"/>
      <c r="U17" s="230"/>
      <c r="V17" s="230"/>
      <c r="W17" s="230"/>
      <c r="X17" s="230"/>
      <c r="Y17" s="230"/>
      <c r="Z17" s="230"/>
      <c r="AA17" s="212"/>
    </row>
    <row r="18" spans="2:27" ht="17.25" customHeight="1" x14ac:dyDescent="0.2">
      <c r="B18" s="218"/>
      <c r="C18" s="199">
        <v>3894</v>
      </c>
      <c r="D18" s="222">
        <v>2693.41</v>
      </c>
      <c r="F18" s="214" t="s">
        <v>185</v>
      </c>
      <c r="G18" s="58">
        <v>8</v>
      </c>
      <c r="H18" s="58">
        <v>0</v>
      </c>
      <c r="I18" s="228">
        <v>0</v>
      </c>
      <c r="T18" s="230"/>
      <c r="U18" s="230"/>
      <c r="V18" s="230"/>
      <c r="W18" s="230"/>
      <c r="X18" s="230"/>
      <c r="Y18" s="230"/>
      <c r="Z18" s="230"/>
      <c r="AA18" s="212"/>
    </row>
    <row r="19" spans="2:27" ht="17.25" customHeight="1" x14ac:dyDescent="0.2">
      <c r="B19" s="218"/>
      <c r="C19" s="199"/>
      <c r="D19" s="222"/>
      <c r="F19" s="214" t="s">
        <v>186</v>
      </c>
      <c r="G19" s="58">
        <v>9</v>
      </c>
      <c r="H19" s="58">
        <v>0</v>
      </c>
      <c r="I19" s="228">
        <v>1</v>
      </c>
      <c r="T19" s="230"/>
      <c r="U19" s="230"/>
      <c r="V19" s="230"/>
      <c r="W19" s="230"/>
      <c r="X19" s="230"/>
      <c r="Y19" s="230"/>
      <c r="Z19" s="230"/>
      <c r="AA19" s="212"/>
    </row>
    <row r="20" spans="2:27" ht="17.25" customHeight="1" x14ac:dyDescent="0.2">
      <c r="B20" s="218"/>
      <c r="C20" s="184"/>
      <c r="D20" s="222"/>
      <c r="F20" s="214" t="s">
        <v>187</v>
      </c>
      <c r="G20" s="58">
        <v>10</v>
      </c>
      <c r="H20" s="58">
        <v>0</v>
      </c>
      <c r="I20" s="228">
        <v>1</v>
      </c>
      <c r="T20" s="230"/>
      <c r="U20" s="230"/>
      <c r="V20" s="230"/>
      <c r="W20" s="230"/>
      <c r="X20" s="230"/>
      <c r="Y20" s="230"/>
      <c r="Z20" s="230"/>
      <c r="AA20" s="212"/>
    </row>
    <row r="21" spans="2:27" ht="17.25" customHeight="1" x14ac:dyDescent="0.2">
      <c r="B21" s="218"/>
      <c r="C21" s="184"/>
      <c r="D21" s="222"/>
      <c r="F21" s="214" t="s">
        <v>188</v>
      </c>
      <c r="G21" s="58">
        <v>11</v>
      </c>
      <c r="H21" s="58">
        <v>0</v>
      </c>
      <c r="I21" s="228">
        <v>0</v>
      </c>
      <c r="T21" s="230"/>
      <c r="U21" s="230"/>
      <c r="V21" s="230"/>
      <c r="W21" s="230"/>
      <c r="X21" s="230"/>
      <c r="Y21" s="230"/>
      <c r="Z21" s="230"/>
      <c r="AA21" s="212"/>
    </row>
    <row r="22" spans="2:27" ht="17.25" customHeight="1" x14ac:dyDescent="0.2">
      <c r="B22" s="218"/>
      <c r="C22" s="184"/>
      <c r="D22" s="222"/>
      <c r="F22" s="214" t="s">
        <v>189</v>
      </c>
      <c r="G22" s="58">
        <v>12</v>
      </c>
      <c r="H22" s="58">
        <v>0</v>
      </c>
      <c r="I22" s="228">
        <v>0</v>
      </c>
      <c r="T22" s="230"/>
      <c r="U22" s="230"/>
      <c r="V22" s="230"/>
      <c r="W22" s="230"/>
      <c r="X22" s="230"/>
      <c r="Y22" s="230"/>
      <c r="Z22" s="230"/>
      <c r="AA22" s="212"/>
    </row>
    <row r="23" spans="2:27" ht="17.25" customHeight="1" x14ac:dyDescent="0.2">
      <c r="B23" s="218"/>
      <c r="C23" s="184"/>
      <c r="D23" s="222"/>
      <c r="F23" s="214" t="s">
        <v>190</v>
      </c>
      <c r="G23" s="58">
        <v>14</v>
      </c>
      <c r="H23" s="58">
        <v>0</v>
      </c>
      <c r="I23" s="228">
        <v>0</v>
      </c>
      <c r="T23" s="230"/>
      <c r="U23" s="230"/>
      <c r="V23" s="230"/>
      <c r="W23" s="230"/>
      <c r="X23" s="230"/>
      <c r="Y23" s="230"/>
      <c r="Z23" s="230"/>
      <c r="AA23" s="212"/>
    </row>
    <row r="24" spans="2:27" ht="17.25" customHeight="1" x14ac:dyDescent="0.2">
      <c r="B24" s="218"/>
      <c r="C24" s="184"/>
      <c r="D24" s="222"/>
      <c r="F24" s="214" t="s">
        <v>191</v>
      </c>
      <c r="G24" s="58">
        <v>18</v>
      </c>
      <c r="H24" s="58">
        <v>0</v>
      </c>
      <c r="I24" s="228">
        <v>0</v>
      </c>
      <c r="T24" s="230"/>
      <c r="U24" s="230"/>
      <c r="V24" s="230"/>
      <c r="W24" s="230"/>
      <c r="X24" s="230"/>
      <c r="Y24" s="230"/>
      <c r="Z24" s="230"/>
      <c r="AA24" s="212"/>
    </row>
    <row r="25" spans="2:27" ht="17.25" customHeight="1" x14ac:dyDescent="0.2">
      <c r="B25" s="218"/>
      <c r="C25" s="184"/>
      <c r="D25" s="222"/>
      <c r="F25" s="214" t="s">
        <v>192</v>
      </c>
      <c r="G25" s="58">
        <v>19</v>
      </c>
      <c r="H25" s="58">
        <v>0</v>
      </c>
      <c r="I25" s="228">
        <v>0</v>
      </c>
      <c r="T25" s="230"/>
      <c r="U25" s="230"/>
      <c r="V25" s="230"/>
      <c r="W25" s="230"/>
      <c r="X25" s="230"/>
      <c r="Y25" s="230"/>
      <c r="Z25" s="230"/>
      <c r="AA25" s="212"/>
    </row>
    <row r="26" spans="2:27" ht="17.25" customHeight="1" x14ac:dyDescent="0.2">
      <c r="B26" s="218"/>
      <c r="C26" s="184"/>
      <c r="D26" s="222"/>
      <c r="F26" s="214" t="s">
        <v>177</v>
      </c>
      <c r="G26" s="58">
        <v>20</v>
      </c>
      <c r="H26" s="58">
        <v>0</v>
      </c>
      <c r="I26" s="228">
        <v>0</v>
      </c>
      <c r="T26" s="230"/>
      <c r="U26" s="230"/>
      <c r="V26" s="230"/>
      <c r="W26" s="230"/>
      <c r="X26" s="230"/>
      <c r="Y26" s="230"/>
      <c r="Z26" s="230"/>
      <c r="AA26" s="212"/>
    </row>
    <row r="27" spans="2:27" ht="17.25" customHeight="1" x14ac:dyDescent="0.2">
      <c r="B27" s="218"/>
      <c r="C27" s="184"/>
      <c r="D27" s="222"/>
      <c r="F27" s="214" t="s">
        <v>193</v>
      </c>
      <c r="G27" s="58">
        <v>25</v>
      </c>
      <c r="H27" s="58">
        <v>0</v>
      </c>
      <c r="I27" s="228">
        <v>0</v>
      </c>
      <c r="T27" s="230"/>
      <c r="U27" s="230"/>
      <c r="V27" s="230"/>
      <c r="W27" s="230"/>
      <c r="X27" s="230"/>
      <c r="Y27" s="230"/>
      <c r="Z27" s="230"/>
      <c r="AA27" s="212"/>
    </row>
    <row r="28" spans="2:27" ht="17.25" customHeight="1" x14ac:dyDescent="0.2">
      <c r="B28" s="218"/>
      <c r="C28" s="184"/>
      <c r="D28" s="222"/>
      <c r="F28" s="215" t="s">
        <v>194</v>
      </c>
      <c r="G28" s="226">
        <v>26</v>
      </c>
      <c r="H28" s="226">
        <v>0</v>
      </c>
      <c r="I28" s="227">
        <v>0</v>
      </c>
      <c r="T28" s="230"/>
      <c r="U28" s="230"/>
      <c r="V28" s="230"/>
      <c r="W28" s="230"/>
      <c r="X28" s="230"/>
      <c r="Y28" s="230"/>
      <c r="Z28" s="230"/>
      <c r="AA28" s="212"/>
    </row>
    <row r="29" spans="2:27" ht="17.25" customHeight="1" x14ac:dyDescent="0.2">
      <c r="B29" s="218"/>
      <c r="C29" s="184"/>
      <c r="D29" s="222"/>
      <c r="T29" s="230"/>
      <c r="U29" s="230"/>
      <c r="V29" s="230"/>
      <c r="W29" s="230"/>
      <c r="X29" s="230"/>
      <c r="Y29" s="230"/>
      <c r="Z29" s="230"/>
      <c r="AA29" s="212"/>
    </row>
    <row r="30" spans="2:27" ht="17.25" customHeight="1" x14ac:dyDescent="0.2">
      <c r="B30" s="218"/>
      <c r="C30" s="184"/>
      <c r="D30" s="222"/>
      <c r="T30" s="230"/>
      <c r="U30" s="230"/>
      <c r="V30" s="230"/>
      <c r="W30" s="230"/>
      <c r="X30" s="230"/>
      <c r="Y30" s="230"/>
      <c r="Z30" s="230"/>
      <c r="AA30" s="212"/>
    </row>
    <row r="31" spans="2:27" ht="17.25" customHeight="1" x14ac:dyDescent="0.2">
      <c r="B31" s="218"/>
      <c r="C31" s="184"/>
      <c r="D31" s="222"/>
      <c r="T31" s="230"/>
      <c r="U31" s="230"/>
      <c r="V31" s="230"/>
      <c r="W31" s="230"/>
      <c r="X31" s="230"/>
      <c r="Y31" s="230"/>
      <c r="Z31" s="230"/>
      <c r="AA31" s="212"/>
    </row>
    <row r="32" spans="2:27" ht="17.25" customHeight="1" x14ac:dyDescent="0.2">
      <c r="B32" s="218"/>
      <c r="C32" s="184"/>
      <c r="D32" s="222"/>
      <c r="T32" s="230"/>
      <c r="U32" s="230"/>
      <c r="V32" s="230"/>
      <c r="W32" s="230"/>
      <c r="X32" s="230"/>
      <c r="Y32" s="230"/>
      <c r="Z32" s="230"/>
      <c r="AA32" s="212"/>
    </row>
    <row r="33" spans="2:27" ht="17.25" customHeight="1" x14ac:dyDescent="0.2">
      <c r="B33" s="218"/>
      <c r="C33" s="184"/>
      <c r="D33" s="222"/>
      <c r="T33" s="230"/>
      <c r="U33" s="230"/>
      <c r="V33" s="230"/>
      <c r="W33" s="230"/>
      <c r="X33" s="230"/>
      <c r="Y33" s="230"/>
      <c r="Z33" s="230"/>
      <c r="AA33" s="212"/>
    </row>
    <row r="34" spans="2:27" ht="17.25" customHeight="1" x14ac:dyDescent="0.2">
      <c r="B34" s="218"/>
      <c r="C34" s="184"/>
      <c r="D34" s="222"/>
      <c r="T34" s="230"/>
      <c r="U34" s="230"/>
      <c r="V34" s="230"/>
      <c r="W34" s="230"/>
      <c r="X34" s="230"/>
      <c r="Y34" s="230"/>
      <c r="Z34" s="230"/>
      <c r="AA34" s="212"/>
    </row>
    <row r="35" spans="2:27" ht="17.25" customHeight="1" x14ac:dyDescent="0.2">
      <c r="B35" s="218"/>
      <c r="C35" s="184"/>
      <c r="D35" s="222"/>
      <c r="T35" s="230"/>
      <c r="U35" s="230"/>
      <c r="V35" s="230"/>
      <c r="W35" s="230"/>
      <c r="X35" s="230"/>
      <c r="Y35" s="230"/>
      <c r="Z35" s="230"/>
      <c r="AA35" s="212"/>
    </row>
    <row r="36" spans="2:27" ht="17.25" customHeight="1" x14ac:dyDescent="0.2">
      <c r="B36" s="218"/>
      <c r="C36" s="184"/>
      <c r="D36" s="222"/>
      <c r="T36" s="230"/>
      <c r="U36" s="230"/>
      <c r="V36" s="230"/>
      <c r="W36" s="230"/>
      <c r="X36" s="230"/>
      <c r="Y36" s="230"/>
      <c r="Z36" s="230"/>
      <c r="AA36" s="212"/>
    </row>
    <row r="37" spans="2:27" ht="17.25" customHeight="1" x14ac:dyDescent="0.2">
      <c r="B37" s="218"/>
      <c r="C37" s="184"/>
      <c r="D37" s="222"/>
      <c r="T37" s="230"/>
      <c r="U37" s="230"/>
      <c r="V37" s="230"/>
      <c r="W37" s="230"/>
      <c r="X37" s="230"/>
      <c r="Y37" s="230"/>
      <c r="Z37" s="230"/>
      <c r="AA37" s="212"/>
    </row>
    <row r="38" spans="2:27" ht="17.25" customHeight="1" x14ac:dyDescent="0.2">
      <c r="B38" s="218"/>
      <c r="C38" s="184"/>
      <c r="D38" s="222"/>
      <c r="T38" s="230"/>
      <c r="U38" s="230"/>
      <c r="V38" s="230"/>
      <c r="W38" s="230"/>
      <c r="X38" s="230"/>
      <c r="Y38" s="230"/>
      <c r="Z38" s="230"/>
      <c r="AA38" s="212"/>
    </row>
    <row r="39" spans="2:27" ht="17.25" customHeight="1" x14ac:dyDescent="0.2">
      <c r="B39" s="218"/>
      <c r="C39" s="184"/>
      <c r="D39" s="222"/>
      <c r="T39" s="230"/>
      <c r="U39" s="230"/>
      <c r="V39" s="230"/>
      <c r="W39" s="230"/>
      <c r="X39" s="230"/>
      <c r="Y39" s="230"/>
      <c r="Z39" s="230"/>
      <c r="AA39" s="212"/>
    </row>
    <row r="40" spans="2:27" ht="17.25" customHeight="1" x14ac:dyDescent="0.2">
      <c r="B40" s="218"/>
      <c r="C40" s="184"/>
      <c r="D40" s="222"/>
      <c r="T40" s="230"/>
      <c r="U40" s="230"/>
      <c r="V40" s="230"/>
      <c r="W40" s="230"/>
      <c r="X40" s="230"/>
      <c r="Y40" s="230"/>
      <c r="Z40" s="230"/>
      <c r="AA40" s="212"/>
    </row>
    <row r="41" spans="2:27" ht="17.25" customHeight="1" x14ac:dyDescent="0.2">
      <c r="B41" s="218"/>
      <c r="C41" s="184"/>
      <c r="D41" s="222"/>
      <c r="T41" s="230"/>
      <c r="U41" s="230"/>
      <c r="V41" s="230"/>
      <c r="W41" s="230"/>
      <c r="X41" s="230"/>
      <c r="Y41" s="230"/>
      <c r="Z41" s="230"/>
      <c r="AA41" s="212"/>
    </row>
    <row r="42" spans="2:27" ht="17.25" customHeight="1" x14ac:dyDescent="0.2">
      <c r="B42" s="218"/>
      <c r="C42" s="184"/>
      <c r="D42" s="222"/>
      <c r="T42" s="230"/>
      <c r="U42" s="230"/>
      <c r="V42" s="230"/>
      <c r="W42" s="230"/>
      <c r="X42" s="230"/>
      <c r="Y42" s="230"/>
      <c r="Z42" s="230"/>
      <c r="AA42" s="212"/>
    </row>
    <row r="43" spans="2:27" ht="17.25" customHeight="1" x14ac:dyDescent="0.2">
      <c r="B43" s="218"/>
      <c r="C43" s="184"/>
      <c r="D43" s="222"/>
      <c r="T43" s="230"/>
      <c r="U43" s="230"/>
      <c r="V43" s="230"/>
      <c r="W43" s="230"/>
      <c r="X43" s="230"/>
      <c r="Y43" s="230"/>
      <c r="Z43" s="230"/>
      <c r="AA43" s="212"/>
    </row>
    <row r="44" spans="2:27" ht="17.25" customHeight="1" x14ac:dyDescent="0.2">
      <c r="B44" s="218"/>
      <c r="C44" s="184"/>
      <c r="D44" s="222"/>
      <c r="T44" s="230"/>
      <c r="U44" s="230"/>
      <c r="V44" s="230"/>
      <c r="W44" s="230"/>
      <c r="X44" s="230"/>
      <c r="Y44" s="230"/>
      <c r="Z44" s="230"/>
      <c r="AA44" s="212"/>
    </row>
    <row r="45" spans="2:27" ht="17.25" customHeight="1" x14ac:dyDescent="0.2">
      <c r="B45" s="219"/>
      <c r="C45" s="185"/>
      <c r="D45" s="223"/>
      <c r="T45" s="230"/>
      <c r="U45" s="230"/>
      <c r="V45" s="230"/>
      <c r="W45" s="230"/>
      <c r="X45" s="230"/>
      <c r="Y45" s="230"/>
      <c r="Z45" s="230"/>
      <c r="AA45" s="212"/>
    </row>
    <row r="46" spans="2:27" x14ac:dyDescent="0.2">
      <c r="T46" s="230"/>
      <c r="U46" s="230"/>
      <c r="V46" s="230"/>
      <c r="W46" s="230"/>
      <c r="X46" s="230"/>
      <c r="Y46" s="230"/>
      <c r="Z46" s="230"/>
      <c r="AA46" s="212"/>
    </row>
    <row r="47" spans="2:27" x14ac:dyDescent="0.2">
      <c r="T47" s="230"/>
      <c r="U47" s="230"/>
      <c r="V47" s="230"/>
      <c r="W47" s="230"/>
      <c r="X47" s="230"/>
      <c r="Y47" s="230"/>
      <c r="Z47" s="230"/>
      <c r="AA47" s="212"/>
    </row>
    <row r="48" spans="2:27" x14ac:dyDescent="0.2">
      <c r="T48" s="230"/>
      <c r="U48" s="230"/>
      <c r="V48" s="230"/>
      <c r="W48" s="230"/>
      <c r="X48" s="230"/>
      <c r="Y48" s="230"/>
      <c r="Z48" s="230"/>
      <c r="AA48" s="212"/>
    </row>
    <row r="49" spans="20:27" x14ac:dyDescent="0.2">
      <c r="T49" s="230"/>
      <c r="U49" s="230"/>
      <c r="V49" s="230"/>
      <c r="W49" s="230"/>
      <c r="X49" s="230"/>
      <c r="Y49" s="230"/>
      <c r="Z49" s="230"/>
      <c r="AA49" s="212"/>
    </row>
    <row r="50" spans="20:27" x14ac:dyDescent="0.2">
      <c r="T50" s="230"/>
      <c r="U50" s="230"/>
      <c r="V50" s="230"/>
      <c r="W50" s="230"/>
      <c r="X50" s="230"/>
      <c r="Y50" s="230"/>
      <c r="Z50" s="230"/>
      <c r="AA50" s="212"/>
    </row>
    <row r="51" spans="20:27" x14ac:dyDescent="0.2">
      <c r="T51" s="230"/>
      <c r="U51" s="230"/>
      <c r="V51" s="230"/>
      <c r="W51" s="230"/>
      <c r="X51" s="230"/>
      <c r="Y51" s="230"/>
      <c r="Z51" s="230"/>
      <c r="AA51" s="212"/>
    </row>
    <row r="52" spans="20:27" x14ac:dyDescent="0.2">
      <c r="T52" s="230"/>
      <c r="U52" s="230"/>
      <c r="V52" s="230"/>
      <c r="W52" s="230"/>
      <c r="X52" s="230"/>
      <c r="Y52" s="230"/>
      <c r="Z52" s="230"/>
      <c r="AA52" s="212"/>
    </row>
    <row r="53" spans="20:27" x14ac:dyDescent="0.2">
      <c r="T53" s="230"/>
      <c r="U53" s="230"/>
      <c r="V53" s="230"/>
      <c r="W53" s="230"/>
      <c r="X53" s="230"/>
      <c r="Y53" s="230"/>
      <c r="Z53" s="230"/>
      <c r="AA53" s="212"/>
    </row>
    <row r="54" spans="20:27" x14ac:dyDescent="0.2">
      <c r="T54" s="230"/>
      <c r="U54" s="230"/>
      <c r="V54" s="230"/>
      <c r="W54" s="230"/>
      <c r="X54" s="230"/>
      <c r="Y54" s="230"/>
      <c r="Z54" s="230"/>
      <c r="AA54" s="212"/>
    </row>
    <row r="55" spans="20:27" x14ac:dyDescent="0.2">
      <c r="T55" s="230"/>
      <c r="U55" s="230"/>
      <c r="V55" s="230"/>
      <c r="W55" s="230"/>
      <c r="X55" s="230"/>
      <c r="Y55" s="230"/>
      <c r="Z55" s="230"/>
      <c r="AA55" s="212"/>
    </row>
    <row r="56" spans="20:27" x14ac:dyDescent="0.2">
      <c r="T56" s="230"/>
      <c r="U56" s="230"/>
      <c r="V56" s="230"/>
      <c r="W56" s="230"/>
      <c r="X56" s="230"/>
      <c r="Y56" s="230"/>
      <c r="Z56" s="230"/>
      <c r="AA56" s="212"/>
    </row>
    <row r="57" spans="20:27" x14ac:dyDescent="0.2">
      <c r="T57" s="230"/>
      <c r="U57" s="230"/>
      <c r="V57" s="230"/>
      <c r="W57" s="230"/>
      <c r="X57" s="230"/>
      <c r="Y57" s="230"/>
      <c r="Z57" s="230"/>
      <c r="AA57" s="212"/>
    </row>
    <row r="58" spans="20:27" x14ac:dyDescent="0.2">
      <c r="T58" s="230"/>
      <c r="U58" s="230"/>
      <c r="V58" s="230"/>
      <c r="W58" s="230"/>
      <c r="X58" s="230"/>
      <c r="Y58" s="230"/>
      <c r="Z58" s="230"/>
      <c r="AA58" s="212"/>
    </row>
    <row r="59" spans="20:27" x14ac:dyDescent="0.2">
      <c r="T59" s="230"/>
      <c r="U59" s="230"/>
      <c r="V59" s="230"/>
      <c r="W59" s="230"/>
      <c r="X59" s="230"/>
      <c r="Y59" s="230"/>
      <c r="Z59" s="230"/>
      <c r="AA59" s="212"/>
    </row>
    <row r="60" spans="20:27" x14ac:dyDescent="0.2">
      <c r="T60" s="230"/>
      <c r="U60" s="230"/>
      <c r="V60" s="230"/>
      <c r="W60" s="230"/>
      <c r="X60" s="230"/>
      <c r="Y60" s="230"/>
      <c r="Z60" s="230"/>
      <c r="AA60" s="212"/>
    </row>
    <row r="61" spans="20:27" x14ac:dyDescent="0.2">
      <c r="T61" s="230"/>
      <c r="U61" s="230"/>
      <c r="V61" s="230"/>
      <c r="W61" s="230"/>
      <c r="X61" s="230"/>
      <c r="Y61" s="230"/>
      <c r="Z61" s="230"/>
      <c r="AA61" s="212"/>
    </row>
    <row r="62" spans="20:27" x14ac:dyDescent="0.2">
      <c r="T62" s="230"/>
      <c r="U62" s="230"/>
      <c r="V62" s="230"/>
      <c r="W62" s="230"/>
      <c r="X62" s="230"/>
      <c r="Y62" s="230"/>
      <c r="Z62" s="230"/>
      <c r="AA62" s="212"/>
    </row>
    <row r="63" spans="20:27" x14ac:dyDescent="0.2">
      <c r="T63" s="230"/>
      <c r="U63" s="230"/>
      <c r="V63" s="230"/>
      <c r="W63" s="230"/>
      <c r="X63" s="230"/>
      <c r="Y63" s="230"/>
      <c r="Z63" s="230"/>
      <c r="AA63" s="212"/>
    </row>
    <row r="64" spans="20:27" x14ac:dyDescent="0.2">
      <c r="T64" s="230"/>
      <c r="U64" s="230"/>
      <c r="V64" s="230"/>
      <c r="W64" s="230"/>
      <c r="X64" s="230"/>
      <c r="Y64" s="230"/>
      <c r="Z64" s="230"/>
      <c r="AA64" s="212"/>
    </row>
    <row r="65" spans="20:27" x14ac:dyDescent="0.2">
      <c r="T65" s="230"/>
      <c r="U65" s="230"/>
      <c r="V65" s="230"/>
      <c r="W65" s="230"/>
      <c r="X65" s="230"/>
      <c r="Y65" s="230"/>
      <c r="Z65" s="230"/>
      <c r="AA65" s="212"/>
    </row>
    <row r="66" spans="20:27" x14ac:dyDescent="0.2">
      <c r="T66" s="230"/>
      <c r="U66" s="230"/>
      <c r="V66" s="230"/>
      <c r="W66" s="230"/>
      <c r="X66" s="230"/>
      <c r="Y66" s="230"/>
      <c r="Z66" s="230"/>
      <c r="AA66" s="212"/>
    </row>
    <row r="67" spans="20:27" x14ac:dyDescent="0.2">
      <c r="T67" s="230"/>
      <c r="U67" s="230"/>
      <c r="V67" s="230"/>
      <c r="W67" s="230"/>
      <c r="X67" s="230"/>
      <c r="Y67" s="230"/>
      <c r="Z67" s="230"/>
      <c r="AA67" s="212"/>
    </row>
    <row r="68" spans="20:27" x14ac:dyDescent="0.2">
      <c r="T68" s="230"/>
      <c r="U68" s="230"/>
      <c r="V68" s="230"/>
      <c r="W68" s="230"/>
      <c r="X68" s="230"/>
      <c r="Y68" s="230"/>
      <c r="Z68" s="230"/>
      <c r="AA68" s="212"/>
    </row>
    <row r="69" spans="20:27" x14ac:dyDescent="0.2">
      <c r="T69" s="230"/>
      <c r="U69" s="230"/>
      <c r="V69" s="230"/>
      <c r="W69" s="230"/>
      <c r="X69" s="230"/>
      <c r="Y69" s="230"/>
      <c r="Z69" s="230"/>
      <c r="AA69" s="212"/>
    </row>
    <row r="70" spans="20:27" x14ac:dyDescent="0.2">
      <c r="T70" s="230"/>
      <c r="U70" s="230"/>
      <c r="V70" s="230"/>
      <c r="W70" s="230"/>
      <c r="X70" s="230"/>
      <c r="Y70" s="230"/>
      <c r="Z70" s="230"/>
      <c r="AA70" s="212"/>
    </row>
    <row r="71" spans="20:27" x14ac:dyDescent="0.2">
      <c r="T71" s="230"/>
      <c r="U71" s="230"/>
      <c r="V71" s="230"/>
      <c r="W71" s="230"/>
      <c r="X71" s="230"/>
      <c r="Y71" s="230"/>
      <c r="Z71" s="230"/>
      <c r="AA71" s="212"/>
    </row>
    <row r="72" spans="20:27" x14ac:dyDescent="0.2">
      <c r="T72" s="230"/>
      <c r="U72" s="230"/>
      <c r="V72" s="230"/>
      <c r="W72" s="230"/>
      <c r="X72" s="230"/>
      <c r="Y72" s="230"/>
      <c r="Z72" s="230"/>
      <c r="AA72" s="212"/>
    </row>
    <row r="73" spans="20:27" x14ac:dyDescent="0.2">
      <c r="T73" s="230"/>
      <c r="U73" s="230"/>
      <c r="V73" s="230"/>
      <c r="W73" s="230"/>
      <c r="X73" s="230"/>
      <c r="Y73" s="230"/>
      <c r="Z73" s="230"/>
      <c r="AA73" s="212"/>
    </row>
    <row r="74" spans="20:27" x14ac:dyDescent="0.2">
      <c r="T74" s="230"/>
      <c r="U74" s="230"/>
      <c r="V74" s="230"/>
      <c r="W74" s="230"/>
      <c r="X74" s="230"/>
      <c r="Y74" s="230"/>
      <c r="Z74" s="230"/>
      <c r="AA74" s="212"/>
    </row>
    <row r="75" spans="20:27" x14ac:dyDescent="0.2">
      <c r="T75" s="230"/>
      <c r="U75" s="230"/>
      <c r="V75" s="230"/>
      <c r="W75" s="230"/>
      <c r="X75" s="230"/>
      <c r="Y75" s="230"/>
      <c r="Z75" s="230"/>
      <c r="AA75" s="212"/>
    </row>
    <row r="76" spans="20:27" x14ac:dyDescent="0.2">
      <c r="T76" s="230"/>
      <c r="U76" s="230"/>
      <c r="V76" s="230"/>
      <c r="W76" s="230"/>
      <c r="X76" s="230"/>
      <c r="Y76" s="230"/>
      <c r="Z76" s="230"/>
      <c r="AA76" s="212"/>
    </row>
    <row r="77" spans="20:27" x14ac:dyDescent="0.2">
      <c r="T77" s="230"/>
      <c r="U77" s="230"/>
      <c r="V77" s="230"/>
      <c r="W77" s="230"/>
      <c r="X77" s="230"/>
      <c r="Y77" s="230"/>
      <c r="Z77" s="230"/>
      <c r="AA77" s="212"/>
    </row>
    <row r="78" spans="20:27" x14ac:dyDescent="0.2">
      <c r="T78" s="230"/>
      <c r="U78" s="230"/>
      <c r="V78" s="230"/>
      <c r="W78" s="230"/>
      <c r="X78" s="230"/>
      <c r="Y78" s="230"/>
      <c r="Z78" s="230"/>
      <c r="AA78" s="212"/>
    </row>
    <row r="79" spans="20:27" x14ac:dyDescent="0.2">
      <c r="T79" s="230"/>
      <c r="U79" s="230"/>
      <c r="V79" s="230"/>
      <c r="W79" s="230"/>
      <c r="X79" s="230"/>
      <c r="Y79" s="230"/>
      <c r="Z79" s="230"/>
      <c r="AA79" s="212"/>
    </row>
    <row r="80" spans="20:27" x14ac:dyDescent="0.2">
      <c r="T80" s="230"/>
      <c r="U80" s="230"/>
      <c r="V80" s="230"/>
      <c r="W80" s="230"/>
      <c r="X80" s="230"/>
      <c r="Y80" s="230"/>
      <c r="Z80" s="230"/>
      <c r="AA80" s="212"/>
    </row>
    <row r="81" spans="20:27" x14ac:dyDescent="0.2">
      <c r="T81" s="230"/>
      <c r="U81" s="230"/>
      <c r="V81" s="230"/>
      <c r="W81" s="230"/>
      <c r="X81" s="230"/>
      <c r="Y81" s="230"/>
      <c r="Z81" s="230"/>
      <c r="AA81" s="212"/>
    </row>
    <row r="82" spans="20:27" x14ac:dyDescent="0.2">
      <c r="T82" s="230"/>
      <c r="U82" s="230"/>
      <c r="V82" s="230"/>
      <c r="W82" s="230"/>
      <c r="X82" s="230"/>
      <c r="Y82" s="230"/>
      <c r="Z82" s="230"/>
      <c r="AA82" s="212"/>
    </row>
    <row r="83" spans="20:27" x14ac:dyDescent="0.2">
      <c r="T83" s="230"/>
      <c r="U83" s="230"/>
      <c r="V83" s="230"/>
      <c r="W83" s="230"/>
      <c r="X83" s="230"/>
      <c r="Y83" s="230"/>
      <c r="Z83" s="230"/>
      <c r="AA83" s="212"/>
    </row>
    <row r="84" spans="20:27" x14ac:dyDescent="0.2">
      <c r="T84" s="230"/>
      <c r="U84" s="230"/>
      <c r="V84" s="230"/>
      <c r="W84" s="230"/>
      <c r="X84" s="230"/>
      <c r="Y84" s="230"/>
      <c r="Z84" s="230"/>
      <c r="AA84" s="212"/>
    </row>
    <row r="85" spans="20:27" x14ac:dyDescent="0.2">
      <c r="T85" s="230"/>
      <c r="U85" s="230"/>
      <c r="V85" s="230"/>
      <c r="W85" s="230"/>
      <c r="X85" s="230"/>
      <c r="Y85" s="230"/>
      <c r="Z85" s="230"/>
      <c r="AA85" s="212"/>
    </row>
    <row r="86" spans="20:27" x14ac:dyDescent="0.2">
      <c r="T86" s="230"/>
      <c r="U86" s="230"/>
      <c r="V86" s="230"/>
      <c r="W86" s="230"/>
      <c r="X86" s="230"/>
      <c r="Y86" s="230"/>
      <c r="Z86" s="230"/>
      <c r="AA86" s="212"/>
    </row>
  </sheetData>
  <mergeCells count="3">
    <mergeCell ref="B3:D3"/>
    <mergeCell ref="C9:D9"/>
    <mergeCell ref="C8:D8"/>
  </mergeCells>
  <dataValidations count="1">
    <dataValidation type="list" allowBlank="1" showInputMessage="1" showErrorMessage="1" sqref="C9" xr:uid="{00000000-0002-0000-0F00-000000000000}">
      <formula1>$A$4:$A$6</formula1>
    </dataValidation>
  </dataValidations>
  <pageMargins left="0.7" right="0.7" top="0.75" bottom="0.75" header="0.3" footer="0.3"/>
  <drawing r:id="rId1"/>
  <legacyDrawing r:id="rId2"/>
  <controls>
    <mc:AlternateContent xmlns:mc="http://schemas.openxmlformats.org/markup-compatibility/2006">
      <mc:Choice Requires="x14">
        <control shapeId="18444" r:id="rId3" name="CommandButton1">
          <controlPr defaultSize="0" autoLine="0" r:id="rId4">
            <anchor moveWithCells="1">
              <from>
                <xdr:col>5</xdr:col>
                <xdr:colOff>28575</xdr:colOff>
                <xdr:row>5</xdr:row>
                <xdr:rowOff>76200</xdr:rowOff>
              </from>
              <to>
                <xdr:col>6</xdr:col>
                <xdr:colOff>400050</xdr:colOff>
                <xdr:row>7</xdr:row>
                <xdr:rowOff>123825</xdr:rowOff>
              </to>
            </anchor>
          </controlPr>
        </control>
      </mc:Choice>
      <mc:Fallback>
        <control shapeId="18444" r:id="rId3" name="CommandButton1"/>
      </mc:Fallback>
    </mc:AlternateContent>
    <mc:AlternateContent xmlns:mc="http://schemas.openxmlformats.org/markup-compatibility/2006">
      <mc:Choice Requires="x14">
        <control shapeId="18445" r:id="rId5" name="CommandButton2">
          <controlPr defaultSize="0" autoLine="0" r:id="rId6">
            <anchor moveWithCells="1">
              <from>
                <xdr:col>5</xdr:col>
                <xdr:colOff>38100</xdr:colOff>
                <xdr:row>2</xdr:row>
                <xdr:rowOff>0</xdr:rowOff>
              </from>
              <to>
                <xdr:col>6</xdr:col>
                <xdr:colOff>409575</xdr:colOff>
                <xdr:row>4</xdr:row>
                <xdr:rowOff>47625</xdr:rowOff>
              </to>
            </anchor>
          </controlPr>
        </control>
      </mc:Choice>
      <mc:Fallback>
        <control shapeId="18445" r:id="rId5" name="CommandButton2"/>
      </mc:Fallback>
    </mc:AlternateContent>
    <mc:AlternateContent xmlns:mc="http://schemas.openxmlformats.org/markup-compatibility/2006">
      <mc:Choice Requires="x14">
        <control shapeId="18446" r:id="rId7" name="CommandButton3">
          <controlPr defaultSize="0" autoLine="0" autoPict="0" r:id="rId8">
            <anchor moveWithCells="1">
              <from>
                <xdr:col>6</xdr:col>
                <xdr:colOff>504825</xdr:colOff>
                <xdr:row>5</xdr:row>
                <xdr:rowOff>133350</xdr:rowOff>
              </from>
              <to>
                <xdr:col>9</xdr:col>
                <xdr:colOff>19050</xdr:colOff>
                <xdr:row>8</xdr:row>
                <xdr:rowOff>123825</xdr:rowOff>
              </to>
            </anchor>
          </controlPr>
        </control>
      </mc:Choice>
      <mc:Fallback>
        <control shapeId="18446" r:id="rId7" name="CommandButton3"/>
      </mc:Fallback>
    </mc:AlternateContent>
    <mc:AlternateContent xmlns:mc="http://schemas.openxmlformats.org/markup-compatibility/2006">
      <mc:Choice Requires="x14">
        <control shapeId="18447" r:id="rId9" name="CommandButton4">
          <controlPr defaultSize="0" autoLine="0" r:id="rId10">
            <anchor moveWithCells="1">
              <from>
                <xdr:col>6</xdr:col>
                <xdr:colOff>514350</xdr:colOff>
                <xdr:row>1</xdr:row>
                <xdr:rowOff>123825</xdr:rowOff>
              </from>
              <to>
                <xdr:col>9</xdr:col>
                <xdr:colOff>66675</xdr:colOff>
                <xdr:row>4</xdr:row>
                <xdr:rowOff>114300</xdr:rowOff>
              </to>
            </anchor>
          </controlPr>
        </control>
      </mc:Choice>
      <mc:Fallback>
        <control shapeId="18447" r:id="rId9" name="CommandButton4"/>
      </mc:Fallback>
    </mc:AlternateContent>
  </controls>
  <extLst>
    <ext xmlns:x14="http://schemas.microsoft.com/office/spreadsheetml/2009/9/main" uri="{78C0D931-6437-407d-A8EE-F0AAD7539E65}">
      <x14:conditionalFormattings>
        <x14:conditionalFormatting xmlns:xm="http://schemas.microsoft.com/office/excel/2006/main">
          <x14:cfRule type="iconSet" priority="2" id="{F9CB8784-D9AB-4B0A-924D-38DB15A93634}">
            <x14:iconSet iconSet="3Symbols" custom="1">
              <x14:cfvo type="percent">
                <xm:f>0</xm:f>
              </x14:cfvo>
              <x14:cfvo type="num">
                <xm:f>0</xm:f>
              </x14:cfvo>
              <x14:cfvo type="num" gte="0">
                <xm:f>0</xm:f>
              </x14:cfvo>
              <x14:cfIcon iconSet="3Symbols" iconId="0"/>
              <x14:cfIcon iconSet="3Symbols2" iconId="0"/>
              <x14:cfIcon iconSet="3Symbols2" iconId="2"/>
            </x14:iconSet>
          </x14:cfRule>
          <xm:sqref>H13:H28</xm:sqref>
        </x14:conditionalFormatting>
        <x14:conditionalFormatting xmlns:xm="http://schemas.microsoft.com/office/excel/2006/main">
          <x14:cfRule type="iconSet" priority="1" id="{06E83C84-9CC2-4511-865A-3CEA20A5D402}">
            <x14:iconSet showValue="0" custom="1">
              <x14:cfvo type="percent">
                <xm:f>0</xm:f>
              </x14:cfvo>
              <x14:cfvo type="num">
                <xm:f>0</xm:f>
              </x14:cfvo>
              <x14:cfvo type="num">
                <xm:f>1</xm:f>
              </x14:cfvo>
              <x14:cfIcon iconSet="3TrafficLights1" iconId="0"/>
              <x14:cfIcon iconSet="3Symbols" iconId="0"/>
              <x14:cfIcon iconSet="5Rating" iconId="4"/>
            </x14:iconSet>
          </x14:cfRule>
          <xm:sqref>I13:I28</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B10:EN85"/>
  <sheetViews>
    <sheetView showGridLines="0" workbookViewId="0">
      <selection activeCell="L39" sqref="L39"/>
    </sheetView>
  </sheetViews>
  <sheetFormatPr defaultColWidth="9.33203125" defaultRowHeight="12" x14ac:dyDescent="0.2"/>
  <sheetData>
    <row r="10" spans="2:144" x14ac:dyDescent="0.2">
      <c r="B10" t="s">
        <v>179</v>
      </c>
      <c r="K10" t="s">
        <v>180</v>
      </c>
      <c r="T10" t="s">
        <v>181</v>
      </c>
      <c r="AC10" t="s">
        <v>182</v>
      </c>
      <c r="AL10" t="s">
        <v>183</v>
      </c>
      <c r="AU10" t="s">
        <v>185</v>
      </c>
      <c r="BD10" t="s">
        <v>186</v>
      </c>
      <c r="BM10" t="s">
        <v>187</v>
      </c>
      <c r="BV10" t="s">
        <v>188</v>
      </c>
      <c r="CE10" t="s">
        <v>189</v>
      </c>
      <c r="CN10" t="s">
        <v>190</v>
      </c>
      <c r="CW10" t="s">
        <v>191</v>
      </c>
      <c r="DF10" t="s">
        <v>192</v>
      </c>
      <c r="DO10" t="s">
        <v>177</v>
      </c>
      <c r="DX10" t="s">
        <v>193</v>
      </c>
      <c r="EG10" t="s">
        <v>194</v>
      </c>
    </row>
    <row r="11" spans="2:144" x14ac:dyDescent="0.2">
      <c r="B11" s="51" t="s">
        <v>1</v>
      </c>
      <c r="C11" s="51" t="s">
        <v>2</v>
      </c>
      <c r="D11" s="51" t="s">
        <v>58</v>
      </c>
      <c r="E11" s="51" t="s">
        <v>129</v>
      </c>
      <c r="F11" s="51" t="s">
        <v>196</v>
      </c>
      <c r="G11" s="51" t="s">
        <v>198</v>
      </c>
      <c r="H11" s="51" t="s">
        <v>199</v>
      </c>
      <c r="I11" s="49"/>
      <c r="K11" s="51" t="s">
        <v>1</v>
      </c>
      <c r="L11" s="51" t="s">
        <v>2</v>
      </c>
      <c r="M11" s="51" t="s">
        <v>58</v>
      </c>
      <c r="N11" s="51" t="s">
        <v>129</v>
      </c>
      <c r="O11" s="51" t="s">
        <v>196</v>
      </c>
      <c r="P11" s="51" t="s">
        <v>198</v>
      </c>
      <c r="Q11" s="51" t="s">
        <v>199</v>
      </c>
      <c r="R11" s="49"/>
      <c r="T11" s="51" t="s">
        <v>1</v>
      </c>
      <c r="U11" s="51" t="s">
        <v>2</v>
      </c>
      <c r="V11" s="51" t="s">
        <v>58</v>
      </c>
      <c r="W11" s="51" t="s">
        <v>129</v>
      </c>
      <c r="X11" s="51" t="s">
        <v>196</v>
      </c>
      <c r="Y11" s="51" t="s">
        <v>198</v>
      </c>
      <c r="Z11" s="51" t="s">
        <v>199</v>
      </c>
      <c r="AA11" s="49"/>
      <c r="AC11" s="51" t="s">
        <v>1</v>
      </c>
      <c r="AD11" s="51" t="s">
        <v>2</v>
      </c>
      <c r="AE11" s="51" t="s">
        <v>58</v>
      </c>
      <c r="AF11" s="51" t="s">
        <v>129</v>
      </c>
      <c r="AG11" s="51" t="s">
        <v>196</v>
      </c>
      <c r="AH11" s="51" t="s">
        <v>198</v>
      </c>
      <c r="AI11" s="51" t="s">
        <v>199</v>
      </c>
      <c r="AJ11" s="49"/>
      <c r="AL11" s="51" t="s">
        <v>1</v>
      </c>
      <c r="AM11" s="51" t="s">
        <v>2</v>
      </c>
      <c r="AN11" s="51" t="s">
        <v>58</v>
      </c>
      <c r="AO11" s="51" t="s">
        <v>129</v>
      </c>
      <c r="AP11" s="51" t="s">
        <v>196</v>
      </c>
      <c r="AQ11" s="51" t="s">
        <v>198</v>
      </c>
      <c r="AR11" s="51" t="s">
        <v>199</v>
      </c>
      <c r="AS11" s="49"/>
      <c r="AU11" s="51" t="s">
        <v>1</v>
      </c>
      <c r="AV11" s="51" t="s">
        <v>2</v>
      </c>
      <c r="AW11" s="51" t="s">
        <v>58</v>
      </c>
      <c r="AX11" s="51" t="s">
        <v>129</v>
      </c>
      <c r="AY11" s="51" t="s">
        <v>196</v>
      </c>
      <c r="AZ11" s="51" t="s">
        <v>198</v>
      </c>
      <c r="BA11" s="51" t="s">
        <v>199</v>
      </c>
      <c r="BB11" s="49"/>
      <c r="BD11" s="51" t="s">
        <v>1</v>
      </c>
      <c r="BE11" s="51" t="s">
        <v>2</v>
      </c>
      <c r="BF11" s="51" t="s">
        <v>58</v>
      </c>
      <c r="BG11" s="51" t="s">
        <v>129</v>
      </c>
      <c r="BH11" s="51" t="s">
        <v>196</v>
      </c>
      <c r="BI11" s="51" t="s">
        <v>198</v>
      </c>
      <c r="BJ11" s="51" t="s">
        <v>199</v>
      </c>
      <c r="BK11" s="49"/>
      <c r="BM11" s="51" t="s">
        <v>1</v>
      </c>
      <c r="BN11" s="51" t="s">
        <v>2</v>
      </c>
      <c r="BO11" s="51" t="s">
        <v>58</v>
      </c>
      <c r="BP11" s="51" t="s">
        <v>129</v>
      </c>
      <c r="BQ11" s="51" t="s">
        <v>196</v>
      </c>
      <c r="BR11" s="51" t="s">
        <v>198</v>
      </c>
      <c r="BS11" s="51" t="s">
        <v>199</v>
      </c>
      <c r="BT11" s="49"/>
      <c r="BV11" s="51" t="s">
        <v>1</v>
      </c>
      <c r="BW11" s="51" t="s">
        <v>2</v>
      </c>
      <c r="BX11" s="51" t="s">
        <v>58</v>
      </c>
      <c r="BY11" s="51" t="s">
        <v>129</v>
      </c>
      <c r="BZ11" s="51" t="s">
        <v>196</v>
      </c>
      <c r="CA11" s="51" t="s">
        <v>198</v>
      </c>
      <c r="CB11" s="51" t="s">
        <v>199</v>
      </c>
      <c r="CC11" s="49"/>
      <c r="CE11" s="51" t="s">
        <v>1</v>
      </c>
      <c r="CF11" s="51" t="s">
        <v>2</v>
      </c>
      <c r="CG11" s="51" t="s">
        <v>58</v>
      </c>
      <c r="CH11" s="51" t="s">
        <v>129</v>
      </c>
      <c r="CI11" s="51" t="s">
        <v>196</v>
      </c>
      <c r="CJ11" s="51" t="s">
        <v>198</v>
      </c>
      <c r="CK11" s="51" t="s">
        <v>199</v>
      </c>
      <c r="CL11" s="49"/>
      <c r="CN11" s="51" t="s">
        <v>1</v>
      </c>
      <c r="CO11" s="51" t="s">
        <v>2</v>
      </c>
      <c r="CP11" s="51" t="s">
        <v>58</v>
      </c>
      <c r="CQ11" s="51" t="s">
        <v>129</v>
      </c>
      <c r="CR11" s="51" t="s">
        <v>196</v>
      </c>
      <c r="CS11" s="51" t="s">
        <v>198</v>
      </c>
      <c r="CT11" s="51" t="s">
        <v>199</v>
      </c>
      <c r="CU11" s="49"/>
      <c r="CW11" s="51" t="s">
        <v>1</v>
      </c>
      <c r="CX11" s="51" t="s">
        <v>2</v>
      </c>
      <c r="CY11" s="51" t="s">
        <v>58</v>
      </c>
      <c r="CZ11" s="51" t="s">
        <v>129</v>
      </c>
      <c r="DA11" s="51" t="s">
        <v>196</v>
      </c>
      <c r="DB11" s="51" t="s">
        <v>198</v>
      </c>
      <c r="DC11" s="51" t="s">
        <v>199</v>
      </c>
      <c r="DD11" s="49"/>
      <c r="DF11" s="51" t="s">
        <v>1</v>
      </c>
      <c r="DG11" s="51" t="s">
        <v>2</v>
      </c>
      <c r="DH11" s="51" t="s">
        <v>58</v>
      </c>
      <c r="DI11" s="51" t="s">
        <v>129</v>
      </c>
      <c r="DJ11" s="51" t="s">
        <v>196</v>
      </c>
      <c r="DK11" s="51" t="s">
        <v>198</v>
      </c>
      <c r="DL11" s="51" t="s">
        <v>199</v>
      </c>
      <c r="DM11" s="49"/>
      <c r="DO11" s="51" t="s">
        <v>1</v>
      </c>
      <c r="DP11" s="51" t="s">
        <v>2</v>
      </c>
      <c r="DQ11" s="51" t="s">
        <v>58</v>
      </c>
      <c r="DR11" s="51" t="s">
        <v>129</v>
      </c>
      <c r="DS11" s="51" t="s">
        <v>196</v>
      </c>
      <c r="DT11" s="51" t="s">
        <v>198</v>
      </c>
      <c r="DU11" s="51" t="s">
        <v>199</v>
      </c>
      <c r="DV11" s="49"/>
      <c r="DX11" s="51" t="s">
        <v>1</v>
      </c>
      <c r="DY11" s="51" t="s">
        <v>2</v>
      </c>
      <c r="DZ11" s="51" t="s">
        <v>58</v>
      </c>
      <c r="EA11" s="51" t="s">
        <v>129</v>
      </c>
      <c r="EB11" s="51" t="s">
        <v>196</v>
      </c>
      <c r="EC11" s="51" t="s">
        <v>198</v>
      </c>
      <c r="ED11" s="51" t="s">
        <v>199</v>
      </c>
      <c r="EE11" s="49"/>
      <c r="EG11" s="51" t="s">
        <v>1</v>
      </c>
      <c r="EH11" s="51" t="s">
        <v>2</v>
      </c>
      <c r="EI11" s="51" t="s">
        <v>58</v>
      </c>
      <c r="EJ11" s="51" t="s">
        <v>129</v>
      </c>
      <c r="EK11" s="51" t="s">
        <v>196</v>
      </c>
      <c r="EL11" s="51" t="s">
        <v>198</v>
      </c>
      <c r="EM11" s="51" t="s">
        <v>199</v>
      </c>
      <c r="EN11" s="49"/>
    </row>
    <row r="12" spans="2:144" x14ac:dyDescent="0.2">
      <c r="B12" s="105" t="s">
        <v>0</v>
      </c>
      <c r="C12" s="105" t="s">
        <v>0</v>
      </c>
      <c r="D12" s="105" t="s">
        <v>45</v>
      </c>
      <c r="E12" s="105" t="s">
        <v>195</v>
      </c>
      <c r="F12" s="105" t="s">
        <v>197</v>
      </c>
      <c r="G12" s="105"/>
      <c r="H12" s="105"/>
      <c r="I12" s="216"/>
      <c r="K12" s="105" t="s">
        <v>0</v>
      </c>
      <c r="L12" s="105" t="s">
        <v>0</v>
      </c>
      <c r="M12" s="105" t="s">
        <v>45</v>
      </c>
      <c r="N12" s="105" t="s">
        <v>195</v>
      </c>
      <c r="O12" s="105" t="s">
        <v>197</v>
      </c>
      <c r="P12" s="105"/>
      <c r="Q12" s="105"/>
      <c r="R12" s="216"/>
      <c r="T12" s="105" t="s">
        <v>0</v>
      </c>
      <c r="U12" s="105" t="s">
        <v>0</v>
      </c>
      <c r="V12" s="105" t="s">
        <v>45</v>
      </c>
      <c r="W12" s="105" t="s">
        <v>195</v>
      </c>
      <c r="X12" s="105" t="s">
        <v>197</v>
      </c>
      <c r="Y12" s="105"/>
      <c r="Z12" s="105"/>
      <c r="AA12" s="216"/>
      <c r="AC12" s="105" t="s">
        <v>0</v>
      </c>
      <c r="AD12" s="105" t="s">
        <v>0</v>
      </c>
      <c r="AE12" s="105" t="s">
        <v>45</v>
      </c>
      <c r="AF12" s="105" t="s">
        <v>195</v>
      </c>
      <c r="AG12" s="105" t="s">
        <v>197</v>
      </c>
      <c r="AH12" s="105"/>
      <c r="AI12" s="105"/>
      <c r="AJ12" s="216"/>
      <c r="AL12" s="105" t="s">
        <v>0</v>
      </c>
      <c r="AM12" s="105" t="s">
        <v>0</v>
      </c>
      <c r="AN12" s="105" t="s">
        <v>45</v>
      </c>
      <c r="AO12" s="105" t="s">
        <v>195</v>
      </c>
      <c r="AP12" s="105" t="s">
        <v>197</v>
      </c>
      <c r="AQ12" s="105"/>
      <c r="AR12" s="105"/>
      <c r="AS12" s="216"/>
      <c r="AU12" s="105" t="s">
        <v>0</v>
      </c>
      <c r="AV12" s="105" t="s">
        <v>0</v>
      </c>
      <c r="AW12" s="105" t="s">
        <v>45</v>
      </c>
      <c r="AX12" s="105" t="s">
        <v>195</v>
      </c>
      <c r="AY12" s="105" t="s">
        <v>197</v>
      </c>
      <c r="AZ12" s="105"/>
      <c r="BA12" s="105"/>
      <c r="BB12" s="216"/>
      <c r="BD12" s="105" t="s">
        <v>0</v>
      </c>
      <c r="BE12" s="105" t="s">
        <v>0</v>
      </c>
      <c r="BF12" s="105" t="s">
        <v>45</v>
      </c>
      <c r="BG12" s="105" t="s">
        <v>195</v>
      </c>
      <c r="BH12" s="105" t="s">
        <v>197</v>
      </c>
      <c r="BI12" s="105"/>
      <c r="BJ12" s="105"/>
      <c r="BK12" s="216"/>
      <c r="BM12" s="105" t="s">
        <v>0</v>
      </c>
      <c r="BN12" s="105" t="s">
        <v>0</v>
      </c>
      <c r="BO12" s="105" t="s">
        <v>45</v>
      </c>
      <c r="BP12" s="105" t="s">
        <v>195</v>
      </c>
      <c r="BQ12" s="105" t="s">
        <v>197</v>
      </c>
      <c r="BR12" s="105"/>
      <c r="BS12" s="105"/>
      <c r="BT12" s="216"/>
      <c r="BV12" s="105" t="s">
        <v>0</v>
      </c>
      <c r="BW12" s="105" t="s">
        <v>0</v>
      </c>
      <c r="BX12" s="105" t="s">
        <v>45</v>
      </c>
      <c r="BY12" s="105" t="s">
        <v>195</v>
      </c>
      <c r="BZ12" s="105" t="s">
        <v>197</v>
      </c>
      <c r="CA12" s="105"/>
      <c r="CB12" s="105"/>
      <c r="CC12" s="216"/>
      <c r="CE12" s="105" t="s">
        <v>0</v>
      </c>
      <c r="CF12" s="105" t="s">
        <v>0</v>
      </c>
      <c r="CG12" s="105" t="s">
        <v>45</v>
      </c>
      <c r="CH12" s="105" t="s">
        <v>195</v>
      </c>
      <c r="CI12" s="105" t="s">
        <v>197</v>
      </c>
      <c r="CJ12" s="105"/>
      <c r="CK12" s="105"/>
      <c r="CL12" s="216"/>
      <c r="CN12" s="105" t="s">
        <v>0</v>
      </c>
      <c r="CO12" s="105" t="s">
        <v>0</v>
      </c>
      <c r="CP12" s="105" t="s">
        <v>45</v>
      </c>
      <c r="CQ12" s="105" t="s">
        <v>195</v>
      </c>
      <c r="CR12" s="105" t="s">
        <v>197</v>
      </c>
      <c r="CS12" s="105"/>
      <c r="CT12" s="105"/>
      <c r="CU12" s="216"/>
      <c r="CW12" s="105" t="s">
        <v>0</v>
      </c>
      <c r="CX12" s="105" t="s">
        <v>0</v>
      </c>
      <c r="CY12" s="105" t="s">
        <v>45</v>
      </c>
      <c r="CZ12" s="105" t="s">
        <v>195</v>
      </c>
      <c r="DA12" s="105" t="s">
        <v>197</v>
      </c>
      <c r="DB12" s="105"/>
      <c r="DC12" s="105"/>
      <c r="DD12" s="216"/>
      <c r="DF12" s="105" t="s">
        <v>0</v>
      </c>
      <c r="DG12" s="105" t="s">
        <v>0</v>
      </c>
      <c r="DH12" s="105" t="s">
        <v>45</v>
      </c>
      <c r="DI12" s="105" t="s">
        <v>195</v>
      </c>
      <c r="DJ12" s="105" t="s">
        <v>197</v>
      </c>
      <c r="DK12" s="105"/>
      <c r="DL12" s="105"/>
      <c r="DM12" s="216"/>
      <c r="DO12" s="105" t="s">
        <v>0</v>
      </c>
      <c r="DP12" s="105" t="s">
        <v>0</v>
      </c>
      <c r="DQ12" s="105" t="s">
        <v>45</v>
      </c>
      <c r="DR12" s="105" t="s">
        <v>195</v>
      </c>
      <c r="DS12" s="105" t="s">
        <v>197</v>
      </c>
      <c r="DT12" s="105"/>
      <c r="DU12" s="105"/>
      <c r="DV12" s="216"/>
      <c r="DX12" s="105" t="s">
        <v>0</v>
      </c>
      <c r="DY12" s="105" t="s">
        <v>0</v>
      </c>
      <c r="DZ12" s="105" t="s">
        <v>45</v>
      </c>
      <c r="EA12" s="105" t="s">
        <v>195</v>
      </c>
      <c r="EB12" s="105" t="s">
        <v>197</v>
      </c>
      <c r="EC12" s="105"/>
      <c r="ED12" s="105"/>
      <c r="EE12" s="216"/>
      <c r="EG12" s="105" t="s">
        <v>0</v>
      </c>
      <c r="EH12" s="105" t="s">
        <v>0</v>
      </c>
      <c r="EI12" s="105" t="s">
        <v>45</v>
      </c>
      <c r="EJ12" s="105" t="s">
        <v>195</v>
      </c>
      <c r="EK12" s="105" t="s">
        <v>197</v>
      </c>
      <c r="EL12" s="105"/>
      <c r="EM12" s="105"/>
      <c r="EN12" s="216"/>
    </row>
    <row r="13" spans="2:144" s="212" customFormat="1" x14ac:dyDescent="0.2">
      <c r="BD13" s="231"/>
      <c r="BE13" s="231"/>
      <c r="BF13" s="231"/>
      <c r="BG13" s="231"/>
      <c r="BH13" s="231"/>
      <c r="BI13" s="231"/>
      <c r="BM13" s="231"/>
      <c r="BN13" s="231"/>
      <c r="BO13" s="231"/>
      <c r="BP13" s="231"/>
      <c r="BQ13" s="231"/>
      <c r="BR13" s="231"/>
      <c r="BV13" s="231"/>
      <c r="BW13" s="231"/>
      <c r="BX13" s="231"/>
      <c r="BY13" s="231"/>
      <c r="BZ13" s="231"/>
      <c r="CA13" s="231"/>
      <c r="CE13" s="231"/>
      <c r="CF13" s="231"/>
      <c r="CG13" s="231"/>
      <c r="CH13" s="231"/>
      <c r="CI13" s="231"/>
      <c r="CJ13" s="231"/>
      <c r="CN13" s="231"/>
      <c r="CO13" s="231"/>
      <c r="CP13" s="231"/>
      <c r="CQ13" s="231"/>
      <c r="CR13" s="231"/>
      <c r="CS13" s="231"/>
      <c r="CW13" s="231"/>
      <c r="CX13" s="231"/>
      <c r="CY13" s="231"/>
      <c r="CZ13" s="231"/>
      <c r="DA13" s="231"/>
      <c r="DB13" s="231"/>
      <c r="DF13" s="231"/>
      <c r="DG13" s="231"/>
      <c r="DH13" s="231"/>
      <c r="DI13" s="231"/>
      <c r="DJ13" s="231"/>
      <c r="DK13" s="231"/>
      <c r="DO13" s="231"/>
      <c r="DP13" s="231"/>
      <c r="DQ13" s="231"/>
      <c r="DR13" s="231"/>
      <c r="DS13" s="231"/>
      <c r="DT13" s="231"/>
    </row>
    <row r="14" spans="2:144" s="212" customFormat="1" x14ac:dyDescent="0.2"/>
    <row r="15" spans="2:144" s="212" customFormat="1" x14ac:dyDescent="0.2"/>
    <row r="16" spans="2:144" s="212" customFormat="1" x14ac:dyDescent="0.2"/>
    <row r="17" s="212" customFormat="1" x14ac:dyDescent="0.2"/>
    <row r="18" s="212" customFormat="1" x14ac:dyDescent="0.2"/>
    <row r="19" s="212" customFormat="1" x14ac:dyDescent="0.2"/>
    <row r="20" s="212" customFormat="1" x14ac:dyDescent="0.2"/>
    <row r="21" s="212" customFormat="1" x14ac:dyDescent="0.2"/>
    <row r="22" s="212" customFormat="1" x14ac:dyDescent="0.2"/>
    <row r="23" s="212" customFormat="1" x14ac:dyDescent="0.2"/>
    <row r="24" s="212" customFormat="1" x14ac:dyDescent="0.2"/>
    <row r="25" s="212" customFormat="1" x14ac:dyDescent="0.2"/>
    <row r="26" s="212" customFormat="1" x14ac:dyDescent="0.2"/>
    <row r="27" s="212" customFormat="1" x14ac:dyDescent="0.2"/>
    <row r="28" s="212" customFormat="1" x14ac:dyDescent="0.2"/>
    <row r="29" s="212" customFormat="1" x14ac:dyDescent="0.2"/>
    <row r="30" s="212" customFormat="1" x14ac:dyDescent="0.2"/>
    <row r="31" s="212" customFormat="1" x14ac:dyDescent="0.2"/>
    <row r="32" s="212" customFormat="1" x14ac:dyDescent="0.2"/>
    <row r="33" spans="131:143" s="212" customFormat="1" x14ac:dyDescent="0.2"/>
    <row r="34" spans="131:143" s="212" customFormat="1" x14ac:dyDescent="0.2"/>
    <row r="35" spans="131:143" s="212" customFormat="1" x14ac:dyDescent="0.2"/>
    <row r="36" spans="131:143" s="212" customFormat="1" x14ac:dyDescent="0.2"/>
    <row r="37" spans="131:143" s="212" customFormat="1" x14ac:dyDescent="0.2"/>
    <row r="38" spans="131:143" s="212" customFormat="1" x14ac:dyDescent="0.2"/>
    <row r="39" spans="131:143" s="212" customFormat="1" x14ac:dyDescent="0.2">
      <c r="EA39" s="212">
        <v>142.29599999999999</v>
      </c>
      <c r="EB39" s="212">
        <v>5.01442E-2</v>
      </c>
      <c r="EC39" s="212">
        <v>0</v>
      </c>
      <c r="ED39" s="212">
        <v>102</v>
      </c>
      <c r="EG39" s="212">
        <v>1579.43</v>
      </c>
      <c r="EH39" s="212">
        <v>1579.25</v>
      </c>
      <c r="EI39" s="212">
        <v>2072.9699999999998</v>
      </c>
      <c r="EJ39" s="212">
        <v>142.29599999999999</v>
      </c>
      <c r="EK39" s="212">
        <v>5.01442E-2</v>
      </c>
      <c r="EL39" s="212">
        <v>0</v>
      </c>
      <c r="EM39" s="212">
        <v>105</v>
      </c>
    </row>
    <row r="40" spans="131:143" s="212" customFormat="1" x14ac:dyDescent="0.2">
      <c r="EA40" s="212">
        <v>145.14099999999999</v>
      </c>
      <c r="EB40" s="212">
        <v>4.9901500000000001E-2</v>
      </c>
      <c r="EC40" s="212">
        <v>0</v>
      </c>
      <c r="ED40" s="212">
        <v>102</v>
      </c>
      <c r="EG40" s="212">
        <v>1650.86</v>
      </c>
      <c r="EH40" s="212">
        <v>1650.67</v>
      </c>
      <c r="EI40" s="212">
        <v>2084.66</v>
      </c>
      <c r="EJ40" s="212">
        <v>145.14099999999999</v>
      </c>
      <c r="EK40" s="212">
        <v>4.9901500000000001E-2</v>
      </c>
      <c r="EL40" s="212">
        <v>0</v>
      </c>
      <c r="EM40" s="212">
        <v>105</v>
      </c>
    </row>
    <row r="41" spans="131:143" s="212" customFormat="1" x14ac:dyDescent="0.2">
      <c r="EA41" s="212">
        <v>148.001</v>
      </c>
      <c r="EB41" s="212">
        <v>4.9657E-2</v>
      </c>
      <c r="EC41" s="212">
        <v>0</v>
      </c>
      <c r="ED41" s="212">
        <v>102</v>
      </c>
      <c r="EG41" s="212">
        <v>1722.29</v>
      </c>
      <c r="EH41" s="212">
        <v>1722.09</v>
      </c>
      <c r="EI41" s="212">
        <v>2096.3000000000002</v>
      </c>
      <c r="EJ41" s="212">
        <v>148.001</v>
      </c>
      <c r="EK41" s="212">
        <v>4.9657E-2</v>
      </c>
      <c r="EL41" s="212">
        <v>0</v>
      </c>
      <c r="EM41" s="212">
        <v>105</v>
      </c>
    </row>
    <row r="42" spans="131:143" s="212" customFormat="1" x14ac:dyDescent="0.2">
      <c r="EA42" s="212">
        <v>150.87899999999999</v>
      </c>
      <c r="EB42" s="212">
        <v>4.9410500000000003E-2</v>
      </c>
      <c r="EC42" s="212">
        <v>0</v>
      </c>
      <c r="ED42" s="212">
        <v>102</v>
      </c>
      <c r="EG42" s="212">
        <v>1793.71</v>
      </c>
      <c r="EH42" s="212">
        <v>1793.51</v>
      </c>
      <c r="EI42" s="212">
        <v>2107.88</v>
      </c>
      <c r="EJ42" s="212">
        <v>150.87899999999999</v>
      </c>
      <c r="EK42" s="212">
        <v>4.9410500000000003E-2</v>
      </c>
      <c r="EL42" s="212">
        <v>0</v>
      </c>
      <c r="EM42" s="212">
        <v>105</v>
      </c>
    </row>
    <row r="43" spans="131:143" s="212" customFormat="1" x14ac:dyDescent="0.2">
      <c r="EA43" s="212">
        <v>153.77799999999999</v>
      </c>
      <c r="EB43" s="212">
        <v>4.9161799999999999E-2</v>
      </c>
      <c r="EC43" s="212">
        <v>0</v>
      </c>
      <c r="ED43" s="212">
        <v>102</v>
      </c>
      <c r="EG43" s="212">
        <v>1865.14</v>
      </c>
      <c r="EH43" s="212">
        <v>1864.93</v>
      </c>
      <c r="EI43" s="212">
        <v>2119.4</v>
      </c>
      <c r="EJ43" s="212">
        <v>153.77799999999999</v>
      </c>
      <c r="EK43" s="212">
        <v>4.9161799999999999E-2</v>
      </c>
      <c r="EL43" s="212">
        <v>0</v>
      </c>
      <c r="EM43" s="212">
        <v>105</v>
      </c>
    </row>
    <row r="44" spans="131:143" s="212" customFormat="1" x14ac:dyDescent="0.2">
      <c r="EA44" s="212">
        <v>156.70099999999999</v>
      </c>
      <c r="EB44" s="212">
        <v>4.8910500000000003E-2</v>
      </c>
      <c r="EC44" s="212">
        <v>0</v>
      </c>
      <c r="ED44" s="212">
        <v>102</v>
      </c>
      <c r="EG44" s="212">
        <v>1936.57</v>
      </c>
      <c r="EH44" s="212">
        <v>1936.35</v>
      </c>
      <c r="EI44" s="212">
        <v>2130.86</v>
      </c>
      <c r="EJ44" s="212">
        <v>156.70099999999999</v>
      </c>
      <c r="EK44" s="212">
        <v>4.8910500000000003E-2</v>
      </c>
      <c r="EL44" s="212">
        <v>0</v>
      </c>
      <c r="EM44" s="212">
        <v>105</v>
      </c>
    </row>
    <row r="45" spans="131:143" s="212" customFormat="1" x14ac:dyDescent="0.2">
      <c r="EA45" s="212">
        <v>159.65199999999999</v>
      </c>
      <c r="EB45" s="212">
        <v>4.8656199999999997E-2</v>
      </c>
      <c r="EC45" s="212">
        <v>0</v>
      </c>
      <c r="ED45" s="212">
        <v>102</v>
      </c>
      <c r="EG45" s="212">
        <v>2008</v>
      </c>
      <c r="EH45" s="212">
        <v>2007.77</v>
      </c>
      <c r="EI45" s="212">
        <v>2142.27</v>
      </c>
      <c r="EJ45" s="212">
        <v>159.65199999999999</v>
      </c>
      <c r="EK45" s="212">
        <v>4.8656199999999997E-2</v>
      </c>
      <c r="EL45" s="212">
        <v>0</v>
      </c>
      <c r="EM45" s="212">
        <v>105</v>
      </c>
    </row>
    <row r="46" spans="131:143" s="212" customFormat="1" x14ac:dyDescent="0.2">
      <c r="EA46" s="212">
        <v>162.58799999999999</v>
      </c>
      <c r="EB46" s="212">
        <v>4.8400600000000002E-2</v>
      </c>
      <c r="EC46" s="212">
        <v>0</v>
      </c>
      <c r="ED46" s="212">
        <v>102</v>
      </c>
      <c r="EG46" s="212">
        <v>2078.2800000000002</v>
      </c>
      <c r="EH46" s="212">
        <v>2078.0500000000002</v>
      </c>
      <c r="EI46" s="212">
        <v>2153.4299999999998</v>
      </c>
      <c r="EJ46" s="212">
        <v>162.58799999999999</v>
      </c>
      <c r="EK46" s="212">
        <v>4.8400600000000002E-2</v>
      </c>
      <c r="EL46" s="212">
        <v>0</v>
      </c>
      <c r="EM46" s="212">
        <v>105</v>
      </c>
    </row>
    <row r="47" spans="131:143" s="212" customFormat="1" x14ac:dyDescent="0.2">
      <c r="EA47" s="212">
        <v>165.56</v>
      </c>
      <c r="EB47" s="212">
        <v>4.81433E-2</v>
      </c>
      <c r="EC47" s="212">
        <v>0</v>
      </c>
      <c r="ED47" s="212">
        <v>102</v>
      </c>
      <c r="EG47" s="212">
        <v>2148.5700000000002</v>
      </c>
      <c r="EH47" s="212">
        <v>2148.3200000000002</v>
      </c>
      <c r="EI47" s="212">
        <v>2164.5300000000002</v>
      </c>
      <c r="EJ47" s="212">
        <v>165.56</v>
      </c>
      <c r="EK47" s="212">
        <v>4.81433E-2</v>
      </c>
      <c r="EL47" s="212">
        <v>0</v>
      </c>
      <c r="EM47" s="212">
        <v>105</v>
      </c>
    </row>
    <row r="48" spans="131:143" s="212" customFormat="1" x14ac:dyDescent="0.2">
      <c r="EA48" s="212">
        <v>168.57400000000001</v>
      </c>
      <c r="EB48" s="212">
        <v>4.7881699999999999E-2</v>
      </c>
      <c r="EC48" s="212">
        <v>0</v>
      </c>
      <c r="ED48" s="212">
        <v>102</v>
      </c>
      <c r="EG48" s="212">
        <v>2218.85</v>
      </c>
      <c r="EH48" s="212">
        <v>2218.6</v>
      </c>
      <c r="EI48" s="212">
        <v>2175.5700000000002</v>
      </c>
      <c r="EJ48" s="212">
        <v>168.57400000000001</v>
      </c>
      <c r="EK48" s="212">
        <v>4.7881699999999999E-2</v>
      </c>
      <c r="EL48" s="212">
        <v>0</v>
      </c>
      <c r="EM48" s="212">
        <v>105</v>
      </c>
    </row>
    <row r="49" spans="131:143" s="212" customFormat="1" x14ac:dyDescent="0.2">
      <c r="EA49" s="212">
        <v>171.636</v>
      </c>
      <c r="EB49" s="212">
        <v>4.7615200000000003E-2</v>
      </c>
      <c r="EC49" s="212">
        <v>0</v>
      </c>
      <c r="ED49" s="212">
        <v>102</v>
      </c>
      <c r="EG49" s="212">
        <v>2289.13</v>
      </c>
      <c r="EH49" s="212">
        <v>2288.87</v>
      </c>
      <c r="EI49" s="212">
        <v>2186.5500000000002</v>
      </c>
      <c r="EJ49" s="212">
        <v>171.636</v>
      </c>
      <c r="EK49" s="212">
        <v>4.7615200000000003E-2</v>
      </c>
      <c r="EL49" s="212">
        <v>0</v>
      </c>
      <c r="EM49" s="212">
        <v>105</v>
      </c>
    </row>
    <row r="50" spans="131:143" s="212" customFormat="1" x14ac:dyDescent="0.2">
      <c r="EA50" s="212">
        <v>174.75399999999999</v>
      </c>
      <c r="EB50" s="212">
        <v>4.7343099999999999E-2</v>
      </c>
      <c r="EC50" s="212">
        <v>0</v>
      </c>
      <c r="ED50" s="212">
        <v>102</v>
      </c>
      <c r="EG50" s="212">
        <v>2359.42</v>
      </c>
      <c r="EH50" s="212">
        <v>2359.15</v>
      </c>
      <c r="EI50" s="212">
        <v>2197.46</v>
      </c>
      <c r="EJ50" s="212">
        <v>174.75399999999999</v>
      </c>
      <c r="EK50" s="212">
        <v>4.7343099999999999E-2</v>
      </c>
      <c r="EL50" s="212">
        <v>0</v>
      </c>
      <c r="EM50" s="212">
        <v>105</v>
      </c>
    </row>
    <row r="51" spans="131:143" s="212" customFormat="1" x14ac:dyDescent="0.2">
      <c r="EA51" s="212">
        <v>177.93700000000001</v>
      </c>
      <c r="EB51" s="212">
        <v>4.7064399999999999E-2</v>
      </c>
      <c r="EC51" s="212">
        <v>0</v>
      </c>
      <c r="ED51" s="212">
        <v>102</v>
      </c>
      <c r="EG51" s="212">
        <v>2429.6999999999998</v>
      </c>
      <c r="EH51" s="212">
        <v>2429.42</v>
      </c>
      <c r="EI51" s="212">
        <v>2208.3200000000002</v>
      </c>
      <c r="EJ51" s="212">
        <v>177.93700000000001</v>
      </c>
      <c r="EK51" s="212">
        <v>4.7064399999999999E-2</v>
      </c>
      <c r="EL51" s="212">
        <v>0</v>
      </c>
      <c r="EM51" s="212">
        <v>105</v>
      </c>
    </row>
    <row r="52" spans="131:143" s="212" customFormat="1" x14ac:dyDescent="0.2">
      <c r="EA52" s="212">
        <v>181.196</v>
      </c>
      <c r="EB52" s="212">
        <v>4.6778100000000003E-2</v>
      </c>
      <c r="EC52" s="212">
        <v>0</v>
      </c>
      <c r="ED52" s="212">
        <v>102</v>
      </c>
      <c r="EG52" s="212">
        <v>2499.98</v>
      </c>
      <c r="EH52" s="212">
        <v>2499.6999999999998</v>
      </c>
      <c r="EI52" s="212">
        <v>2219.1</v>
      </c>
      <c r="EJ52" s="212">
        <v>181.196</v>
      </c>
      <c r="EK52" s="212">
        <v>4.6778100000000003E-2</v>
      </c>
      <c r="EL52" s="212">
        <v>0</v>
      </c>
      <c r="EM52" s="212">
        <v>105</v>
      </c>
    </row>
    <row r="53" spans="131:143" s="212" customFormat="1" x14ac:dyDescent="0.2">
      <c r="EA53" s="212">
        <v>183.73699999999999</v>
      </c>
      <c r="EB53" s="212">
        <v>4.6995000000000002E-2</v>
      </c>
      <c r="EC53" s="212">
        <v>0</v>
      </c>
      <c r="ED53" s="212">
        <v>102</v>
      </c>
      <c r="EG53" s="212">
        <v>2572.56</v>
      </c>
      <c r="EH53" s="212">
        <v>2572.2600000000002</v>
      </c>
      <c r="EI53" s="212">
        <v>2230.29</v>
      </c>
      <c r="EJ53" s="212">
        <v>183.73699999999999</v>
      </c>
      <c r="EK53" s="212">
        <v>4.6995000000000002E-2</v>
      </c>
      <c r="EL53" s="212">
        <v>0</v>
      </c>
      <c r="EM53" s="212">
        <v>105</v>
      </c>
    </row>
    <row r="54" spans="131:143" s="212" customFormat="1" x14ac:dyDescent="0.2">
      <c r="EA54" s="212">
        <v>186.249</v>
      </c>
      <c r="EB54" s="212">
        <v>4.67886E-2</v>
      </c>
      <c r="EC54" s="212">
        <v>0</v>
      </c>
      <c r="ED54" s="212">
        <v>102</v>
      </c>
      <c r="EG54" s="212">
        <v>2645.13</v>
      </c>
      <c r="EH54" s="212">
        <v>2644.83</v>
      </c>
      <c r="EI54" s="212">
        <v>2241.4299999999998</v>
      </c>
      <c r="EJ54" s="212">
        <v>186.249</v>
      </c>
      <c r="EK54" s="212">
        <v>4.67886E-2</v>
      </c>
      <c r="EL54" s="212">
        <v>0</v>
      </c>
      <c r="EM54" s="212">
        <v>105</v>
      </c>
    </row>
    <row r="55" spans="131:143" s="212" customFormat="1" x14ac:dyDescent="0.2">
      <c r="EA55" s="212">
        <v>188.72800000000001</v>
      </c>
      <c r="EB55" s="212">
        <v>4.6586200000000001E-2</v>
      </c>
      <c r="EC55" s="212">
        <v>0</v>
      </c>
      <c r="ED55" s="212">
        <v>102</v>
      </c>
      <c r="EG55" s="212">
        <v>2717.71</v>
      </c>
      <c r="EH55" s="212">
        <v>2717.4</v>
      </c>
      <c r="EI55" s="212">
        <v>2252.5300000000002</v>
      </c>
      <c r="EJ55" s="212">
        <v>188.72800000000001</v>
      </c>
      <c r="EK55" s="212">
        <v>4.6586200000000001E-2</v>
      </c>
      <c r="EL55" s="212">
        <v>0</v>
      </c>
      <c r="EM55" s="212">
        <v>105</v>
      </c>
    </row>
    <row r="56" spans="131:143" s="212" customFormat="1" x14ac:dyDescent="0.2">
      <c r="EA56" s="212">
        <v>191.16900000000001</v>
      </c>
      <c r="EB56" s="212">
        <v>4.6388100000000002E-2</v>
      </c>
      <c r="EC56" s="212">
        <v>0</v>
      </c>
      <c r="ED56" s="212">
        <v>102</v>
      </c>
      <c r="EG56" s="212">
        <v>2790.28</v>
      </c>
      <c r="EH56" s="212">
        <v>2789.96</v>
      </c>
      <c r="EI56" s="212">
        <v>2263.5700000000002</v>
      </c>
      <c r="EJ56" s="212">
        <v>191.16900000000001</v>
      </c>
      <c r="EK56" s="212">
        <v>4.6388100000000002E-2</v>
      </c>
      <c r="EL56" s="212">
        <v>0</v>
      </c>
      <c r="EM56" s="212">
        <v>105</v>
      </c>
    </row>
    <row r="57" spans="131:143" s="212" customFormat="1" x14ac:dyDescent="0.2">
      <c r="EA57" s="212">
        <v>193.56899999999999</v>
      </c>
      <c r="EB57" s="212">
        <v>4.6194800000000001E-2</v>
      </c>
      <c r="EC57" s="212">
        <v>0</v>
      </c>
      <c r="ED57" s="212">
        <v>102</v>
      </c>
      <c r="EG57" s="212">
        <v>2862.85</v>
      </c>
      <c r="EH57" s="212">
        <v>2862.53</v>
      </c>
      <c r="EI57" s="212">
        <v>2274.5700000000002</v>
      </c>
      <c r="EJ57" s="212">
        <v>193.56899999999999</v>
      </c>
      <c r="EK57" s="212">
        <v>4.6194800000000001E-2</v>
      </c>
      <c r="EL57" s="212">
        <v>0</v>
      </c>
      <c r="EM57" s="212">
        <v>105</v>
      </c>
    </row>
    <row r="58" spans="131:143" s="212" customFormat="1" x14ac:dyDescent="0.2">
      <c r="EA58" s="212">
        <v>195.923</v>
      </c>
      <c r="EB58" s="212">
        <v>4.6006999999999999E-2</v>
      </c>
      <c r="EC58" s="212">
        <v>0</v>
      </c>
      <c r="ED58" s="212">
        <v>102</v>
      </c>
      <c r="EG58" s="212">
        <v>2935.43</v>
      </c>
      <c r="EH58" s="212">
        <v>2935.09</v>
      </c>
      <c r="EI58" s="212">
        <v>2285.52</v>
      </c>
      <c r="EJ58" s="212">
        <v>195.923</v>
      </c>
      <c r="EK58" s="212">
        <v>4.6006999999999999E-2</v>
      </c>
      <c r="EL58" s="212">
        <v>0</v>
      </c>
      <c r="EM58" s="212">
        <v>105</v>
      </c>
    </row>
    <row r="59" spans="131:143" s="212" customFormat="1" x14ac:dyDescent="0.2">
      <c r="EA59" s="212">
        <v>198.22399999999999</v>
      </c>
      <c r="EB59" s="212">
        <v>4.5825100000000001E-2</v>
      </c>
      <c r="EC59" s="212">
        <v>0</v>
      </c>
      <c r="ED59" s="212">
        <v>102</v>
      </c>
      <c r="EG59" s="212">
        <v>3008</v>
      </c>
      <c r="EH59" s="212">
        <v>3007.66</v>
      </c>
      <c r="EI59" s="212">
        <v>2296.44</v>
      </c>
      <c r="EJ59" s="212">
        <v>198.22399999999999</v>
      </c>
      <c r="EK59" s="212">
        <v>4.5825100000000001E-2</v>
      </c>
      <c r="EL59" s="212">
        <v>0</v>
      </c>
      <c r="EM59" s="212">
        <v>105</v>
      </c>
    </row>
    <row r="60" spans="131:143" s="212" customFormat="1" x14ac:dyDescent="0.2">
      <c r="EA60" s="212">
        <v>200.398</v>
      </c>
      <c r="EB60" s="212">
        <v>4.5652499999999999E-2</v>
      </c>
      <c r="EC60" s="212">
        <v>0</v>
      </c>
      <c r="ED60" s="212">
        <v>102</v>
      </c>
      <c r="EG60" s="212">
        <v>3078.28</v>
      </c>
      <c r="EH60" s="212">
        <v>3077.93</v>
      </c>
      <c r="EI60" s="212">
        <v>2306.96</v>
      </c>
      <c r="EJ60" s="212">
        <v>200.398</v>
      </c>
      <c r="EK60" s="212">
        <v>4.5652499999999999E-2</v>
      </c>
      <c r="EL60" s="212">
        <v>0</v>
      </c>
      <c r="EM60" s="212">
        <v>105</v>
      </c>
    </row>
    <row r="61" spans="131:143" s="212" customFormat="1" x14ac:dyDescent="0.2">
      <c r="EA61" s="212">
        <v>202.51</v>
      </c>
      <c r="EB61" s="212">
        <v>4.5489599999999998E-2</v>
      </c>
      <c r="EC61" s="212">
        <v>0</v>
      </c>
      <c r="ED61" s="212">
        <v>102</v>
      </c>
      <c r="EG61" s="212">
        <v>3148.57</v>
      </c>
      <c r="EH61" s="212">
        <v>3148.21</v>
      </c>
      <c r="EI61" s="212">
        <v>2317.4499999999998</v>
      </c>
      <c r="EJ61" s="212">
        <v>202.51</v>
      </c>
      <c r="EK61" s="212">
        <v>4.5489599999999998E-2</v>
      </c>
      <c r="EL61" s="212">
        <v>0</v>
      </c>
      <c r="EM61" s="212">
        <v>105</v>
      </c>
    </row>
    <row r="62" spans="131:143" s="212" customFormat="1" x14ac:dyDescent="0.2">
      <c r="EA62" s="212">
        <v>204.55500000000001</v>
      </c>
      <c r="EB62" s="212">
        <v>4.5334300000000001E-2</v>
      </c>
      <c r="EC62" s="212">
        <v>0</v>
      </c>
      <c r="ED62" s="212">
        <v>102</v>
      </c>
      <c r="EG62" s="212">
        <v>3218.85</v>
      </c>
      <c r="EH62" s="212">
        <v>3218.48</v>
      </c>
      <c r="EI62" s="212">
        <v>2327.91</v>
      </c>
      <c r="EJ62" s="212">
        <v>204.55500000000001</v>
      </c>
      <c r="EK62" s="212">
        <v>4.5334300000000001E-2</v>
      </c>
      <c r="EL62" s="212">
        <v>0</v>
      </c>
      <c r="EM62" s="212">
        <v>105</v>
      </c>
    </row>
    <row r="63" spans="131:143" s="212" customFormat="1" x14ac:dyDescent="0.2">
      <c r="EA63" s="212">
        <v>206.524</v>
      </c>
      <c r="EB63" s="212">
        <v>4.51873E-2</v>
      </c>
      <c r="EC63" s="212">
        <v>0</v>
      </c>
      <c r="ED63" s="212">
        <v>102</v>
      </c>
      <c r="EG63" s="212">
        <v>3289.13</v>
      </c>
      <c r="EH63" s="212">
        <v>3288.76</v>
      </c>
      <c r="EI63" s="212">
        <v>2338.33</v>
      </c>
      <c r="EJ63" s="212">
        <v>206.524</v>
      </c>
      <c r="EK63" s="212">
        <v>4.51873E-2</v>
      </c>
      <c r="EL63" s="212">
        <v>0</v>
      </c>
      <c r="EM63" s="212">
        <v>105</v>
      </c>
    </row>
    <row r="64" spans="131:143" s="212" customFormat="1" x14ac:dyDescent="0.2">
      <c r="EA64" s="212">
        <v>208.40899999999999</v>
      </c>
      <c r="EB64" s="212">
        <v>4.5049499999999999E-2</v>
      </c>
      <c r="EC64" s="212">
        <v>0</v>
      </c>
      <c r="ED64" s="212">
        <v>102</v>
      </c>
      <c r="EG64" s="212">
        <v>3359.42</v>
      </c>
      <c r="EH64" s="212">
        <v>3359.03</v>
      </c>
      <c r="EI64" s="212">
        <v>2348.71</v>
      </c>
      <c r="EJ64" s="212">
        <v>208.40899999999999</v>
      </c>
      <c r="EK64" s="212">
        <v>4.5049499999999999E-2</v>
      </c>
      <c r="EL64" s="212">
        <v>0</v>
      </c>
      <c r="EM64" s="212">
        <v>105</v>
      </c>
    </row>
    <row r="65" spans="131:143" s="212" customFormat="1" x14ac:dyDescent="0.2">
      <c r="EA65" s="212">
        <v>210.19900000000001</v>
      </c>
      <c r="EB65" s="212">
        <v>4.4921799999999998E-2</v>
      </c>
      <c r="EC65" s="212">
        <v>0</v>
      </c>
      <c r="ED65" s="212">
        <v>102</v>
      </c>
      <c r="EG65" s="212">
        <v>3429.7</v>
      </c>
      <c r="EH65" s="212">
        <v>3429.31</v>
      </c>
      <c r="EI65" s="212">
        <v>2359.0700000000002</v>
      </c>
      <c r="EJ65" s="212">
        <v>210.19900000000001</v>
      </c>
      <c r="EK65" s="212">
        <v>4.4921799999999998E-2</v>
      </c>
      <c r="EL65" s="212">
        <v>0</v>
      </c>
      <c r="EM65" s="212">
        <v>105</v>
      </c>
    </row>
    <row r="66" spans="131:143" s="212" customFormat="1" x14ac:dyDescent="0.2">
      <c r="EA66" s="212">
        <v>211.88499999999999</v>
      </c>
      <c r="EB66" s="212">
        <v>4.4805200000000003E-2</v>
      </c>
      <c r="EC66" s="212">
        <v>0</v>
      </c>
      <c r="ED66" s="212">
        <v>102</v>
      </c>
      <c r="EG66" s="212">
        <v>3499.98</v>
      </c>
      <c r="EH66" s="212">
        <v>3499.59</v>
      </c>
      <c r="EI66" s="212">
        <v>2369.4</v>
      </c>
      <c r="EJ66" s="212">
        <v>211.88499999999999</v>
      </c>
      <c r="EK66" s="212">
        <v>4.4805200000000003E-2</v>
      </c>
      <c r="EL66" s="212">
        <v>0</v>
      </c>
      <c r="EM66" s="212">
        <v>105</v>
      </c>
    </row>
    <row r="67" spans="131:143" s="212" customFormat="1" x14ac:dyDescent="0.2">
      <c r="EA67" s="212">
        <v>212.76499999999999</v>
      </c>
      <c r="EB67" s="212">
        <v>4.90547E-2</v>
      </c>
      <c r="EC67" s="212">
        <v>0</v>
      </c>
      <c r="ED67" s="212">
        <v>102</v>
      </c>
      <c r="EG67" s="212">
        <v>3559.66</v>
      </c>
      <c r="EH67" s="212">
        <v>3559.25</v>
      </c>
      <c r="EI67" s="212">
        <v>2379.0100000000002</v>
      </c>
      <c r="EJ67" s="212">
        <v>212.76499999999999</v>
      </c>
      <c r="EK67" s="212">
        <v>4.90547E-2</v>
      </c>
      <c r="EL67" s="212">
        <v>0</v>
      </c>
      <c r="EM67" s="212">
        <v>105</v>
      </c>
    </row>
    <row r="68" spans="131:143" s="212" customFormat="1" x14ac:dyDescent="0.2">
      <c r="EA68" s="212">
        <v>213.554</v>
      </c>
      <c r="EB68" s="212">
        <v>4.9031600000000002E-2</v>
      </c>
      <c r="EC68" s="212">
        <v>0</v>
      </c>
      <c r="ED68" s="212">
        <v>102</v>
      </c>
      <c r="EG68" s="212">
        <v>3619.33</v>
      </c>
      <c r="EH68" s="212">
        <v>3618.92</v>
      </c>
      <c r="EI68" s="212">
        <v>2388.61</v>
      </c>
      <c r="EJ68" s="212">
        <v>213.554</v>
      </c>
      <c r="EK68" s="212">
        <v>4.9031600000000002E-2</v>
      </c>
      <c r="EL68" s="212">
        <v>0</v>
      </c>
      <c r="EM68" s="212">
        <v>105</v>
      </c>
    </row>
    <row r="69" spans="131:143" s="212" customFormat="1" x14ac:dyDescent="0.2">
      <c r="EA69" s="212">
        <v>214.24700000000001</v>
      </c>
      <c r="EB69" s="212">
        <v>4.9017400000000003E-2</v>
      </c>
      <c r="EC69" s="212">
        <v>0</v>
      </c>
      <c r="ED69" s="212">
        <v>102</v>
      </c>
      <c r="EG69" s="212">
        <v>3679</v>
      </c>
      <c r="EH69" s="212">
        <v>3678.58</v>
      </c>
      <c r="EI69" s="212">
        <v>2398.1999999999998</v>
      </c>
      <c r="EJ69" s="212">
        <v>214.24700000000001</v>
      </c>
      <c r="EK69" s="212">
        <v>4.9017400000000003E-2</v>
      </c>
      <c r="EL69" s="212">
        <v>0</v>
      </c>
      <c r="EM69" s="212">
        <v>105</v>
      </c>
    </row>
    <row r="70" spans="131:143" s="212" customFormat="1" x14ac:dyDescent="0.2">
      <c r="EA70" s="212">
        <v>214.39599999999999</v>
      </c>
      <c r="EB70" s="212">
        <v>4.8985899999999999E-2</v>
      </c>
      <c r="EC70" s="212">
        <v>0</v>
      </c>
      <c r="ED70" s="212">
        <v>102</v>
      </c>
      <c r="EG70" s="212">
        <v>3693</v>
      </c>
      <c r="EH70" s="212">
        <v>3692.57</v>
      </c>
      <c r="EI70" s="212">
        <v>2400.4499999999998</v>
      </c>
      <c r="EJ70" s="212">
        <v>214.39599999999999</v>
      </c>
      <c r="EK70" s="212">
        <v>4.8985899999999999E-2</v>
      </c>
      <c r="EL70" s="212">
        <v>0</v>
      </c>
      <c r="EM70" s="212">
        <v>105</v>
      </c>
    </row>
    <row r="71" spans="131:143" s="212" customFormat="1" x14ac:dyDescent="0.2">
      <c r="EA71" s="212">
        <v>214.53800000000001</v>
      </c>
      <c r="EB71" s="212">
        <v>4.8985300000000002E-2</v>
      </c>
      <c r="EC71" s="212">
        <v>0</v>
      </c>
      <c r="ED71" s="212">
        <v>102</v>
      </c>
      <c r="EG71" s="212">
        <v>3707</v>
      </c>
      <c r="EH71" s="212">
        <v>3706.56</v>
      </c>
      <c r="EI71" s="212">
        <v>2402.6999999999998</v>
      </c>
      <c r="EJ71" s="212">
        <v>214.53800000000001</v>
      </c>
      <c r="EK71" s="212">
        <v>4.8985300000000002E-2</v>
      </c>
      <c r="EL71" s="212">
        <v>0</v>
      </c>
      <c r="EM71" s="212">
        <v>105</v>
      </c>
    </row>
    <row r="72" spans="131:143" s="212" customFormat="1" x14ac:dyDescent="0.2">
      <c r="EA72" s="212">
        <v>214.779</v>
      </c>
      <c r="EB72" s="212">
        <v>4.8943399999999998E-2</v>
      </c>
      <c r="EC72" s="212">
        <v>0</v>
      </c>
      <c r="ED72" s="212">
        <v>102</v>
      </c>
      <c r="EG72" s="212">
        <v>3732</v>
      </c>
      <c r="EH72" s="212">
        <v>3731.52</v>
      </c>
      <c r="EI72" s="212">
        <v>2406.7199999999998</v>
      </c>
      <c r="EJ72" s="212">
        <v>214.779</v>
      </c>
      <c r="EK72" s="212">
        <v>4.8943399999999998E-2</v>
      </c>
      <c r="EL72" s="212">
        <v>0</v>
      </c>
      <c r="EM72" s="212">
        <v>105</v>
      </c>
    </row>
    <row r="73" spans="131:143" s="212" customFormat="1" x14ac:dyDescent="0.2">
      <c r="EA73" s="212">
        <v>215</v>
      </c>
      <c r="EB73" s="212">
        <v>4.8945099999999998E-2</v>
      </c>
      <c r="EC73" s="212">
        <v>0</v>
      </c>
      <c r="ED73" s="212">
        <v>102</v>
      </c>
      <c r="EG73" s="212">
        <v>3757</v>
      </c>
      <c r="EH73" s="212">
        <v>3756.48</v>
      </c>
      <c r="EI73" s="212">
        <v>2410.73</v>
      </c>
      <c r="EJ73" s="212">
        <v>215</v>
      </c>
      <c r="EK73" s="212">
        <v>4.8945099999999998E-2</v>
      </c>
      <c r="EL73" s="212">
        <v>0</v>
      </c>
      <c r="EM73" s="212">
        <v>105</v>
      </c>
    </row>
    <row r="74" spans="131:143" s="212" customFormat="1" x14ac:dyDescent="0.2">
      <c r="EA74" s="212">
        <v>215.17500000000001</v>
      </c>
      <c r="EB74" s="212">
        <v>4.8948199999999997E-2</v>
      </c>
      <c r="EC74" s="212">
        <v>0</v>
      </c>
      <c r="ED74" s="212">
        <v>102</v>
      </c>
      <c r="EG74" s="212">
        <v>3778.49</v>
      </c>
      <c r="EH74" s="212">
        <v>3777.93</v>
      </c>
      <c r="EI74" s="212">
        <v>2414.1799999999998</v>
      </c>
      <c r="EJ74" s="212">
        <v>215.17500000000001</v>
      </c>
      <c r="EK74" s="212">
        <v>4.8948199999999997E-2</v>
      </c>
      <c r="EL74" s="212">
        <v>0</v>
      </c>
      <c r="EM74" s="212">
        <v>105</v>
      </c>
    </row>
    <row r="75" spans="131:143" s="212" customFormat="1" x14ac:dyDescent="0.2">
      <c r="EA75" s="212">
        <v>215.33500000000001</v>
      </c>
      <c r="EB75" s="212">
        <v>4.8952599999999999E-2</v>
      </c>
      <c r="EC75" s="212">
        <v>0</v>
      </c>
      <c r="ED75" s="212">
        <v>102</v>
      </c>
      <c r="EG75" s="212">
        <v>3799.98</v>
      </c>
      <c r="EH75" s="212">
        <v>3799.39</v>
      </c>
      <c r="EI75" s="212">
        <v>2417.63</v>
      </c>
      <c r="EJ75" s="212">
        <v>215.33500000000001</v>
      </c>
      <c r="EK75" s="212">
        <v>4.8952599999999999E-2</v>
      </c>
      <c r="EL75" s="212">
        <v>0</v>
      </c>
      <c r="EM75" s="212">
        <v>105</v>
      </c>
    </row>
    <row r="76" spans="131:143" s="212" customFormat="1" x14ac:dyDescent="0.2">
      <c r="EA76" s="212">
        <v>215.63399999999999</v>
      </c>
      <c r="EB76" s="212">
        <v>4.8963E-2</v>
      </c>
      <c r="EC76" s="212">
        <v>0</v>
      </c>
      <c r="ED76" s="212">
        <v>102</v>
      </c>
      <c r="EG76" s="212">
        <v>3846.99</v>
      </c>
      <c r="EH76" s="212">
        <v>3846.32</v>
      </c>
      <c r="EI76" s="212">
        <v>2425.19</v>
      </c>
      <c r="EJ76" s="212">
        <v>215.63399999999999</v>
      </c>
      <c r="EK76" s="212">
        <v>4.8963E-2</v>
      </c>
      <c r="EL76" s="212">
        <v>0</v>
      </c>
      <c r="EM76" s="212">
        <v>105</v>
      </c>
    </row>
    <row r="77" spans="131:143" s="212" customFormat="1" x14ac:dyDescent="0.2">
      <c r="EA77" s="212">
        <v>215.857</v>
      </c>
      <c r="EB77" s="212">
        <v>4.8982400000000002E-2</v>
      </c>
      <c r="EC77" s="212">
        <v>0</v>
      </c>
      <c r="ED77" s="212">
        <v>102</v>
      </c>
      <c r="EG77" s="212">
        <v>3894</v>
      </c>
      <c r="EH77" s="212">
        <v>3893.25</v>
      </c>
      <c r="EI77" s="212">
        <v>2432.7399999999998</v>
      </c>
      <c r="EJ77" s="212">
        <v>215.857</v>
      </c>
      <c r="EK77" s="212">
        <v>4.8982400000000002E-2</v>
      </c>
      <c r="EL77" s="212">
        <v>0</v>
      </c>
      <c r="EM77" s="212">
        <v>105</v>
      </c>
    </row>
    <row r="78" spans="131:143" s="212" customFormat="1" x14ac:dyDescent="0.2">
      <c r="EA78" s="212">
        <v>215.88900000000001</v>
      </c>
      <c r="EB78" s="212">
        <v>4.89963E-2</v>
      </c>
      <c r="EC78" s="212">
        <v>0</v>
      </c>
      <c r="ED78" s="212">
        <v>102</v>
      </c>
      <c r="EG78" s="212">
        <v>3902.5</v>
      </c>
      <c r="EH78" s="212">
        <v>3901.73</v>
      </c>
      <c r="EI78" s="212">
        <v>2434.11</v>
      </c>
      <c r="EJ78" s="212">
        <v>215.88900000000001</v>
      </c>
      <c r="EK78" s="212">
        <v>4.89963E-2</v>
      </c>
      <c r="EL78" s="212">
        <v>0</v>
      </c>
      <c r="EM78" s="212">
        <v>105</v>
      </c>
    </row>
    <row r="79" spans="131:143" s="212" customFormat="1" x14ac:dyDescent="0.2">
      <c r="EA79" s="212">
        <v>215.91900000000001</v>
      </c>
      <c r="EB79" s="212">
        <v>4.9001299999999998E-2</v>
      </c>
      <c r="EC79" s="212">
        <v>0</v>
      </c>
      <c r="ED79" s="212">
        <v>102</v>
      </c>
      <c r="EG79" s="212">
        <v>3911</v>
      </c>
      <c r="EH79" s="212">
        <v>3910.22</v>
      </c>
      <c r="EI79" s="212">
        <v>2435.4699999999998</v>
      </c>
      <c r="EJ79" s="212">
        <v>215.91900000000001</v>
      </c>
      <c r="EK79" s="212">
        <v>4.9001299999999998E-2</v>
      </c>
      <c r="EL79" s="212">
        <v>0</v>
      </c>
      <c r="EM79" s="212">
        <v>105</v>
      </c>
    </row>
    <row r="80" spans="131:143" s="212" customFormat="1" x14ac:dyDescent="0.2">
      <c r="EA80" s="212">
        <v>215.93199999999999</v>
      </c>
      <c r="EB80" s="212">
        <v>4.8694500000000002E-2</v>
      </c>
      <c r="EC80" s="212">
        <v>0</v>
      </c>
      <c r="ED80" s="212">
        <v>102</v>
      </c>
      <c r="EG80" s="212">
        <v>3915</v>
      </c>
      <c r="EH80" s="212">
        <v>3914.19</v>
      </c>
      <c r="EI80" s="212">
        <v>2436.11</v>
      </c>
      <c r="EJ80" s="212">
        <v>215.93199999999999</v>
      </c>
      <c r="EK80" s="212">
        <v>4.8694500000000002E-2</v>
      </c>
      <c r="EL80" s="212">
        <v>0</v>
      </c>
      <c r="EM80" s="212">
        <v>105</v>
      </c>
    </row>
    <row r="81" spans="131:143" s="212" customFormat="1" x14ac:dyDescent="0.2">
      <c r="EA81" s="212">
        <v>215.94399999999999</v>
      </c>
      <c r="EB81" s="212">
        <v>4.8696999999999997E-2</v>
      </c>
      <c r="EC81" s="212">
        <v>0</v>
      </c>
      <c r="ED81" s="212">
        <v>102</v>
      </c>
      <c r="EG81" s="212">
        <v>3919</v>
      </c>
      <c r="EH81" s="212">
        <v>3918.15</v>
      </c>
      <c r="EI81" s="212">
        <v>2436.75</v>
      </c>
      <c r="EJ81" s="212">
        <v>215.94399999999999</v>
      </c>
      <c r="EK81" s="212">
        <v>4.8696999999999997E-2</v>
      </c>
      <c r="EL81" s="212">
        <v>0</v>
      </c>
      <c r="EM81" s="212">
        <v>105</v>
      </c>
    </row>
    <row r="82" spans="131:143" s="212" customFormat="1" x14ac:dyDescent="0.2">
      <c r="EA82" s="212">
        <v>216.023</v>
      </c>
      <c r="EB82" s="212">
        <v>4.8527899999999999E-2</v>
      </c>
      <c r="EC82" s="212">
        <v>0</v>
      </c>
      <c r="ED82" s="212">
        <v>102</v>
      </c>
      <c r="EG82" s="212">
        <v>3951</v>
      </c>
      <c r="EH82" s="212">
        <v>3949.74</v>
      </c>
      <c r="EI82" s="212">
        <v>2441.85</v>
      </c>
      <c r="EJ82" s="212">
        <v>216.023</v>
      </c>
      <c r="EK82" s="212">
        <v>4.8527899999999999E-2</v>
      </c>
      <c r="EL82" s="212">
        <v>0</v>
      </c>
      <c r="EM82" s="212">
        <v>105</v>
      </c>
    </row>
    <row r="83" spans="131:143" s="212" customFormat="1" x14ac:dyDescent="0.2">
      <c r="EA83" s="212">
        <v>216.06299999999999</v>
      </c>
      <c r="EB83" s="212">
        <v>4.8551400000000002E-2</v>
      </c>
      <c r="EC83" s="212">
        <v>0</v>
      </c>
      <c r="ED83" s="212">
        <v>102</v>
      </c>
      <c r="EG83" s="212">
        <v>3983</v>
      </c>
      <c r="EH83" s="212">
        <v>3981.33</v>
      </c>
      <c r="EI83" s="212">
        <v>2446.94</v>
      </c>
      <c r="EJ83" s="212">
        <v>216.06299999999999</v>
      </c>
      <c r="EK83" s="212">
        <v>4.8551400000000002E-2</v>
      </c>
      <c r="EL83" s="212">
        <v>0</v>
      </c>
      <c r="EM83" s="212">
        <v>105</v>
      </c>
    </row>
    <row r="84" spans="131:143" s="212" customFormat="1" x14ac:dyDescent="0.2">
      <c r="EA84" s="212">
        <v>216.06700000000001</v>
      </c>
      <c r="EB84" s="212">
        <v>4.77343E-2</v>
      </c>
      <c r="EC84" s="212">
        <v>0</v>
      </c>
      <c r="ED84" s="212">
        <v>102</v>
      </c>
      <c r="EG84" s="212">
        <v>3991.49</v>
      </c>
      <c r="EH84" s="212">
        <v>3989.55</v>
      </c>
      <c r="EI84" s="212">
        <v>2448.27</v>
      </c>
      <c r="EJ84" s="212">
        <v>216.06700000000001</v>
      </c>
      <c r="EK84" s="212">
        <v>4.77343E-2</v>
      </c>
      <c r="EL84" s="212">
        <v>0</v>
      </c>
      <c r="EM84" s="212">
        <v>105</v>
      </c>
    </row>
    <row r="85" spans="131:143" s="212" customFormat="1" x14ac:dyDescent="0.2">
      <c r="EA85" s="212">
        <v>216.06800000000001</v>
      </c>
      <c r="EB85" s="212">
        <v>4.7741499999999999E-2</v>
      </c>
      <c r="EC85" s="212">
        <v>0</v>
      </c>
      <c r="ED85" s="212">
        <v>102</v>
      </c>
      <c r="EG85" s="212">
        <v>3999.98</v>
      </c>
      <c r="EH85" s="212">
        <v>3997.78</v>
      </c>
      <c r="EI85" s="212">
        <v>2449.6</v>
      </c>
      <c r="EJ85" s="212">
        <v>216.06800000000001</v>
      </c>
      <c r="EK85" s="212">
        <v>4.7741499999999999E-2</v>
      </c>
      <c r="EL85" s="212">
        <v>0</v>
      </c>
      <c r="EM85" s="212">
        <v>105</v>
      </c>
    </row>
  </sheetData>
  <pageMargins left="0.7" right="0.7" top="0.75" bottom="0.75" header="0.3" footer="0.3"/>
</worksheet>
</file>

<file path=customUI/_rels/customUI14.xml.rels><?xml version="1.0" encoding="UTF-8" standalone="yes"?>
<Relationships xmlns="http://schemas.openxmlformats.org/package/2006/relationships"><Relationship Id="numeros" Type="http://schemas.openxmlformats.org/officeDocument/2006/relationships/image" Target="images/numeros.png"/><Relationship Id="Export_Surf" Type="http://schemas.openxmlformats.org/officeDocument/2006/relationships/image" Target="images/Export_Surf.png"/><Relationship Id="Match_pvt" Type="http://schemas.openxmlformats.org/officeDocument/2006/relationships/image" Target="images/Match_pvt.png"/><Relationship Id="Empty_chart_48" Type="http://schemas.openxmlformats.org/officeDocument/2006/relationships/image" Target="images/Empty_chart_48.png"/><Relationship Id="backsetup" Type="http://schemas.openxmlformats.org/officeDocument/2006/relationships/image" Target="images/backsetup.png"/><Relationship Id="Export" Type="http://schemas.openxmlformats.org/officeDocument/2006/relationships/image" Target="images/Export.png"/><Relationship Id="Import_pvt_results" Type="http://schemas.openxmlformats.org/officeDocument/2006/relationships/image" Target="images/Import_pvt_results.png"/><Relationship Id="Import_input_pvt" Type="http://schemas.openxmlformats.org/officeDocument/2006/relationships/image" Target="images/Import_input_pvt.png"/><Relationship Id="pipe_process_48" Type="http://schemas.openxmlformats.org/officeDocument/2006/relationships/image" Target="images/pipe_process_48.png"/><Relationship Id="Send_to_PPT" Type="http://schemas.openxmlformats.org/officeDocument/2006/relationships/image" Target="images/Send_to_PPT.png"/><Relationship Id="Transfer_Survey" Type="http://schemas.openxmlformats.org/officeDocument/2006/relationships/image" Target="images/Transfer_Survey.png"/><Relationship Id="Export_pvt_tables" Type="http://schemas.openxmlformats.org/officeDocument/2006/relationships/image" Target="images/Export_pvt_tables.png"/><Relationship Id="Import_GG" Type="http://schemas.openxmlformats.org/officeDocument/2006/relationships/image" Target="images/Import_GG.png"/><Relationship Id="Import_All_Equip" Type="http://schemas.openxmlformats.org/officeDocument/2006/relationships/image" Target="images/Import_All_Equip.png"/><Relationship Id="bha_Import" Type="http://schemas.openxmlformats.org/officeDocument/2006/relationships/image" Target="images/bha_Import.png"/><Relationship Id="Filter_Survey" Type="http://schemas.openxmlformats.org/officeDocument/2006/relationships/image" Target="images/Filter_Survey.png"/><Relationship Id="Inflow_Import" Type="http://schemas.openxmlformats.org/officeDocument/2006/relationships/image" Target="images/Inflow_Import.png"/><Relationship Id="Fill_chart_64" Type="http://schemas.openxmlformats.org/officeDocument/2006/relationships/image" Target="images/Fill_chart_64.png"/><Relationship Id="Delete_Surf" Type="http://schemas.openxmlformats.org/officeDocument/2006/relationships/image" Target="images/Delete_Surf.png"/><Relationship Id="Export_Match" Type="http://schemas.openxmlformats.org/officeDocument/2006/relationships/image" Target="images/Export_Match.png"/><Relationship Id="Import_Data" Type="http://schemas.openxmlformats.org/officeDocument/2006/relationships/image" Target="images/Import_Data.png"/><Relationship Id="process_48_ipr_vlp" Type="http://schemas.openxmlformats.org/officeDocument/2006/relationships/image" Target="images/process_48_ipr_vlp.png"/><Relationship Id="Import_Solutions" Type="http://schemas.openxmlformats.org/officeDocument/2006/relationships/image" Target="images/Import_Solutions.png"/><Relationship Id="Import" Type="http://schemas.openxmlformats.org/officeDocument/2006/relationships/image" Target="images/Import.png"/><Relationship Id="bha_delete" Type="http://schemas.openxmlformats.org/officeDocument/2006/relationships/image" Target="images/bha_delete.png"/><Relationship Id="Export_GG" Type="http://schemas.openxmlformats.org/officeDocument/2006/relationships/image" Target="images/Export_GG.png"/><Relationship Id="Export_input_pvt" Type="http://schemas.openxmlformats.org/officeDocument/2006/relationships/image" Target="images/Export_input_pvt.png"/><Relationship Id="Summary" Type="http://schemas.openxmlformats.org/officeDocument/2006/relationships/image" Target="images/Summary.png"/><Relationship Id="Logo48x48" Type="http://schemas.openxmlformats.org/officeDocument/2006/relationships/image" Target="images/Logo48x48.png"/><Relationship Id="abc" Type="http://schemas.openxmlformats.org/officeDocument/2006/relationships/image" Target="images/abc.png"/><Relationship Id="Import_Surf" Type="http://schemas.openxmlformats.org/officeDocument/2006/relationships/image" Target="images/Import_Surf.png"/><Relationship Id="bha_Export" Type="http://schemas.openxmlformats.org/officeDocument/2006/relationships/image" Target="images/bha_Export.png"/><Relationship Id="tables" Type="http://schemas.openxmlformats.org/officeDocument/2006/relationships/image" Target="images/tables.png"/></Relationships>
</file>

<file path=customUI/customUI14.xml><?xml version="1.0" encoding="utf-8"?>
<customUI xmlns="http://schemas.microsoft.com/office/2009/07/customui" onLoad="RibbonOnLoad">
  <ribbon startFromScratch="false">
    <tabs>
      <tab id="ID_Franco_Tools" label="Franco Tools" getVisible="GetVisible" tag="FFSA">
        <group id="ID_G_Import_Projects" label="Legal Notice">
          <button id="ID_Logo_and_Legal_Notice" label="Franco Sivila" image="Logo48x48" size="large" screentip="Franco Help" supertip="Legal Notice" onAction="OnAc_Mensaje_Franco"/>
        </group>
        <group id="ID_G_Herramientas" label="VBA MS Excel Tools">
          <button id="ID_backsetup" label="Restore      Calc + Events" image="backsetup" size="large" screentip="Franco Help" supertip="Set automatic calculations + ScreenUpdating + EnableEvents" onAction="OnAc_BackSetup"/>
          <button id="ID_Columna_Letras" label="Column Letters" image="abc" size="large" screentip="Franco Help" supertip="Change colum format to letters" onAction="OnAc_Columna_Letras"/>
          <button id="ID_Columna_Numeros" label="Column Numbers" image="numeros" size="large" screentip="Franco Help" supertip="Change colum format to Numbers" onAction="OnAc_Columna_Numeros"/>
        </group>
      </tab>
      <tab id="ID_PROSPER_OpenServer" label="OpenServer PROSPER" getVisible="GetVisible" tag="FFSA">
        <group id="ID_G_Show_Hide_Sheets" label="Show/Hide Sheets">
          <checkBox id="CB_Show_Hide_PVT" label="PVT" screentip="Franco Help" supertip="Show or hide Equipment Sheets." getPressed="CheckBox_GetPressed_Show_Hide_PVT" onAction="CheckBox_OnAction_Show_Hide_PVT"/>
          <checkBox id="CB_Show_Hide_Inflow" label="Inflow" screentip="Franco Help" supertip="Show or hide Equipment Sheets." getPressed="CheckBox_GetPressed_Show_Hide_Inflow" onAction="CheckBox_OnAction_Show_Hide_Inflow"/>
          <separator id="separator_SH_1"/>
          <checkBox id="CB_Show_Hide_Equipment" label="Equipment" screentip="Franco Help" supertip="Show or hide Equipment Sheets." getPressed="CheckBox_GetPressed_Show_Hide_Equipment" onAction="CheckBox_OnAction_Show_Hide_Equipment"/>
          <checkBox id="CB_Show_Hide_Analysis" label="Analysis" screentip="Franco Help" supertip="Show or hide Equipment Sheets." getPressed="CheckBox_GetPressed_Show_Hide_Analysis" onAction="CheckBox_OnAction_Show_Hide_Analysis"/>
        </group>
        <group id="ID_G_Import_ALL_Equipment_Data" label="Import">
          <button id="ID_Import_Summary_Data" label="Import Summary" image="Summary" size="large" screentip="Franco Help" supertip="Import all data from Equipment section." onAction="OnAc_Import_Summary_Data"/>
          <button id="ID_Import_ALL_Equipment_Data" label="Import All" image="Import_All_Equip" size="large" screentip="Franco Help" supertip="Import all data from Equipment section." onAction="OnAc_Import_ALL_Equipment_Data"/>
        </group>
        <group id="ID_G_PVT" label="PVT Data">
          <button id="ID_Export_PVT_Input_PROSPER" label="Export PVT input" image="Export_input_pvt" size="large" screentip="Franco Help" supertip="Export Fluid Properties (Input Parameters) to PROSPER." onAction="OnAc_Export_PVT_Input_PROSPER"/>
          <button id="ID_Import_PVT_Input_PROSPER" label="Import PVT input" image="Import_input_pvt" size="large" screentip="Franco Help" supertip="Import Fluid Properties (Input Parameters) to PROSPER." onAction="OnAc_Import_PVT_Input_PROSPER"/>
          <separator id="separator_Gpvt1"/>
          <button id="ID_Export_PVT_Tables_PROSPER" label="Export PVT Study" image="Export_pvt_tables" size="large" screentip="Franco Help" supertip="Export PVT Study Tables to PROSPER." onAction="OnAc_Export_PVT_Tables_PROSPER"/>
          <button id="ID_Match_PVT_PROSPER" label="Match PVT" image="Match_pvt" size="large" screentip="Franco Help" supertip="Match PVT correlations wit PVT data (PVT studies)." onAction="OnAc_Match_PVT_PROSPE"/>
          <button id="ID_Import_PVT_Results_PROSPER" label="Import Results" image="Import_pvt_results" size="large" screentip="Franco Help" supertip="Import PVT Results from PROSPER." onAction="OnAc_Import_PVT_Results_PROSPER"/>
        </group>
        <group id="ID_G_Inflow" label="IPR Data">
          <button id="ID_Import_Inflow_PROSPER" label="Import Inflow Data" image="Inflow_Import" size="large" screentip="Franco Help" supertip="Import Inflow Data from PROSPER." onAction="OnAc_Import_Inflow_PROSPER"/>
        </group>
        <group id="ID_G_Survey_Data" label="Survey Data">
          <button id="ID_Export_Raw_Data" label="Export Raw Data" image="Export" size="large" screentip="Franco Help" supertip="Export Well Survey Data to Raw Data on PROSPER to filter" onAction="OnAc_Export_Raw_Data"/>
          <button id="ID_Filter_Data" label="Filter Raw Data" image="Filter_Survey" size="large" screentip="Franco Help" supertip="Filters Raw data inside PROSPER." onAction="OnAc_Filter_Raw_Data"/>
          <button id="ID_Trasnfer_Survey_Data" label="Transfer Filtered Data" image="Transfer_Survey" size="large" screentip="Franco Help" supertip="Transfer filtered data (20 points) inside PROSPER." onAction="OnAc_Trasnfer_Survey_Data"/>
          <button id="ID_Import_Survey_Data" label="Import Survey" image="Import" size="large" screentip="Franco Help" supertip="Import survey data from active PROSPER." onAction="OnAc_Import_Survey_Data_PROSPER"/>
        </group>
        <group id="ID_G_Surface_Equip_Data" label="Surface Equipment">
          <button id="ID_Delete_Surface_Equip_Data_PROSPER" label="Delete" image="Delete_Surf" size="large" screentip="Franco Help" supertip="Delete BHA data on PROSPER." onAction="OnAc_Delete_Surface_Equip_Data_PROSPER"/>
          <separator id="separator_Surf1"/>
          <button id="ID_Export_Surface_Equip_Data_PROSPER" label="Export" image="Export_Surf" size="large" screentip="Franco Help" supertip="Export BHA data to active PROSPER." onAction="OnAc_Export_Surface_Equip_Data_PROSPER"/>
          <separator id="separator_Surf2"/>
          <button id="ID_Import_Surface_Equip_Data_PROSPER" label="Import" image="Import_Surf" size="large" screentip="Franco Help" supertip="Export BHA data to active PROSPER." onAction="OnAc_Import_Surface_Equip_Data_PROSPER"/>
        </group>
        <group id="ID_G_BHA_Data" label="BHA/Completion">
          <button id="ID_Delete_BHA_Data_PROSPER" label="Delete" image="bha_delete" size="large" screentip="Franco Help" supertip="Delete BHA data on PROSPER." onAction="OnAc_Delete_BHA_Data_PROSPER"/>
          <separator id="separator_1"/>
          <button id="ID_Export_BHA_Data_PROSPER" label="Export" image="bha_Export" size="large" screentip="Franco Help" supertip="Export BHA data to active PROSPER." onAction="OnAc_Export_BHA_Data_PROSPER"/>
          <separator id="separator_2"/>
          <button id="ID_Import_BHA_Data_PROSPER" label="Import" image="bha_Import" size="large" screentip="Franco Help" supertip="Export BHA data to active PROSPER." onAction="OnAc_Import_BHA_Data_PROSPER"/>
        </group>
        <group id="ID_G_Geothermal_Gradient_Data" label="Geothermal Gradient">
          <button id="ID_Export_Geothermal_Gradient_Data_PROSPER" label="Export" image="Export_GG" size="large" screentip="Franco Help" supertip="Export Geothermal Gradient data to PROSPER." onAction="OnAc_Export_Geothermal_Gradient_Data_PROSPER"/>
          <separator id="separator_GG1"/>
          <button id="ID_Import_Geothermal_Gradient_Data_PROSPER" label="Import" image="Import_GG" size="large" screentip="Franco Help" supertip="Import Geothermal Gradient from PROSPER." onAction="OnAc_Import_Geothermal_Gradient_Data_PROSPER"/>
        </group>
        <group id="ID_G_Matching" label="VLP/IPR Matching">
          <button id="ID_Export_Production_Test_Data_Matching_PROSPER" label="Export Test Data" image="Export_Match" size="large" screentip="Franco Help" supertip="Export Production Test Data to PROSPER." onAction="OnAc_Export_Production_Test_Data_Matching_PROSPER"/>
        </group>
      </tab>
      <tab id="ID_Sense_Analysis" label="Sensitivity Analysis" getVisible="GetVisible" tag="FFSA">
        <group id="ID_SA_Tools" label="System Sensitivity Analysis (VLP vs IPR)">
          <button id="ID_Import_Input_Data" label="Import Input Data" image="Import_Data" size="large" screentip="Franco Help" supertip="Import Input data (System sensitivity analysis) from PROSPER model." onAction="OnAc_SA_Import_Input_Data"/>
          <separator id="separator_SA1"/>
          <button id="ID_Send_Calc_Import" label="Send + Calculate Import Results" image="process_48_ipr_vlp" size="large" screentip="Franco Help" supertip="Send variables values to PROSPER, Calculate cases and Import results" onAction="OnAc_SA_Send_Calc_Import"/>
          <separator id="separator_SA2"/>
          <button id="ID_Empty_Chart" label="Clear Chart" image="Empty_chart_48" size="large" screentip="Franco Help" supertip="Clean VLP and IPR curves." onAction="OnAc_SA_Empty_Chart"/>
          <button id="ID_Fill_Chart" label="Fill Chart" image="Fill_chart_64" size="large" screentip="Franco Help" supertip="View all cases on VLP/IPR chart." onAction="OnAc_SA_Fill_Chart"/>
        </group>
        <group id="ID_Quema_Gas" label="Reporte Quema de Gas">
          <button id="ID_Import_Solutions_QG" label="Import Solutions" image="Import_Solutions" size="large" screentip="Franco Help" supertip="Import Choke, Gas and Oil from System Sensitivity solutions." onAction="OnAc_Import_System_Sens_Solutions_Quema_Gas"/>
          <separator id="separator_Quema_Gas_1"/>
          <button id="ID_Build_Report_Quema_Gas" label="Build Tables" image="tables" size="large" screentip="Franco Help" supertip="Build tables based on Choke, Gas, Oil and time for each period." onAction="OnAc_Build_Tables_for_Quema_Gas"/>
          <separator id="separator_Quema_Gas_2"/>
          <button id="ID_Send_to_PPT" label="Create PPT Report" image="Send_to_PPT" size="large" screentip="Franco Help" supertip="Create report on PowerPoint." onAction="OnAc_Create_Report_PPT"/>
        </group>
        <group id="ID_DE_Tools" label="Downhole Equipment Sensitivity">
          <button id="ID_Calc_Sens_Downhole_Restriction" label="Calc Restriction Sensitivity" image="pipe_process_48" size="large" screentip="Franco Help" supertip="Calculate sensitivity for Downhole Equipment restriction" onAction="OnAc_Calc_Sens_Downhole_Restriction"/>
          <separator id="separator_quem_gas_1"/>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Summary</vt:lpstr>
      <vt:lpstr>PVT Input </vt:lpstr>
      <vt:lpstr>PVT_Tables_Format_Hide</vt:lpstr>
      <vt:lpstr>PVT Results</vt:lpstr>
      <vt:lpstr>Inflow</vt:lpstr>
      <vt:lpstr>System_Sens</vt:lpstr>
      <vt:lpstr>Gas Burning Schedule</vt:lpstr>
      <vt:lpstr>Downhole Equipment Sens</vt:lpstr>
      <vt:lpstr>Multi_Layer_Sens</vt:lpstr>
      <vt:lpstr>Sensitivity_Variables_Hide</vt:lpstr>
      <vt:lpstr>VLP-IPR Matching</vt:lpstr>
      <vt:lpstr>Gradient Matching</vt:lpstr>
      <vt:lpstr>Grad Match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cp:lastPrinted>2022-11-04T17:15:26Z</cp:lastPrinted>
  <dcterms:created xsi:type="dcterms:W3CDTF">2020-07-15T20:27:08Z</dcterms:created>
  <dcterms:modified xsi:type="dcterms:W3CDTF">2023-03-29T02:14:00Z</dcterms:modified>
</cp:coreProperties>
</file>