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drawings/drawing2.xml" ContentType="application/vnd.openxmlformats-officedocument.drawing+xml"/>
  <Override PartName="/xl/activeX/activeX3.xml" ContentType="application/vnd.ms-office.activeX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3130b5fdbb304fd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FFSA Cursos-Conferencias\Petex - Curso GAP\01. Modelo PROSPER\10 Choke Performance\"/>
    </mc:Choice>
  </mc:AlternateContent>
  <xr:revisionPtr revIDLastSave="0" documentId="13_ncr:1_{2B1B49B2-2EF0-4FC3-BCA5-0CA74B663F7E}" xr6:coauthVersionLast="47" xr6:coauthVersionMax="47" xr10:uidLastSave="{00000000-0000-0000-0000-000000000000}"/>
  <bookViews>
    <workbookView xWindow="-120" yWindow="-120" windowWidth="29040" windowHeight="15840" activeTab="1" xr2:uid="{232AD280-111E-4737-8755-BAD0A0150DA5}"/>
  </bookViews>
  <sheets>
    <sheet name="Single_Calc" sheetId="5" r:id="rId1"/>
    <sheet name="Multiple_Calc" sheetId="1" r:id="rId2"/>
    <sheet name="Plot" sheetId="4" r:id="rId3"/>
    <sheet name="Openserver_Variables" sheetId="6" r:id="rId4"/>
  </sheets>
  <functionGroups builtInGroupCount="19"/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9" i="5" l="1"/>
  <c r="G20" i="5"/>
  <c r="G21" i="5" s="1"/>
  <c r="C9" i="5"/>
  <c r="C20" i="5"/>
  <c r="C21" i="5" s="1"/>
  <c r="D19" i="5"/>
</calcChain>
</file>

<file path=xl/sharedStrings.xml><?xml version="1.0" encoding="utf-8"?>
<sst xmlns="http://schemas.openxmlformats.org/spreadsheetml/2006/main" count="128" uniqueCount="74">
  <si>
    <t>Gas</t>
  </si>
  <si>
    <t>Oil</t>
  </si>
  <si>
    <t>Water</t>
  </si>
  <si>
    <t>WHP</t>
  </si>
  <si>
    <t>Choke</t>
  </si>
  <si>
    <t>CGR</t>
  </si>
  <si>
    <t>API</t>
  </si>
  <si>
    <t>Water Cut</t>
  </si>
  <si>
    <t>Salinity</t>
  </si>
  <si>
    <t>WGR</t>
  </si>
  <si>
    <t>Sep. Temp.</t>
  </si>
  <si>
    <t>WHT</t>
  </si>
  <si>
    <t>bpd</t>
  </si>
  <si>
    <t>psi</t>
  </si>
  <si>
    <t>n/64"</t>
  </si>
  <si>
    <t>bbl/MMscf</t>
  </si>
  <si>
    <t>APIº</t>
  </si>
  <si>
    <t>%</t>
  </si>
  <si>
    <t>Alta psi</t>
  </si>
  <si>
    <t>Alta °F</t>
  </si>
  <si>
    <t>ºF</t>
  </si>
  <si>
    <t>MM scfd</t>
  </si>
  <si>
    <t>Diferencia</t>
  </si>
  <si>
    <t>Sep. Press</t>
  </si>
  <si>
    <t>Mass</t>
  </si>
  <si>
    <t>Flowrate</t>
  </si>
  <si>
    <t>Outlet</t>
  </si>
  <si>
    <t>Temp</t>
  </si>
  <si>
    <t>Critical</t>
  </si>
  <si>
    <t>Pressure</t>
  </si>
  <si>
    <t>Rate</t>
  </si>
  <si>
    <t xml:space="preserve">Critical </t>
  </si>
  <si>
    <t>Outlet Press</t>
  </si>
  <si>
    <t>Condensate gas Ratio</t>
  </si>
  <si>
    <t>Water gas ratio</t>
  </si>
  <si>
    <t>Inlet Pressure</t>
  </si>
  <si>
    <t>Inlet Temperature</t>
  </si>
  <si>
    <t>Outlet Pressure</t>
  </si>
  <si>
    <t>Choke Setting</t>
  </si>
  <si>
    <t>Input data</t>
  </si>
  <si>
    <t>Predict Mass Flowrate</t>
  </si>
  <si>
    <t>PROSPER.ANL.CHK.Data[18]</t>
  </si>
  <si>
    <t>PROSPER.ANL.CHK.Data[19]</t>
  </si>
  <si>
    <t>PROSPER.ANL.CHK.Data[0]</t>
  </si>
  <si>
    <t>PROSPER.ANL.CHK.Data[1]</t>
  </si>
  <si>
    <t>PROSPER.ANL.CHK.Data[6]</t>
  </si>
  <si>
    <t>PROSPER.ANL.CHK.Data[4]</t>
  </si>
  <si>
    <t>Input Data</t>
  </si>
  <si>
    <t>Calculated Data</t>
  </si>
  <si>
    <t>PROSPER.ANL.CHK.Data[21]</t>
  </si>
  <si>
    <t>PROSPER.ANL.CHK.Data[3]</t>
  </si>
  <si>
    <t>PROSPER.ANL.CHK.Data[22]</t>
  </si>
  <si>
    <t>PROSPER.ANL.CHK.Data[23]</t>
  </si>
  <si>
    <t>PROSPER.ANL.CHK.Data[24]</t>
  </si>
  <si>
    <t>Gas Rate</t>
  </si>
  <si>
    <t>Mass Flowrate</t>
  </si>
  <si>
    <t>Outlet Temperature</t>
  </si>
  <si>
    <t>Critical Pressure</t>
  </si>
  <si>
    <t>Critical Rate</t>
  </si>
  <si>
    <t>Critical Temperature</t>
  </si>
  <si>
    <t>STB/MMscf</t>
  </si>
  <si>
    <t>psig</t>
  </si>
  <si>
    <t>deg F</t>
  </si>
  <si>
    <t>MMscf/day</t>
  </si>
  <si>
    <t>inches</t>
  </si>
  <si>
    <t>lbm/day</t>
  </si>
  <si>
    <t>PROSPER.ANL.CHK.Data[2]</t>
  </si>
  <si>
    <t>Gas Rate Difference</t>
  </si>
  <si>
    <t>Gas Rate Measured</t>
  </si>
  <si>
    <t>Results (Choke model = PETEX)</t>
  </si>
  <si>
    <t>Results (Choke model = ELF)</t>
  </si>
  <si>
    <t>Choke Model</t>
  </si>
  <si>
    <t>PETEX</t>
  </si>
  <si>
    <t>ELF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</si>
</sst>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;\-0.0;&quot;--&quot;"/>
    <numFmt numFmtId="165" formatCode="#,##0.0"/>
    <numFmt numFmtId="166" formatCode="#,##0.00_ ;\-#,##0.00\ "/>
    <numFmt numFmtId="167" formatCode="0.000"/>
  </numFmts>
  <fonts count="11" x14ac:knownFonts="1"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6"/>
      <color rgb="FF0000F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rgb="FF0000FF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62">
    <xf numFmtId="0" fontId="0" fillId="0" borderId="0" xfId="0"/>
    <xf numFmtId="164" fontId="0" fillId="0" borderId="0" xfId="0" applyNumberFormat="1" applyAlignment="1">
      <alignment horizontal="right"/>
    </xf>
    <xf numFmtId="165" fontId="0" fillId="0" borderId="0" xfId="0" applyNumberFormat="1" applyAlignment="1">
      <alignment horizontal="right"/>
    </xf>
    <xf numFmtId="165" fontId="0" fillId="0" borderId="0" xfId="0" applyNumberFormat="1"/>
    <xf numFmtId="0" fontId="3" fillId="0" borderId="0" xfId="0" applyFont="1"/>
    <xf numFmtId="4" fontId="0" fillId="0" borderId="0" xfId="0" applyNumberFormat="1"/>
    <xf numFmtId="166" fontId="0" fillId="0" borderId="0" xfId="1" applyNumberFormat="1" applyFont="1"/>
    <xf numFmtId="164" fontId="1" fillId="0" borderId="0" xfId="0" applyNumberFormat="1" applyFont="1" applyAlignment="1">
      <alignment horizontal="right"/>
    </xf>
    <xf numFmtId="164" fontId="4" fillId="0" borderId="0" xfId="0" applyNumberFormat="1" applyFont="1" applyAlignment="1">
      <alignment horizontal="right"/>
    </xf>
    <xf numFmtId="0" fontId="4" fillId="0" borderId="0" xfId="0" applyFont="1"/>
    <xf numFmtId="0" fontId="0" fillId="2" borderId="6" xfId="0" applyFill="1" applyBorder="1" applyAlignment="1">
      <alignment horizontal="right"/>
    </xf>
    <xf numFmtId="0" fontId="0" fillId="2" borderId="7" xfId="0" applyFill="1" applyBorder="1" applyAlignment="1">
      <alignment horizontal="right"/>
    </xf>
    <xf numFmtId="0" fontId="0" fillId="2" borderId="8" xfId="0" applyFill="1" applyBorder="1" applyAlignment="1">
      <alignment horizontal="right"/>
    </xf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5" fillId="0" borderId="0" xfId="0" applyFont="1"/>
    <xf numFmtId="0" fontId="6" fillId="2" borderId="1" xfId="0" applyFont="1" applyFill="1" applyBorder="1" applyAlignment="1">
      <alignment horizontal="right"/>
    </xf>
    <xf numFmtId="0" fontId="6" fillId="2" borderId="2" xfId="0" applyFont="1" applyFill="1" applyBorder="1" applyAlignment="1">
      <alignment horizontal="right"/>
    </xf>
    <xf numFmtId="0" fontId="6" fillId="2" borderId="3" xfId="0" applyFont="1" applyFill="1" applyBorder="1" applyAlignment="1">
      <alignment horizontal="right"/>
    </xf>
    <xf numFmtId="0" fontId="6" fillId="3" borderId="1" xfId="0" applyFont="1" applyFill="1" applyBorder="1" applyAlignment="1">
      <alignment horizontal="right"/>
    </xf>
    <xf numFmtId="0" fontId="6" fillId="3" borderId="2" xfId="0" applyFont="1" applyFill="1" applyBorder="1" applyAlignment="1">
      <alignment horizontal="right"/>
    </xf>
    <xf numFmtId="0" fontId="6" fillId="3" borderId="3" xfId="0" applyFont="1" applyFill="1" applyBorder="1" applyAlignment="1">
      <alignment horizontal="right"/>
    </xf>
    <xf numFmtId="164" fontId="1" fillId="0" borderId="0" xfId="1" applyNumberFormat="1" applyFont="1" applyAlignment="1">
      <alignment horizontal="right"/>
    </xf>
    <xf numFmtId="167" fontId="0" fillId="0" borderId="0" xfId="0" applyNumberFormat="1"/>
    <xf numFmtId="0" fontId="6" fillId="3" borderId="0" xfId="0" applyFont="1" applyFill="1" applyAlignment="1">
      <alignment horizontal="right"/>
    </xf>
    <xf numFmtId="0" fontId="6" fillId="3" borderId="4" xfId="0" applyFont="1" applyFill="1" applyBorder="1" applyAlignment="1">
      <alignment horizontal="right"/>
    </xf>
    <xf numFmtId="0" fontId="6" fillId="3" borderId="5" xfId="0" applyFont="1" applyFill="1" applyBorder="1" applyAlignment="1">
      <alignment horizontal="right"/>
    </xf>
    <xf numFmtId="0" fontId="6" fillId="4" borderId="9" xfId="0" applyFont="1" applyFill="1" applyBorder="1" applyAlignment="1">
      <alignment horizontal="right"/>
    </xf>
    <xf numFmtId="0" fontId="6" fillId="4" borderId="11" xfId="0" applyFont="1" applyFill="1" applyBorder="1" applyAlignment="1">
      <alignment horizontal="right"/>
    </xf>
    <xf numFmtId="0" fontId="0" fillId="4" borderId="10" xfId="0" applyFill="1" applyBorder="1"/>
    <xf numFmtId="164" fontId="1" fillId="0" borderId="0" xfId="0" applyNumberFormat="1" applyFont="1"/>
    <xf numFmtId="0" fontId="7" fillId="0" borderId="0" xfId="0" applyFont="1"/>
    <xf numFmtId="0" fontId="0" fillId="0" borderId="12" xfId="0" applyBorder="1"/>
    <xf numFmtId="0" fontId="0" fillId="0" borderId="15" xfId="0" applyBorder="1"/>
    <xf numFmtId="0" fontId="0" fillId="0" borderId="17" xfId="0" applyBorder="1"/>
    <xf numFmtId="0" fontId="0" fillId="0" borderId="0" xfId="0" applyAlignment="1">
      <alignment horizontal="left" indent="1"/>
    </xf>
    <xf numFmtId="0" fontId="8" fillId="0" borderId="0" xfId="0" applyFont="1"/>
    <xf numFmtId="0" fontId="0" fillId="0" borderId="14" xfId="0" applyBorder="1" applyAlignment="1">
      <alignment horizontal="left" indent="1"/>
    </xf>
    <xf numFmtId="0" fontId="0" fillId="0" borderId="16" xfId="0" applyBorder="1" applyAlignment="1">
      <alignment horizontal="left" indent="1"/>
    </xf>
    <xf numFmtId="0" fontId="0" fillId="0" borderId="19" xfId="0" applyBorder="1" applyAlignment="1">
      <alignment horizontal="left" indent="1"/>
    </xf>
    <xf numFmtId="0" fontId="6" fillId="0" borderId="13" xfId="0" applyFont="1" applyBorder="1"/>
    <xf numFmtId="0" fontId="6" fillId="0" borderId="0" xfId="0" applyFont="1" applyBorder="1"/>
    <xf numFmtId="2" fontId="6" fillId="0" borderId="18" xfId="0" applyNumberFormat="1" applyFont="1" applyBorder="1"/>
    <xf numFmtId="4" fontId="6" fillId="0" borderId="13" xfId="0" applyNumberFormat="1" applyFont="1" applyBorder="1"/>
    <xf numFmtId="4" fontId="6" fillId="0" borderId="0" xfId="0" applyNumberFormat="1" applyFont="1" applyBorder="1"/>
    <xf numFmtId="4" fontId="6" fillId="0" borderId="18" xfId="0" applyNumberFormat="1" applyFont="1" applyBorder="1"/>
    <xf numFmtId="0" fontId="0" fillId="5" borderId="12" xfId="0" applyFill="1" applyBorder="1"/>
    <xf numFmtId="0" fontId="0" fillId="5" borderId="14" xfId="0" applyFill="1" applyBorder="1"/>
    <xf numFmtId="0" fontId="0" fillId="5" borderId="17" xfId="0" applyFill="1" applyBorder="1"/>
    <xf numFmtId="0" fontId="0" fillId="5" borderId="19" xfId="0" applyFill="1" applyBorder="1" applyAlignment="1">
      <alignment horizontal="left" indent="1"/>
    </xf>
    <xf numFmtId="4" fontId="1" fillId="5" borderId="13" xfId="0" applyNumberFormat="1" applyFont="1" applyFill="1" applyBorder="1"/>
    <xf numFmtId="4" fontId="1" fillId="5" borderId="18" xfId="0" applyNumberFormat="1" applyFont="1" applyFill="1" applyBorder="1"/>
    <xf numFmtId="0" fontId="9" fillId="0" borderId="0" xfId="0" applyFont="1"/>
    <xf numFmtId="0" fontId="0" fillId="5" borderId="15" xfId="0" applyFill="1" applyBorder="1"/>
    <xf numFmtId="4" fontId="1" fillId="5" borderId="0" xfId="0" applyNumberFormat="1" applyFont="1" applyFill="1" applyBorder="1"/>
    <xf numFmtId="0" fontId="0" fillId="5" borderId="16" xfId="0" applyFill="1" applyBorder="1" applyAlignment="1">
      <alignment horizontal="left" indent="1"/>
    </xf>
    <xf numFmtId="0" fontId="10" fillId="0" borderId="0" xfId="0" applyFont="1"/>
    <xf numFmtId="0" fontId="0" fillId="0" borderId="14" xfId="0" applyBorder="1" applyAlignment="1">
      <alignment horizontal="center"/>
    </xf>
    <xf numFmtId="0" fontId="0" fillId="0" borderId="19" xfId="0" applyBorder="1" applyAlignment="1">
      <alignment horizontal="center"/>
    </xf>
    <xf numFmtId="0" fontId="5" fillId="0" borderId="12" xfId="0" applyFont="1" applyBorder="1" applyAlignment="1">
      <alignment horizontal="left" indent="1"/>
    </xf>
    <xf numFmtId="0" fontId="5" fillId="0" borderId="17" xfId="0" applyFont="1" applyBorder="1" applyAlignment="1">
      <alignment horizontal="left" inden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00FF"/>
                </a:solidFill>
                <a:latin typeface="+mn-lt"/>
                <a:ea typeface="+mn-ea"/>
                <a:cs typeface="+mn-cs"/>
              </a:defRPr>
            </a:pPr>
            <a:r>
              <a:rPr lang="es-ES" b="1">
                <a:solidFill>
                  <a:srgbClr val="0000FF"/>
                </a:solidFill>
              </a:rPr>
              <a:t>Gas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00FF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Multiple_Calc!$B$8</c:f>
              <c:strCache>
                <c:ptCount val="1"/>
                <c:pt idx="0">
                  <c:v>Gas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>
                  <a:alpha val="67000"/>
                </a:srgbClr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34C973B-0F4D-4F41-9224-E376A9F25E05}" type="CELLRANGE">
                      <a:rPr lang="en-US"/>
                      <a:pPr/>
                      <a:t>[CELLRANGE]</a:t>
                    </a:fld>
                    <a:endParaRPr lang="es-E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7D81-4A40-8D0D-61A824651A2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FA627A0-8751-4EC7-B4CD-6CBB242ED53B}" type="CELLRANGE">
                      <a:rPr lang="es-ES"/>
                      <a:pPr/>
                      <a:t>[CELLRANGE]</a:t>
                    </a:fld>
                    <a:endParaRPr lang="es-E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D81-4A40-8D0D-61A824651A2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668D8AF-2C8C-4790-9DD5-888F666D89AF}" type="CELLRANGE">
                      <a:rPr lang="es-ES"/>
                      <a:pPr/>
                      <a:t>[CELLRANGE]</a:t>
                    </a:fld>
                    <a:endParaRPr lang="es-E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D81-4A40-8D0D-61A824651A2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68B41A6-B083-4011-981E-DE9432E251B1}" type="CELLRANGE">
                      <a:rPr lang="es-ES"/>
                      <a:pPr/>
                      <a:t>[CELLRANGE]</a:t>
                    </a:fld>
                    <a:endParaRPr lang="es-E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D81-4A40-8D0D-61A824651A2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69F668B-02BB-4E44-B452-D39D8384CDD4}" type="CELLRANGE">
                      <a:rPr lang="es-ES"/>
                      <a:pPr/>
                      <a:t>[CELLRANGE]</a:t>
                    </a:fld>
                    <a:endParaRPr lang="es-E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D81-4A40-8D0D-61A824651A2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C80CB50-5B4B-4548-BD23-F36657CC31F8}" type="CELLRANGE">
                      <a:rPr lang="es-ES"/>
                      <a:pPr/>
                      <a:t>[CELLRANGE]</a:t>
                    </a:fld>
                    <a:endParaRPr lang="es-E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D81-4A40-8D0D-61A824651A2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6158D09-D6B2-4E1E-B2D3-AE3868A185E3}" type="CELLRANGE">
                      <a:rPr lang="es-ES"/>
                      <a:pPr/>
                      <a:t>[CELLRANGE]</a:t>
                    </a:fld>
                    <a:endParaRPr lang="es-E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D81-4A40-8D0D-61A824651A2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DECA112-8012-455A-A6F8-35A97CEBB970}" type="CELLRANGE">
                      <a:rPr lang="es-ES"/>
                      <a:pPr/>
                      <a:t>[CELLRANGE]</a:t>
                    </a:fld>
                    <a:endParaRPr lang="es-E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D81-4A40-8D0D-61A824651A2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870E826-8CF1-4247-A795-CAC3ED365231}" type="CELLRANGE">
                      <a:rPr lang="es-ES"/>
                      <a:pPr/>
                      <a:t>[CELLRANGE]</a:t>
                    </a:fld>
                    <a:endParaRPr lang="es-E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D81-4A40-8D0D-61A824651A2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69DCD84-4A72-43A6-A648-8A37E3BC0143}" type="CELLRANGE">
                      <a:rPr lang="es-ES"/>
                      <a:pPr/>
                      <a:t>[CELLRANGE]</a:t>
                    </a:fld>
                    <a:endParaRPr lang="es-E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D81-4A40-8D0D-61A824651A2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2609808-13E8-46FD-A6E7-B984ED18A66E}" type="CELLRANGE">
                      <a:rPr lang="es-ES"/>
                      <a:pPr/>
                      <a:t>[CELLRANGE]</a:t>
                    </a:fld>
                    <a:endParaRPr lang="es-E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D81-4A40-8D0D-61A824651A2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812B350-E759-4E85-9376-65579970B107}" type="CELLRANGE">
                      <a:rPr lang="es-ES"/>
                      <a:pPr/>
                      <a:t>[CELLRANGE]</a:t>
                    </a:fld>
                    <a:endParaRPr lang="es-E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D81-4A40-8D0D-61A824651A2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14B6421-94D8-48D5-8BBE-732D1006176B}" type="CELLRANGE">
                      <a:rPr lang="es-ES"/>
                      <a:pPr/>
                      <a:t>[CELLRANGE]</a:t>
                    </a:fld>
                    <a:endParaRPr lang="es-E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D81-4A40-8D0D-61A824651A2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25A0B2F-2668-433B-929B-CECA61927A72}" type="CELLRANGE">
                      <a:rPr lang="es-ES"/>
                      <a:pPr/>
                      <a:t>[CELLRANGE]</a:t>
                    </a:fld>
                    <a:endParaRPr lang="es-E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D81-4A40-8D0D-61A824651A2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09E19AB-BD36-4924-B6C8-188023728C7B}" type="CELLRANGE">
                      <a:rPr lang="es-ES"/>
                      <a:pPr/>
                      <a:t>[CELLRANGE]</a:t>
                    </a:fld>
                    <a:endParaRPr lang="es-E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D81-4A40-8D0D-61A824651A2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F3682C8-2249-437D-850C-D5BA61DA2AE0}" type="CELLRANGE">
                      <a:rPr lang="es-ES"/>
                      <a:pPr/>
                      <a:t>[CELLRANGE]</a:t>
                    </a:fld>
                    <a:endParaRPr lang="es-E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D81-4A40-8D0D-61A824651A2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C81A164-0124-4B7F-A6E4-106F86F8E6FE}" type="CELLRANGE">
                      <a:rPr lang="es-ES"/>
                      <a:pPr/>
                      <a:t>[CELLRANGE]</a:t>
                    </a:fld>
                    <a:endParaRPr lang="es-E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D81-4A40-8D0D-61A824651A2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A36C4BB-0FEE-42D5-B2C8-B064656BE8D7}" type="CELLRANGE">
                      <a:rPr lang="es-ES"/>
                      <a:pPr/>
                      <a:t>[CELLRANGE]</a:t>
                    </a:fld>
                    <a:endParaRPr lang="es-E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D81-4A40-8D0D-61A824651A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Multiple_Calc!$B$10:$B$27</c:f>
              <c:numCache>
                <c:formatCode>#,##0.0</c:formatCode>
                <c:ptCount val="18"/>
                <c:pt idx="0">
                  <c:v>11.361000000000001</c:v>
                </c:pt>
                <c:pt idx="1">
                  <c:v>11.151652343749999</c:v>
                </c:pt>
                <c:pt idx="2">
                  <c:v>11.0662861328125</c:v>
                </c:pt>
                <c:pt idx="3">
                  <c:v>12.593999999999999</c:v>
                </c:pt>
                <c:pt idx="4">
                  <c:v>13.171826171875001</c:v>
                </c:pt>
                <c:pt idx="5">
                  <c:v>13.212</c:v>
                </c:pt>
                <c:pt idx="6">
                  <c:v>11.552</c:v>
                </c:pt>
                <c:pt idx="7">
                  <c:v>11.468727539062501</c:v>
                </c:pt>
                <c:pt idx="8">
                  <c:v>14.238545898437501</c:v>
                </c:pt>
                <c:pt idx="9">
                  <c:v>14.224</c:v>
                </c:pt>
                <c:pt idx="10">
                  <c:v>13.05</c:v>
                </c:pt>
                <c:pt idx="11">
                  <c:v>12.630857421875</c:v>
                </c:pt>
                <c:pt idx="12">
                  <c:v>12.691636718750001</c:v>
                </c:pt>
                <c:pt idx="13">
                  <c:v>12.750545898437499</c:v>
                </c:pt>
                <c:pt idx="14">
                  <c:v>3.609</c:v>
                </c:pt>
                <c:pt idx="15">
                  <c:v>3.621</c:v>
                </c:pt>
                <c:pt idx="16">
                  <c:v>3.734</c:v>
                </c:pt>
                <c:pt idx="17">
                  <c:v>3.7810000000000001</c:v>
                </c:pt>
              </c:numCache>
            </c:numRef>
          </c:xVal>
          <c:yVal>
            <c:numRef>
              <c:f>Multiple_Calc!$P$10:$P$27</c:f>
              <c:numCache>
                <c:formatCode>#,##0.00</c:formatCode>
                <c:ptCount val="18"/>
                <c:pt idx="0">
                  <c:v>10.245857238999999</c:v>
                </c:pt>
                <c:pt idx="1">
                  <c:v>10.25686264</c:v>
                </c:pt>
                <c:pt idx="2">
                  <c:v>10.169507027</c:v>
                </c:pt>
                <c:pt idx="3">
                  <c:v>10.576144218</c:v>
                </c:pt>
                <c:pt idx="4">
                  <c:v>12.752221107</c:v>
                </c:pt>
                <c:pt idx="5">
                  <c:v>12.790815352999999</c:v>
                </c:pt>
                <c:pt idx="6">
                  <c:v>11.572540283</c:v>
                </c:pt>
                <c:pt idx="7">
                  <c:v>11.320291519</c:v>
                </c:pt>
                <c:pt idx="8">
                  <c:v>13.420800208999999</c:v>
                </c:pt>
                <c:pt idx="9">
                  <c:v>13.175599097999999</c:v>
                </c:pt>
                <c:pt idx="10">
                  <c:v>12.586874962</c:v>
                </c:pt>
                <c:pt idx="11">
                  <c:v>11.561239242999999</c:v>
                </c:pt>
                <c:pt idx="12">
                  <c:v>11.825547218000001</c:v>
                </c:pt>
                <c:pt idx="13">
                  <c:v>11.95871067</c:v>
                </c:pt>
                <c:pt idx="14">
                  <c:v>3.7442073819999999</c:v>
                </c:pt>
                <c:pt idx="15">
                  <c:v>3.7541902070000002</c:v>
                </c:pt>
                <c:pt idx="16">
                  <c:v>3.761202097</c:v>
                </c:pt>
                <c:pt idx="17">
                  <c:v>3.770572901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Multiple_Calc!$A$10:$A$27</c15:f>
                <c15:dlblRangeCache>
                  <c:ptCount val="18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7-7D81-4A40-8D0D-61A824651A26}"/>
            </c:ext>
          </c:extLst>
        </c:ser>
        <c:ser>
          <c:idx val="1"/>
          <c:order val="1"/>
          <c:tx>
            <c:v>45grados</c:v>
          </c:tx>
          <c:spPr>
            <a:ln w="25400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16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8-7D81-4A40-8D0D-61A824651A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7240704"/>
        <c:axId val="857239624"/>
      </c:scatterChart>
      <c:valAx>
        <c:axId val="857240704"/>
        <c:scaling>
          <c:orientation val="minMax"/>
          <c:max val="16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1200" b="1">
                    <a:solidFill>
                      <a:schemeClr val="tx1"/>
                    </a:solidFill>
                  </a:rPr>
                  <a:t>Medido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#,##0" sourceLinked="0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57239624"/>
        <c:crosses val="autoZero"/>
        <c:crossBetween val="midCat"/>
      </c:valAx>
      <c:valAx>
        <c:axId val="857239624"/>
        <c:scaling>
          <c:orientation val="minMax"/>
          <c:max val="16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1200" b="1">
                    <a:solidFill>
                      <a:schemeClr val="tx1"/>
                    </a:solidFill>
                  </a:rPr>
                  <a:t>Calculado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#,##0" sourceLinked="0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572407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0</xdr:row>
          <xdr:rowOff>47625</xdr:rowOff>
        </xdr:from>
        <xdr:to>
          <xdr:col>3</xdr:col>
          <xdr:colOff>619125</xdr:colOff>
          <xdr:row>0</xdr:row>
          <xdr:rowOff>409575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627987E-81B4-47D5-8AFE-9A2B432183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590551</xdr:rowOff>
        </xdr:from>
        <xdr:to>
          <xdr:col>3</xdr:col>
          <xdr:colOff>609600</xdr:colOff>
          <xdr:row>0</xdr:row>
          <xdr:rowOff>1171575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852406D0-D9E8-A186-2603-47104C350B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457200</xdr:colOff>
          <xdr:row>1</xdr:row>
          <xdr:rowOff>142875</xdr:rowOff>
        </xdr:from>
        <xdr:to>
          <xdr:col>13</xdr:col>
          <xdr:colOff>361950</xdr:colOff>
          <xdr:row>4</xdr:row>
          <xdr:rowOff>104775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23</xdr:col>
      <xdr:colOff>285750</xdr:colOff>
      <xdr:row>3</xdr:row>
      <xdr:rowOff>47625</xdr:rowOff>
    </xdr:from>
    <xdr:to>
      <xdr:col>27</xdr:col>
      <xdr:colOff>430612</xdr:colOff>
      <xdr:row>5</xdr:row>
      <xdr:rowOff>154404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D3A2BC8D-A8DA-C16B-D497-634914A4D6EC}"/>
            </a:ext>
          </a:extLst>
        </xdr:cNvPr>
        <xdr:cNvSpPr/>
      </xdr:nvSpPr>
      <xdr:spPr>
        <a:xfrm>
          <a:off x="15059025" y="504825"/>
          <a:ext cx="2964262" cy="411579"/>
        </a:xfrm>
        <a:prstGeom prst="roundRect">
          <a:avLst/>
        </a:prstGeom>
        <a:solidFill>
          <a:schemeClr val="bg1">
            <a:lumMod val="95000"/>
          </a:schemeClr>
        </a:solidFill>
        <a:ln w="6350">
          <a:solidFill>
            <a:schemeClr val="bg1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B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sz="2200">
              <a:ln w="10160">
                <a:noFill/>
                <a:prstDash val="solid"/>
              </a:ln>
              <a:solidFill>
                <a:schemeClr val="tx1"/>
              </a:solidFill>
            </a:rPr>
            <a:t>Predict </a:t>
          </a:r>
          <a:r>
            <a:rPr lang="es-ES" sz="2200" b="1">
              <a:ln w="10160">
                <a:noFill/>
                <a:prstDash val="solid"/>
              </a:ln>
              <a:solidFill>
                <a:schemeClr val="tx1"/>
              </a:solidFill>
            </a:rPr>
            <a:t>Pressure Drop</a:t>
          </a:r>
        </a:p>
      </xdr:txBody>
    </xdr:sp>
    <xdr:clientData/>
  </xdr:twoCellAnchor>
  <xdr:twoCellAnchor>
    <xdr:from>
      <xdr:col>16</xdr:col>
      <xdr:colOff>333375</xdr:colOff>
      <xdr:row>3</xdr:row>
      <xdr:rowOff>85725</xdr:rowOff>
    </xdr:from>
    <xdr:to>
      <xdr:col>20</xdr:col>
      <xdr:colOff>583012</xdr:colOff>
      <xdr:row>5</xdr:row>
      <xdr:rowOff>192504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E3BF6E22-CBD8-987A-17CA-71129F2C91CA}"/>
            </a:ext>
          </a:extLst>
        </xdr:cNvPr>
        <xdr:cNvSpPr/>
      </xdr:nvSpPr>
      <xdr:spPr>
        <a:xfrm>
          <a:off x="10839450" y="542925"/>
          <a:ext cx="2964262" cy="411579"/>
        </a:xfrm>
        <a:prstGeom prst="roundRect">
          <a:avLst/>
        </a:prstGeom>
        <a:solidFill>
          <a:schemeClr val="bg1">
            <a:lumMod val="95000"/>
          </a:schemeClr>
        </a:solidFill>
        <a:ln w="6350">
          <a:solidFill>
            <a:schemeClr val="bg1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B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sz="2200">
              <a:ln w="10160">
                <a:noFill/>
                <a:prstDash val="solid"/>
              </a:ln>
              <a:solidFill>
                <a:schemeClr val="tx1"/>
              </a:solidFill>
            </a:rPr>
            <a:t>Predict </a:t>
          </a:r>
          <a:r>
            <a:rPr lang="es-ES" sz="2200" b="1">
              <a:ln w="10160">
                <a:noFill/>
                <a:prstDash val="solid"/>
              </a:ln>
              <a:solidFill>
                <a:schemeClr val="tx1"/>
              </a:solidFill>
            </a:rPr>
            <a:t>Mass Flowrate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12</xdr:col>
      <xdr:colOff>490537</xdr:colOff>
      <xdr:row>27</xdr:row>
      <xdr:rowOff>138112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9E3C8BB-B478-442F-A16A-CCF8E600F8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1DDEF-C115-40D0-B2C2-FD5B310515EB}">
  <sheetPr codeName="Sheet3"/>
  <dimension ref="B1:H21"/>
  <sheetViews>
    <sheetView showGridLines="0" workbookViewId="0">
      <selection activeCell="K21" sqref="K21"/>
    </sheetView>
  </sheetViews>
  <sheetFormatPr defaultRowHeight="12" x14ac:dyDescent="0.2"/>
  <cols>
    <col min="2" max="2" width="23.1640625" customWidth="1"/>
    <col min="3" max="3" width="11.6640625" customWidth="1"/>
    <col min="4" max="4" width="13" customWidth="1"/>
    <col min="5" max="5" width="2.5" customWidth="1"/>
    <col min="6" max="6" width="20.33203125" customWidth="1"/>
    <col min="7" max="8" width="15" customWidth="1"/>
  </cols>
  <sheetData>
    <row r="1" spans="2:8" ht="97.5" customHeight="1" x14ac:dyDescent="0.2"/>
    <row r="2" spans="2:8" ht="28.5" customHeight="1" x14ac:dyDescent="0.35">
      <c r="B2" s="53" t="s">
        <v>55</v>
      </c>
    </row>
    <row r="3" spans="2:8" ht="15" x14ac:dyDescent="0.25">
      <c r="B3" s="32" t="s">
        <v>39</v>
      </c>
    </row>
    <row r="4" spans="2:8" ht="18" customHeight="1" x14ac:dyDescent="0.25">
      <c r="B4" s="33" t="s">
        <v>33</v>
      </c>
      <c r="C4" s="41">
        <v>9</v>
      </c>
      <c r="D4" s="38" t="s">
        <v>60</v>
      </c>
    </row>
    <row r="5" spans="2:8" ht="18" customHeight="1" x14ac:dyDescent="0.25">
      <c r="B5" s="34" t="s">
        <v>34</v>
      </c>
      <c r="C5" s="42">
        <v>1.8</v>
      </c>
      <c r="D5" s="39" t="s">
        <v>60</v>
      </c>
    </row>
    <row r="6" spans="2:8" ht="18" customHeight="1" x14ac:dyDescent="0.25">
      <c r="B6" s="34" t="s">
        <v>35</v>
      </c>
      <c r="C6" s="42">
        <v>1576</v>
      </c>
      <c r="D6" s="39" t="s">
        <v>61</v>
      </c>
    </row>
    <row r="7" spans="2:8" ht="18" customHeight="1" x14ac:dyDescent="0.25">
      <c r="B7" s="34" t="s">
        <v>36</v>
      </c>
      <c r="C7" s="42">
        <v>154</v>
      </c>
      <c r="D7" s="39" t="s">
        <v>62</v>
      </c>
    </row>
    <row r="8" spans="2:8" ht="18" customHeight="1" x14ac:dyDescent="0.25">
      <c r="B8" s="34" t="s">
        <v>37</v>
      </c>
      <c r="C8" s="42">
        <v>742</v>
      </c>
      <c r="D8" s="39" t="s">
        <v>61</v>
      </c>
    </row>
    <row r="9" spans="2:8" ht="18" customHeight="1" x14ac:dyDescent="0.25">
      <c r="B9" s="35" t="s">
        <v>38</v>
      </c>
      <c r="C9" s="43">
        <f>42/64</f>
        <v>0.65625</v>
      </c>
      <c r="D9" s="40" t="s">
        <v>64</v>
      </c>
    </row>
    <row r="10" spans="2:8" ht="18" customHeight="1" x14ac:dyDescent="0.25">
      <c r="C10" s="16"/>
      <c r="D10" s="36"/>
    </row>
    <row r="11" spans="2:8" ht="18" customHeight="1" x14ac:dyDescent="0.25">
      <c r="B11" s="32" t="s">
        <v>69</v>
      </c>
      <c r="C11" s="16"/>
      <c r="D11" s="36"/>
      <c r="F11" s="32" t="s">
        <v>70</v>
      </c>
      <c r="G11" s="16"/>
      <c r="H11" s="36"/>
    </row>
    <row r="12" spans="2:8" ht="18" customHeight="1" x14ac:dyDescent="0.25">
      <c r="B12" s="33" t="s">
        <v>54</v>
      </c>
      <c r="C12" s="44">
        <v>10.271766662999999</v>
      </c>
      <c r="D12" s="38" t="s">
        <v>63</v>
      </c>
      <c r="F12" s="33" t="s">
        <v>54</v>
      </c>
      <c r="G12" s="44">
        <v>13.418164253</v>
      </c>
      <c r="H12" s="38" t="s">
        <v>63</v>
      </c>
    </row>
    <row r="13" spans="2:8" ht="18" customHeight="1" x14ac:dyDescent="0.25">
      <c r="B13" s="34" t="s">
        <v>55</v>
      </c>
      <c r="C13" s="45">
        <v>540569.4375</v>
      </c>
      <c r="D13" s="39" t="s">
        <v>65</v>
      </c>
      <c r="F13" s="34" t="s">
        <v>55</v>
      </c>
      <c r="G13" s="45">
        <v>706153.9375</v>
      </c>
      <c r="H13" s="39" t="s">
        <v>65</v>
      </c>
    </row>
    <row r="14" spans="2:8" ht="18" customHeight="1" x14ac:dyDescent="0.25">
      <c r="B14" s="34" t="s">
        <v>56</v>
      </c>
      <c r="C14" s="45">
        <v>126.722747803</v>
      </c>
      <c r="D14" s="39" t="s">
        <v>62</v>
      </c>
      <c r="F14" s="34" t="s">
        <v>56</v>
      </c>
      <c r="G14" s="45">
        <v>126.722747803</v>
      </c>
      <c r="H14" s="39" t="s">
        <v>62</v>
      </c>
    </row>
    <row r="15" spans="2:8" ht="18" customHeight="1" x14ac:dyDescent="0.25">
      <c r="B15" s="34" t="s">
        <v>57</v>
      </c>
      <c r="C15" s="45">
        <v>1254.462890625</v>
      </c>
      <c r="D15" s="39" t="s">
        <v>61</v>
      </c>
      <c r="F15" s="34" t="s">
        <v>57</v>
      </c>
      <c r="G15" s="45">
        <v>904.57928466800001</v>
      </c>
      <c r="H15" s="39" t="s">
        <v>61</v>
      </c>
    </row>
    <row r="16" spans="2:8" ht="18" customHeight="1" x14ac:dyDescent="0.25">
      <c r="B16" s="34" t="s">
        <v>58</v>
      </c>
      <c r="C16" s="45">
        <v>10.689687728999999</v>
      </c>
      <c r="D16" s="39" t="s">
        <v>63</v>
      </c>
      <c r="F16" s="34" t="s">
        <v>58</v>
      </c>
      <c r="G16" s="45">
        <v>13.75213623</v>
      </c>
      <c r="H16" s="39" t="s">
        <v>63</v>
      </c>
    </row>
    <row r="17" spans="2:8" ht="18" customHeight="1" x14ac:dyDescent="0.25">
      <c r="B17" s="35" t="s">
        <v>59</v>
      </c>
      <c r="C17" s="46">
        <v>80.391754149999997</v>
      </c>
      <c r="D17" s="40" t="s">
        <v>62</v>
      </c>
      <c r="F17" s="35" t="s">
        <v>59</v>
      </c>
      <c r="G17" s="46">
        <v>136.54122924800001</v>
      </c>
      <c r="H17" s="40" t="s">
        <v>62</v>
      </c>
    </row>
    <row r="19" spans="2:8" ht="15" customHeight="1" x14ac:dyDescent="0.2">
      <c r="B19" s="47" t="s">
        <v>68</v>
      </c>
      <c r="C19" s="51">
        <v>14.2</v>
      </c>
      <c r="D19" s="48" t="str">
        <f>+D12</f>
        <v>MMscf/day</v>
      </c>
      <c r="F19" s="47" t="s">
        <v>68</v>
      </c>
      <c r="G19" s="51">
        <v>14.2</v>
      </c>
      <c r="H19" s="48" t="str">
        <f>+H12</f>
        <v>MMscf/day</v>
      </c>
    </row>
    <row r="20" spans="2:8" ht="15" customHeight="1" x14ac:dyDescent="0.2">
      <c r="B20" s="54" t="s">
        <v>67</v>
      </c>
      <c r="C20" s="55">
        <f>+C19-C12</f>
        <v>3.928233337</v>
      </c>
      <c r="D20" s="56" t="s">
        <v>17</v>
      </c>
      <c r="F20" s="54" t="s">
        <v>67</v>
      </c>
      <c r="G20" s="55">
        <f>+G19-G12</f>
        <v>0.7818357469999988</v>
      </c>
      <c r="H20" s="56" t="s">
        <v>17</v>
      </c>
    </row>
    <row r="21" spans="2:8" ht="15" customHeight="1" x14ac:dyDescent="0.2">
      <c r="B21" s="49"/>
      <c r="C21" s="52">
        <f>+C20/C19*100</f>
        <v>27.663615049295775</v>
      </c>
      <c r="D21" s="50" t="s">
        <v>17</v>
      </c>
      <c r="F21" s="49"/>
      <c r="G21" s="52">
        <f>+G20/G19*100</f>
        <v>5.5058855422535125</v>
      </c>
      <c r="H21" s="50" t="s">
        <v>17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2">
          <controlPr defaultSize="0" autoLine="0" autoPict="0" r:id="rId4">
            <anchor moveWithCells="1">
              <from>
                <xdr:col>1</xdr:col>
                <xdr:colOff>76200</xdr:colOff>
                <xdr:row>0</xdr:row>
                <xdr:rowOff>590550</xdr:rowOff>
              </from>
              <to>
                <xdr:col>3</xdr:col>
                <xdr:colOff>609600</xdr:colOff>
                <xdr:row>0</xdr:row>
                <xdr:rowOff>1171575</xdr:rowOff>
              </to>
            </anchor>
          </controlPr>
        </control>
      </mc:Choice>
      <mc:Fallback>
        <control shapeId="3074" r:id="rId3" name="CommandButton2"/>
      </mc:Fallback>
    </mc:AlternateContent>
    <mc:AlternateContent xmlns:mc="http://schemas.openxmlformats.org/markup-compatibility/2006">
      <mc:Choice Requires="x14">
        <control shapeId="3073" r:id="rId5" name="CommandButton1">
          <controlPr defaultSize="0" autoLine="0" autoPict="0" r:id="rId6">
            <anchor moveWithCells="1">
              <from>
                <xdr:col>1</xdr:col>
                <xdr:colOff>85725</xdr:colOff>
                <xdr:row>0</xdr:row>
                <xdr:rowOff>47625</xdr:rowOff>
              </from>
              <to>
                <xdr:col>3</xdr:col>
                <xdr:colOff>619125</xdr:colOff>
                <xdr:row>0</xdr:row>
                <xdr:rowOff>409575</xdr:rowOff>
              </to>
            </anchor>
          </controlPr>
        </control>
      </mc:Choice>
      <mc:Fallback>
        <control shapeId="3073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DE056-3264-48C2-9A3F-31F53D49845E}">
  <sheetPr codeName="Sheet1"/>
  <dimension ref="A1:AC40"/>
  <sheetViews>
    <sheetView showGridLines="0" tabSelected="1" topLeftCell="D1" workbookViewId="0">
      <selection activeCell="N24" sqref="N24"/>
    </sheetView>
  </sheetViews>
  <sheetFormatPr defaultRowHeight="12" x14ac:dyDescent="0.2"/>
  <cols>
    <col min="1" max="1" width="4.1640625" customWidth="1"/>
    <col min="2" max="14" width="12.83203125" customWidth="1"/>
    <col min="15" max="15" width="3.1640625" customWidth="1"/>
    <col min="16" max="16" width="9.6640625" customWidth="1"/>
    <col min="17" max="17" width="13.1640625" customWidth="1"/>
    <col min="18" max="18" width="10.83203125" customWidth="1"/>
    <col min="19" max="19" width="12.5" customWidth="1"/>
    <col min="20" max="20" width="11" customWidth="1"/>
    <col min="21" max="21" width="11.6640625" customWidth="1"/>
    <col min="22" max="22" width="11.6640625" bestFit="1" customWidth="1"/>
    <col min="23" max="23" width="3.83203125" customWidth="1"/>
    <col min="24" max="28" width="12.33203125" customWidth="1"/>
    <col min="29" max="29" width="15.6640625" customWidth="1"/>
  </cols>
  <sheetData>
    <row r="1" spans="1:29" ht="15.75" x14ac:dyDescent="0.25">
      <c r="P1" s="57" t="s">
        <v>71</v>
      </c>
    </row>
    <row r="2" spans="1:29" ht="17.25" customHeight="1" x14ac:dyDescent="0.25">
      <c r="P2" s="60" t="s">
        <v>72</v>
      </c>
      <c r="Q2" s="58">
        <v>0</v>
      </c>
    </row>
    <row r="3" spans="1:29" ht="17.25" customHeight="1" x14ac:dyDescent="0.25">
      <c r="P3" s="61" t="s">
        <v>73</v>
      </c>
      <c r="Q3" s="59">
        <v>1</v>
      </c>
    </row>
    <row r="6" spans="1:29" ht="21" x14ac:dyDescent="0.35">
      <c r="P6" s="4"/>
      <c r="X6" s="4"/>
    </row>
    <row r="7" spans="1:29" ht="15" x14ac:dyDescent="0.25">
      <c r="F7" s="24"/>
      <c r="P7" s="20"/>
      <c r="Q7" s="21" t="s">
        <v>24</v>
      </c>
      <c r="R7" s="21" t="s">
        <v>26</v>
      </c>
      <c r="S7" s="21" t="s">
        <v>28</v>
      </c>
      <c r="T7" s="21" t="s">
        <v>28</v>
      </c>
      <c r="U7" s="22" t="s">
        <v>31</v>
      </c>
      <c r="V7" s="28" t="s">
        <v>22</v>
      </c>
      <c r="X7" s="20" t="s">
        <v>26</v>
      </c>
      <c r="Y7" s="21" t="s">
        <v>26</v>
      </c>
      <c r="Z7" s="21" t="s">
        <v>28</v>
      </c>
      <c r="AA7" s="21" t="s">
        <v>28</v>
      </c>
      <c r="AB7" s="22" t="s">
        <v>28</v>
      </c>
      <c r="AC7" s="28" t="s">
        <v>22</v>
      </c>
    </row>
    <row r="8" spans="1:29" s="16" customFormat="1" ht="15" x14ac:dyDescent="0.25">
      <c r="B8" s="17" t="s">
        <v>0</v>
      </c>
      <c r="C8" s="18" t="s">
        <v>1</v>
      </c>
      <c r="D8" s="18" t="s">
        <v>2</v>
      </c>
      <c r="E8" s="18" t="s">
        <v>3</v>
      </c>
      <c r="F8" s="18" t="s">
        <v>4</v>
      </c>
      <c r="G8" s="18" t="s">
        <v>5</v>
      </c>
      <c r="H8" s="18" t="s">
        <v>6</v>
      </c>
      <c r="I8" s="18" t="s">
        <v>7</v>
      </c>
      <c r="J8" s="18" t="s">
        <v>8</v>
      </c>
      <c r="K8" s="18" t="s">
        <v>9</v>
      </c>
      <c r="L8" s="18" t="s">
        <v>23</v>
      </c>
      <c r="M8" s="18" t="s">
        <v>10</v>
      </c>
      <c r="N8" s="19" t="s">
        <v>11</v>
      </c>
      <c r="P8" s="26" t="s">
        <v>0</v>
      </c>
      <c r="Q8" s="25" t="s">
        <v>25</v>
      </c>
      <c r="R8" s="25" t="s">
        <v>27</v>
      </c>
      <c r="S8" s="25" t="s">
        <v>29</v>
      </c>
      <c r="T8" s="25" t="s">
        <v>30</v>
      </c>
      <c r="U8" s="27" t="s">
        <v>27</v>
      </c>
      <c r="V8" s="29" t="s">
        <v>0</v>
      </c>
      <c r="X8" s="26" t="s">
        <v>29</v>
      </c>
      <c r="Y8" s="25" t="s">
        <v>27</v>
      </c>
      <c r="Z8" s="25" t="s">
        <v>29</v>
      </c>
      <c r="AA8" s="25" t="s">
        <v>30</v>
      </c>
      <c r="AB8" s="27" t="s">
        <v>27</v>
      </c>
      <c r="AC8" s="29" t="s">
        <v>32</v>
      </c>
    </row>
    <row r="9" spans="1:29" x14ac:dyDescent="0.2">
      <c r="B9" s="10" t="s">
        <v>21</v>
      </c>
      <c r="C9" s="11" t="s">
        <v>12</v>
      </c>
      <c r="D9" s="11" t="s">
        <v>12</v>
      </c>
      <c r="E9" s="11" t="s">
        <v>13</v>
      </c>
      <c r="F9" s="11" t="s">
        <v>14</v>
      </c>
      <c r="G9" s="11" t="s">
        <v>15</v>
      </c>
      <c r="H9" s="11" t="s">
        <v>16</v>
      </c>
      <c r="I9" s="11" t="s">
        <v>17</v>
      </c>
      <c r="J9" s="11"/>
      <c r="K9" s="11" t="s">
        <v>15</v>
      </c>
      <c r="L9" s="11" t="s">
        <v>18</v>
      </c>
      <c r="M9" s="11" t="s">
        <v>19</v>
      </c>
      <c r="N9" s="12" t="s">
        <v>20</v>
      </c>
      <c r="P9" s="13"/>
      <c r="Q9" s="14"/>
      <c r="R9" s="14"/>
      <c r="S9" s="14"/>
      <c r="T9" s="14"/>
      <c r="U9" s="15"/>
      <c r="V9" s="30"/>
      <c r="X9" s="13"/>
      <c r="Y9" s="14"/>
      <c r="Z9" s="14"/>
      <c r="AA9" s="14"/>
      <c r="AB9" s="15"/>
      <c r="AC9" s="30"/>
    </row>
    <row r="10" spans="1:29" ht="14.25" customHeight="1" x14ac:dyDescent="0.2">
      <c r="A10">
        <v>1</v>
      </c>
      <c r="B10" s="2">
        <v>11.361000000000001</v>
      </c>
      <c r="C10" s="1">
        <v>206</v>
      </c>
      <c r="D10" s="1">
        <v>25</v>
      </c>
      <c r="E10" s="8">
        <v>1995</v>
      </c>
      <c r="F10" s="7">
        <v>32</v>
      </c>
      <c r="G10" s="7">
        <v>18.132206671947891</v>
      </c>
      <c r="H10" s="1">
        <v>63</v>
      </c>
      <c r="I10" s="1">
        <v>10.822510719299316</v>
      </c>
      <c r="J10" s="1">
        <v>381</v>
      </c>
      <c r="K10" s="7">
        <v>2.2005105184402782</v>
      </c>
      <c r="L10" s="7">
        <v>668</v>
      </c>
      <c r="M10" s="7">
        <v>77</v>
      </c>
      <c r="N10" s="31">
        <v>107</v>
      </c>
      <c r="P10" s="5">
        <v>10.245857238999999</v>
      </c>
      <c r="Q10" s="5">
        <v>540644.5625</v>
      </c>
      <c r="R10" s="5">
        <v>60.914405823000003</v>
      </c>
      <c r="S10" s="5">
        <v>1143.5975341799999</v>
      </c>
      <c r="T10" s="5">
        <v>10.830176353000001</v>
      </c>
      <c r="U10" s="5">
        <v>90.875167847</v>
      </c>
      <c r="V10" s="6">
        <v>1.1151427610000013</v>
      </c>
      <c r="X10" s="5">
        <v>1288.6877441409999</v>
      </c>
      <c r="Y10" s="5">
        <v>94.054779053000004</v>
      </c>
      <c r="Z10" s="5">
        <v>1143.5974121090001</v>
      </c>
      <c r="AA10" s="5">
        <v>11.178066254000001</v>
      </c>
      <c r="AB10" s="5">
        <v>90.875160217000001</v>
      </c>
      <c r="AC10" s="5">
        <v>620.68774414099994</v>
      </c>
    </row>
    <row r="11" spans="1:29" ht="14.25" customHeight="1" x14ac:dyDescent="0.2">
      <c r="A11">
        <v>2</v>
      </c>
      <c r="B11" s="2">
        <v>11.151652343749999</v>
      </c>
      <c r="C11" s="1">
        <v>207.65217590332031</v>
      </c>
      <c r="D11" s="1">
        <v>25.043478012084961</v>
      </c>
      <c r="E11" s="8">
        <v>2044</v>
      </c>
      <c r="F11" s="7">
        <v>32</v>
      </c>
      <c r="G11" s="7">
        <v>18.620754082214557</v>
      </c>
      <c r="H11" s="1">
        <v>63</v>
      </c>
      <c r="I11" s="1">
        <v>10.762331634759903</v>
      </c>
      <c r="J11" s="1">
        <v>381</v>
      </c>
      <c r="K11" s="7">
        <v>2.2457190414585249</v>
      </c>
      <c r="L11" s="7">
        <v>665</v>
      </c>
      <c r="M11" s="7">
        <v>76</v>
      </c>
      <c r="N11" s="31">
        <v>118</v>
      </c>
      <c r="P11" s="5">
        <v>10.25686264</v>
      </c>
      <c r="Q11" s="5">
        <v>541387.875</v>
      </c>
      <c r="R11" s="5">
        <v>72.337097168</v>
      </c>
      <c r="S11" s="5">
        <v>1171.4870605470001</v>
      </c>
      <c r="T11" s="5">
        <v>10.923703194</v>
      </c>
      <c r="U11" s="5">
        <v>101.713516235</v>
      </c>
      <c r="V11" s="6">
        <v>0.89478970374999989</v>
      </c>
      <c r="X11" s="5">
        <v>1428.0261230470001</v>
      </c>
      <c r="Y11" s="5">
        <v>107.112045288</v>
      </c>
      <c r="Z11" s="5">
        <v>1171.4870605470001</v>
      </c>
      <c r="AA11" s="5">
        <v>11.284058570999999</v>
      </c>
      <c r="AB11" s="5">
        <v>101.713508606</v>
      </c>
      <c r="AC11" s="5">
        <v>763.02612304700006</v>
      </c>
    </row>
    <row r="12" spans="1:29" ht="14.25" customHeight="1" x14ac:dyDescent="0.2">
      <c r="A12">
        <v>3</v>
      </c>
      <c r="B12" s="2">
        <v>11.0662861328125</v>
      </c>
      <c r="C12" s="1">
        <v>205.71427917480469</v>
      </c>
      <c r="D12" s="1">
        <v>26.285715103149414</v>
      </c>
      <c r="E12" s="8">
        <v>2022</v>
      </c>
      <c r="F12" s="7">
        <v>32</v>
      </c>
      <c r="G12" s="7">
        <v>18.589278887778256</v>
      </c>
      <c r="H12" s="1">
        <v>61.200000762939453</v>
      </c>
      <c r="I12" s="1">
        <v>11.330049484968185</v>
      </c>
      <c r="J12" s="1">
        <v>284</v>
      </c>
      <c r="K12" s="7">
        <v>2.3752968961474785</v>
      </c>
      <c r="L12" s="7">
        <v>662</v>
      </c>
      <c r="M12" s="7">
        <v>75</v>
      </c>
      <c r="N12" s="31">
        <v>118</v>
      </c>
      <c r="P12" s="5">
        <v>10.169507027</v>
      </c>
      <c r="Q12" s="5">
        <v>537239.0625</v>
      </c>
      <c r="R12" s="5">
        <v>72.538101196</v>
      </c>
      <c r="S12" s="5">
        <v>1159.166015625</v>
      </c>
      <c r="T12" s="5">
        <v>10.79794693</v>
      </c>
      <c r="U12" s="5">
        <v>101.80274963399999</v>
      </c>
      <c r="V12" s="6">
        <v>0.89677910581250053</v>
      </c>
      <c r="X12" s="5">
        <v>1401.098022461</v>
      </c>
      <c r="Y12" s="5">
        <v>106.937225342</v>
      </c>
      <c r="Z12" s="5">
        <v>1159.166015625</v>
      </c>
      <c r="AA12" s="5">
        <v>11.153552055</v>
      </c>
      <c r="AB12" s="5">
        <v>101.80274963399999</v>
      </c>
      <c r="AC12" s="5">
        <v>739.09802246100003</v>
      </c>
    </row>
    <row r="13" spans="1:29" ht="14.25" customHeight="1" x14ac:dyDescent="0.2">
      <c r="A13">
        <v>4</v>
      </c>
      <c r="B13" s="2">
        <v>12.593999999999999</v>
      </c>
      <c r="C13" s="1">
        <v>204</v>
      </c>
      <c r="D13" s="1">
        <v>24</v>
      </c>
      <c r="E13" s="8">
        <v>2000</v>
      </c>
      <c r="F13" s="7">
        <v>32</v>
      </c>
      <c r="G13" s="7">
        <v>16.198189614101953</v>
      </c>
      <c r="H13" s="1">
        <v>64.800003051757813</v>
      </c>
      <c r="I13" s="1">
        <v>10.526315867900848</v>
      </c>
      <c r="J13" s="1">
        <v>354</v>
      </c>
      <c r="K13" s="7">
        <v>1.9056693663649358</v>
      </c>
      <c r="L13" s="7">
        <v>665</v>
      </c>
      <c r="M13" s="7">
        <v>72</v>
      </c>
      <c r="N13" s="31">
        <v>98</v>
      </c>
      <c r="P13" s="5">
        <v>10.576144218</v>
      </c>
      <c r="Q13" s="5">
        <v>556979.6875</v>
      </c>
      <c r="R13" s="5">
        <v>50.053283690999997</v>
      </c>
      <c r="S13" s="5">
        <v>1146.0301513669999</v>
      </c>
      <c r="T13" s="5">
        <v>11.009885788</v>
      </c>
      <c r="U13" s="5">
        <v>81.759857178000004</v>
      </c>
      <c r="V13" s="6">
        <v>2.0178557819999998</v>
      </c>
      <c r="X13" s="5">
        <v>1.0039998290000001</v>
      </c>
      <c r="Y13" s="5">
        <v>9.5</v>
      </c>
      <c r="Z13" s="5">
        <v>1146.0301513669999</v>
      </c>
      <c r="AA13" s="5">
        <v>11.325828552000001</v>
      </c>
      <c r="AB13" s="5">
        <v>81.759857178000004</v>
      </c>
      <c r="AC13" s="5">
        <v>-663.99600017099999</v>
      </c>
    </row>
    <row r="14" spans="1:29" ht="14.25" customHeight="1" x14ac:dyDescent="0.2">
      <c r="A14">
        <v>5</v>
      </c>
      <c r="B14" s="2">
        <v>13.171826171875001</v>
      </c>
      <c r="C14" s="1">
        <v>141.91304016113281</v>
      </c>
      <c r="D14" s="1">
        <v>21.913043975830078</v>
      </c>
      <c r="E14" s="8">
        <v>1938</v>
      </c>
      <c r="F14" s="7">
        <v>36</v>
      </c>
      <c r="G14" s="7">
        <v>10.773983676170211</v>
      </c>
      <c r="H14" s="1">
        <v>61.099998474121094</v>
      </c>
      <c r="I14" s="1">
        <v>13.375796377658844</v>
      </c>
      <c r="J14" s="1">
        <v>564</v>
      </c>
      <c r="K14" s="7">
        <v>1.6636299090113766</v>
      </c>
      <c r="L14" s="7">
        <v>747</v>
      </c>
      <c r="M14" s="7">
        <v>105</v>
      </c>
      <c r="N14" s="31">
        <v>135</v>
      </c>
      <c r="P14" s="5">
        <v>12.752221107</v>
      </c>
      <c r="Q14" s="5">
        <v>670497.875</v>
      </c>
      <c r="R14" s="5">
        <v>99.030006408999995</v>
      </c>
      <c r="S14" s="5">
        <v>1110.2707519529999</v>
      </c>
      <c r="T14" s="5">
        <v>12.782644272000001</v>
      </c>
      <c r="U14" s="5">
        <v>118.507049561</v>
      </c>
      <c r="V14" s="6">
        <v>0.41960506487500027</v>
      </c>
      <c r="X14" s="5">
        <v>1207.2199707029999</v>
      </c>
      <c r="Y14" s="5">
        <v>120.746398926</v>
      </c>
      <c r="Z14" s="5">
        <v>1110.2707519529999</v>
      </c>
      <c r="AA14" s="5">
        <v>13.026627541</v>
      </c>
      <c r="AB14" s="5">
        <v>118.507049561</v>
      </c>
      <c r="AC14" s="5">
        <v>460.21997070299994</v>
      </c>
    </row>
    <row r="15" spans="1:29" ht="14.25" customHeight="1" x14ac:dyDescent="0.2">
      <c r="A15">
        <v>6</v>
      </c>
      <c r="B15" s="2">
        <v>13.212</v>
      </c>
      <c r="C15" s="1">
        <v>140</v>
      </c>
      <c r="D15" s="1">
        <v>21.333333969116211</v>
      </c>
      <c r="E15" s="8">
        <v>1940</v>
      </c>
      <c r="F15" s="7">
        <v>36</v>
      </c>
      <c r="G15" s="7">
        <v>10.59642749016046</v>
      </c>
      <c r="H15" s="1">
        <v>60.5</v>
      </c>
      <c r="I15" s="1">
        <v>13.223141431808472</v>
      </c>
      <c r="J15" s="1">
        <v>564</v>
      </c>
      <c r="K15" s="7">
        <v>1.6146937609079786</v>
      </c>
      <c r="L15" s="7">
        <v>747</v>
      </c>
      <c r="M15" s="7">
        <v>104</v>
      </c>
      <c r="N15" s="31">
        <v>135</v>
      </c>
      <c r="P15" s="5">
        <v>12.790815352999999</v>
      </c>
      <c r="Q15" s="5">
        <v>672307.75</v>
      </c>
      <c r="R15" s="5">
        <v>98.963653563999998</v>
      </c>
      <c r="S15" s="5">
        <v>1111.336914063</v>
      </c>
      <c r="T15" s="5">
        <v>12.797800064</v>
      </c>
      <c r="U15" s="5">
        <v>118.47920227100001</v>
      </c>
      <c r="V15" s="6">
        <v>0.42118464700000047</v>
      </c>
      <c r="X15" s="5">
        <v>1189.298828125</v>
      </c>
      <c r="Y15" s="5">
        <v>120.289260864</v>
      </c>
      <c r="Z15" s="5">
        <v>1111.336914063</v>
      </c>
      <c r="AA15" s="5">
        <v>13.038046837</v>
      </c>
      <c r="AB15" s="5">
        <v>118.4792099</v>
      </c>
      <c r="AC15" s="5">
        <v>442.298828125</v>
      </c>
    </row>
    <row r="16" spans="1:29" ht="14.25" customHeight="1" x14ac:dyDescent="0.2">
      <c r="A16">
        <v>7</v>
      </c>
      <c r="B16" s="2">
        <v>11.552</v>
      </c>
      <c r="C16" s="1">
        <v>132</v>
      </c>
      <c r="D16" s="1">
        <v>20</v>
      </c>
      <c r="E16" s="8">
        <v>2028</v>
      </c>
      <c r="F16" s="7">
        <v>34</v>
      </c>
      <c r="G16" s="7">
        <v>11.426592797783934</v>
      </c>
      <c r="H16" s="1">
        <v>60.5</v>
      </c>
      <c r="I16" s="1">
        <v>13.15789520740509</v>
      </c>
      <c r="J16" s="1">
        <v>564</v>
      </c>
      <c r="K16" s="7">
        <v>1.7313019390581719</v>
      </c>
      <c r="L16" s="7">
        <v>741</v>
      </c>
      <c r="M16" s="7">
        <v>100</v>
      </c>
      <c r="N16" s="31">
        <v>130</v>
      </c>
      <c r="P16" s="5">
        <v>11.572540283</v>
      </c>
      <c r="Q16" s="5">
        <v>608746.125</v>
      </c>
      <c r="R16" s="5">
        <v>91.497619628999999</v>
      </c>
      <c r="S16" s="5">
        <v>1161.5516357419999</v>
      </c>
      <c r="T16" s="5">
        <v>12.016539573999999</v>
      </c>
      <c r="U16" s="5">
        <v>113.234199524</v>
      </c>
      <c r="V16" s="6">
        <v>-2.054028300000077E-2</v>
      </c>
      <c r="X16" s="5">
        <v>1499.2407226559999</v>
      </c>
      <c r="Y16" s="5">
        <v>120.43601989699999</v>
      </c>
      <c r="Z16" s="5">
        <v>1161.5518798830001</v>
      </c>
      <c r="AA16" s="5">
        <v>12.259788513</v>
      </c>
      <c r="AB16" s="5">
        <v>113.234191895</v>
      </c>
      <c r="AC16" s="5">
        <v>758.24072265599989</v>
      </c>
    </row>
    <row r="17" spans="1:29" ht="14.25" customHeight="1" x14ac:dyDescent="0.2">
      <c r="A17">
        <v>8</v>
      </c>
      <c r="B17" s="2">
        <v>11.468727539062501</v>
      </c>
      <c r="C17" s="1">
        <v>138.54545593261719</v>
      </c>
      <c r="D17" s="1">
        <v>18.545454025268555</v>
      </c>
      <c r="E17" s="8">
        <v>2030</v>
      </c>
      <c r="F17" s="7">
        <v>34</v>
      </c>
      <c r="G17" s="7">
        <v>12.080281396583116</v>
      </c>
      <c r="H17" s="1">
        <v>61.599998474121094</v>
      </c>
      <c r="I17" s="1">
        <v>11.80555522441864</v>
      </c>
      <c r="J17" s="1">
        <v>217</v>
      </c>
      <c r="K17" s="7">
        <v>1.6170454797276084</v>
      </c>
      <c r="L17" s="7">
        <v>748</v>
      </c>
      <c r="M17" s="7">
        <v>100</v>
      </c>
      <c r="N17" s="31">
        <v>154</v>
      </c>
      <c r="P17" s="5">
        <v>11.320291519</v>
      </c>
      <c r="Q17" s="5">
        <v>595023.6875</v>
      </c>
      <c r="R17" s="5">
        <v>118.35987854</v>
      </c>
      <c r="S17" s="5">
        <v>1162.4399414059999</v>
      </c>
      <c r="T17" s="5">
        <v>11.677394867</v>
      </c>
      <c r="U17" s="5">
        <v>137.406524658</v>
      </c>
      <c r="V17" s="6">
        <v>0.14843602006250123</v>
      </c>
      <c r="X17" s="5">
        <v>1459.1417236330001</v>
      </c>
      <c r="Y17" s="5">
        <v>143.69439697300001</v>
      </c>
      <c r="Z17" s="5">
        <v>1162.4399414059999</v>
      </c>
      <c r="AA17" s="5">
        <v>11.927306175</v>
      </c>
      <c r="AB17" s="5">
        <v>137.406524658</v>
      </c>
      <c r="AC17" s="5">
        <v>711.14172363300008</v>
      </c>
    </row>
    <row r="18" spans="1:29" ht="14.25" customHeight="1" x14ac:dyDescent="0.2">
      <c r="A18">
        <v>9</v>
      </c>
      <c r="B18" s="2">
        <v>14.238545898437501</v>
      </c>
      <c r="C18" s="1">
        <v>127.99636077880859</v>
      </c>
      <c r="D18" s="1">
        <v>25.003637313842773</v>
      </c>
      <c r="E18" s="8">
        <v>1576</v>
      </c>
      <c r="F18" s="7">
        <v>42</v>
      </c>
      <c r="G18" s="7">
        <v>8.9894264268133277</v>
      </c>
      <c r="H18" s="1">
        <v>61.5</v>
      </c>
      <c r="I18" s="1">
        <v>16.342246532440186</v>
      </c>
      <c r="J18" s="1">
        <v>123</v>
      </c>
      <c r="K18" s="7">
        <v>1.7560527242171973</v>
      </c>
      <c r="L18" s="7">
        <v>742</v>
      </c>
      <c r="M18" s="7">
        <v>113</v>
      </c>
      <c r="N18" s="31">
        <v>154</v>
      </c>
      <c r="P18" s="5">
        <v>13.420800208999999</v>
      </c>
      <c r="Q18" s="5">
        <v>706085.9375</v>
      </c>
      <c r="R18" s="5">
        <v>126.705368042</v>
      </c>
      <c r="S18" s="5">
        <v>904.52838134800004</v>
      </c>
      <c r="T18" s="5">
        <v>13.754915237000001</v>
      </c>
      <c r="U18" s="5">
        <v>136.527252197</v>
      </c>
      <c r="V18" s="6">
        <v>0.81774568943750126</v>
      </c>
      <c r="X18" s="5">
        <v>1.0039998290000001</v>
      </c>
      <c r="Y18" s="5">
        <v>80.721282959000007</v>
      </c>
      <c r="Z18" s="5">
        <v>904.52838134800004</v>
      </c>
      <c r="AA18" s="5">
        <v>13.973977089</v>
      </c>
      <c r="AB18" s="5">
        <v>136.527252197</v>
      </c>
      <c r="AC18" s="5">
        <v>-740.99600017099999</v>
      </c>
    </row>
    <row r="19" spans="1:29" ht="14.25" customHeight="1" x14ac:dyDescent="0.2">
      <c r="A19">
        <v>10</v>
      </c>
      <c r="B19" s="2">
        <v>14.224</v>
      </c>
      <c r="C19" s="1">
        <v>126</v>
      </c>
      <c r="D19" s="1">
        <v>26</v>
      </c>
      <c r="E19" s="8">
        <v>1562</v>
      </c>
      <c r="F19" s="7">
        <v>42</v>
      </c>
      <c r="G19" s="7">
        <v>8.8582677165354333</v>
      </c>
      <c r="H19" s="1">
        <v>61.299999237060547</v>
      </c>
      <c r="I19" s="1">
        <v>17.105263471603394</v>
      </c>
      <c r="J19" s="1">
        <v>117</v>
      </c>
      <c r="K19" s="7">
        <v>1.8278965129358831</v>
      </c>
      <c r="L19" s="7">
        <v>744</v>
      </c>
      <c r="M19" s="7">
        <v>112</v>
      </c>
      <c r="N19" s="31">
        <v>162</v>
      </c>
      <c r="P19" s="5">
        <v>13.175599097999999</v>
      </c>
      <c r="Q19" s="5">
        <v>693517.4375</v>
      </c>
      <c r="R19" s="5">
        <v>135.91571044899999</v>
      </c>
      <c r="S19" s="5">
        <v>896.63061523399995</v>
      </c>
      <c r="T19" s="5">
        <v>13.501523018</v>
      </c>
      <c r="U19" s="5">
        <v>144.68875122099999</v>
      </c>
      <c r="V19" s="6">
        <v>1.0484009020000009</v>
      </c>
      <c r="X19" s="5">
        <v>1.0039998290000001</v>
      </c>
      <c r="Y19" s="5">
        <v>92.117393493999998</v>
      </c>
      <c r="Z19" s="5">
        <v>896.63061523399995</v>
      </c>
      <c r="AA19" s="5">
        <v>13.713403702000001</v>
      </c>
      <c r="AB19" s="5">
        <v>144.68875122099999</v>
      </c>
      <c r="AC19" s="5">
        <v>-742.99600017099999</v>
      </c>
    </row>
    <row r="20" spans="1:29" ht="14.25" customHeight="1" x14ac:dyDescent="0.2">
      <c r="A20">
        <v>11</v>
      </c>
      <c r="B20" s="2">
        <v>13.05</v>
      </c>
      <c r="C20" s="1">
        <v>122.01000213623047</v>
      </c>
      <c r="D20" s="1">
        <v>24</v>
      </c>
      <c r="E20" s="8">
        <v>1653</v>
      </c>
      <c r="F20" s="7">
        <v>40</v>
      </c>
      <c r="G20" s="7">
        <v>9.3494254510521433</v>
      </c>
      <c r="H20" s="1">
        <v>61.299999237060547</v>
      </c>
      <c r="I20" s="1">
        <v>16.437229514122009</v>
      </c>
      <c r="J20" s="1">
        <v>117</v>
      </c>
      <c r="K20" s="7">
        <v>1.8390804597701149</v>
      </c>
      <c r="L20" s="7">
        <v>741</v>
      </c>
      <c r="M20" s="7">
        <v>110</v>
      </c>
      <c r="N20" s="31">
        <v>160</v>
      </c>
      <c r="P20" s="5">
        <v>12.586874962</v>
      </c>
      <c r="Q20" s="5">
        <v>662578.4375</v>
      </c>
      <c r="R20" s="5">
        <v>131.665771484</v>
      </c>
      <c r="S20" s="5">
        <v>948.39294433600003</v>
      </c>
      <c r="T20" s="5">
        <v>13.00374794</v>
      </c>
      <c r="U20" s="5">
        <v>143.767578125</v>
      </c>
      <c r="V20" s="6">
        <v>0.46312503800000115</v>
      </c>
      <c r="X20" s="5">
        <v>1114.648803711</v>
      </c>
      <c r="Y20" s="5">
        <v>148.94578552199999</v>
      </c>
      <c r="Z20" s="5">
        <v>948.39294433600003</v>
      </c>
      <c r="AA20" s="5">
        <v>13.219132423</v>
      </c>
      <c r="AB20" s="5">
        <v>143.767578125</v>
      </c>
      <c r="AC20" s="5">
        <v>373.64880371100003</v>
      </c>
    </row>
    <row r="21" spans="1:29" ht="14.25" customHeight="1" x14ac:dyDescent="0.2">
      <c r="A21">
        <v>12</v>
      </c>
      <c r="B21" s="2">
        <v>12.630857421875</v>
      </c>
      <c r="C21" s="1">
        <v>118.01142883300781</v>
      </c>
      <c r="D21" s="1">
        <v>22.079999923706055</v>
      </c>
      <c r="E21" s="8">
        <v>1676</v>
      </c>
      <c r="F21" s="7">
        <v>38</v>
      </c>
      <c r="G21" s="7">
        <v>9.3431051346227214</v>
      </c>
      <c r="H21" s="1">
        <v>61.299999237060547</v>
      </c>
      <c r="I21" s="1">
        <v>15.761135518550873</v>
      </c>
      <c r="J21" s="1">
        <v>117</v>
      </c>
      <c r="K21" s="7">
        <v>1.7480998467662512</v>
      </c>
      <c r="L21" s="7">
        <v>741</v>
      </c>
      <c r="M21" s="7">
        <v>110</v>
      </c>
      <c r="N21" s="31">
        <v>160</v>
      </c>
      <c r="P21" s="5">
        <v>11.561239242999999</v>
      </c>
      <c r="Q21" s="5">
        <v>608219.75</v>
      </c>
      <c r="R21" s="5">
        <v>131.17478942899999</v>
      </c>
      <c r="S21" s="5">
        <v>961.35992431600005</v>
      </c>
      <c r="T21" s="5">
        <v>11.906931877</v>
      </c>
      <c r="U21" s="5">
        <v>144.04219055199999</v>
      </c>
      <c r="V21" s="6">
        <v>1.0696181788750003</v>
      </c>
      <c r="X21" s="5">
        <v>1.0039998290000001</v>
      </c>
      <c r="Y21" s="5">
        <v>86.424865722999996</v>
      </c>
      <c r="Z21" s="5">
        <v>961.35992431600005</v>
      </c>
      <c r="AA21" s="5">
        <v>12.104017258000001</v>
      </c>
      <c r="AB21" s="5">
        <v>144.04219055199999</v>
      </c>
      <c r="AC21" s="5">
        <v>-739.99600017099999</v>
      </c>
    </row>
    <row r="22" spans="1:29" ht="14.25" customHeight="1" x14ac:dyDescent="0.2">
      <c r="A22">
        <v>13</v>
      </c>
      <c r="B22" s="2">
        <v>12.691636718750001</v>
      </c>
      <c r="C22" s="1">
        <v>120</v>
      </c>
      <c r="D22" s="1">
        <v>24</v>
      </c>
      <c r="E22" s="8">
        <v>1682</v>
      </c>
      <c r="F22" s="7">
        <v>38</v>
      </c>
      <c r="G22" s="7">
        <v>9.4550452915751908</v>
      </c>
      <c r="H22" s="1">
        <v>61.200000762939453</v>
      </c>
      <c r="I22" s="1">
        <v>16.66666716337204</v>
      </c>
      <c r="J22" s="1">
        <v>146</v>
      </c>
      <c r="K22" s="7">
        <v>1.8910090583150381</v>
      </c>
      <c r="L22" s="7">
        <v>789</v>
      </c>
      <c r="M22" s="7">
        <v>111</v>
      </c>
      <c r="N22" s="31">
        <v>154</v>
      </c>
      <c r="P22" s="5">
        <v>11.825547218000001</v>
      </c>
      <c r="Q22" s="5">
        <v>622717.125</v>
      </c>
      <c r="R22" s="5">
        <v>127.507278442</v>
      </c>
      <c r="S22" s="5">
        <v>964.96307373000002</v>
      </c>
      <c r="T22" s="5">
        <v>12.026241302000001</v>
      </c>
      <c r="U22" s="5">
        <v>138.024932861</v>
      </c>
      <c r="V22" s="6">
        <v>0.86608950075000024</v>
      </c>
      <c r="X22" s="5">
        <v>1.0039998290000001</v>
      </c>
      <c r="Y22" s="5">
        <v>78.119598389000004</v>
      </c>
      <c r="Z22" s="5">
        <v>964.96307373000002</v>
      </c>
      <c r="AA22" s="5">
        <v>12.227682114</v>
      </c>
      <c r="AB22" s="5">
        <v>138.024932861</v>
      </c>
      <c r="AC22" s="5">
        <v>-787.99600017099999</v>
      </c>
    </row>
    <row r="23" spans="1:29" ht="14.25" customHeight="1" x14ac:dyDescent="0.2">
      <c r="A23">
        <v>14</v>
      </c>
      <c r="B23" s="2">
        <v>12.750545898437499</v>
      </c>
      <c r="C23" s="1">
        <v>112.00363922119141</v>
      </c>
      <c r="D23" s="1">
        <v>24</v>
      </c>
      <c r="E23" s="8">
        <v>1686</v>
      </c>
      <c r="F23" s="7">
        <v>38</v>
      </c>
      <c r="G23" s="7">
        <v>8.7842230531413374</v>
      </c>
      <c r="H23" s="1">
        <v>61.200000762939453</v>
      </c>
      <c r="I23" s="1">
        <v>17.646586894989014</v>
      </c>
      <c r="J23" s="1">
        <v>176</v>
      </c>
      <c r="K23" s="7">
        <v>1.8822723506246939</v>
      </c>
      <c r="L23" s="7">
        <v>762</v>
      </c>
      <c r="M23" s="7">
        <v>109</v>
      </c>
      <c r="N23" s="31">
        <v>154</v>
      </c>
      <c r="P23" s="5">
        <v>11.95871067</v>
      </c>
      <c r="Q23" s="5">
        <v>629692.6875</v>
      </c>
      <c r="R23" s="5">
        <v>125.720031738</v>
      </c>
      <c r="S23" s="5">
        <v>967.22644043000003</v>
      </c>
      <c r="T23" s="5">
        <v>12.052019119000001</v>
      </c>
      <c r="U23" s="5">
        <v>138.04020690900001</v>
      </c>
      <c r="V23" s="6">
        <v>0.79183522843749898</v>
      </c>
      <c r="X23" s="5">
        <v>1.0039998290000001</v>
      </c>
      <c r="Y23" s="5">
        <v>77.960159301999994</v>
      </c>
      <c r="Z23" s="5">
        <v>967.22644043000003</v>
      </c>
      <c r="AA23" s="5">
        <v>12.239572525</v>
      </c>
      <c r="AB23" s="5">
        <v>138.04019165</v>
      </c>
      <c r="AC23" s="5">
        <v>-760.99600017099999</v>
      </c>
    </row>
    <row r="24" spans="1:29" ht="14.25" customHeight="1" x14ac:dyDescent="0.2">
      <c r="A24">
        <v>15</v>
      </c>
      <c r="B24" s="2">
        <v>3.609</v>
      </c>
      <c r="C24" s="1">
        <v>40.900001525878906</v>
      </c>
      <c r="D24" s="1">
        <v>22.700000762939453</v>
      </c>
      <c r="E24" s="8">
        <v>326</v>
      </c>
      <c r="F24" s="7">
        <v>48</v>
      </c>
      <c r="G24" s="7">
        <v>11.33277958600136</v>
      </c>
      <c r="H24" s="1">
        <v>66.199996948242188</v>
      </c>
      <c r="I24" s="1">
        <v>35.691824555397034</v>
      </c>
      <c r="J24" s="1">
        <v>123</v>
      </c>
      <c r="K24" s="7">
        <v>6.2898311895094077</v>
      </c>
      <c r="L24" s="7">
        <v>152</v>
      </c>
      <c r="M24" s="23">
        <v>75</v>
      </c>
      <c r="N24" s="31">
        <v>104</v>
      </c>
      <c r="P24" s="5">
        <v>3.7442073819999999</v>
      </c>
      <c r="Q24" s="5">
        <v>202939.3125</v>
      </c>
      <c r="R24" s="5">
        <v>93.599624633999994</v>
      </c>
      <c r="S24" s="5">
        <v>194.84483337399999</v>
      </c>
      <c r="T24" s="5">
        <v>3.8121535780000002</v>
      </c>
      <c r="U24" s="5">
        <v>96.036361693999993</v>
      </c>
      <c r="V24" s="6">
        <v>-0.13520738199999993</v>
      </c>
      <c r="X24" s="5">
        <v>243.24613952600001</v>
      </c>
      <c r="Y24" s="5">
        <v>98.909469603999995</v>
      </c>
      <c r="Z24" s="5">
        <v>194.84483337399999</v>
      </c>
      <c r="AA24" s="5">
        <v>3.888689995</v>
      </c>
      <c r="AB24" s="5">
        <v>96.036361693999993</v>
      </c>
      <c r="AC24" s="5">
        <v>91.246139526000007</v>
      </c>
    </row>
    <row r="25" spans="1:29" ht="14.25" customHeight="1" x14ac:dyDescent="0.2">
      <c r="A25">
        <v>16</v>
      </c>
      <c r="B25" s="2">
        <v>3.621</v>
      </c>
      <c r="C25" s="1">
        <v>40</v>
      </c>
      <c r="D25" s="1">
        <v>22</v>
      </c>
      <c r="E25" s="8">
        <v>327</v>
      </c>
      <c r="F25" s="7">
        <v>48</v>
      </c>
      <c r="G25" s="7">
        <v>11.046672190002761</v>
      </c>
      <c r="H25" s="1">
        <v>66.199996948242188</v>
      </c>
      <c r="I25" s="1">
        <v>35.483869910240173</v>
      </c>
      <c r="J25" s="1">
        <v>123</v>
      </c>
      <c r="K25" s="7">
        <v>6.0756697045015189</v>
      </c>
      <c r="L25" s="7">
        <v>154</v>
      </c>
      <c r="M25" s="23">
        <v>82</v>
      </c>
      <c r="N25" s="31">
        <v>109</v>
      </c>
      <c r="P25" s="5">
        <v>3.7541902070000002</v>
      </c>
      <c r="Q25" s="5">
        <v>203198.5</v>
      </c>
      <c r="R25" s="5">
        <v>98.883346558</v>
      </c>
      <c r="S25" s="5">
        <v>195.36392211899999</v>
      </c>
      <c r="T25" s="5">
        <v>3.8081278799999998</v>
      </c>
      <c r="U25" s="5">
        <v>101.18888855</v>
      </c>
      <c r="V25" s="6">
        <v>-0.13319020700000017</v>
      </c>
      <c r="X25" s="5">
        <v>242.35520935100001</v>
      </c>
      <c r="Y25" s="5">
        <v>103.91523742699999</v>
      </c>
      <c r="Z25" s="5">
        <v>195.36392211899999</v>
      </c>
      <c r="AA25" s="5">
        <v>3.8826532359999999</v>
      </c>
      <c r="AB25" s="5">
        <v>101.18888855</v>
      </c>
      <c r="AC25" s="5">
        <v>88.355209351000013</v>
      </c>
    </row>
    <row r="26" spans="1:29" ht="14.25" customHeight="1" x14ac:dyDescent="0.2">
      <c r="A26">
        <v>17</v>
      </c>
      <c r="B26" s="2">
        <v>3.734</v>
      </c>
      <c r="C26" s="1">
        <v>40.5</v>
      </c>
      <c r="D26" s="1">
        <v>22.200000762939453</v>
      </c>
      <c r="E26" s="8">
        <v>333</v>
      </c>
      <c r="F26" s="7">
        <v>48</v>
      </c>
      <c r="G26" s="7">
        <v>10.846277450455275</v>
      </c>
      <c r="H26" s="1">
        <v>65.199996948242188</v>
      </c>
      <c r="I26" s="1">
        <v>35.406699776649475</v>
      </c>
      <c r="J26" s="1">
        <v>124</v>
      </c>
      <c r="K26" s="7">
        <v>5.9453671030903728</v>
      </c>
      <c r="L26" s="7">
        <v>160</v>
      </c>
      <c r="M26" s="23">
        <v>78</v>
      </c>
      <c r="N26" s="31">
        <v>112</v>
      </c>
      <c r="P26" s="5">
        <v>3.761202097</v>
      </c>
      <c r="Q26" s="5">
        <v>203406.203125</v>
      </c>
      <c r="R26" s="5">
        <v>101.967330933</v>
      </c>
      <c r="S26" s="5">
        <v>198.76182556200001</v>
      </c>
      <c r="T26" s="5">
        <v>3.8668346410000001</v>
      </c>
      <c r="U26" s="5">
        <v>104.114517212</v>
      </c>
      <c r="V26" s="6">
        <v>-2.7202096999999981E-2</v>
      </c>
      <c r="X26" s="5">
        <v>241.48704528799999</v>
      </c>
      <c r="Y26" s="5">
        <v>106.56652069099999</v>
      </c>
      <c r="Z26" s="5">
        <v>198.76182556200001</v>
      </c>
      <c r="AA26" s="5">
        <v>3.9411358829999998</v>
      </c>
      <c r="AB26" s="5">
        <v>104.114517212</v>
      </c>
      <c r="AC26" s="5">
        <v>81.48704528799999</v>
      </c>
    </row>
    <row r="27" spans="1:29" ht="14.25" customHeight="1" x14ac:dyDescent="0.2">
      <c r="A27">
        <v>18</v>
      </c>
      <c r="B27" s="2">
        <v>3.7810000000000001</v>
      </c>
      <c r="C27" s="1">
        <v>40</v>
      </c>
      <c r="D27" s="1">
        <v>22</v>
      </c>
      <c r="E27" s="8">
        <v>333</v>
      </c>
      <c r="F27" s="7">
        <v>48</v>
      </c>
      <c r="G27" s="7">
        <v>10.57921184871727</v>
      </c>
      <c r="H27" s="1">
        <v>65.800003051757813</v>
      </c>
      <c r="I27" s="1">
        <v>35.483869910240173</v>
      </c>
      <c r="J27" s="1">
        <v>245</v>
      </c>
      <c r="K27" s="7">
        <v>5.8185665167944984</v>
      </c>
      <c r="L27" s="7">
        <v>150</v>
      </c>
      <c r="M27" s="23">
        <v>78</v>
      </c>
      <c r="N27" s="31">
        <v>112</v>
      </c>
      <c r="P27" s="5">
        <v>3.770572901</v>
      </c>
      <c r="Q27" s="5">
        <v>203745.359375</v>
      </c>
      <c r="R27" s="5">
        <v>101.413040161</v>
      </c>
      <c r="S27" s="5">
        <v>198.73237609899999</v>
      </c>
      <c r="T27" s="5">
        <v>3.8687703610000002</v>
      </c>
      <c r="U27" s="5">
        <v>104.101730347</v>
      </c>
      <c r="V27" s="6">
        <v>1.0427099000000162E-2</v>
      </c>
      <c r="X27" s="5">
        <v>236.59117126500001</v>
      </c>
      <c r="Y27" s="5">
        <v>106.27417755099999</v>
      </c>
      <c r="Z27" s="5">
        <v>198.73236084000001</v>
      </c>
      <c r="AA27" s="5">
        <v>3.941277742</v>
      </c>
      <c r="AB27" s="5">
        <v>104.101730347</v>
      </c>
      <c r="AC27" s="5">
        <v>86.591171265000014</v>
      </c>
    </row>
    <row r="28" spans="1:29" ht="14.25" customHeight="1" x14ac:dyDescent="0.2">
      <c r="B28" s="3"/>
      <c r="E28" s="9"/>
      <c r="P28" s="5"/>
      <c r="Q28" s="5"/>
      <c r="R28" s="5"/>
      <c r="S28" s="5"/>
      <c r="T28" s="5"/>
      <c r="U28" s="5"/>
      <c r="AC28" s="5"/>
    </row>
    <row r="29" spans="1:29" ht="14.25" customHeight="1" x14ac:dyDescent="0.2">
      <c r="B29" s="3"/>
      <c r="E29" s="9"/>
      <c r="P29" s="5"/>
      <c r="Q29" s="5"/>
      <c r="R29" s="5"/>
      <c r="S29" s="5"/>
      <c r="T29" s="5"/>
      <c r="U29" s="5"/>
      <c r="AC29" s="5"/>
    </row>
    <row r="30" spans="1:29" ht="14.25" customHeight="1" x14ac:dyDescent="0.2">
      <c r="B30" s="3"/>
      <c r="E30" s="9"/>
      <c r="P30" s="5"/>
      <c r="Q30" s="5"/>
      <c r="R30" s="5"/>
      <c r="S30" s="5"/>
      <c r="T30" s="5"/>
      <c r="U30" s="5"/>
      <c r="AC30" s="5"/>
    </row>
    <row r="31" spans="1:29" ht="12.75" x14ac:dyDescent="0.2">
      <c r="B31" s="3"/>
      <c r="E31" s="9"/>
      <c r="P31" s="5"/>
      <c r="Q31" s="5"/>
      <c r="R31" s="5"/>
      <c r="S31" s="5"/>
      <c r="T31" s="5"/>
      <c r="U31" s="5"/>
      <c r="AC31" s="5"/>
    </row>
    <row r="32" spans="1:29" ht="12.75" x14ac:dyDescent="0.2">
      <c r="B32" s="3"/>
      <c r="E32" s="9"/>
      <c r="P32" s="5"/>
      <c r="Q32" s="5"/>
      <c r="R32" s="5"/>
      <c r="S32" s="5"/>
      <c r="T32" s="5"/>
      <c r="U32" s="5"/>
      <c r="AC32" s="5"/>
    </row>
    <row r="33" spans="2:29" x14ac:dyDescent="0.2">
      <c r="B33" s="3"/>
      <c r="P33" s="5"/>
      <c r="Q33" s="5"/>
      <c r="R33" s="5"/>
      <c r="S33" s="5"/>
      <c r="T33" s="5"/>
      <c r="U33" s="5"/>
      <c r="AC33" s="5"/>
    </row>
    <row r="34" spans="2:29" x14ac:dyDescent="0.2">
      <c r="B34" s="3"/>
      <c r="P34" s="5"/>
      <c r="Q34" s="5"/>
      <c r="R34" s="5"/>
      <c r="S34" s="5"/>
      <c r="T34" s="5"/>
      <c r="U34" s="5"/>
      <c r="AC34" s="5"/>
    </row>
    <row r="35" spans="2:29" x14ac:dyDescent="0.2">
      <c r="B35" s="3"/>
      <c r="P35" s="5"/>
      <c r="Q35" s="5"/>
      <c r="R35" s="5"/>
      <c r="S35" s="5"/>
      <c r="T35" s="5"/>
      <c r="U35" s="5"/>
      <c r="AC35" s="5"/>
    </row>
    <row r="36" spans="2:29" x14ac:dyDescent="0.2">
      <c r="B36" s="3"/>
      <c r="P36" s="5"/>
      <c r="Q36" s="5"/>
      <c r="R36" s="5"/>
      <c r="S36" s="5"/>
      <c r="T36" s="5"/>
      <c r="U36" s="5"/>
      <c r="AC36" s="5"/>
    </row>
    <row r="37" spans="2:29" x14ac:dyDescent="0.2">
      <c r="B37" s="3"/>
      <c r="AC37" s="5"/>
    </row>
    <row r="38" spans="2:29" x14ac:dyDescent="0.2">
      <c r="B38" s="3"/>
      <c r="AC38" s="5"/>
    </row>
    <row r="39" spans="2:29" x14ac:dyDescent="0.2">
      <c r="B39" s="3"/>
      <c r="AC39" s="5"/>
    </row>
    <row r="40" spans="2:29" x14ac:dyDescent="0.2">
      <c r="B40" s="3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9</xdr:col>
                <xdr:colOff>457200</xdr:colOff>
                <xdr:row>1</xdr:row>
                <xdr:rowOff>142875</xdr:rowOff>
              </from>
              <to>
                <xdr:col>13</xdr:col>
                <xdr:colOff>361950</xdr:colOff>
                <xdr:row>4</xdr:row>
                <xdr:rowOff>104775</xdr:rowOff>
              </to>
            </anchor>
          </controlPr>
        </control>
      </mc:Choice>
      <mc:Fallback>
        <control shapeId="1025" r:id="rId3" name="CommandButton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37C22271-1FF8-4427-B82A-81F54E7492C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TrafficLights1" iconId="0"/>
              <x14:cfIcon iconSet="5Quarters" iconId="0"/>
              <x14:cfIcon iconSet="3Symbols2" iconId="2"/>
            </x14:iconSet>
          </x14:cfRule>
          <xm:sqref>Q2:Q3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7DFAF-2D03-4C35-961B-5E802F60804A}">
  <sheetPr codeName="Sheet2"/>
  <dimension ref="A1"/>
  <sheetViews>
    <sheetView showGridLines="0" workbookViewId="0">
      <selection activeCell="F35" sqref="F35"/>
    </sheetView>
  </sheetViews>
  <sheetFormatPr defaultRowHeight="12" x14ac:dyDescent="0.2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69124-5E84-464D-90CF-AF89F15743CE}">
  <sheetPr codeName="Sheet4"/>
  <dimension ref="B2:D17"/>
  <sheetViews>
    <sheetView showGridLines="0" workbookViewId="0">
      <selection activeCell="D26" sqref="D26"/>
    </sheetView>
  </sheetViews>
  <sheetFormatPr defaultRowHeight="12" x14ac:dyDescent="0.2"/>
  <cols>
    <col min="2" max="2" width="11.5" customWidth="1"/>
    <col min="3" max="3" width="32.5" customWidth="1"/>
  </cols>
  <sheetData>
    <row r="2" spans="2:4" ht="15" x14ac:dyDescent="0.25">
      <c r="B2" s="32" t="s">
        <v>40</v>
      </c>
    </row>
    <row r="3" spans="2:4" x14ac:dyDescent="0.2">
      <c r="B3" s="36" t="s">
        <v>47</v>
      </c>
    </row>
    <row r="4" spans="2:4" x14ac:dyDescent="0.2">
      <c r="C4" t="s">
        <v>41</v>
      </c>
      <c r="D4" s="37" t="s">
        <v>5</v>
      </c>
    </row>
    <row r="5" spans="2:4" x14ac:dyDescent="0.2">
      <c r="C5" t="s">
        <v>42</v>
      </c>
      <c r="D5" s="37" t="s">
        <v>9</v>
      </c>
    </row>
    <row r="6" spans="2:4" x14ac:dyDescent="0.2">
      <c r="C6" t="s">
        <v>43</v>
      </c>
      <c r="D6" s="37" t="s">
        <v>35</v>
      </c>
    </row>
    <row r="7" spans="2:4" x14ac:dyDescent="0.2">
      <c r="C7" t="s">
        <v>44</v>
      </c>
      <c r="D7" s="37" t="s">
        <v>36</v>
      </c>
    </row>
    <row r="8" spans="2:4" x14ac:dyDescent="0.2">
      <c r="C8" t="s">
        <v>66</v>
      </c>
      <c r="D8" s="37" t="s">
        <v>37</v>
      </c>
    </row>
    <row r="9" spans="2:4" x14ac:dyDescent="0.2">
      <c r="C9" t="s">
        <v>46</v>
      </c>
      <c r="D9" s="37" t="s">
        <v>4</v>
      </c>
    </row>
    <row r="10" spans="2:4" x14ac:dyDescent="0.2">
      <c r="D10" s="37"/>
    </row>
    <row r="11" spans="2:4" x14ac:dyDescent="0.2">
      <c r="B11" s="36" t="s">
        <v>48</v>
      </c>
      <c r="D11" s="37"/>
    </row>
    <row r="12" spans="2:4" x14ac:dyDescent="0.2">
      <c r="C12" t="s">
        <v>45</v>
      </c>
      <c r="D12" s="37" t="s">
        <v>54</v>
      </c>
    </row>
    <row r="13" spans="2:4" x14ac:dyDescent="0.2">
      <c r="C13" t="s">
        <v>49</v>
      </c>
      <c r="D13" s="37" t="s">
        <v>55</v>
      </c>
    </row>
    <row r="14" spans="2:4" x14ac:dyDescent="0.2">
      <c r="C14" t="s">
        <v>50</v>
      </c>
      <c r="D14" s="37" t="s">
        <v>56</v>
      </c>
    </row>
    <row r="15" spans="2:4" x14ac:dyDescent="0.2">
      <c r="C15" t="s">
        <v>51</v>
      </c>
      <c r="D15" s="37" t="s">
        <v>57</v>
      </c>
    </row>
    <row r="16" spans="2:4" x14ac:dyDescent="0.2">
      <c r="C16" t="s">
        <v>52</v>
      </c>
      <c r="D16" s="37" t="s">
        <v>58</v>
      </c>
    </row>
    <row r="17" spans="3:4" x14ac:dyDescent="0.2">
      <c r="C17" t="s">
        <v>53</v>
      </c>
      <c r="D17" s="37" t="s">
        <v>59</v>
      </c>
    </row>
  </sheetData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numeros" Type="http://schemas.openxmlformats.org/officeDocument/2006/relationships/image" Target="images/numeros.png"/><Relationship Id="backsetup" Type="http://schemas.openxmlformats.org/officeDocument/2006/relationships/image" Target="images/backsetup.png"/><Relationship Id="FFSA_48" Type="http://schemas.openxmlformats.org/officeDocument/2006/relationships/image" Target="images/FFSA_48.png"/><Relationship Id="ctrl_Q" Type="http://schemas.openxmlformats.org/officeDocument/2006/relationships/image" Target="images/ctrl_Q.png"/><Relationship Id="abc" Type="http://schemas.openxmlformats.org/officeDocument/2006/relationships/image" Target="images/abc.png"/></Relationships>
</file>

<file path=customUI/customUI14.xml><?xml version="1.0" encoding="utf-8"?>
<customUI xmlns="http://schemas.microsoft.com/office/2009/07/customui" onLoad="RibbonOnLoad">
  <ribbon startFromScratch="false">
    <tabs>
      <tab id="ID_Franco_Tools" label="FTools" getVisible="GetVisible" tag="FFSA">
        <group id="ID_G_Import_Projects" label="Legal Notice">
          <button id="ID_Logo_and_Legal_Notice" label="Franco Sivila" image="FFSA_48" size="large" screentip="Franco Help" supertip="Legal Notice" onAction="OnAc_Mensaje_Franco"/>
        </group>
        <group id="ID_G_Herramientas" label="VBA MS Excel Tools">
          <button id="ID_backsetup" label="Restore      Calc + Events" image="backsetup" size="large" screentip="Franco Help" supertip="Set automatic calculations + ScreenUpdating + EnableEvents" onAction="OnAc_BackSetup"/>
          <button id="ID_Columna_Letras" label="Column Letters" image="abc" size="large" screentip="Franco Help" supertip="Change colum format to letters" onAction="OnAc_Columna_Letras"/>
          <button id="ID_Columna_Numeros" label="Column Numbers" image="numeros" size="large" screentip="Franco Help" supertip="Change colum format to Numbers" onAction="OnAc_Columna_Numeros"/>
          <button id="ID_Paste_Values" label="Paste Values" image="ctrl_Q" size="large" screentip="Franco Help" supertip="Paste Values is Active CTRL+Q" onAction="OnAc_Paste_Valu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Single_Calc</vt:lpstr>
      <vt:lpstr>Multiple_Calc</vt:lpstr>
      <vt:lpstr>Plot</vt:lpstr>
      <vt:lpstr>Openserver_Variables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</dc:creator>
  <cp:lastModifiedBy>franco fabian</cp:lastModifiedBy>
  <dcterms:created xsi:type="dcterms:W3CDTF">2022-11-17T21:26:22Z</dcterms:created>
  <dcterms:modified xsi:type="dcterms:W3CDTF">2025-12-14T15:48:52Z</dcterms:modified>
</cp:coreProperties>
</file>